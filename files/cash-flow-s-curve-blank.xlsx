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C6B2F70D-2550-40A0-BD92-C1596EDFAEB4}" xr6:coauthVersionLast="47" xr6:coauthVersionMax="47" xr10:uidLastSave="{00000000-0000-0000-0000-000000000000}"/>
  <bookViews>
    <workbookView xWindow="-28920" yWindow="-45" windowWidth="29040" windowHeight="15720" activeTab="3" xr2:uid="{00000000-000D-0000-FFFF-FFFF00000000}"/>
  </bookViews>
  <sheets>
    <sheet name="Start" sheetId="1" r:id="rId1"/>
    <sheet name="Dashboard" sheetId="2" r:id="rId2"/>
    <sheet name="Setup" sheetId="3" r:id="rId3"/>
    <sheet name="Cash flow" sheetId="4" r:id="rId4"/>
    <sheet name="What if" sheetId="5" r:id="rId5"/>
    <sheet name="Portfolio" sheetId="6" r:id="rId6"/>
  </sheets>
  <definedNames>
    <definedName name="_xlnm.Print_Area" localSheetId="3">'Cash flow'!$A$1:$T$43</definedName>
    <definedName name="_xlnm.Print_Area" localSheetId="1">Dashboard!$A$1:$N$60</definedName>
    <definedName name="_xlnm.Print_Area" localSheetId="5">Portfolio!$A$1:$Q$53</definedName>
    <definedName name="_xlnm.Print_Area" localSheetId="2">Setup!$A$1:$D$19</definedName>
    <definedName name="_xlnm.Print_Area" localSheetId="0">Start!$A$1:$F$44</definedName>
    <definedName name="_xlnm.Print_Area" localSheetId="4">'What if'!$A$1:$Y$43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<sst xmlns="http://schemas.openxmlformats.org/spreadsheetml/2006/main" count="245" uniqueCount="177">
  <si>
    <t>Cash flow and S-curve</t>
  </si>
  <si>
    <t>Profit is an opinion about the end of the job. Cash is a fact about today. This file shows both.</t>
  </si>
  <si>
    <t>The Project Control Hub · free template</t>
  </si>
  <si>
    <t>FIVE STEPS</t>
  </si>
  <si>
    <t>Setup  →</t>
  </si>
  <si>
    <t>The contract terms: value, retention, how long until you are paid, supplier credit, any advance.</t>
  </si>
  <si>
    <t>2 minutes</t>
  </si>
  <si>
    <t>Cash flow  →</t>
  </si>
  <si>
    <t>The cost you pay each month. The engine values the work, holds retention, pays you later.</t>
  </si>
  <si>
    <t>10 minutes</t>
  </si>
  <si>
    <t>Dashboard  →</t>
  </si>
  <si>
    <t>Read the deepest point. That is the cash this job must have access to at its worst.</t>
  </si>
  <si>
    <t>—</t>
  </si>
  <si>
    <t>What if  →</t>
  </si>
  <si>
    <t>Test one lever at a time: faster payment, supplier credit, an advance. The profit never moves.</t>
  </si>
  <si>
    <t>5 minutes</t>
  </si>
  <si>
    <t>Portfolio  →</t>
  </si>
  <si>
    <t>Add the other jobs you are running or bidding. The holes stack; check them against the facility.</t>
  </si>
  <si>
    <t>HOW THE MONEY MOVES</t>
  </si>
  <si>
    <t>You do the work</t>
  </si>
  <si>
    <t>And pay for it in the month, unless suppliers give you credit.</t>
  </si>
  <si>
    <t>It is valued and certified</t>
  </si>
  <si>
    <t>Retention is carved off every certificate; an advance is recovered from it.</t>
  </si>
  <si>
    <t>You are paid, later</t>
  </si>
  <si>
    <t>Usually a month after the work. Until then, you are financing the client.</t>
  </si>
  <si>
    <t>Retention comes back last</t>
  </si>
  <si>
    <t>Half at completion, half after the defects period. Money earned, held elsewhere.</t>
  </si>
  <si>
    <t>HOW TO READ THE CELLS</t>
  </si>
  <si>
    <t>Yellow, blue text</t>
  </si>
  <si>
    <t>Yours to fill in.</t>
  </si>
  <si>
    <t>White, black text</t>
  </si>
  <si>
    <t>A formula. Leave it alone and it keeps working.</t>
  </si>
  <si>
    <t>Red</t>
  </si>
  <si>
    <t>Cash below zero; the deepest month is darker. Or a facility that is too small.</t>
  </si>
  <si>
    <t>Green</t>
  </si>
  <si>
    <t>Profit, and levers that make the hole shallower.</t>
  </si>
  <si>
    <t>WHAT IS IN THIS FILE</t>
  </si>
  <si>
    <t>Dashboard</t>
  </si>
  <si>
    <t>Six numbers, a paragraph in plain English, four charts and the five levers.</t>
  </si>
  <si>
    <t>Setup</t>
  </si>
  <si>
    <t>Contract value, retention, payment and supplier timing, advance, overdraft.</t>
  </si>
  <si>
    <t>Cash flow</t>
  </si>
  <si>
    <t>The monthly engine: value, retention, certificates, money in and out, cash position.</t>
  </si>
  <si>
    <t>What if</t>
  </si>
  <si>
    <t>The same job on different terms, side by side with the base.</t>
  </si>
  <si>
    <t>Portfolio</t>
  </si>
  <si>
    <t>Up to five jobs at once, stacked against the overdraft facility.</t>
  </si>
  <si>
    <t>EXPLAINED IN</t>
  </si>
  <si>
    <t>Cost &amp; Cash Topic 16 · Cash flow fundamentals</t>
  </si>
  <si>
    <t>Cost &amp; Cash Topic 17 · The interim payment cycle</t>
  </si>
  <si>
    <t>Cost &amp; Cash Topic 18 · Overtrading</t>
  </si>
  <si>
    <t>Cost &amp; Cash Topic 19 · Managing the hole</t>
  </si>
  <si>
    <t>Blank: twenty-four months ready to fill. The example file shows the example project.</t>
  </si>
  <si>
    <t>Free to use and adapt on your own projects. https://theprojectcontrolhub.com/</t>
  </si>
  <si>
    <t>The Project Control Hub</t>
  </si>
  <si>
    <t>DEEPEST CASH POSITION</t>
  </si>
  <si>
    <t>MONTHS BELOW ZERO</t>
  </si>
  <si>
    <t>COST OF THE HOLE</t>
  </si>
  <si>
    <t>PROFIT AT THE END</t>
  </si>
  <si>
    <t>RETENTION STILL HELD</t>
  </si>
  <si>
    <t>FACILITY HEADROOM</t>
  </si>
  <si>
    <t>THE CURVE OUT, THE CURVE BACK, AND THE GAP</t>
  </si>
  <si>
    <t>MOVE THE TIMING, NOT THE PROFIT</t>
  </si>
  <si>
    <t>FIVE TIMING LEVERS · none of them changes the profit</t>
  </si>
  <si>
    <t>Lever</t>
  </si>
  <si>
    <t>Effect on the hole</t>
  </si>
  <si>
    <t>Where to try it</t>
  </si>
  <si>
    <t>What it costs you</t>
  </si>
  <si>
    <t>Front-load the schedule of values</t>
  </si>
  <si>
    <t>Shallower</t>
  </si>
  <si>
    <t>Valuation override</t>
  </si>
  <si>
    <t>A sceptical client QS</t>
  </si>
  <si>
    <t>Certify and get paid faster</t>
  </si>
  <si>
    <t>What if: payment months</t>
  </si>
  <si>
    <t>Immaculate applications</t>
  </si>
  <si>
    <t>Pay your own suppliers later</t>
  </si>
  <si>
    <t>What if: supplier credit</t>
  </si>
  <si>
    <t>A negotiation</t>
  </si>
  <si>
    <t>Take a mobilisation advance</t>
  </si>
  <si>
    <t>Much shallower</t>
  </si>
  <si>
    <t>What if: advance %</t>
  </si>
  <si>
    <t>A bank guarantee; recovery later</t>
  </si>
  <si>
    <t>Buy materials early / let retention build</t>
  </si>
  <si>
    <t>Deeper</t>
  </si>
  <si>
    <t>Cost timing; retention %</t>
  </si>
  <si>
    <t>Cash spent before it is needed</t>
  </si>
  <si>
    <t>Everything on this page reads from Setup, Cash flow, What if and Portfolio.</t>
  </si>
  <si>
    <t>The contract terms that decide when money moves. None of them change the profit.</t>
  </si>
  <si>
    <t>Change a term here and watch the Dashboard: the depth of the hole is a timing decision.</t>
  </si>
  <si>
    <t>Project</t>
  </si>
  <si>
    <t>Example project</t>
  </si>
  <si>
    <t>Contract value ($)</t>
  </si>
  <si>
    <t>Topic 16: $1,000,000.</t>
  </si>
  <si>
    <t>Retention held on each certificate</t>
  </si>
  <si>
    <t>Usually 5%. Topic 17.</t>
  </si>
  <si>
    <t>Months from doing the work to being paid</t>
  </si>
  <si>
    <t>Value, certify, pay: usually one month, sometimes two.</t>
  </si>
  <si>
    <t>Months of credit from suppliers</t>
  </si>
  <si>
    <t>0 = you pay in the month. 1 = 30-day terms or better.</t>
  </si>
  <si>
    <t>Mobilisation advance (% of contract)</t>
  </si>
  <si>
    <t>Paid in month 1. Topic 19: 10% would bury the hole.</t>
  </si>
  <si>
    <t>Advance recovered from each certificate (%)</t>
  </si>
  <si>
    <t>Deducted until the advance is repaid.</t>
  </si>
  <si>
    <t>First retention release: month</t>
  </si>
  <si>
    <t>Usually practical completion. Empty if outside the 24 months.</t>
  </si>
  <si>
    <t>First release: share of retention</t>
  </si>
  <si>
    <t>Usually half.</t>
  </si>
  <si>
    <t>Second retention release: month</t>
  </si>
  <si>
    <t>End of the defects period, often a year after completion.</t>
  </si>
  <si>
    <t>Second release: share of retention</t>
  </si>
  <si>
    <t>The other half.</t>
  </si>
  <si>
    <t>Overdraft interest rate (per year)</t>
  </si>
  <si>
    <t>Topic 16: 8%.</t>
  </si>
  <si>
    <t>Overdraft facility ($)</t>
  </si>
  <si>
    <t>Topic 18: $150,000.</t>
  </si>
  <si>
    <t>Month 1 ends on</t>
  </si>
  <si>
    <t>Optional. Dates the months.</t>
  </si>
  <si>
    <t>Money out and money in, month by month. The gap between them is the cash this job needs.</t>
  </si>
  <si>
    <t>Fill the cost you pay each month (column C). Override a valuation (D) only if your schedule of values is front-loaded.</t>
  </si>
  <si>
    <t>Month</t>
  </si>
  <si>
    <t>Month end</t>
  </si>
  <si>
    <t>Cost incurred ($)</t>
  </si>
  <si>
    <t>Valuation override ($)</t>
  </si>
  <si>
    <t>Value of work ($)</t>
  </si>
  <si>
    <t>Advance recovered ($)</t>
  </si>
  <si>
    <t>Retention deducted ($)</t>
  </si>
  <si>
    <t>Net certificate ($)</t>
  </si>
  <si>
    <t>Certificates paid ($)</t>
  </si>
  <si>
    <t>Advance received ($)</t>
  </si>
  <si>
    <t>Retention released ($)</t>
  </si>
  <si>
    <t>Money in ($)</t>
  </si>
  <si>
    <t>Money out ($)</t>
  </si>
  <si>
    <t>Cumulative out ($)</t>
  </si>
  <si>
    <t>Cumulative in ($)</t>
  </si>
  <si>
    <t>Cash position ($)</t>
  </si>
  <si>
    <t>Retention held ($)</t>
  </si>
  <si>
    <t>Interest this month ($)</t>
  </si>
  <si>
    <t>Below zero (chart)</t>
  </si>
  <si>
    <t>Above zero (chart)</t>
  </si>
  <si>
    <t>RESULTS</t>
  </si>
  <si>
    <t>Total cost ($)</t>
  </si>
  <si>
    <t>Profit at the end ($)</t>
  </si>
  <si>
    <t>Deepest cash position ($)</t>
  </si>
  <si>
    <t>Month of the deepest point</t>
  </si>
  <si>
    <t>Months with the cash position below zero</t>
  </si>
  <si>
    <t>Cost of the hole, rule of thumb ($)</t>
  </si>
  <si>
    <t>Cost of the hole, month by month ($)</t>
  </si>
  <si>
    <t>Money in by month 24 ($)</t>
  </si>
  <si>
    <t>Retention still held ($)</t>
  </si>
  <si>
    <t>Headroom on the overdraft facility ($)</t>
  </si>
  <si>
    <t>The same job with different terms. The profit does not move; the hole does.</t>
  </si>
  <si>
    <t>Change any yellow term in the right-hand panel (column X). The costs come from the Cash flow sheet.</t>
  </si>
  <si>
    <t>TERMS FOR THIS SCENARIO</t>
  </si>
  <si>
    <t>Each starts equal to Setup. Type over it to test a lever.</t>
  </si>
  <si>
    <t>BASE AGAINST THIS SCENARIO</t>
  </si>
  <si>
    <t>Base</t>
  </si>
  <si>
    <t>Scenario</t>
  </si>
  <si>
    <t>Months below zero</t>
  </si>
  <si>
    <t>Topic 19 on the same job: front-loading took the hole from -$60,462 to about -$20,462, faster certification to about -$8k, and a 10% advance to a surplus of about $30k. Not one of them earned a dollar more.</t>
  </si>
  <si>
    <t>Several jobs like this one at once. The holes do not average out; they stack.</t>
  </si>
  <si>
    <t>Give each job a start month (0 = starts with the first) and a size relative to this one. Compare the total with the facility.</t>
  </si>
  <si>
    <t>Job</t>
  </si>
  <si>
    <t>Starts after (months)</t>
  </si>
  <si>
    <t>Size (× this job)</t>
  </si>
  <si>
    <t>ALL JOBS TOGETHER</t>
  </si>
  <si>
    <t>Job A</t>
  </si>
  <si>
    <t>Deepest combined position ($)</t>
  </si>
  <si>
    <t>Job B</t>
  </si>
  <si>
    <t>Job C</t>
  </si>
  <si>
    <t>Short of the facility by ($)</t>
  </si>
  <si>
    <t>Combined profit at the end ($)</t>
  </si>
  <si>
    <t>Topic 18 stacks three jobs in their cash-hungry months at once: three holes of $60,462 make $181,386. Spread the starts and watch the total.</t>
  </si>
  <si>
    <t>The profit arrives at the end of each job; the holes arrive together, at the start.</t>
  </si>
  <si>
    <t>Job D</t>
  </si>
  <si>
    <t>Job E</t>
  </si>
  <si>
    <t>All jobs ($)</t>
  </si>
  <si>
    <t>Facility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</si>
</sst>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\-\$#,##0;&quot;-&quot;"/>
    <numFmt numFmtId="165" formatCode="0.0%"/>
    <numFmt numFmtId="167" formatCode="d\ mmm\ yyyy"/>
    <numFmt numFmtId="168" formatCode="mmm\ yy"/>
    <numFmt numFmtId="169" formatCode="\$#,##0,&quot;k&quot;;\-\$#,##0,&quot;k&quot;;&quot;-&quot;"/>
  </numFmts>
  <fonts count="42" x14ac:knownFonts="1">
    <font>
      <sz val="11"/>
      <color theme="1"/>
      <name val="Calibri"/>
      <family val="2"/>
      <scheme val="minor"/>
    </font>
    <font>
      <b/>
      <sz val="18"/>
      <color rgb="FF0F172A"/>
      <name val="Arial"/>
      <family val="2"/>
      <charset val="162"/>
    </font>
    <font>
      <sz val="10"/>
      <color rgb="FF64748B"/>
      <name val="Arial"/>
      <family val="2"/>
      <charset val="162"/>
    </font>
    <font>
      <i/>
      <sz val="9.5"/>
      <color rgb="FF1D4ED8"/>
      <name val="Arial"/>
      <family val="2"/>
      <charset val="162"/>
    </font>
    <font>
      <b/>
      <sz val="10"/>
      <color rgb="FF0F172A"/>
      <name val="Arial"/>
      <family val="2"/>
      <charset val="162"/>
    </font>
    <font>
      <sz val="10"/>
      <color rgb="FF1D4ED8"/>
      <name val="Arial"/>
      <family val="2"/>
      <charset val="162"/>
    </font>
    <font>
      <sz val="9"/>
      <color rgb="FF64748B"/>
      <name val="Arial"/>
      <family val="2"/>
      <charset val="162"/>
    </font>
    <font>
      <b/>
      <sz val="9"/>
      <color rgb="FF059669"/>
      <name val="Arial"/>
      <family val="2"/>
      <charset val="162"/>
    </font>
    <font>
      <b/>
      <sz val="9.5"/>
      <color rgb="FFFFFFFF"/>
      <name val="Arial"/>
      <family val="2"/>
      <charset val="162"/>
    </font>
    <font>
      <b/>
      <sz val="11"/>
      <name val="Arial"/>
      <family val="2"/>
      <charset val="162"/>
    </font>
    <font>
      <sz val="10"/>
      <color rgb="FF0F172A"/>
      <name val="Arial"/>
      <family val="2"/>
      <charset val="162"/>
    </font>
    <font>
      <sz val="8"/>
      <color rgb="FF94A3B8"/>
      <name val="Arial"/>
      <family val="2"/>
      <charset val="162"/>
    </font>
    <font>
      <b/>
      <sz val="9.5"/>
      <color rgb="FF0369A1"/>
      <name val="Arial"/>
      <family val="2"/>
      <charset val="162"/>
    </font>
    <font>
      <b/>
      <sz val="9.5"/>
      <color rgb="FF0F766E"/>
      <name val="Arial"/>
      <family val="2"/>
      <charset val="162"/>
    </font>
    <font>
      <i/>
      <sz val="9"/>
      <color rgb="FF64748B"/>
      <name val="Arial"/>
      <family val="2"/>
      <charset val="162"/>
    </font>
    <font>
      <b/>
      <sz val="11"/>
      <color rgb="FFFFFFFF"/>
      <name val="Arial"/>
      <family val="2"/>
      <charset val="162"/>
    </font>
    <font>
      <b/>
      <sz val="9.5"/>
      <color rgb="FF6D28D9"/>
      <name val="Arial"/>
      <family val="2"/>
      <charset val="162"/>
    </font>
    <font>
      <b/>
      <sz val="20"/>
      <color rgb="FFFFFFFF"/>
      <name val="Arial"/>
      <family val="2"/>
      <charset val="162"/>
    </font>
    <font>
      <sz val="10.5"/>
      <color rgb="FF94A3B8"/>
      <name val="Arial"/>
      <family val="2"/>
      <charset val="162"/>
    </font>
    <font>
      <b/>
      <sz val="9"/>
      <color rgb="FF6EE7B7"/>
      <name val="Arial"/>
      <family val="2"/>
      <charset val="162"/>
    </font>
    <font>
      <b/>
      <sz val="8.5"/>
      <color rgb="FFBE123C"/>
      <name val="Arial"/>
      <family val="2"/>
      <charset val="162"/>
    </font>
    <font>
      <b/>
      <sz val="22"/>
      <color rgb="FF0F172A"/>
      <name val="Arial"/>
      <family val="2"/>
      <charset val="162"/>
    </font>
    <font>
      <sz val="8.5"/>
      <color rgb="FF475569"/>
      <name val="Arial"/>
      <family val="2"/>
      <charset val="162"/>
    </font>
    <font>
      <b/>
      <sz val="8.5"/>
      <color rgb="FFB45309"/>
      <name val="Arial"/>
      <family val="2"/>
      <charset val="162"/>
    </font>
    <font>
      <b/>
      <sz val="8.5"/>
      <color rgb="FF334155"/>
      <name val="Arial"/>
      <family val="2"/>
      <charset val="162"/>
    </font>
    <font>
      <b/>
      <sz val="8.5"/>
      <color rgb="FF047857"/>
      <name val="Arial"/>
      <family val="2"/>
      <charset val="162"/>
    </font>
    <font>
      <b/>
      <sz val="8.5"/>
      <color rgb="FF0369A1"/>
      <name val="Arial"/>
      <family val="2"/>
      <charset val="162"/>
    </font>
    <font>
      <b/>
      <sz val="8.5"/>
      <color rgb="FF6D28D9"/>
      <name val="Arial"/>
      <family val="2"/>
      <charset val="162"/>
    </font>
    <font>
      <sz val="10.5"/>
      <color rgb="FF0F172A"/>
      <name val="Arial"/>
      <family val="2"/>
      <charset val="162"/>
    </font>
    <font>
      <b/>
      <sz val="10"/>
      <color rgb="FF047857"/>
      <name val="Arial"/>
      <family val="2"/>
      <charset val="162"/>
    </font>
    <font>
      <b/>
      <sz val="10"/>
      <color rgb="FFBE123C"/>
      <name val="Arial"/>
      <family val="2"/>
      <charset val="162"/>
    </font>
    <font>
      <b/>
      <sz val="24"/>
      <color rgb="FFFFFFFF"/>
      <name val="Arial"/>
      <family val="2"/>
      <charset val="162"/>
    </font>
    <font>
      <sz val="11"/>
      <color rgb="FFCBD5E1"/>
      <name val="Arial"/>
      <family val="2"/>
      <charset val="162"/>
    </font>
    <font>
      <b/>
      <sz val="9.5"/>
      <color rgb="FF6EE7B7"/>
      <name val="Arial"/>
      <family val="2"/>
      <charset val="162"/>
    </font>
    <font>
      <b/>
      <sz val="10"/>
      <color rgb="FF0369A1"/>
      <name val="Arial"/>
      <family val="2"/>
      <charset val="162"/>
    </font>
    <font>
      <b/>
      <sz val="16"/>
      <color rgb="FFFFFFFF"/>
      <name val="Arial"/>
      <family val="2"/>
      <charset val="162"/>
    </font>
    <font>
      <b/>
      <u/>
      <sz val="10"/>
      <color rgb="FF1D4ED8"/>
      <name val="Arial"/>
      <family val="2"/>
      <charset val="162"/>
    </font>
    <font>
      <b/>
      <sz val="10"/>
      <color rgb="FF1D4ED8"/>
      <name val="Arial"/>
      <family val="2"/>
      <charset val="162"/>
    </font>
    <font>
      <u/>
      <sz val="10"/>
      <color rgb="FF1D4ED8"/>
      <name val="Arial"/>
      <family val="2"/>
      <charset val="162"/>
    </font>
    <font>
      <b/>
      <sz val="8"/>
      <color rgb="FFFFFFFF"/>
      <name val="Arial"/>
      <family val="2"/>
      <charset val="162"/>
    </font>
    <font>
      <sz val="8"/>
      <color theme="1"/>
      <name val="Calibri"/>
      <family val="2"/>
      <scheme val="minor"/>
    </font>
    <font>
      <i/>
      <sz val="8"/>
      <color rgb="FF64748B"/>
      <name val="Arial"/>
      <family val="2"/>
      <charset val="162"/>
    </font>
  </fonts>
  <fills count="18">
    <fill>
      <patternFill patternType="none"/>
    </fill>
    <fill>
      <patternFill patternType="gray125"/>
    </fill>
    <fill>
      <patternFill patternType="solid">
        <fgColor rgb="FFFFF7D6"/>
      </patternFill>
    </fill>
    <fill>
      <patternFill patternType="solid">
        <fgColor rgb="FF0F172A"/>
      </patternFill>
    </fill>
    <fill>
      <patternFill patternType="solid">
        <fgColor rgb="FF94A3B8"/>
      </patternFill>
    </fill>
    <fill>
      <patternFill patternType="solid">
        <fgColor rgb="FF0369A1"/>
      </patternFill>
    </fill>
    <fill>
      <patternFill patternType="solid">
        <fgColor rgb="FF334155"/>
      </patternFill>
    </fill>
    <fill>
      <patternFill patternType="solid">
        <fgColor rgb="FFF0F9FF"/>
      </patternFill>
    </fill>
    <fill>
      <patternFill patternType="solid">
        <fgColor rgb="FFF0FDFA"/>
      </patternFill>
    </fill>
    <fill>
      <patternFill patternType="solid">
        <fgColor rgb="FFF5F3FF"/>
      </patternFill>
    </fill>
    <fill>
      <patternFill patternType="solid">
        <fgColor rgb="FFFFE4E6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1D4ED8"/>
      </patternFill>
    </fill>
    <fill>
      <patternFill patternType="solid">
        <fgColor rgb="FF0D9488"/>
      </patternFill>
    </fill>
    <fill>
      <patternFill patternType="solid">
        <fgColor rgb="FF6D28D9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0EA5E9"/>
      </bottom>
      <diagonal/>
    </border>
    <border>
      <left/>
      <right/>
      <top/>
      <bottom style="medium">
        <color rgb="FF0D9488"/>
      </bottom>
      <diagonal/>
    </border>
    <border>
      <left/>
      <right/>
      <top/>
      <bottom style="medium">
        <color rgb="FF6D28D9"/>
      </bottom>
      <diagonal/>
    </border>
    <border>
      <left/>
      <right/>
      <top style="thick">
        <color rgb="FFBE123C"/>
      </top>
      <bottom/>
      <diagonal/>
    </border>
    <border>
      <left/>
      <right/>
      <top style="thick">
        <color rgb="FFB45309"/>
      </top>
      <bottom/>
      <diagonal/>
    </border>
    <border>
      <left/>
      <right/>
      <top style="thick">
        <color rgb="FF334155"/>
      </top>
      <bottom/>
      <diagonal/>
    </border>
    <border>
      <left/>
      <right/>
      <top style="thick">
        <color rgb="FF047857"/>
      </top>
      <bottom/>
      <diagonal/>
    </border>
    <border>
      <left/>
      <right/>
      <top style="thick">
        <color rgb="FF0369A1"/>
      </top>
      <bottom/>
      <diagonal/>
    </border>
    <border>
      <left/>
      <right/>
      <top style="thick">
        <color rgb="FF6D28D9"/>
      </top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31" fillId="3" borderId="0" xfId="0" applyFont="1" applyFill="1" applyProtection="1">
      <protection locked="0"/>
    </xf>
    <xf numFmtId="0" fontId="32" fillId="3" borderId="0" xfId="0" applyFont="1" applyFill="1" applyProtection="1">
      <protection locked="0"/>
    </xf>
    <xf numFmtId="0" fontId="34" fillId="0" borderId="0" xfId="0" applyFont="1" applyAlignment="1" applyProtection="1">
      <alignment vertical="top"/>
      <protection locked="0"/>
    </xf>
    <xf numFmtId="0" fontId="35" fillId="3" borderId="12" xfId="0" applyFont="1" applyFill="1" applyBorder="1" applyAlignment="1" applyProtection="1">
      <alignment horizontal="center" vertical="center"/>
      <protection locked="0"/>
    </xf>
    <xf numFmtId="0" fontId="36" fillId="0" borderId="12" xfId="0" applyFont="1" applyBorder="1" applyAlignment="1" applyProtection="1">
      <alignment vertical="center"/>
      <protection locked="0"/>
    </xf>
    <xf numFmtId="0" fontId="10" fillId="0" borderId="12" xfId="0" applyFont="1" applyBorder="1" applyAlignment="1" applyProtection="1">
      <alignment vertical="center" wrapText="1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35" fillId="5" borderId="12" xfId="0" applyFont="1" applyFill="1" applyBorder="1" applyAlignment="1" applyProtection="1">
      <alignment horizontal="center" vertical="center"/>
      <protection locked="0"/>
    </xf>
    <xf numFmtId="0" fontId="35" fillId="14" borderId="12" xfId="0" applyFont="1" applyFill="1" applyBorder="1" applyAlignment="1" applyProtection="1">
      <alignment horizontal="center" vertical="center"/>
      <protection locked="0"/>
    </xf>
    <xf numFmtId="0" fontId="35" fillId="15" borderId="12" xfId="0" applyFont="1" applyFill="1" applyBorder="1" applyAlignment="1" applyProtection="1">
      <alignment horizontal="center" vertical="center"/>
      <protection locked="0"/>
    </xf>
    <xf numFmtId="0" fontId="35" fillId="16" borderId="12" xfId="0" applyFont="1" applyFill="1" applyBorder="1" applyAlignment="1" applyProtection="1">
      <alignment horizontal="center" vertical="center"/>
      <protection locked="0"/>
    </xf>
    <xf numFmtId="0" fontId="34" fillId="7" borderId="2" xfId="0" applyFont="1" applyFill="1" applyBorder="1" applyProtection="1">
      <protection locked="0"/>
    </xf>
    <xf numFmtId="0" fontId="10" fillId="0" borderId="0" xfId="0" applyFont="1" applyAlignment="1" applyProtection="1">
      <alignment vertical="top"/>
      <protection locked="0"/>
    </xf>
    <xf numFmtId="0" fontId="37" fillId="2" borderId="2" xfId="0" applyFont="1" applyFill="1" applyBorder="1" applyProtection="1">
      <protection locked="0"/>
    </xf>
    <xf numFmtId="0" fontId="4" fillId="17" borderId="2" xfId="0" applyFont="1" applyFill="1" applyBorder="1" applyProtection="1">
      <protection locked="0"/>
    </xf>
    <xf numFmtId="0" fontId="30" fillId="10" borderId="2" xfId="0" applyFont="1" applyFill="1" applyBorder="1" applyProtection="1">
      <protection locked="0"/>
    </xf>
    <xf numFmtId="0" fontId="29" fillId="13" borderId="2" xfId="0" applyFont="1" applyFill="1" applyBorder="1" applyProtection="1">
      <protection locked="0"/>
    </xf>
    <xf numFmtId="0" fontId="36" fillId="0" borderId="0" xfId="0" applyFont="1" applyProtection="1">
      <protection locked="0"/>
    </xf>
    <xf numFmtId="0" fontId="38" fillId="0" borderId="0" xfId="0" applyFont="1" applyProtection="1">
      <protection locked="0"/>
    </xf>
    <xf numFmtId="0" fontId="6" fillId="0" borderId="0" xfId="0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vertical="top"/>
      <protection locked="0"/>
    </xf>
    <xf numFmtId="0" fontId="33" fillId="3" borderId="0" xfId="0" applyFont="1" applyFill="1" applyProtection="1"/>
    <xf numFmtId="0" fontId="17" fillId="3" borderId="0" xfId="0" applyFont="1" applyFill="1" applyProtection="1">
      <protection locked="0"/>
    </xf>
    <xf numFmtId="0" fontId="18" fillId="3" borderId="0" xfId="0" applyFont="1" applyFill="1" applyProtection="1">
      <protection locked="0"/>
    </xf>
    <xf numFmtId="0" fontId="20" fillId="10" borderId="0" xfId="0" applyFont="1" applyFill="1" applyAlignment="1" applyProtection="1">
      <alignment horizontal="center"/>
      <protection locked="0"/>
    </xf>
    <xf numFmtId="0" fontId="23" fillId="11" borderId="0" xfId="0" applyFont="1" applyFill="1" applyAlignment="1" applyProtection="1">
      <alignment horizontal="center"/>
      <protection locked="0"/>
    </xf>
    <xf numFmtId="0" fontId="24" fillId="12" borderId="0" xfId="0" applyFont="1" applyFill="1" applyAlignment="1" applyProtection="1">
      <alignment horizontal="center"/>
      <protection locked="0"/>
    </xf>
    <xf numFmtId="0" fontId="25" fillId="13" borderId="0" xfId="0" applyFont="1" applyFill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7" fillId="9" borderId="0" xfId="0" applyFont="1" applyFill="1" applyAlignment="1" applyProtection="1">
      <alignment horizontal="center"/>
      <protection locked="0"/>
    </xf>
    <xf numFmtId="164" fontId="21" fillId="10" borderId="0" xfId="0" applyNumberFormat="1" applyFont="1" applyFill="1" applyAlignment="1" applyProtection="1">
      <alignment horizontal="center" vertical="center"/>
      <protection locked="0"/>
    </xf>
    <xf numFmtId="1" fontId="21" fillId="11" borderId="0" xfId="0" applyNumberFormat="1" applyFont="1" applyFill="1" applyAlignment="1" applyProtection="1">
      <alignment horizontal="center" vertical="center"/>
      <protection locked="0"/>
    </xf>
    <xf numFmtId="164" fontId="21" fillId="12" borderId="0" xfId="0" applyNumberFormat="1" applyFont="1" applyFill="1" applyAlignment="1" applyProtection="1">
      <alignment horizontal="center" vertical="center"/>
      <protection locked="0"/>
    </xf>
    <xf numFmtId="164" fontId="21" fillId="13" borderId="0" xfId="0" applyNumberFormat="1" applyFont="1" applyFill="1" applyAlignment="1" applyProtection="1">
      <alignment horizontal="center" vertical="center"/>
      <protection locked="0"/>
    </xf>
    <xf numFmtId="164" fontId="21" fillId="7" borderId="0" xfId="0" applyNumberFormat="1" applyFont="1" applyFill="1" applyAlignment="1" applyProtection="1">
      <alignment horizontal="center" vertical="center"/>
      <protection locked="0"/>
    </xf>
    <xf numFmtId="164" fontId="21" fillId="9" borderId="0" xfId="0" applyNumberFormat="1" applyFont="1" applyFill="1" applyAlignment="1" applyProtection="1">
      <alignment horizontal="center" vertical="center"/>
      <protection locked="0"/>
    </xf>
    <xf numFmtId="0" fontId="22" fillId="10" borderId="0" xfId="0" applyFont="1" applyFill="1" applyAlignment="1" applyProtection="1">
      <alignment horizontal="center" vertical="top" wrapText="1"/>
      <protection locked="0"/>
    </xf>
    <xf numFmtId="0" fontId="22" fillId="11" borderId="0" xfId="0" applyFont="1" applyFill="1" applyAlignment="1" applyProtection="1">
      <alignment horizontal="center" vertical="top" wrapText="1"/>
      <protection locked="0"/>
    </xf>
    <xf numFmtId="0" fontId="22" fillId="12" borderId="0" xfId="0" applyFont="1" applyFill="1" applyAlignment="1" applyProtection="1">
      <alignment horizontal="center" vertical="top" wrapText="1"/>
      <protection locked="0"/>
    </xf>
    <xf numFmtId="0" fontId="22" fillId="13" borderId="0" xfId="0" applyFont="1" applyFill="1" applyAlignment="1" applyProtection="1">
      <alignment horizontal="center" vertical="top" wrapText="1"/>
      <protection locked="0"/>
    </xf>
    <xf numFmtId="0" fontId="22" fillId="7" borderId="0" xfId="0" applyFont="1" applyFill="1" applyAlignment="1" applyProtection="1">
      <alignment horizontal="center" vertical="top" wrapText="1"/>
      <protection locked="0"/>
    </xf>
    <xf numFmtId="0" fontId="22" fillId="9" borderId="0" xfId="0" applyFont="1" applyFill="1" applyAlignment="1" applyProtection="1">
      <alignment horizontal="center" vertical="top" wrapText="1"/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8" fillId="7" borderId="0" xfId="0" applyFont="1" applyFill="1" applyAlignment="1" applyProtection="1">
      <alignment vertical="center" wrapText="1"/>
      <protection locked="0"/>
    </xf>
    <xf numFmtId="0" fontId="0" fillId="7" borderId="0" xfId="0" applyFill="1" applyProtection="1">
      <protection locked="0"/>
    </xf>
    <xf numFmtId="0" fontId="12" fillId="0" borderId="0" xfId="0" applyFont="1" applyAlignment="1" applyProtection="1">
      <alignment vertical="top"/>
      <protection locked="0"/>
    </xf>
    <xf numFmtId="0" fontId="8" fillId="3" borderId="0" xfId="0" applyFont="1" applyFill="1" applyProtection="1">
      <protection locked="0"/>
    </xf>
    <xf numFmtId="0" fontId="10" fillId="0" borderId="12" xfId="0" applyFont="1" applyBorder="1" applyProtection="1">
      <protection locked="0"/>
    </xf>
    <xf numFmtId="0" fontId="0" fillId="0" borderId="12" xfId="0" applyBorder="1" applyProtection="1">
      <protection locked="0"/>
    </xf>
    <xf numFmtId="0" fontId="29" fillId="0" borderId="12" xfId="0" applyFont="1" applyBorder="1" applyProtection="1">
      <protection locked="0"/>
    </xf>
    <xf numFmtId="0" fontId="30" fillId="0" borderId="12" xfId="0" applyFont="1" applyBorder="1" applyProtection="1">
      <protection locked="0"/>
    </xf>
    <xf numFmtId="0" fontId="14" fillId="0" borderId="0" xfId="0" applyFont="1" applyAlignment="1" applyProtection="1">
      <alignment vertical="top"/>
      <protection locked="0"/>
    </xf>
    <xf numFmtId="0" fontId="19" fillId="3" borderId="0" xfId="0" applyFont="1" applyFill="1" applyAlignment="1" applyProtection="1">
      <alignment horizontal="right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0" fillId="0" borderId="1" xfId="0" applyBorder="1" applyProtection="1">
      <protection locked="0"/>
    </xf>
    <xf numFmtId="0" fontId="4" fillId="0" borderId="0" xfId="0" applyFont="1" applyAlignment="1" applyProtection="1">
      <alignment vertical="top"/>
      <protection locked="0"/>
    </xf>
    <xf numFmtId="0" fontId="5" fillId="2" borderId="2" xfId="0" applyFont="1" applyFill="1" applyBorder="1" applyAlignment="1" applyProtection="1">
      <alignment vertical="top"/>
      <protection locked="0"/>
    </xf>
    <xf numFmtId="164" fontId="5" fillId="2" borderId="2" xfId="0" applyNumberFormat="1" applyFont="1" applyFill="1" applyBorder="1" applyAlignment="1" applyProtection="1">
      <alignment vertical="top"/>
      <protection locked="0"/>
    </xf>
    <xf numFmtId="9" fontId="5" fillId="2" borderId="2" xfId="0" applyNumberFormat="1" applyFont="1" applyFill="1" applyBorder="1" applyAlignment="1" applyProtection="1">
      <alignment vertical="top"/>
      <protection locked="0"/>
    </xf>
    <xf numFmtId="1" fontId="5" fillId="2" borderId="2" xfId="0" applyNumberFormat="1" applyFont="1" applyFill="1" applyBorder="1" applyAlignment="1" applyProtection="1">
      <alignment vertical="top"/>
      <protection locked="0"/>
    </xf>
    <xf numFmtId="165" fontId="5" fillId="2" borderId="2" xfId="0" applyNumberFormat="1" applyFont="1" applyFill="1" applyBorder="1" applyAlignment="1" applyProtection="1">
      <alignment vertical="top"/>
      <protection locked="0"/>
    </xf>
    <xf numFmtId="167" fontId="5" fillId="2" borderId="2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 applyProtection="1">
      <alignment horizontal="right"/>
    </xf>
    <xf numFmtId="0" fontId="0" fillId="0" borderId="3" xfId="0" applyBorder="1" applyProtection="1">
      <protection locked="0"/>
    </xf>
    <xf numFmtId="0" fontId="8" fillId="3" borderId="2" xfId="0" applyFont="1" applyFill="1" applyBorder="1" applyAlignment="1" applyProtection="1">
      <alignment horizontal="center" vertical="center" wrapText="1"/>
      <protection locked="0"/>
    </xf>
    <xf numFmtId="0" fontId="8" fillId="3" borderId="2" xfId="0" applyFont="1" applyFill="1" applyBorder="1" applyAlignment="1" applyProtection="1">
      <alignment horizontal="left" vertical="center" wrapText="1"/>
      <protection locked="0"/>
    </xf>
    <xf numFmtId="0" fontId="9" fillId="0" borderId="2" xfId="0" applyFont="1" applyBorder="1" applyAlignment="1" applyProtection="1">
      <alignment horizontal="center"/>
      <protection locked="0"/>
    </xf>
    <xf numFmtId="168" fontId="10" fillId="0" borderId="2" xfId="0" applyNumberFormat="1" applyFont="1" applyBorder="1" applyAlignment="1" applyProtection="1">
      <alignment vertical="top"/>
      <protection locked="0"/>
    </xf>
    <xf numFmtId="164" fontId="10" fillId="0" borderId="2" xfId="0" applyNumberFormat="1" applyFont="1" applyBorder="1" applyAlignment="1" applyProtection="1">
      <alignment vertical="top"/>
      <protection locked="0"/>
    </xf>
    <xf numFmtId="164" fontId="4" fillId="0" borderId="2" xfId="0" applyNumberFormat="1" applyFont="1" applyBorder="1" applyAlignment="1" applyProtection="1">
      <alignment vertical="top"/>
      <protection locked="0"/>
    </xf>
    <xf numFmtId="164" fontId="11" fillId="0" borderId="2" xfId="0" applyNumberFormat="1" applyFont="1" applyBorder="1" applyAlignment="1" applyProtection="1">
      <alignment vertical="top"/>
      <protection locked="0"/>
    </xf>
    <xf numFmtId="0" fontId="10" fillId="0" borderId="0" xfId="0" applyFont="1" applyAlignment="1" applyProtection="1">
      <alignment vertical="top"/>
      <protection locked="0"/>
    </xf>
    <xf numFmtId="164" fontId="10" fillId="7" borderId="2" xfId="0" applyNumberFormat="1" applyFont="1" applyFill="1" applyBorder="1" applyAlignment="1" applyProtection="1">
      <alignment vertical="top"/>
      <protection locked="0"/>
    </xf>
    <xf numFmtId="0" fontId="4" fillId="0" borderId="0" xfId="0" applyFont="1" applyAlignment="1" applyProtection="1">
      <alignment vertical="top"/>
      <protection locked="0"/>
    </xf>
    <xf numFmtId="164" fontId="4" fillId="7" borderId="2" xfId="0" applyNumberFormat="1" applyFont="1" applyFill="1" applyBorder="1" applyAlignment="1" applyProtection="1">
      <alignment vertical="top"/>
      <protection locked="0"/>
    </xf>
    <xf numFmtId="1" fontId="10" fillId="7" borderId="2" xfId="0" applyNumberFormat="1" applyFont="1" applyFill="1" applyBorder="1" applyAlignment="1" applyProtection="1">
      <alignment vertical="top"/>
      <protection locked="0"/>
    </xf>
    <xf numFmtId="0" fontId="0" fillId="0" borderId="4" xfId="0" applyBorder="1" applyProtection="1">
      <protection locked="0"/>
    </xf>
    <xf numFmtId="0" fontId="13" fillId="0" borderId="0" xfId="0" applyFont="1" applyAlignment="1" applyProtection="1">
      <alignment vertical="top"/>
      <protection locked="0"/>
    </xf>
    <xf numFmtId="0" fontId="15" fillId="3" borderId="0" xfId="0" applyFont="1" applyFill="1" applyProtection="1">
      <protection locked="0"/>
    </xf>
    <xf numFmtId="164" fontId="4" fillId="8" borderId="2" xfId="0" applyNumberFormat="1" applyFont="1" applyFill="1" applyBorder="1" applyAlignment="1" applyProtection="1">
      <alignment vertical="top"/>
      <protection locked="0"/>
    </xf>
    <xf numFmtId="1" fontId="10" fillId="0" borderId="2" xfId="0" applyNumberFormat="1" applyFont="1" applyBorder="1" applyAlignment="1" applyProtection="1">
      <alignment vertical="top"/>
      <protection locked="0"/>
    </xf>
    <xf numFmtId="1" fontId="4" fillId="8" borderId="2" xfId="0" applyNumberFormat="1" applyFont="1" applyFill="1" applyBorder="1" applyAlignment="1" applyProtection="1">
      <alignment vertical="top"/>
      <protection locked="0"/>
    </xf>
    <xf numFmtId="0" fontId="0" fillId="0" borderId="5" xfId="0" applyBorder="1" applyProtection="1">
      <protection locked="0"/>
    </xf>
    <xf numFmtId="0" fontId="16" fillId="0" borderId="0" xfId="0" applyFont="1" applyAlignment="1" applyProtection="1">
      <alignment vertical="top"/>
      <protection locked="0"/>
    </xf>
    <xf numFmtId="2" fontId="5" fillId="2" borderId="2" xfId="0" applyNumberFormat="1" applyFont="1" applyFill="1" applyBorder="1" applyAlignment="1" applyProtection="1">
      <alignment vertical="top"/>
      <protection locked="0"/>
    </xf>
    <xf numFmtId="164" fontId="4" fillId="9" borderId="2" xfId="0" applyNumberFormat="1" applyFont="1" applyFill="1" applyBorder="1" applyAlignment="1" applyProtection="1">
      <alignment vertical="top"/>
      <protection locked="0"/>
    </xf>
    <xf numFmtId="1" fontId="10" fillId="9" borderId="2" xfId="0" applyNumberFormat="1" applyFont="1" applyFill="1" applyBorder="1" applyAlignment="1" applyProtection="1">
      <alignment vertical="top"/>
      <protection locked="0"/>
    </xf>
    <xf numFmtId="164" fontId="10" fillId="9" borderId="2" xfId="0" applyNumberFormat="1" applyFont="1" applyFill="1" applyBorder="1" applyAlignment="1" applyProtection="1">
      <alignment vertical="top"/>
      <protection locked="0"/>
    </xf>
    <xf numFmtId="0" fontId="9" fillId="0" borderId="0" xfId="0" applyFont="1" applyAlignment="1" applyProtection="1">
      <alignment horizontal="center"/>
      <protection locked="0"/>
    </xf>
    <xf numFmtId="169" fontId="10" fillId="0" borderId="2" xfId="0" applyNumberFormat="1" applyFont="1" applyBorder="1" applyAlignment="1" applyProtection="1">
      <alignment vertical="top"/>
      <protection locked="0"/>
    </xf>
    <xf numFmtId="164" fontId="6" fillId="0" borderId="2" xfId="0" applyNumberFormat="1" applyFont="1" applyBorder="1" applyAlignment="1" applyProtection="1">
      <alignment vertical="top"/>
      <protection locked="0"/>
    </xf>
    <xf numFmtId="0" fontId="39" fillId="3" borderId="2" xfId="0" applyFont="1" applyFill="1" applyBorder="1" applyAlignment="1" applyProtection="1">
      <alignment horizontal="center" vertical="center" wrapText="1"/>
      <protection locked="0"/>
    </xf>
    <xf numFmtId="0" fontId="39" fillId="5" borderId="2" xfId="0" applyFont="1" applyFill="1" applyBorder="1" applyAlignment="1" applyProtection="1">
      <alignment horizontal="center" vertical="center" wrapText="1"/>
      <protection locked="0"/>
    </xf>
    <xf numFmtId="0" fontId="39" fillId="6" borderId="2" xfId="0" applyFont="1" applyFill="1" applyBorder="1" applyAlignment="1" applyProtection="1">
      <alignment horizontal="center" vertical="center" wrapText="1"/>
      <protection locked="0"/>
    </xf>
    <xf numFmtId="0" fontId="39" fillId="4" borderId="2" xfId="0" applyFont="1" applyFill="1" applyBorder="1" applyAlignment="1" applyProtection="1">
      <alignment horizontal="center" vertical="center" wrapText="1"/>
      <protection locked="0"/>
    </xf>
    <xf numFmtId="0" fontId="40" fillId="0" borderId="0" xfId="0" applyFont="1" applyAlignment="1" applyProtection="1">
      <alignment horizontal="center"/>
      <protection locked="0"/>
    </xf>
    <xf numFmtId="0" fontId="41" fillId="0" borderId="0" xfId="0" applyFont="1" applyAlignment="1" applyProtection="1">
      <alignment horizontal="center" vertical="top"/>
      <protection locked="0"/>
    </xf>
  </cellXfs>
  <cellStyles count="1">
    <cellStyle name="Normal" xfId="0" builtinId="0"/>
  </cellStyles>
  <dxfs count="9"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  <fill>
        <patternFill patternType="solid">
          <fgColor rgb="FFFECDD3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  <fill>
        <patternFill patternType="solid">
          <fgColor rgb="FFFECDD3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sz val="22"/>
        <color rgb="FFBE123C"/>
        <name val="Arial"/>
      </font>
    </dxf>
    <dxf>
      <font>
        <b/>
        <sz val="22"/>
        <color rgb="FFBE123C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Money out and money in (cumulative)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2.6579147640791476E-2"/>
          <c:y val="0.13366143790849674"/>
          <c:w val="0.946841704718417"/>
          <c:h val="0.6626284313725479"/>
        </c:manualLayout>
      </c:layout>
      <c:lineChart>
        <c:grouping val="standard"/>
        <c:varyColors val="1"/>
        <c:ser>
          <c:idx val="0"/>
          <c:order val="0"/>
          <c:tx>
            <c:strRef>
              <c:f>'Cash flow'!$N$6</c:f>
            </c:strRef>
          </c:tx>
          <c:spPr>
            <a:ln w="28000">
              <a:solidFill>
                <a:srgbClr val="BE123C"/>
              </a:solidFill>
              <a:prstDash val="solid"/>
            </a:ln>
          </c:spPr>
          <c:marker>
            <c:symbol val="none"/>
          </c:marker>
          <c:cat>
            <c:numRef>
              <c:f>'Cash flow'!$A$7:$A$30</c:f>
            </c:numRef>
          </c:cat>
          <c:val>
            <c:numRef>
              <c:f>'Cash flow'!$N$7:$N$30</c:f>
            </c:numRef>
          </c:val>
          <c:smooth val="0"/>
          <c:extLst>
            <c:ext xmlns:c16="http://schemas.microsoft.com/office/drawing/2014/chart" uri="{C3380CC4-5D6E-409C-BE32-E72D297353CC}">
              <c16:uniqueId val="{00000000-5329-4E72-9B2C-4148E52D6EA8}"/>
            </c:ext>
          </c:extLst>
        </c:ser>
        <c:ser>
          <c:idx val="1"/>
          <c:order val="1"/>
          <c:tx>
            <c:strRef>
              <c:f>'Cash flow'!$O$6</c:f>
            </c:strRef>
          </c:tx>
          <c:spPr>
            <a:ln w="28000">
              <a:solidFill>
                <a:srgbClr val="0369A1"/>
              </a:solidFill>
              <a:prstDash val="solid"/>
            </a:ln>
          </c:spPr>
          <c:marker>
            <c:symbol val="none"/>
          </c:marker>
          <c:cat>
            <c:numRef>
              <c:f>'Cash flow'!$A$7:$A$30</c:f>
            </c:numRef>
          </c:cat>
          <c:val>
            <c:numRef>
              <c:f>'Cash flow'!$O$7:$O$30</c:f>
            </c:numRef>
          </c:val>
          <c:smooth val="0"/>
          <c:extLst>
            <c:ext xmlns:c16="http://schemas.microsoft.com/office/drawing/2014/chart" uri="{C3380CC4-5D6E-409C-BE32-E72D297353CC}">
              <c16:uniqueId val="{00000001-5329-4E72-9B2C-4148E52D6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Cash position at the end of each month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2.6579147640791476E-2"/>
          <c:y val="0.13366143790849674"/>
          <c:w val="0.946841704718417"/>
          <c:h val="0.7625803921568625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'Cash flow'!$S$6</c:f>
            </c:strRef>
          </c:tx>
          <c:spPr>
            <a:solidFill>
              <a:srgbClr val="BE123C"/>
            </a:solidFill>
            <a:ln>
              <a:solidFill>
                <a:srgbClr val="BE123C"/>
              </a:solidFill>
              <a:prstDash val="solid"/>
            </a:ln>
          </c:spPr>
          <c:invertIfNegative val="1"/>
          <c:cat>
            <c:numRef>
              <c:f>'Cash flow'!$A$7:$A$30</c:f>
            </c:numRef>
          </c:cat>
          <c:val>
            <c:numRef>
              <c:f>'Cash flow'!$S$7:$S$30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E123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2FE-4B84-8E15-2A900C1916C5}"/>
            </c:ext>
          </c:extLst>
        </c:ser>
        <c:ser>
          <c:idx val="1"/>
          <c:order val="1"/>
          <c:tx>
            <c:strRef>
              <c:f>'Cash flow'!$T$6</c:f>
            </c:strRef>
          </c:tx>
          <c:spPr>
            <a:solidFill>
              <a:srgbClr val="0369A1"/>
            </a:solidFill>
            <a:ln>
              <a:solidFill>
                <a:srgbClr val="0369A1"/>
              </a:solidFill>
              <a:prstDash val="solid"/>
            </a:ln>
          </c:spPr>
          <c:invertIfNegative val="1"/>
          <c:cat>
            <c:numRef>
              <c:f>'Cash flow'!$A$7:$A$30</c:f>
            </c:numRef>
          </c:cat>
          <c:val>
            <c:numRef>
              <c:f>'Cash flow'!$T$7:$T$30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369A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2FE-4B84-8E15-2A900C191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Cash position: base against the What if scenario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2.6579147640791476E-2"/>
          <c:y val="0.13366143790849674"/>
          <c:w val="0.946841704718417"/>
          <c:h val="0.6626284313725479"/>
        </c:manualLayout>
      </c:layout>
      <c:lineChart>
        <c:grouping val="standard"/>
        <c:varyColors val="1"/>
        <c:ser>
          <c:idx val="0"/>
          <c:order val="0"/>
          <c:tx>
            <c:v>Base</c:v>
          </c:tx>
          <c:spPr>
            <a:ln w="28000">
              <a:solidFill>
                <a:srgbClr val="0369A1"/>
              </a:solidFill>
              <a:prstDash val="solid"/>
            </a:ln>
          </c:spPr>
          <c:marker>
            <c:symbol val="none"/>
          </c:marker>
          <c:cat>
            <c:numRef>
              <c:f>'Cash flow'!$A$7:$A$30</c:f>
            </c:numRef>
          </c:cat>
          <c:val>
            <c:numRef>
              <c:f>'Cash flow'!$P$7:$P$30</c:f>
            </c:numRef>
          </c:val>
          <c:smooth val="0"/>
          <c:extLst>
            <c:ext xmlns:c16="http://schemas.microsoft.com/office/drawing/2014/chart" uri="{C3380CC4-5D6E-409C-BE32-E72D297353CC}">
              <c16:uniqueId val="{00000000-1026-47F7-9B87-FCC4D6BEA8EB}"/>
            </c:ext>
          </c:extLst>
        </c:ser>
        <c:ser>
          <c:idx val="1"/>
          <c:order val="1"/>
          <c:tx>
            <c:v>What if</c:v>
          </c:tx>
          <c:spPr>
            <a:ln w="28000">
              <a:solidFill>
                <a:srgbClr val="0D9488"/>
              </a:solidFill>
              <a:prstDash val="dash"/>
            </a:ln>
          </c:spPr>
          <c:marker>
            <c:symbol val="none"/>
          </c:marker>
          <c:cat>
            <c:numRef>
              <c:f>'Cash flow'!$A$7:$A$30</c:f>
            </c:numRef>
          </c:cat>
          <c:val>
            <c:numRef>
              <c:f>'What if'!$P$7:$P$30</c:f>
            </c:numRef>
          </c:val>
          <c:smooth val="0"/>
          <c:extLst>
            <c:ext xmlns:c16="http://schemas.microsoft.com/office/drawing/2014/chart" uri="{C3380CC4-5D6E-409C-BE32-E72D297353CC}">
              <c16:uniqueId val="{00000001-1026-47F7-9B87-FCC4D6BEA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All jobs together against the facility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2.6579147640791476E-2"/>
          <c:y val="0.13366143790849674"/>
          <c:w val="0.946841704718417"/>
          <c:h val="0.6626284313725479"/>
        </c:manualLayout>
      </c:layout>
      <c:lineChart>
        <c:grouping val="standard"/>
        <c:varyColors val="1"/>
        <c:ser>
          <c:idx val="0"/>
          <c:order val="0"/>
          <c:tx>
            <c:strRef>
              <c:f>Portfolio!$G$17</c:f>
            </c:strRef>
          </c:tx>
          <c:spPr>
            <a:ln w="28000">
              <a:solidFill>
                <a:srgbClr val="6D28D9"/>
              </a:solidFill>
              <a:prstDash val="solid"/>
            </a:ln>
          </c:spPr>
          <c:marker>
            <c:symbol val="none"/>
          </c:marker>
          <c:cat>
            <c:numRef>
              <c:f>Portfolio!$A$18:$A$53</c:f>
            </c:numRef>
          </c:cat>
          <c:val>
            <c:numRef>
              <c:f>Portfolio!$G$18:$G$53</c:f>
            </c:numRef>
          </c:val>
          <c:smooth val="0"/>
          <c:extLst>
            <c:ext xmlns:c16="http://schemas.microsoft.com/office/drawing/2014/chart" uri="{C3380CC4-5D6E-409C-BE32-E72D297353CC}">
              <c16:uniqueId val="{00000000-3988-4525-B90A-191E01CDA69A}"/>
            </c:ext>
          </c:extLst>
        </c:ser>
        <c:ser>
          <c:idx val="1"/>
          <c:order val="1"/>
          <c:tx>
            <c:strRef>
              <c:f>Portfolio!$H$17</c:f>
            </c:strRef>
          </c:tx>
          <c:spPr>
            <a:ln>
              <a:solidFill>
                <a:srgbClr val="BE123C"/>
              </a:solidFill>
              <a:prstDash val="dash"/>
            </a:ln>
          </c:spPr>
          <c:marker>
            <c:symbol val="none"/>
          </c:marker>
          <c:cat>
            <c:numRef>
              <c:f>Portfolio!$A$18:$A$53</c:f>
            </c:numRef>
          </c:cat>
          <c:val>
            <c:numRef>
              <c:f>Portfolio!$H$18:$H$53</c:f>
            </c:numRef>
          </c:val>
          <c:smooth val="0"/>
          <c:extLst>
            <c:ext xmlns:c16="http://schemas.microsoft.com/office/drawing/2014/chart" uri="{C3380CC4-5D6E-409C-BE32-E72D297353CC}">
              <c16:uniqueId val="{00000001-3988-4525-B90A-191E01CDA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All jobs together against the facility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2.4253472222222221E-2"/>
          <c:y val="0.14201527777777778"/>
          <c:w val="0.95149305555555552"/>
          <c:h val="0.64154270833333527"/>
        </c:manualLayout>
      </c:layout>
      <c:lineChart>
        <c:grouping val="standard"/>
        <c:varyColors val="1"/>
        <c:ser>
          <c:idx val="0"/>
          <c:order val="0"/>
          <c:tx>
            <c:strRef>
              <c:f>Portfolio!$G$17</c:f>
            </c:strRef>
          </c:tx>
          <c:spPr>
            <a:ln w="28000">
              <a:solidFill>
                <a:srgbClr val="6D28D9"/>
              </a:solidFill>
              <a:prstDash val="solid"/>
            </a:ln>
          </c:spPr>
          <c:marker>
            <c:symbol val="none"/>
          </c:marker>
          <c:cat>
            <c:numRef>
              <c:f>Portfolio!$A$18:$A$53</c:f>
            </c:numRef>
          </c:cat>
          <c:val>
            <c:numRef>
              <c:f>Portfolio!$G$18:$G$53</c:f>
            </c:numRef>
          </c:val>
          <c:smooth val="0"/>
          <c:extLst>
            <c:ext xmlns:c16="http://schemas.microsoft.com/office/drawing/2014/chart" uri="{C3380CC4-5D6E-409C-BE32-E72D297353CC}">
              <c16:uniqueId val="{00000000-7470-40CB-BC69-2A667D7DFC49}"/>
            </c:ext>
          </c:extLst>
        </c:ser>
        <c:ser>
          <c:idx val="1"/>
          <c:order val="1"/>
          <c:tx>
            <c:strRef>
              <c:f>Portfolio!$H$17</c:f>
            </c:strRef>
          </c:tx>
          <c:spPr>
            <a:ln>
              <a:solidFill>
                <a:srgbClr val="BE123C"/>
              </a:solidFill>
              <a:prstDash val="dash"/>
            </a:ln>
          </c:spPr>
          <c:marker>
            <c:symbol val="none"/>
          </c:marker>
          <c:cat>
            <c:numRef>
              <c:f>Portfolio!$A$18:$A$53</c:f>
            </c:numRef>
          </c:cat>
          <c:val>
            <c:numRef>
              <c:f>Portfolio!$H$18:$H$53</c:f>
            </c:numRef>
          </c:val>
          <c:smooth val="0"/>
          <c:extLst>
            <c:ext xmlns:c16="http://schemas.microsoft.com/office/drawing/2014/chart" uri="{C3380CC4-5D6E-409C-BE32-E72D297353CC}">
              <c16:uniqueId val="{00000001-7470-40CB-BC69-2A667D7DF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2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0</xdr:rowOff>
    </xdr:from>
    <xdr:ext cx="5256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14</xdr:row>
      <xdr:rowOff>0</xdr:rowOff>
    </xdr:from>
    <xdr:ext cx="5256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32</xdr:row>
      <xdr:rowOff>0</xdr:rowOff>
    </xdr:from>
    <xdr:ext cx="5256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32</xdr:row>
      <xdr:rowOff>0</xdr:rowOff>
    </xdr:from>
    <xdr:ext cx="5256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5760000" cy="27813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8961D6-DADA-4DC7-9BCE-6614EA55F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projectcontrolhub.com/cost-week-18.html" TargetMode="External"/><Relationship Id="rId2" Type="http://schemas.openxmlformats.org/officeDocument/2006/relationships/hyperlink" Target="https://theprojectcontrolhub.com/cost-week-17.html" TargetMode="External"/><Relationship Id="rId1" Type="http://schemas.openxmlformats.org/officeDocument/2006/relationships/hyperlink" Target="https://theprojectcontrolhub.com/cost-week-16.html" TargetMode="External"/><Relationship Id="rId4" Type="http://schemas.openxmlformats.org/officeDocument/2006/relationships/hyperlink" Target="https://theprojectcontrolhub.com/cost-week-19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/Relationships>
</file>

<file path=xl/worksheets/_rels/sheet5.xml.rels><?xml version="1.0" encoding="UTF-8" standalone="yes"?>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B981"/>
    <pageSetUpPr fitToPage="1"/>
  </sheetPr>
  <dimension ref="A1:F44"/>
  <sheetViews>
    <sheetView showGridLines="0" workbookViewId="0"/>
  </sheetViews>
  <sheetFormatPr defaultRowHeight="14.4" x14ac:dyDescent="0.3"/>
  <cols>
    <col min="1" max="1" width="3" style="2" customWidth="1"/>
    <col min="2" max="2" width="7" style="2" customWidth="1"/>
    <col min="3" max="3" width="28" style="2" customWidth="1"/>
    <col min="4" max="4" width="72" style="2" customWidth="1"/>
    <col min="5" max="5" width="16" style="2" customWidth="1"/>
    <col min="6" max="6" width="3" style="2" customWidth="1"/>
    <col min="7" max="16384" width="8.88671875" style="2"/>
  </cols>
  <sheetData>
    <row r="1" spans="1:6" ht="12" customHeight="1" x14ac:dyDescent="0.3">
      <c r="A1" s="1"/>
      <c r="B1" s="1"/>
      <c r="C1" s="1"/>
      <c r="D1" s="1"/>
      <c r="E1" s="1"/>
      <c r="F1" s="1"/>
    </row>
    <row r="2" spans="1:6" ht="36" customHeight="1" x14ac:dyDescent="0.5">
      <c r="A2" s="1"/>
      <c r="B2" s="3" t="s">
        <v>0</v>
      </c>
      <c r="C2" s="1"/>
      <c r="D2" s="1"/>
      <c r="E2" s="1"/>
      <c r="F2" s="1"/>
    </row>
    <row r="3" spans="1:6" x14ac:dyDescent="0.3">
      <c r="A3" s="1"/>
      <c r="B3" s="4" t="s">
        <v>1</v>
      </c>
      <c r="C3" s="1"/>
      <c r="D3" s="1"/>
      <c r="E3" s="1"/>
      <c r="F3" s="1"/>
    </row>
    <row r="4" spans="1:6" x14ac:dyDescent="0.3">
      <c r="A4" s="1"/>
      <c r="B4" s="25" t="s">
        <v>2</v>
      </c>
      <c r="C4" s="1"/>
      <c r="D4" s="1"/>
      <c r="E4" s="1"/>
      <c r="F4" s="1"/>
    </row>
    <row r="5" spans="1:6" ht="10.050000000000001" customHeight="1" x14ac:dyDescent="0.3">
      <c r="A5" s="1"/>
      <c r="B5" s="1"/>
      <c r="C5" s="1"/>
      <c r="D5" s="1"/>
      <c r="E5" s="1"/>
      <c r="F5" s="1"/>
    </row>
    <row r="7" spans="1:6" x14ac:dyDescent="0.3">
      <c r="B7" s="5" t="s">
        <v>3</v>
      </c>
    </row>
    <row r="8" spans="1:6" ht="34.049999999999997" customHeight="1" x14ac:dyDescent="0.3">
      <c r="B8" s="6">
        <v>1</v>
      </c>
      <c r="C8" s="7" t="s">
        <v>4</v>
      </c>
      <c r="D8" s="8" t="s">
        <v>5</v>
      </c>
      <c r="E8" s="9" t="s">
        <v>6</v>
      </c>
    </row>
    <row r="9" spans="1:6" ht="34.049999999999997" customHeight="1" x14ac:dyDescent="0.3">
      <c r="B9" s="10">
        <v>2</v>
      </c>
      <c r="C9" s="7" t="s">
        <v>7</v>
      </c>
      <c r="D9" s="8" t="s">
        <v>8</v>
      </c>
      <c r="E9" s="9" t="s">
        <v>9</v>
      </c>
    </row>
    <row r="10" spans="1:6" ht="34.049999999999997" customHeight="1" x14ac:dyDescent="0.3">
      <c r="B10" s="11">
        <v>3</v>
      </c>
      <c r="C10" s="7" t="s">
        <v>10</v>
      </c>
      <c r="D10" s="8" t="s">
        <v>11</v>
      </c>
      <c r="E10" s="9" t="s">
        <v>12</v>
      </c>
    </row>
    <row r="11" spans="1:6" ht="34.049999999999997" customHeight="1" x14ac:dyDescent="0.3">
      <c r="B11" s="12">
        <v>4</v>
      </c>
      <c r="C11" s="7" t="s">
        <v>13</v>
      </c>
      <c r="D11" s="8" t="s">
        <v>14</v>
      </c>
      <c r="E11" s="9" t="s">
        <v>15</v>
      </c>
    </row>
    <row r="12" spans="1:6" ht="34.049999999999997" customHeight="1" x14ac:dyDescent="0.3">
      <c r="B12" s="13">
        <v>5</v>
      </c>
      <c r="C12" s="7" t="s">
        <v>16</v>
      </c>
      <c r="D12" s="8" t="s">
        <v>17</v>
      </c>
      <c r="E12" s="9" t="s">
        <v>15</v>
      </c>
    </row>
    <row r="14" spans="1:6" x14ac:dyDescent="0.3">
      <c r="B14" s="5" t="s">
        <v>18</v>
      </c>
    </row>
    <row r="15" spans="1:6" x14ac:dyDescent="0.3">
      <c r="C15" s="14" t="s">
        <v>19</v>
      </c>
      <c r="D15" s="15" t="s">
        <v>20</v>
      </c>
    </row>
    <row r="16" spans="1:6" x14ac:dyDescent="0.3">
      <c r="C16" s="14" t="s">
        <v>21</v>
      </c>
      <c r="D16" s="15" t="s">
        <v>22</v>
      </c>
    </row>
    <row r="17" spans="2:4" x14ac:dyDescent="0.3">
      <c r="C17" s="14" t="s">
        <v>23</v>
      </c>
      <c r="D17" s="15" t="s">
        <v>24</v>
      </c>
    </row>
    <row r="18" spans="2:4" x14ac:dyDescent="0.3">
      <c r="C18" s="14" t="s">
        <v>25</v>
      </c>
      <c r="D18" s="15" t="s">
        <v>26</v>
      </c>
    </row>
    <row r="20" spans="2:4" x14ac:dyDescent="0.3">
      <c r="B20" s="5" t="s">
        <v>27</v>
      </c>
    </row>
    <row r="21" spans="2:4" x14ac:dyDescent="0.3">
      <c r="C21" s="16" t="s">
        <v>28</v>
      </c>
      <c r="D21" s="15" t="s">
        <v>29</v>
      </c>
    </row>
    <row r="22" spans="2:4" x14ac:dyDescent="0.3">
      <c r="C22" s="17" t="s">
        <v>30</v>
      </c>
      <c r="D22" s="15" t="s">
        <v>31</v>
      </c>
    </row>
    <row r="23" spans="2:4" x14ac:dyDescent="0.3">
      <c r="C23" s="18" t="s">
        <v>32</v>
      </c>
      <c r="D23" s="15" t="s">
        <v>33</v>
      </c>
    </row>
    <row r="24" spans="2:4" x14ac:dyDescent="0.3">
      <c r="C24" s="19" t="s">
        <v>34</v>
      </c>
      <c r="D24" s="15" t="s">
        <v>35</v>
      </c>
    </row>
    <row r="26" spans="2:4" x14ac:dyDescent="0.3">
      <c r="B26" s="5" t="s">
        <v>36</v>
      </c>
    </row>
    <row r="27" spans="2:4" x14ac:dyDescent="0.3">
      <c r="C27" s="20" t="s">
        <v>37</v>
      </c>
      <c r="D27" s="15" t="s">
        <v>38</v>
      </c>
    </row>
    <row r="28" spans="2:4" x14ac:dyDescent="0.3">
      <c r="C28" s="20" t="s">
        <v>39</v>
      </c>
      <c r="D28" s="15" t="s">
        <v>40</v>
      </c>
    </row>
    <row r="29" spans="2:4" x14ac:dyDescent="0.3">
      <c r="C29" s="20" t="s">
        <v>41</v>
      </c>
      <c r="D29" s="15" t="s">
        <v>42</v>
      </c>
    </row>
    <row r="30" spans="2:4" x14ac:dyDescent="0.3">
      <c r="C30" s="20" t="s">
        <v>43</v>
      </c>
      <c r="D30" s="15" t="s">
        <v>44</v>
      </c>
    </row>
    <row r="31" spans="2:4" x14ac:dyDescent="0.3">
      <c r="C31" s="20" t="s">
        <v>45</v>
      </c>
      <c r="D31" s="15" t="s">
        <v>46</v>
      </c>
    </row>
    <row r="33" spans="2:5" x14ac:dyDescent="0.3">
      <c r="B33" s="5" t="s">
        <v>47</v>
      </c>
    </row>
    <row r="34" spans="2:5" x14ac:dyDescent="0.3">
      <c r="C34" s="21" t="s">
        <v>48</v>
      </c>
    </row>
    <row r="35" spans="2:5" x14ac:dyDescent="0.3">
      <c r="C35" s="21" t="s">
        <v>49</v>
      </c>
    </row>
    <row r="36" spans="2:5" x14ac:dyDescent="0.3">
      <c r="C36" s="21" t="s">
        <v>50</v>
      </c>
    </row>
    <row r="37" spans="2:5" x14ac:dyDescent="0.3">
      <c r="C37" s="21" t="s">
        <v>51</v>
      </c>
    </row>
    <row r="39" spans="2:5" ht="25.95" customHeight="1" x14ac:dyDescent="0.3">
      <c r="B39" s="22" t="s">
        <v>52</v>
      </c>
      <c r="C39" s="23"/>
      <c r="D39" s="23"/>
      <c r="E39" s="23"/>
    </row>
    <row r="40" spans="2:5" x14ac:dyDescent="0.3">
      <c r="B40" s="23"/>
      <c r="C40" s="23"/>
      <c r="D40" s="23"/>
      <c r="E40" s="23"/>
    </row>
    <row r="41" spans="2:5" x14ac:dyDescent="0.3">
      <c r="B41" s="23"/>
      <c r="C41" s="23"/>
      <c r="D41" s="23"/>
      <c r="E41" s="23"/>
    </row>
    <row r="42" spans="2:5" x14ac:dyDescent="0.3">
      <c r="B42" s="23"/>
      <c r="C42" s="23"/>
      <c r="D42" s="23"/>
      <c r="E42" s="23"/>
    </row>
    <row r="44" spans="2:5" x14ac:dyDescent="0.3">
      <c r="B44" s="24" t="s">
        <v>53</v>
      </c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B39:E42"/>
  </mergeCells>
  <hyperlinks>
    <hyperlink ref="C8" location="'Setup'!A1" display="Setup  →" xr:uid="{00000000-0004-0000-0000-000000000000}"/>
    <hyperlink ref="C9" location="'Cash flow'!A1" display="Cash flow  →" xr:uid="{00000000-0004-0000-0000-000001000000}"/>
    <hyperlink ref="C10" location="'Dashboard'!A1" display="Dashboard  →" xr:uid="{00000000-0004-0000-0000-000002000000}"/>
    <hyperlink ref="C11" location="'What if'!A1" display="What if  →" xr:uid="{00000000-0004-0000-0000-000003000000}"/>
    <hyperlink ref="C12" location="'Portfolio'!A1" display="Portfolio  →" xr:uid="{00000000-0004-0000-0000-000004000000}"/>
    <hyperlink ref="C27" location="'Dashboard'!A1" display="Dashboard" xr:uid="{00000000-0004-0000-0000-000005000000}"/>
    <hyperlink ref="C28" location="'Setup'!A1" display="Setup" xr:uid="{00000000-0004-0000-0000-000006000000}"/>
    <hyperlink ref="C29" location="'Cash flow'!A1" display="Cash flow" xr:uid="{00000000-0004-0000-0000-000007000000}"/>
    <hyperlink ref="C30" location="'What if'!A1" display="What if" xr:uid="{00000000-0004-0000-0000-000008000000}"/>
    <hyperlink ref="C31" location="'Portfolio'!A1" display="Portfolio" xr:uid="{00000000-0004-0000-0000-000009000000}"/>
    <hyperlink ref="C34" r:id="rId1" xr:uid="{00000000-0004-0000-0000-00000A000000}"/>
    <hyperlink ref="C35" r:id="rId2" xr:uid="{00000000-0004-0000-0000-00000B000000}"/>
    <hyperlink ref="C36" r:id="rId3" xr:uid="{00000000-0004-0000-0000-00000C000000}"/>
    <hyperlink ref="C37" r:id="rId4" xr:uid="{00000000-0004-0000-0000-00000D000000}"/>
  </hyperlinks>
  <printOptions horizontalCentered="1"/>
  <pageMargins left="0.4" right="0.4" top="0.5" bottom="0.5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369A1"/>
    <pageSetUpPr fitToPage="1"/>
  </sheetPr>
  <dimension ref="A1:N59"/>
  <sheetViews>
    <sheetView showGridLines="0" workbookViewId="0">
      <pane ySplit="3" topLeftCell="A4" activePane="bottomLeft" state="frozen"/>
      <selection pane="bottomLeft" activeCell="K2" sqref="K2:M2"/>
    </sheetView>
  </sheetViews>
  <sheetFormatPr defaultRowHeight="14.4" x14ac:dyDescent="0.3"/>
  <cols>
    <col min="1" max="1" width="2" style="2" customWidth="1"/>
    <col min="2" max="13" width="12.44140625" style="2" customWidth="1"/>
    <col min="14" max="14" width="2" style="2" customWidth="1"/>
    <col min="15" max="16384" width="8.88671875" style="2"/>
  </cols>
  <sheetData>
    <row r="1" spans="1:14" ht="10.050000000000001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1.95" customHeight="1" x14ac:dyDescent="0.4">
      <c r="A2" s="1"/>
      <c r="B2" s="26" t="s">
        <v>41</v>
      </c>
      <c r="C2" s="1"/>
      <c r="D2" s="1"/>
      <c r="E2" s="1"/>
      <c r="F2" s="1"/>
      <c r="G2" s="1"/>
      <c r="H2" s="1"/>
      <c r="I2" s="1"/>
      <c r="J2" s="1"/>
      <c r="K2" s="61" t="s">
        <v>54</v>
      </c>
      <c r="L2" s="23"/>
      <c r="M2" s="23"/>
      <c r="N2" s="1"/>
    </row>
    <row r="3" spans="1:14" ht="22.05" customHeight="1" x14ac:dyDescent="0.3">
      <c r="A3" s="1"/>
      <c r="B3" s="27">
        <f>IF(Setup!B7="","Fill in the Setup sheet first",Setup!B6&amp;"   ·   contract "&amp;TEXT(Setup!B7,"$#,##0")&amp;"   ·   retention "&amp;TEXT(Setup!B8,"0%")&amp;"   ·   paid "&amp;Setup!B9&amp;" month(s) after the work")</f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spans="1:14" ht="19.95" customHeight="1" x14ac:dyDescent="0.3">
      <c r="B5" s="28" t="s">
        <v>55</v>
      </c>
      <c r="C5" s="23"/>
      <c r="D5" s="29" t="s">
        <v>56</v>
      </c>
      <c r="E5" s="23"/>
      <c r="F5" s="30" t="s">
        <v>57</v>
      </c>
      <c r="G5" s="23"/>
      <c r="H5" s="31" t="s">
        <v>58</v>
      </c>
      <c r="I5" s="23"/>
      <c r="J5" s="32" t="s">
        <v>59</v>
      </c>
      <c r="K5" s="23"/>
      <c r="L5" s="33" t="s">
        <v>60</v>
      </c>
      <c r="M5" s="23"/>
    </row>
    <row r="6" spans="1:14" ht="22.05" customHeight="1" x14ac:dyDescent="0.3">
      <c r="B6" s="34">
        <f>'Cash flow'!$D$36</f>
      </c>
      <c r="C6" s="23"/>
      <c r="D6" s="35">
        <f>'Cash flow'!$D$38</f>
      </c>
      <c r="E6" s="23"/>
      <c r="F6" s="36">
        <f>'Cash flow'!$D$39</f>
      </c>
      <c r="G6" s="23"/>
      <c r="H6" s="37">
        <f>'Cash flow'!$D$35</f>
      </c>
      <c r="I6" s="23"/>
      <c r="J6" s="38">
        <f>'Cash flow'!$D$42</f>
      </c>
      <c r="K6" s="23"/>
      <c r="L6" s="39">
        <f>'Cash flow'!$D$43</f>
      </c>
      <c r="M6" s="23"/>
    </row>
    <row r="7" spans="1:14" ht="22.05" customHeight="1" x14ac:dyDescent="0.3"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</row>
    <row r="8" spans="1:14" ht="22.05" customHeight="1" x14ac:dyDescent="0.3">
      <c r="B8" s="40">
        <f>IF('Cash flow'!$D$37="","never below zero","month "&amp;'Cash flow'!$D$37)</f>
      </c>
      <c r="C8" s="23"/>
      <c r="D8" s="41">
        <f>"months the job is financed by you"</f>
      </c>
      <c r="E8" s="23"/>
      <c r="F8" s="42">
        <f>"rule of thumb  ·  month by month "&amp;TEXT('Cash flow'!$D$40,"$#,##0")</f>
      </c>
      <c r="G8" s="23"/>
      <c r="H8" s="43">
        <f>"contract "&amp;TEXT('Cash flow'!$D$34,"$#,##0")&amp;" − cost "&amp;TEXT('Cash flow'!$D$33,"$#,##0")</f>
      </c>
      <c r="I8" s="23"/>
      <c r="J8" s="44">
        <f>"earned, not yet paid"</f>
      </c>
      <c r="K8" s="23"/>
      <c r="L8" s="45">
        <f>IF(Portfolio!G7="","","all jobs together: "&amp;TEXT(Portfolio!G7,"$#,##0"))</f>
      </c>
      <c r="M8" s="23"/>
    </row>
    <row r="9" spans="1:14" x14ac:dyDescent="0.3">
      <c r="B9" s="46"/>
      <c r="C9" s="46"/>
      <c r="D9" s="47"/>
      <c r="E9" s="47"/>
      <c r="F9" s="48"/>
      <c r="G9" s="48"/>
      <c r="H9" s="49"/>
      <c r="I9" s="49"/>
      <c r="J9" s="50"/>
      <c r="K9" s="50"/>
      <c r="L9" s="51"/>
      <c r="M9" s="51"/>
    </row>
    <row r="11" spans="1:14" ht="24" customHeight="1" x14ac:dyDescent="0.3">
      <c r="B11" s="52">
        <f>IF('Cash flow'!$D$33=0,"",IF('Cash flow'!$D$36&gt;=0,"This job never needs your cash: the client funds it.","Profit is an opinion; cash is a fact. This job makes "&amp;TEXT('Cash flow'!$D$35,"$#,##0")&amp;" and still needs "&amp;TEXT(-'Cash flow'!$D$36,"$#,##0")&amp;" of cash at its worst, in month "&amp;'Cash flow'!$D$37&amp;". It is below zero for "&amp;'Cash flow'!$D$38&amp;" months, and "&amp;TEXT('Cash flow'!$D$42,"$#,##0")&amp;" of earned money is still held as retention at the end."))</f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1:14" ht="24" customHeight="1" x14ac:dyDescent="0.3"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</row>
    <row r="14" spans="1:14" x14ac:dyDescent="0.3">
      <c r="B14" s="54" t="s">
        <v>61</v>
      </c>
    </row>
    <row r="32" spans="2:2" x14ac:dyDescent="0.3">
      <c r="B32" s="54" t="s">
        <v>62</v>
      </c>
    </row>
    <row r="51" spans="2:13" x14ac:dyDescent="0.3">
      <c r="B51" s="54" t="s">
        <v>63</v>
      </c>
    </row>
    <row r="52" spans="2:13" x14ac:dyDescent="0.3">
      <c r="B52" s="55" t="s">
        <v>64</v>
      </c>
      <c r="C52" s="23"/>
      <c r="D52" s="23"/>
      <c r="E52" s="23"/>
      <c r="F52" s="55" t="s">
        <v>65</v>
      </c>
      <c r="G52" s="23"/>
      <c r="H52" s="55" t="s">
        <v>66</v>
      </c>
      <c r="I52" s="23"/>
      <c r="J52" s="55" t="s">
        <v>67</v>
      </c>
      <c r="K52" s="23"/>
      <c r="L52" s="23"/>
      <c r="M52" s="23"/>
    </row>
    <row r="53" spans="2:13" ht="19.95" customHeight="1" x14ac:dyDescent="0.3">
      <c r="B53" s="56" t="s">
        <v>68</v>
      </c>
      <c r="C53" s="57"/>
      <c r="D53" s="57"/>
      <c r="E53" s="57"/>
      <c r="F53" s="58" t="s">
        <v>69</v>
      </c>
      <c r="G53" s="57"/>
      <c r="H53" s="56" t="s">
        <v>70</v>
      </c>
      <c r="I53" s="57"/>
      <c r="J53" s="56" t="s">
        <v>71</v>
      </c>
      <c r="K53" s="57"/>
      <c r="L53" s="57"/>
      <c r="M53" s="57"/>
    </row>
    <row r="54" spans="2:13" ht="19.95" customHeight="1" x14ac:dyDescent="0.3">
      <c r="B54" s="56" t="s">
        <v>72</v>
      </c>
      <c r="C54" s="57"/>
      <c r="D54" s="57"/>
      <c r="E54" s="57"/>
      <c r="F54" s="58" t="s">
        <v>69</v>
      </c>
      <c r="G54" s="57"/>
      <c r="H54" s="56" t="s">
        <v>73</v>
      </c>
      <c r="I54" s="57"/>
      <c r="J54" s="56" t="s">
        <v>74</v>
      </c>
      <c r="K54" s="57"/>
      <c r="L54" s="57"/>
      <c r="M54" s="57"/>
    </row>
    <row r="55" spans="2:13" ht="19.95" customHeight="1" x14ac:dyDescent="0.3">
      <c r="B55" s="56" t="s">
        <v>75</v>
      </c>
      <c r="C55" s="57"/>
      <c r="D55" s="57"/>
      <c r="E55" s="57"/>
      <c r="F55" s="58" t="s">
        <v>69</v>
      </c>
      <c r="G55" s="57"/>
      <c r="H55" s="56" t="s">
        <v>76</v>
      </c>
      <c r="I55" s="57"/>
      <c r="J55" s="56" t="s">
        <v>77</v>
      </c>
      <c r="K55" s="57"/>
      <c r="L55" s="57"/>
      <c r="M55" s="57"/>
    </row>
    <row r="56" spans="2:13" ht="19.95" customHeight="1" x14ac:dyDescent="0.3">
      <c r="B56" s="56" t="s">
        <v>78</v>
      </c>
      <c r="C56" s="57"/>
      <c r="D56" s="57"/>
      <c r="E56" s="57"/>
      <c r="F56" s="58" t="s">
        <v>79</v>
      </c>
      <c r="G56" s="57"/>
      <c r="H56" s="56" t="s">
        <v>80</v>
      </c>
      <c r="I56" s="57"/>
      <c r="J56" s="56" t="s">
        <v>81</v>
      </c>
      <c r="K56" s="57"/>
      <c r="L56" s="57"/>
      <c r="M56" s="57"/>
    </row>
    <row r="57" spans="2:13" ht="19.95" customHeight="1" x14ac:dyDescent="0.3">
      <c r="B57" s="56" t="s">
        <v>82</v>
      </c>
      <c r="C57" s="57"/>
      <c r="D57" s="57"/>
      <c r="E57" s="57"/>
      <c r="F57" s="59" t="s">
        <v>83</v>
      </c>
      <c r="G57" s="57"/>
      <c r="H57" s="56" t="s">
        <v>84</v>
      </c>
      <c r="I57" s="57"/>
      <c r="J57" s="56" t="s">
        <v>85</v>
      </c>
      <c r="K57" s="57"/>
      <c r="L57" s="57"/>
      <c r="M57" s="57"/>
    </row>
    <row r="59" spans="2:13" x14ac:dyDescent="0.3">
      <c r="B59" s="60" t="s">
        <v>86</v>
      </c>
    </row>
  </sheetData>
  <sheetProtection sheet="1" formatCells="0" formatColumns="0" formatRows="0" insertColumns="0" insertRows="0" insertHyperlinks="0" deleteColumns="0" deleteRows="0" sort="0" autoFilter="0" pivotTables="0"/>
  <mergeCells count="44">
    <mergeCell ref="F57:G57"/>
    <mergeCell ref="F53:G53"/>
    <mergeCell ref="J57:M57"/>
    <mergeCell ref="F8:G8"/>
    <mergeCell ref="B56:E56"/>
    <mergeCell ref="B11:M12"/>
    <mergeCell ref="B52:E52"/>
    <mergeCell ref="H57:I57"/>
    <mergeCell ref="J53:M53"/>
    <mergeCell ref="F56:G56"/>
    <mergeCell ref="F52:G52"/>
    <mergeCell ref="D8:E8"/>
    <mergeCell ref="B57:E57"/>
    <mergeCell ref="B53:E53"/>
    <mergeCell ref="J55:M55"/>
    <mergeCell ref="J54:M54"/>
    <mergeCell ref="H8:I8"/>
    <mergeCell ref="J8:K8"/>
    <mergeCell ref="K2:M2"/>
    <mergeCell ref="J52:M52"/>
    <mergeCell ref="L6:M7"/>
    <mergeCell ref="F5:G5"/>
    <mergeCell ref="B54:E54"/>
    <mergeCell ref="L5:M5"/>
    <mergeCell ref="L8:M8"/>
    <mergeCell ref="B8:C8"/>
    <mergeCell ref="H52:I52"/>
    <mergeCell ref="D6:E7"/>
    <mergeCell ref="F6:G7"/>
    <mergeCell ref="H6:I7"/>
    <mergeCell ref="B5:C5"/>
    <mergeCell ref="J6:K7"/>
    <mergeCell ref="D5:E5"/>
    <mergeCell ref="H5:I5"/>
    <mergeCell ref="B6:C7"/>
    <mergeCell ref="B55:E55"/>
    <mergeCell ref="H55:I55"/>
    <mergeCell ref="H56:I56"/>
    <mergeCell ref="F55:G55"/>
    <mergeCell ref="H53:I53"/>
    <mergeCell ref="J5:K5"/>
    <mergeCell ref="F54:G54"/>
    <mergeCell ref="J56:M56"/>
    <mergeCell ref="H54:I54"/>
  </mergeCells>
  <conditionalFormatting sqref="B6">
    <cfRule type="cellIs" dxfId="8" priority="1" operator="lessThan">
      <formula>0</formula>
    </cfRule>
  </conditionalFormatting>
  <conditionalFormatting sqref="L6">
    <cfRule type="cellIs" dxfId="7" priority="2" operator="lessThan">
      <formula>0</formula>
    </cfRule>
  </conditionalFormatting>
  <printOptions horizontalCentered="1"/>
  <pageMargins left="0.4" right="0.4" top="0.5" bottom="0.5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172A"/>
    <pageSetUpPr fitToPage="1"/>
  </sheetPr>
  <dimension ref="A1:D19"/>
  <sheetViews>
    <sheetView showGridLines="0" workbookViewId="0"/>
  </sheetViews>
  <sheetFormatPr defaultRowHeight="14.4" x14ac:dyDescent="0.3"/>
  <cols>
    <col min="1" max="1" width="44" style="2" customWidth="1"/>
    <col min="2" max="2" width="18" style="2" customWidth="1"/>
    <col min="3" max="3" width="4" style="2" customWidth="1"/>
    <col min="4" max="4" width="62" style="2" customWidth="1"/>
    <col min="5" max="16384" width="8.88671875" style="2"/>
  </cols>
  <sheetData>
    <row r="1" spans="1:4" ht="28.05" customHeight="1" x14ac:dyDescent="0.4">
      <c r="A1" s="62" t="s">
        <v>39</v>
      </c>
      <c r="D1" s="73" t="s">
        <v>54</v>
      </c>
    </row>
    <row r="2" spans="1:4" x14ac:dyDescent="0.3">
      <c r="A2" s="63" t="s">
        <v>87</v>
      </c>
    </row>
    <row r="3" spans="1:4" x14ac:dyDescent="0.3">
      <c r="A3" s="64" t="s">
        <v>88</v>
      </c>
    </row>
    <row r="4" spans="1:4" x14ac:dyDescent="0.3">
      <c r="A4" s="65"/>
      <c r="B4" s="65"/>
      <c r="C4" s="65"/>
      <c r="D4" s="65"/>
    </row>
    <row r="6" spans="1:4" x14ac:dyDescent="0.3">
      <c r="A6" s="66" t="s">
        <v>89</v>
      </c>
      <c r="B6" s="67"/>
    </row>
    <row r="7" spans="1:4" x14ac:dyDescent="0.3">
      <c r="A7" s="66" t="s">
        <v>91</v>
      </c>
      <c r="B7" s="68"/>
      <c r="D7" s="24" t="s">
        <v>92</v>
      </c>
    </row>
    <row r="8" spans="1:4" x14ac:dyDescent="0.3">
      <c r="A8" s="66" t="s">
        <v>93</v>
      </c>
      <c r="B8" s="69">
        <v>0.05</v>
      </c>
      <c r="D8" s="24" t="s">
        <v>94</v>
      </c>
    </row>
    <row r="9" spans="1:4" x14ac:dyDescent="0.3">
      <c r="A9" s="66" t="s">
        <v>95</v>
      </c>
      <c r="B9" s="70">
        <v>1</v>
      </c>
      <c r="D9" s="24" t="s">
        <v>96</v>
      </c>
    </row>
    <row r="10" spans="1:4" x14ac:dyDescent="0.3">
      <c r="A10" s="66" t="s">
        <v>97</v>
      </c>
      <c r="B10" s="70">
        <v>0</v>
      </c>
      <c r="D10" s="24" t="s">
        <v>98</v>
      </c>
    </row>
    <row r="11" spans="1:4" x14ac:dyDescent="0.3">
      <c r="A11" s="66" t="s">
        <v>99</v>
      </c>
      <c r="B11" s="69">
        <v>0</v>
      </c>
      <c r="D11" s="24" t="s">
        <v>100</v>
      </c>
    </row>
    <row r="12" spans="1:4" x14ac:dyDescent="0.3">
      <c r="A12" s="66" t="s">
        <v>101</v>
      </c>
      <c r="B12" s="69">
        <v>0</v>
      </c>
      <c r="D12" s="24" t="s">
        <v>102</v>
      </c>
    </row>
    <row r="13" spans="1:4" x14ac:dyDescent="0.3">
      <c r="A13" s="66" t="s">
        <v>103</v>
      </c>
      <c r="B13" s="70"/>
      <c r="D13" s="24" t="s">
        <v>104</v>
      </c>
    </row>
    <row r="14" spans="1:4" x14ac:dyDescent="0.3">
      <c r="A14" s="66" t="s">
        <v>105</v>
      </c>
      <c r="B14" s="69">
        <v>0.5</v>
      </c>
      <c r="D14" s="24" t="s">
        <v>106</v>
      </c>
    </row>
    <row r="15" spans="1:4" x14ac:dyDescent="0.3">
      <c r="A15" s="66" t="s">
        <v>107</v>
      </c>
      <c r="B15" s="70"/>
      <c r="D15" s="24" t="s">
        <v>108</v>
      </c>
    </row>
    <row r="16" spans="1:4" x14ac:dyDescent="0.3">
      <c r="A16" s="66" t="s">
        <v>109</v>
      </c>
      <c r="B16" s="69">
        <v>0.5</v>
      </c>
      <c r="D16" s="24" t="s">
        <v>110</v>
      </c>
    </row>
    <row r="17" spans="1:4" x14ac:dyDescent="0.3">
      <c r="A17" s="66" t="s">
        <v>111</v>
      </c>
      <c r="B17" s="71"/>
      <c r="D17" s="24" t="s">
        <v>112</v>
      </c>
    </row>
    <row r="18" spans="1:4" x14ac:dyDescent="0.3">
      <c r="A18" s="66" t="s">
        <v>113</v>
      </c>
      <c r="B18" s="68"/>
      <c r="D18" s="24" t="s">
        <v>114</v>
      </c>
    </row>
    <row r="19" spans="1:4" x14ac:dyDescent="0.3">
      <c r="A19" s="66" t="s">
        <v>115</v>
      </c>
      <c r="B19" s="72"/>
      <c r="D19" s="24" t="s">
        <v>116</v>
      </c>
    </row>
  </sheetData>
  <sheetProtection sheet="1" formatCells="0" formatColumns="0" formatRows="0" insertColumns="0" insertRows="0" insertHyperlinks="0" deleteColumns="0" deleteRows="0" sort="0" autoFilter="0" pivotTables="0"/>
  <printOptions horizontalCentered="1"/>
  <pageMargins left="0.4" right="0.4" top="0.5" bottom="0.5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EA5E9"/>
    <pageSetUpPr fitToPage="1"/>
  </sheetPr>
  <dimension ref="A1:T43"/>
  <sheetViews>
    <sheetView showGridLines="0" tabSelected="1" workbookViewId="0">
      <pane xSplit="2" ySplit="6" topLeftCell="C7" activePane="bottomRight" state="frozen"/>
      <selection pane="topRight"/>
      <selection pane="bottomLeft"/>
      <selection pane="bottomRight" activeCell="C17" sqref="C17"/>
    </sheetView>
  </sheetViews>
  <sheetFormatPr defaultRowHeight="14.4" x14ac:dyDescent="0.3"/>
  <cols>
    <col min="1" max="1" width="8" style="2" customWidth="1"/>
    <col min="2" max="2" width="10" style="2" customWidth="1"/>
    <col min="3" max="3" width="14" style="2" customWidth="1"/>
    <col min="4" max="5" width="13" style="2" customWidth="1"/>
    <col min="6" max="7" width="12" style="2" customWidth="1"/>
    <col min="8" max="9" width="13" style="2" customWidth="1"/>
    <col min="10" max="11" width="12" style="2" customWidth="1"/>
    <col min="12" max="13" width="13" style="2" customWidth="1"/>
    <col min="14" max="16" width="14" style="2" customWidth="1"/>
    <col min="17" max="17" width="13" style="2" customWidth="1"/>
    <col min="18" max="18" width="12" style="2" customWidth="1"/>
    <col min="19" max="20" width="10" style="2" customWidth="1"/>
    <col min="21" max="16384" width="8.88671875" style="2"/>
  </cols>
  <sheetData>
    <row r="1" spans="1:20" ht="28.05" customHeight="1" x14ac:dyDescent="0.4">
      <c r="A1" s="62" t="s">
        <v>41</v>
      </c>
      <c r="T1" s="73" t="s">
        <v>54</v>
      </c>
    </row>
    <row r="2" spans="1:20" x14ac:dyDescent="0.3">
      <c r="A2" s="63" t="s">
        <v>117</v>
      </c>
    </row>
    <row r="3" spans="1:20" x14ac:dyDescent="0.3">
      <c r="A3" s="64" t="s">
        <v>118</v>
      </c>
    </row>
    <row r="4" spans="1:20" x14ac:dyDescent="0.3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</row>
    <row r="6" spans="1:20" s="106" customFormat="1" ht="31.95" customHeight="1" x14ac:dyDescent="0.2">
      <c r="A6" s="102" t="s">
        <v>119</v>
      </c>
      <c r="B6" s="102" t="s">
        <v>120</v>
      </c>
      <c r="C6" s="103" t="s">
        <v>121</v>
      </c>
      <c r="D6" s="103" t="s">
        <v>122</v>
      </c>
      <c r="E6" s="102" t="s">
        <v>123</v>
      </c>
      <c r="F6" s="102" t="s">
        <v>124</v>
      </c>
      <c r="G6" s="102" t="s">
        <v>125</v>
      </c>
      <c r="H6" s="102" t="s">
        <v>126</v>
      </c>
      <c r="I6" s="102" t="s">
        <v>127</v>
      </c>
      <c r="J6" s="102" t="s">
        <v>128</v>
      </c>
      <c r="K6" s="102" t="s">
        <v>129</v>
      </c>
      <c r="L6" s="104" t="s">
        <v>130</v>
      </c>
      <c r="M6" s="104" t="s">
        <v>131</v>
      </c>
      <c r="N6" s="102" t="s">
        <v>132</v>
      </c>
      <c r="O6" s="102" t="s">
        <v>133</v>
      </c>
      <c r="P6" s="104" t="s">
        <v>134</v>
      </c>
      <c r="Q6" s="102" t="s">
        <v>135</v>
      </c>
      <c r="R6" s="102" t="s">
        <v>136</v>
      </c>
      <c r="S6" s="105" t="s">
        <v>137</v>
      </c>
      <c r="T6" s="105" t="s">
        <v>138</v>
      </c>
    </row>
    <row r="7" spans="1:20" x14ac:dyDescent="0.3">
      <c r="A7" s="77">
        <v>1</v>
      </c>
      <c r="B7" s="78">
        <f>IF(OR(Setup!$B$19="",Setup!$B$19=0),"",EOMONTH(Setup!$B$19,A7-1))</f>
      </c>
      <c r="C7" s="68"/>
      <c r="D7" s="68"/>
      <c r="E7" s="79">
        <f>IF(D7&lt;&gt;"",D7,IF(SUM($C$7:$C$30)=0,0,C7*Setup!$B$7/SUM($C$7:$C$30)))</f>
      </c>
      <c r="F7" s="79">
        <f>MAX(0,MIN(Setup!$B$11*Setup!$B$7-0,E7*Setup!$B$12))</f>
      </c>
      <c r="G7" s="79">
        <f>E7*Setup!$B$8</f>
      </c>
      <c r="H7" s="79">
        <f t="shared" ref="H7:H30" si="0">E7-G7-F7</f>
      </c>
      <c r="I7" s="79">
        <f>IF(A7-Setup!$B$9&lt;1,0,INDEX($H$7:$H$30,A7-Setup!$B$9))</f>
      </c>
      <c r="J7" s="79">
        <f>IF(A7=1,Setup!$B$11*Setup!$B$7,0)</f>
      </c>
      <c r="K7" s="79">
        <f>IF(A7=Setup!$B$13,SUM($G$7:G7)*Setup!$B$14,0)+IF(A7=Setup!$B$15,SUM($G$7:G7)*Setup!$B$16,0)</f>
      </c>
      <c r="L7" s="80">
        <f t="shared" ref="L7:L30" si="1">I7+J7+K7</f>
      </c>
      <c r="M7" s="80">
        <f>IF(A7-Setup!$B$10&lt;1,0,INDEX($C$7:$C$30,A7-Setup!$B$10))</f>
      </c>
      <c r="N7" s="79">
        <f>SUM($M$7:M7)</f>
      </c>
      <c r="O7" s="79">
        <f>SUM($L$7:L7)</f>
      </c>
      <c r="P7" s="80">
        <f t="shared" ref="P7:P30" si="2">O7-N7</f>
      </c>
      <c r="Q7" s="79">
        <f>SUM($G$7:G7)-SUM($K$7:K7)</f>
      </c>
      <c r="R7" s="79">
        <f>IF(P7&lt;0,-P7*Setup!$B$17/12,0)</f>
      </c>
      <c r="S7" s="81">
        <f t="shared" ref="S7:S30" si="3">MIN(P7,0)</f>
      </c>
      <c r="T7" s="81">
        <f t="shared" ref="T7:T30" si="4">MAX(P7,0)</f>
      </c>
    </row>
    <row r="8" spans="1:20" x14ac:dyDescent="0.3">
      <c r="A8" s="77">
        <v>2</v>
      </c>
      <c r="B8" s="78">
        <f>IF(OR(Setup!$B$19="",Setup!$B$19=0),"",EOMONTH(Setup!$B$19,A8-1))</f>
      </c>
      <c r="C8" s="68"/>
      <c r="D8" s="68"/>
      <c r="E8" s="79">
        <f>IF(D8&lt;&gt;"",D8,IF(SUM($C$7:$C$30)=0,0,C8*Setup!$B$7/SUM($C$7:$C$30)))</f>
      </c>
      <c r="F8" s="79">
        <f>MAX(0,MIN(Setup!$B$11*Setup!$B$7-SUM($F$7:F7),E8*Setup!$B$12))</f>
      </c>
      <c r="G8" s="79">
        <f>E8*Setup!$B$8</f>
      </c>
      <c r="H8" s="79">
        <f t="shared" si="0"/>
      </c>
      <c r="I8" s="79">
        <f>IF(A8-Setup!$B$9&lt;1,0,INDEX($H$7:$H$30,A8-Setup!$B$9))</f>
      </c>
      <c r="J8" s="79">
        <f>IF(A8=1,Setup!$B$11*Setup!$B$7,0)</f>
      </c>
      <c r="K8" s="79">
        <f>IF(A8=Setup!$B$13,SUM($G$7:G8)*Setup!$B$14,0)+IF(A8=Setup!$B$15,SUM($G$7:G8)*Setup!$B$16,0)</f>
      </c>
      <c r="L8" s="80">
        <f t="shared" si="1"/>
      </c>
      <c r="M8" s="80">
        <f>IF(A8-Setup!$B$10&lt;1,0,INDEX($C$7:$C$30,A8-Setup!$B$10))</f>
      </c>
      <c r="N8" s="79">
        <f>SUM($M$7:M8)</f>
      </c>
      <c r="O8" s="79">
        <f>SUM($L$7:L8)</f>
      </c>
      <c r="P8" s="80">
        <f t="shared" si="2"/>
      </c>
      <c r="Q8" s="79">
        <f>SUM($G$7:G8)-SUM($K$7:K8)</f>
      </c>
      <c r="R8" s="79">
        <f>IF(P8&lt;0,-P8*Setup!$B$17/12,0)</f>
      </c>
      <c r="S8" s="81">
        <f t="shared" si="3"/>
      </c>
      <c r="T8" s="81">
        <f t="shared" si="4"/>
      </c>
    </row>
    <row r="9" spans="1:20" x14ac:dyDescent="0.3">
      <c r="A9" s="77">
        <v>3</v>
      </c>
      <c r="B9" s="78">
        <f>IF(OR(Setup!$B$19="",Setup!$B$19=0),"",EOMONTH(Setup!$B$19,A9-1))</f>
      </c>
      <c r="C9" s="68"/>
      <c r="D9" s="68"/>
      <c r="E9" s="79">
        <f>IF(D9&lt;&gt;"",D9,IF(SUM($C$7:$C$30)=0,0,C9*Setup!$B$7/SUM($C$7:$C$30)))</f>
      </c>
      <c r="F9" s="79">
        <f>MAX(0,MIN(Setup!$B$11*Setup!$B$7-SUM($F$7:F8),E9*Setup!$B$12))</f>
      </c>
      <c r="G9" s="79">
        <f>E9*Setup!$B$8</f>
      </c>
      <c r="H9" s="79">
        <f t="shared" si="0"/>
      </c>
      <c r="I9" s="79">
        <f>IF(A9-Setup!$B$9&lt;1,0,INDEX($H$7:$H$30,A9-Setup!$B$9))</f>
      </c>
      <c r="J9" s="79">
        <f>IF(A9=1,Setup!$B$11*Setup!$B$7,0)</f>
      </c>
      <c r="K9" s="79">
        <f>IF(A9=Setup!$B$13,SUM($G$7:G9)*Setup!$B$14,0)+IF(A9=Setup!$B$15,SUM($G$7:G9)*Setup!$B$16,0)</f>
      </c>
      <c r="L9" s="80">
        <f t="shared" si="1"/>
      </c>
      <c r="M9" s="80">
        <f>IF(A9-Setup!$B$10&lt;1,0,INDEX($C$7:$C$30,A9-Setup!$B$10))</f>
      </c>
      <c r="N9" s="79">
        <f>SUM($M$7:M9)</f>
      </c>
      <c r="O9" s="79">
        <f>SUM($L$7:L9)</f>
      </c>
      <c r="P9" s="80">
        <f t="shared" si="2"/>
      </c>
      <c r="Q9" s="79">
        <f>SUM($G$7:G9)-SUM($K$7:K9)</f>
      </c>
      <c r="R9" s="79">
        <f>IF(P9&lt;0,-P9*Setup!$B$17/12,0)</f>
      </c>
      <c r="S9" s="81">
        <f t="shared" si="3"/>
      </c>
      <c r="T9" s="81">
        <f t="shared" si="4"/>
      </c>
    </row>
    <row r="10" spans="1:20" x14ac:dyDescent="0.3">
      <c r="A10" s="77">
        <v>4</v>
      </c>
      <c r="B10" s="78">
        <f>IF(OR(Setup!$B$19="",Setup!$B$19=0),"",EOMONTH(Setup!$B$19,A10-1))</f>
      </c>
      <c r="C10" s="68"/>
      <c r="D10" s="68"/>
      <c r="E10" s="79">
        <f>IF(D10&lt;&gt;"",D10,IF(SUM($C$7:$C$30)=0,0,C10*Setup!$B$7/SUM($C$7:$C$30)))</f>
      </c>
      <c r="F10" s="79">
        <f>MAX(0,MIN(Setup!$B$11*Setup!$B$7-SUM($F$7:F9),E10*Setup!$B$12))</f>
      </c>
      <c r="G10" s="79">
        <f>E10*Setup!$B$8</f>
      </c>
      <c r="H10" s="79">
        <f t="shared" si="0"/>
      </c>
      <c r="I10" s="79">
        <f>IF(A10-Setup!$B$9&lt;1,0,INDEX($H$7:$H$30,A10-Setup!$B$9))</f>
      </c>
      <c r="J10" s="79">
        <f>IF(A10=1,Setup!$B$11*Setup!$B$7,0)</f>
      </c>
      <c r="K10" s="79">
        <f>IF(A10=Setup!$B$13,SUM($G$7:G10)*Setup!$B$14,0)+IF(A10=Setup!$B$15,SUM($G$7:G10)*Setup!$B$16,0)</f>
      </c>
      <c r="L10" s="80">
        <f t="shared" si="1"/>
      </c>
      <c r="M10" s="80">
        <f>IF(A10-Setup!$B$10&lt;1,0,INDEX($C$7:$C$30,A10-Setup!$B$10))</f>
      </c>
      <c r="N10" s="79">
        <f>SUM($M$7:M10)</f>
      </c>
      <c r="O10" s="79">
        <f>SUM($L$7:L10)</f>
      </c>
      <c r="P10" s="80">
        <f t="shared" si="2"/>
      </c>
      <c r="Q10" s="79">
        <f>SUM($G$7:G10)-SUM($K$7:K10)</f>
      </c>
      <c r="R10" s="79">
        <f>IF(P10&lt;0,-P10*Setup!$B$17/12,0)</f>
      </c>
      <c r="S10" s="81">
        <f t="shared" si="3"/>
      </c>
      <c r="T10" s="81">
        <f t="shared" si="4"/>
      </c>
    </row>
    <row r="11" spans="1:20" x14ac:dyDescent="0.3">
      <c r="A11" s="77">
        <v>5</v>
      </c>
      <c r="B11" s="78">
        <f>IF(OR(Setup!$B$19="",Setup!$B$19=0),"",EOMONTH(Setup!$B$19,A11-1))</f>
      </c>
      <c r="C11" s="68"/>
      <c r="D11" s="68"/>
      <c r="E11" s="79">
        <f>IF(D11&lt;&gt;"",D11,IF(SUM($C$7:$C$30)=0,0,C11*Setup!$B$7/SUM($C$7:$C$30)))</f>
      </c>
      <c r="F11" s="79">
        <f>MAX(0,MIN(Setup!$B$11*Setup!$B$7-SUM($F$7:F10),E11*Setup!$B$12))</f>
      </c>
      <c r="G11" s="79">
        <f>E11*Setup!$B$8</f>
      </c>
      <c r="H11" s="79">
        <f t="shared" si="0"/>
      </c>
      <c r="I11" s="79">
        <f>IF(A11-Setup!$B$9&lt;1,0,INDEX($H$7:$H$30,A11-Setup!$B$9))</f>
      </c>
      <c r="J11" s="79">
        <f>IF(A11=1,Setup!$B$11*Setup!$B$7,0)</f>
      </c>
      <c r="K11" s="79">
        <f>IF(A11=Setup!$B$13,SUM($G$7:G11)*Setup!$B$14,0)+IF(A11=Setup!$B$15,SUM($G$7:G11)*Setup!$B$16,0)</f>
      </c>
      <c r="L11" s="80">
        <f t="shared" si="1"/>
      </c>
      <c r="M11" s="80">
        <f>IF(A11-Setup!$B$10&lt;1,0,INDEX($C$7:$C$30,A11-Setup!$B$10))</f>
      </c>
      <c r="N11" s="79">
        <f>SUM($M$7:M11)</f>
      </c>
      <c r="O11" s="79">
        <f>SUM($L$7:L11)</f>
      </c>
      <c r="P11" s="80">
        <f t="shared" si="2"/>
      </c>
      <c r="Q11" s="79">
        <f>SUM($G$7:G11)-SUM($K$7:K11)</f>
      </c>
      <c r="R11" s="79">
        <f>IF(P11&lt;0,-P11*Setup!$B$17/12,0)</f>
      </c>
      <c r="S11" s="81">
        <f t="shared" si="3"/>
      </c>
      <c r="T11" s="81">
        <f t="shared" si="4"/>
      </c>
    </row>
    <row r="12" spans="1:20" x14ac:dyDescent="0.3">
      <c r="A12" s="77">
        <v>6</v>
      </c>
      <c r="B12" s="78">
        <f>IF(OR(Setup!$B$19="",Setup!$B$19=0),"",EOMONTH(Setup!$B$19,A12-1))</f>
      </c>
      <c r="C12" s="68"/>
      <c r="D12" s="68"/>
      <c r="E12" s="79">
        <f>IF(D12&lt;&gt;"",D12,IF(SUM($C$7:$C$30)=0,0,C12*Setup!$B$7/SUM($C$7:$C$30)))</f>
      </c>
      <c r="F12" s="79">
        <f>MAX(0,MIN(Setup!$B$11*Setup!$B$7-SUM($F$7:F11),E12*Setup!$B$12))</f>
      </c>
      <c r="G12" s="79">
        <f>E12*Setup!$B$8</f>
      </c>
      <c r="H12" s="79">
        <f t="shared" si="0"/>
      </c>
      <c r="I12" s="79">
        <f>IF(A12-Setup!$B$9&lt;1,0,INDEX($H$7:$H$30,A12-Setup!$B$9))</f>
      </c>
      <c r="J12" s="79">
        <f>IF(A12=1,Setup!$B$11*Setup!$B$7,0)</f>
      </c>
      <c r="K12" s="79">
        <f>IF(A12=Setup!$B$13,SUM($G$7:G12)*Setup!$B$14,0)+IF(A12=Setup!$B$15,SUM($G$7:G12)*Setup!$B$16,0)</f>
      </c>
      <c r="L12" s="80">
        <f t="shared" si="1"/>
      </c>
      <c r="M12" s="80">
        <f>IF(A12-Setup!$B$10&lt;1,0,INDEX($C$7:$C$30,A12-Setup!$B$10))</f>
      </c>
      <c r="N12" s="79">
        <f>SUM($M$7:M12)</f>
      </c>
      <c r="O12" s="79">
        <f>SUM($L$7:L12)</f>
      </c>
      <c r="P12" s="80">
        <f t="shared" si="2"/>
      </c>
      <c r="Q12" s="79">
        <f>SUM($G$7:G12)-SUM($K$7:K12)</f>
      </c>
      <c r="R12" s="79">
        <f>IF(P12&lt;0,-P12*Setup!$B$17/12,0)</f>
      </c>
      <c r="S12" s="81">
        <f t="shared" si="3"/>
      </c>
      <c r="T12" s="81">
        <f t="shared" si="4"/>
      </c>
    </row>
    <row r="13" spans="1:20" x14ac:dyDescent="0.3">
      <c r="A13" s="77">
        <v>7</v>
      </c>
      <c r="B13" s="78">
        <f>IF(OR(Setup!$B$19="",Setup!$B$19=0),"",EOMONTH(Setup!$B$19,A13-1))</f>
      </c>
      <c r="C13" s="68"/>
      <c r="D13" s="68"/>
      <c r="E13" s="79">
        <f>IF(D13&lt;&gt;"",D13,IF(SUM($C$7:$C$30)=0,0,C13*Setup!$B$7/SUM($C$7:$C$30)))</f>
      </c>
      <c r="F13" s="79">
        <f>MAX(0,MIN(Setup!$B$11*Setup!$B$7-SUM($F$7:F12),E13*Setup!$B$12))</f>
      </c>
      <c r="G13" s="79">
        <f>E13*Setup!$B$8</f>
      </c>
      <c r="H13" s="79">
        <f t="shared" si="0"/>
      </c>
      <c r="I13" s="79">
        <f>IF(A13-Setup!$B$9&lt;1,0,INDEX($H$7:$H$30,A13-Setup!$B$9))</f>
      </c>
      <c r="J13" s="79">
        <f>IF(A13=1,Setup!$B$11*Setup!$B$7,0)</f>
      </c>
      <c r="K13" s="79">
        <f>IF(A13=Setup!$B$13,SUM($G$7:G13)*Setup!$B$14,0)+IF(A13=Setup!$B$15,SUM($G$7:G13)*Setup!$B$16,0)</f>
      </c>
      <c r="L13" s="80">
        <f t="shared" si="1"/>
      </c>
      <c r="M13" s="80">
        <f>IF(A13-Setup!$B$10&lt;1,0,INDEX($C$7:$C$30,A13-Setup!$B$10))</f>
      </c>
      <c r="N13" s="79">
        <f>SUM($M$7:M13)</f>
      </c>
      <c r="O13" s="79">
        <f>SUM($L$7:L13)</f>
      </c>
      <c r="P13" s="80">
        <f t="shared" si="2"/>
      </c>
      <c r="Q13" s="79">
        <f>SUM($G$7:G13)-SUM($K$7:K13)</f>
      </c>
      <c r="R13" s="79">
        <f>IF(P13&lt;0,-P13*Setup!$B$17/12,0)</f>
      </c>
      <c r="S13" s="81">
        <f t="shared" si="3"/>
      </c>
      <c r="T13" s="81">
        <f t="shared" si="4"/>
      </c>
    </row>
    <row r="14" spans="1:20" x14ac:dyDescent="0.3">
      <c r="A14" s="77">
        <v>8</v>
      </c>
      <c r="B14" s="78">
        <f>IF(OR(Setup!$B$19="",Setup!$B$19=0),"",EOMONTH(Setup!$B$19,A14-1))</f>
      </c>
      <c r="C14" s="68"/>
      <c r="D14" s="68"/>
      <c r="E14" s="79">
        <f>IF(D14&lt;&gt;"",D14,IF(SUM($C$7:$C$30)=0,0,C14*Setup!$B$7/SUM($C$7:$C$30)))</f>
      </c>
      <c r="F14" s="79">
        <f>MAX(0,MIN(Setup!$B$11*Setup!$B$7-SUM($F$7:F13),E14*Setup!$B$12))</f>
      </c>
      <c r="G14" s="79">
        <f>E14*Setup!$B$8</f>
      </c>
      <c r="H14" s="79">
        <f t="shared" si="0"/>
      </c>
      <c r="I14" s="79">
        <f>IF(A14-Setup!$B$9&lt;1,0,INDEX($H$7:$H$30,A14-Setup!$B$9))</f>
      </c>
      <c r="J14" s="79">
        <f>IF(A14=1,Setup!$B$11*Setup!$B$7,0)</f>
      </c>
      <c r="K14" s="79">
        <f>IF(A14=Setup!$B$13,SUM($G$7:G14)*Setup!$B$14,0)+IF(A14=Setup!$B$15,SUM($G$7:G14)*Setup!$B$16,0)</f>
      </c>
      <c r="L14" s="80">
        <f t="shared" si="1"/>
      </c>
      <c r="M14" s="80">
        <f>IF(A14-Setup!$B$10&lt;1,0,INDEX($C$7:$C$30,A14-Setup!$B$10))</f>
      </c>
      <c r="N14" s="79">
        <f>SUM($M$7:M14)</f>
      </c>
      <c r="O14" s="79">
        <f>SUM($L$7:L14)</f>
      </c>
      <c r="P14" s="80">
        <f t="shared" si="2"/>
      </c>
      <c r="Q14" s="79">
        <f>SUM($G$7:G14)-SUM($K$7:K14)</f>
      </c>
      <c r="R14" s="79">
        <f>IF(P14&lt;0,-P14*Setup!$B$17/12,0)</f>
      </c>
      <c r="S14" s="81">
        <f t="shared" si="3"/>
      </c>
      <c r="T14" s="81">
        <f t="shared" si="4"/>
      </c>
    </row>
    <row r="15" spans="1:20" x14ac:dyDescent="0.3">
      <c r="A15" s="77">
        <v>9</v>
      </c>
      <c r="B15" s="78">
        <f>IF(OR(Setup!$B$19="",Setup!$B$19=0),"",EOMONTH(Setup!$B$19,A15-1))</f>
      </c>
      <c r="C15" s="68"/>
      <c r="D15" s="68"/>
      <c r="E15" s="79">
        <f>IF(D15&lt;&gt;"",D15,IF(SUM($C$7:$C$30)=0,0,C15*Setup!$B$7/SUM($C$7:$C$30)))</f>
      </c>
      <c r="F15" s="79">
        <f>MAX(0,MIN(Setup!$B$11*Setup!$B$7-SUM($F$7:F14),E15*Setup!$B$12))</f>
      </c>
      <c r="G15" s="79">
        <f>E15*Setup!$B$8</f>
      </c>
      <c r="H15" s="79">
        <f t="shared" si="0"/>
      </c>
      <c r="I15" s="79">
        <f>IF(A15-Setup!$B$9&lt;1,0,INDEX($H$7:$H$30,A15-Setup!$B$9))</f>
      </c>
      <c r="J15" s="79">
        <f>IF(A15=1,Setup!$B$11*Setup!$B$7,0)</f>
      </c>
      <c r="K15" s="79">
        <f>IF(A15=Setup!$B$13,SUM($G$7:G15)*Setup!$B$14,0)+IF(A15=Setup!$B$15,SUM($G$7:G15)*Setup!$B$16,0)</f>
      </c>
      <c r="L15" s="80">
        <f t="shared" si="1"/>
      </c>
      <c r="M15" s="80">
        <f>IF(A15-Setup!$B$10&lt;1,0,INDEX($C$7:$C$30,A15-Setup!$B$10))</f>
      </c>
      <c r="N15" s="79">
        <f>SUM($M$7:M15)</f>
      </c>
      <c r="O15" s="79">
        <f>SUM($L$7:L15)</f>
      </c>
      <c r="P15" s="80">
        <f t="shared" si="2"/>
      </c>
      <c r="Q15" s="79">
        <f>SUM($G$7:G15)-SUM($K$7:K15)</f>
      </c>
      <c r="R15" s="79">
        <f>IF(P15&lt;0,-P15*Setup!$B$17/12,0)</f>
      </c>
      <c r="S15" s="81">
        <f t="shared" si="3"/>
      </c>
      <c r="T15" s="81">
        <f t="shared" si="4"/>
      </c>
    </row>
    <row r="16" spans="1:20" x14ac:dyDescent="0.3">
      <c r="A16" s="77">
        <v>10</v>
      </c>
      <c r="B16" s="78">
        <f>IF(OR(Setup!$B$19="",Setup!$B$19=0),"",EOMONTH(Setup!$B$19,A16-1))</f>
      </c>
      <c r="C16" s="68"/>
      <c r="D16" s="68"/>
      <c r="E16" s="79">
        <f>IF(D16&lt;&gt;"",D16,IF(SUM($C$7:$C$30)=0,0,C16*Setup!$B$7/SUM($C$7:$C$30)))</f>
      </c>
      <c r="F16" s="79">
        <f>MAX(0,MIN(Setup!$B$11*Setup!$B$7-SUM($F$7:F15),E16*Setup!$B$12))</f>
      </c>
      <c r="G16" s="79">
        <f>E16*Setup!$B$8</f>
      </c>
      <c r="H16" s="79">
        <f t="shared" si="0"/>
      </c>
      <c r="I16" s="79">
        <f>IF(A16-Setup!$B$9&lt;1,0,INDEX($H$7:$H$30,A16-Setup!$B$9))</f>
      </c>
      <c r="J16" s="79">
        <f>IF(A16=1,Setup!$B$11*Setup!$B$7,0)</f>
      </c>
      <c r="K16" s="79">
        <f>IF(A16=Setup!$B$13,SUM($G$7:G16)*Setup!$B$14,0)+IF(A16=Setup!$B$15,SUM($G$7:G16)*Setup!$B$16,0)</f>
      </c>
      <c r="L16" s="80">
        <f t="shared" si="1"/>
      </c>
      <c r="M16" s="80">
        <f>IF(A16-Setup!$B$10&lt;1,0,INDEX($C$7:$C$30,A16-Setup!$B$10))</f>
      </c>
      <c r="N16" s="79">
        <f>SUM($M$7:M16)</f>
      </c>
      <c r="O16" s="79">
        <f>SUM($L$7:L16)</f>
      </c>
      <c r="P16" s="80">
        <f t="shared" si="2"/>
      </c>
      <c r="Q16" s="79">
        <f>SUM($G$7:G16)-SUM($K$7:K16)</f>
      </c>
      <c r="R16" s="79">
        <f>IF(P16&lt;0,-P16*Setup!$B$17/12,0)</f>
      </c>
      <c r="S16" s="81">
        <f t="shared" si="3"/>
      </c>
      <c r="T16" s="81">
        <f t="shared" si="4"/>
      </c>
    </row>
    <row r="17" spans="1:20" x14ac:dyDescent="0.3">
      <c r="A17" s="77">
        <v>11</v>
      </c>
      <c r="B17" s="78">
        <f>IF(OR(Setup!$B$19="",Setup!$B$19=0),"",EOMONTH(Setup!$B$19,A17-1))</f>
      </c>
      <c r="C17" s="68"/>
      <c r="D17" s="68"/>
      <c r="E17" s="79">
        <f>IF(D17&lt;&gt;"",D17,IF(SUM($C$7:$C$30)=0,0,C17*Setup!$B$7/SUM($C$7:$C$30)))</f>
      </c>
      <c r="F17" s="79">
        <f>MAX(0,MIN(Setup!$B$11*Setup!$B$7-SUM($F$7:F16),E17*Setup!$B$12))</f>
      </c>
      <c r="G17" s="79">
        <f>E17*Setup!$B$8</f>
      </c>
      <c r="H17" s="79">
        <f t="shared" si="0"/>
      </c>
      <c r="I17" s="79">
        <f>IF(A17-Setup!$B$9&lt;1,0,INDEX($H$7:$H$30,A17-Setup!$B$9))</f>
      </c>
      <c r="J17" s="79">
        <f>IF(A17=1,Setup!$B$11*Setup!$B$7,0)</f>
      </c>
      <c r="K17" s="79">
        <f>IF(A17=Setup!$B$13,SUM($G$7:G17)*Setup!$B$14,0)+IF(A17=Setup!$B$15,SUM($G$7:G17)*Setup!$B$16,0)</f>
      </c>
      <c r="L17" s="80">
        <f t="shared" si="1"/>
      </c>
      <c r="M17" s="80">
        <f>IF(A17-Setup!$B$10&lt;1,0,INDEX($C$7:$C$30,A17-Setup!$B$10))</f>
      </c>
      <c r="N17" s="79">
        <f>SUM($M$7:M17)</f>
      </c>
      <c r="O17" s="79">
        <f>SUM($L$7:L17)</f>
      </c>
      <c r="P17" s="80">
        <f t="shared" si="2"/>
      </c>
      <c r="Q17" s="79">
        <f>SUM($G$7:G17)-SUM($K$7:K17)</f>
      </c>
      <c r="R17" s="79">
        <f>IF(P17&lt;0,-P17*Setup!$B$17/12,0)</f>
      </c>
      <c r="S17" s="81">
        <f t="shared" si="3"/>
      </c>
      <c r="T17" s="81">
        <f t="shared" si="4"/>
      </c>
    </row>
    <row r="18" spans="1:20" x14ac:dyDescent="0.3">
      <c r="A18" s="77">
        <v>12</v>
      </c>
      <c r="B18" s="78">
        <f>IF(OR(Setup!$B$19="",Setup!$B$19=0),"",EOMONTH(Setup!$B$19,A18-1))</f>
      </c>
      <c r="C18" s="68"/>
      <c r="D18" s="68"/>
      <c r="E18" s="79">
        <f>IF(D18&lt;&gt;"",D18,IF(SUM($C$7:$C$30)=0,0,C18*Setup!$B$7/SUM($C$7:$C$30)))</f>
      </c>
      <c r="F18" s="79">
        <f>MAX(0,MIN(Setup!$B$11*Setup!$B$7-SUM($F$7:F17),E18*Setup!$B$12))</f>
      </c>
      <c r="G18" s="79">
        <f>E18*Setup!$B$8</f>
      </c>
      <c r="H18" s="79">
        <f t="shared" si="0"/>
      </c>
      <c r="I18" s="79">
        <f>IF(A18-Setup!$B$9&lt;1,0,INDEX($H$7:$H$30,A18-Setup!$B$9))</f>
      </c>
      <c r="J18" s="79">
        <f>IF(A18=1,Setup!$B$11*Setup!$B$7,0)</f>
      </c>
      <c r="K18" s="79">
        <f>IF(A18=Setup!$B$13,SUM($G$7:G18)*Setup!$B$14,0)+IF(A18=Setup!$B$15,SUM($G$7:G18)*Setup!$B$16,0)</f>
      </c>
      <c r="L18" s="80">
        <f t="shared" si="1"/>
      </c>
      <c r="M18" s="80">
        <f>IF(A18-Setup!$B$10&lt;1,0,INDEX($C$7:$C$30,A18-Setup!$B$10))</f>
      </c>
      <c r="N18" s="79">
        <f>SUM($M$7:M18)</f>
      </c>
      <c r="O18" s="79">
        <f>SUM($L$7:L18)</f>
      </c>
      <c r="P18" s="80">
        <f t="shared" si="2"/>
      </c>
      <c r="Q18" s="79">
        <f>SUM($G$7:G18)-SUM($K$7:K18)</f>
      </c>
      <c r="R18" s="79">
        <f>IF(P18&lt;0,-P18*Setup!$B$17/12,0)</f>
      </c>
      <c r="S18" s="81">
        <f t="shared" si="3"/>
      </c>
      <c r="T18" s="81">
        <f t="shared" si="4"/>
      </c>
    </row>
    <row r="19" spans="1:20" x14ac:dyDescent="0.3">
      <c r="A19" s="77">
        <v>13</v>
      </c>
      <c r="B19" s="78">
        <f>IF(OR(Setup!$B$19="",Setup!$B$19=0),"",EOMONTH(Setup!$B$19,A19-1))</f>
      </c>
      <c r="C19" s="68"/>
      <c r="D19" s="68"/>
      <c r="E19" s="79">
        <f>IF(D19&lt;&gt;"",D19,IF(SUM($C$7:$C$30)=0,0,C19*Setup!$B$7/SUM($C$7:$C$30)))</f>
      </c>
      <c r="F19" s="79">
        <f>MAX(0,MIN(Setup!$B$11*Setup!$B$7-SUM($F$7:F18),E19*Setup!$B$12))</f>
      </c>
      <c r="G19" s="79">
        <f>E19*Setup!$B$8</f>
      </c>
      <c r="H19" s="79">
        <f t="shared" si="0"/>
      </c>
      <c r="I19" s="79">
        <f>IF(A19-Setup!$B$9&lt;1,0,INDEX($H$7:$H$30,A19-Setup!$B$9))</f>
      </c>
      <c r="J19" s="79">
        <f>IF(A19=1,Setup!$B$11*Setup!$B$7,0)</f>
      </c>
      <c r="K19" s="79">
        <f>IF(A19=Setup!$B$13,SUM($G$7:G19)*Setup!$B$14,0)+IF(A19=Setup!$B$15,SUM($G$7:G19)*Setup!$B$16,0)</f>
      </c>
      <c r="L19" s="80">
        <f t="shared" si="1"/>
      </c>
      <c r="M19" s="80">
        <f>IF(A19-Setup!$B$10&lt;1,0,INDEX($C$7:$C$30,A19-Setup!$B$10))</f>
      </c>
      <c r="N19" s="79">
        <f>SUM($M$7:M19)</f>
      </c>
      <c r="O19" s="79">
        <f>SUM($L$7:L19)</f>
      </c>
      <c r="P19" s="80">
        <f t="shared" si="2"/>
      </c>
      <c r="Q19" s="79">
        <f>SUM($G$7:G19)-SUM($K$7:K19)</f>
      </c>
      <c r="R19" s="79">
        <f>IF(P19&lt;0,-P19*Setup!$B$17/12,0)</f>
      </c>
      <c r="S19" s="81">
        <f t="shared" si="3"/>
      </c>
      <c r="T19" s="81">
        <f t="shared" si="4"/>
      </c>
    </row>
    <row r="20" spans="1:20" x14ac:dyDescent="0.3">
      <c r="A20" s="77">
        <v>14</v>
      </c>
      <c r="B20" s="78">
        <f>IF(OR(Setup!$B$19="",Setup!$B$19=0),"",EOMONTH(Setup!$B$19,A20-1))</f>
      </c>
      <c r="C20" s="68"/>
      <c r="D20" s="68"/>
      <c r="E20" s="79">
        <f>IF(D20&lt;&gt;"",D20,IF(SUM($C$7:$C$30)=0,0,C20*Setup!$B$7/SUM($C$7:$C$30)))</f>
      </c>
      <c r="F20" s="79">
        <f>MAX(0,MIN(Setup!$B$11*Setup!$B$7-SUM($F$7:F19),E20*Setup!$B$12))</f>
      </c>
      <c r="G20" s="79">
        <f>E20*Setup!$B$8</f>
      </c>
      <c r="H20" s="79">
        <f t="shared" si="0"/>
      </c>
      <c r="I20" s="79">
        <f>IF(A20-Setup!$B$9&lt;1,0,INDEX($H$7:$H$30,A20-Setup!$B$9))</f>
      </c>
      <c r="J20" s="79">
        <f>IF(A20=1,Setup!$B$11*Setup!$B$7,0)</f>
      </c>
      <c r="K20" s="79">
        <f>IF(A20=Setup!$B$13,SUM($G$7:G20)*Setup!$B$14,0)+IF(A20=Setup!$B$15,SUM($G$7:G20)*Setup!$B$16,0)</f>
      </c>
      <c r="L20" s="80">
        <f t="shared" si="1"/>
      </c>
      <c r="M20" s="80">
        <f>IF(A20-Setup!$B$10&lt;1,0,INDEX($C$7:$C$30,A20-Setup!$B$10))</f>
      </c>
      <c r="N20" s="79">
        <f>SUM($M$7:M20)</f>
      </c>
      <c r="O20" s="79">
        <f>SUM($L$7:L20)</f>
      </c>
      <c r="P20" s="80">
        <f t="shared" si="2"/>
      </c>
      <c r="Q20" s="79">
        <f>SUM($G$7:G20)-SUM($K$7:K20)</f>
      </c>
      <c r="R20" s="79">
        <f>IF(P20&lt;0,-P20*Setup!$B$17/12,0)</f>
      </c>
      <c r="S20" s="81">
        <f t="shared" si="3"/>
      </c>
      <c r="T20" s="81">
        <f t="shared" si="4"/>
      </c>
    </row>
    <row r="21" spans="1:20" x14ac:dyDescent="0.3">
      <c r="A21" s="77">
        <v>15</v>
      </c>
      <c r="B21" s="78">
        <f>IF(OR(Setup!$B$19="",Setup!$B$19=0),"",EOMONTH(Setup!$B$19,A21-1))</f>
      </c>
      <c r="C21" s="68"/>
      <c r="D21" s="68"/>
      <c r="E21" s="79">
        <f>IF(D21&lt;&gt;"",D21,IF(SUM($C$7:$C$30)=0,0,C21*Setup!$B$7/SUM($C$7:$C$30)))</f>
      </c>
      <c r="F21" s="79">
        <f>MAX(0,MIN(Setup!$B$11*Setup!$B$7-SUM($F$7:F20),E21*Setup!$B$12))</f>
      </c>
      <c r="G21" s="79">
        <f>E21*Setup!$B$8</f>
      </c>
      <c r="H21" s="79">
        <f t="shared" si="0"/>
      </c>
      <c r="I21" s="79">
        <f>IF(A21-Setup!$B$9&lt;1,0,INDEX($H$7:$H$30,A21-Setup!$B$9))</f>
      </c>
      <c r="J21" s="79">
        <f>IF(A21=1,Setup!$B$11*Setup!$B$7,0)</f>
      </c>
      <c r="K21" s="79">
        <f>IF(A21=Setup!$B$13,SUM($G$7:G21)*Setup!$B$14,0)+IF(A21=Setup!$B$15,SUM($G$7:G21)*Setup!$B$16,0)</f>
      </c>
      <c r="L21" s="80">
        <f t="shared" si="1"/>
      </c>
      <c r="M21" s="80">
        <f>IF(A21-Setup!$B$10&lt;1,0,INDEX($C$7:$C$30,A21-Setup!$B$10))</f>
      </c>
      <c r="N21" s="79">
        <f>SUM($M$7:M21)</f>
      </c>
      <c r="O21" s="79">
        <f>SUM($L$7:L21)</f>
      </c>
      <c r="P21" s="80">
        <f t="shared" si="2"/>
      </c>
      <c r="Q21" s="79">
        <f>SUM($G$7:G21)-SUM($K$7:K21)</f>
      </c>
      <c r="R21" s="79">
        <f>IF(P21&lt;0,-P21*Setup!$B$17/12,0)</f>
      </c>
      <c r="S21" s="81">
        <f t="shared" si="3"/>
      </c>
      <c r="T21" s="81">
        <f t="shared" si="4"/>
      </c>
    </row>
    <row r="22" spans="1:20" x14ac:dyDescent="0.3">
      <c r="A22" s="77">
        <v>16</v>
      </c>
      <c r="B22" s="78">
        <f>IF(OR(Setup!$B$19="",Setup!$B$19=0),"",EOMONTH(Setup!$B$19,A22-1))</f>
      </c>
      <c r="C22" s="68"/>
      <c r="D22" s="68"/>
      <c r="E22" s="79">
        <f>IF(D22&lt;&gt;"",D22,IF(SUM($C$7:$C$30)=0,0,C22*Setup!$B$7/SUM($C$7:$C$30)))</f>
      </c>
      <c r="F22" s="79">
        <f>MAX(0,MIN(Setup!$B$11*Setup!$B$7-SUM($F$7:F21),E22*Setup!$B$12))</f>
      </c>
      <c r="G22" s="79">
        <f>E22*Setup!$B$8</f>
      </c>
      <c r="H22" s="79">
        <f t="shared" si="0"/>
      </c>
      <c r="I22" s="79">
        <f>IF(A22-Setup!$B$9&lt;1,0,INDEX($H$7:$H$30,A22-Setup!$B$9))</f>
      </c>
      <c r="J22" s="79">
        <f>IF(A22=1,Setup!$B$11*Setup!$B$7,0)</f>
      </c>
      <c r="K22" s="79">
        <f>IF(A22=Setup!$B$13,SUM($G$7:G22)*Setup!$B$14,0)+IF(A22=Setup!$B$15,SUM($G$7:G22)*Setup!$B$16,0)</f>
      </c>
      <c r="L22" s="80">
        <f t="shared" si="1"/>
      </c>
      <c r="M22" s="80">
        <f>IF(A22-Setup!$B$10&lt;1,0,INDEX($C$7:$C$30,A22-Setup!$B$10))</f>
      </c>
      <c r="N22" s="79">
        <f>SUM($M$7:M22)</f>
      </c>
      <c r="O22" s="79">
        <f>SUM($L$7:L22)</f>
      </c>
      <c r="P22" s="80">
        <f t="shared" si="2"/>
      </c>
      <c r="Q22" s="79">
        <f>SUM($G$7:G22)-SUM($K$7:K22)</f>
      </c>
      <c r="R22" s="79">
        <f>IF(P22&lt;0,-P22*Setup!$B$17/12,0)</f>
      </c>
      <c r="S22" s="81">
        <f t="shared" si="3"/>
      </c>
      <c r="T22" s="81">
        <f t="shared" si="4"/>
      </c>
    </row>
    <row r="23" spans="1:20" x14ac:dyDescent="0.3">
      <c r="A23" s="77">
        <v>17</v>
      </c>
      <c r="B23" s="78">
        <f>IF(OR(Setup!$B$19="",Setup!$B$19=0),"",EOMONTH(Setup!$B$19,A23-1))</f>
      </c>
      <c r="C23" s="68"/>
      <c r="D23" s="68"/>
      <c r="E23" s="79">
        <f>IF(D23&lt;&gt;"",D23,IF(SUM($C$7:$C$30)=0,0,C23*Setup!$B$7/SUM($C$7:$C$30)))</f>
      </c>
      <c r="F23" s="79">
        <f>MAX(0,MIN(Setup!$B$11*Setup!$B$7-SUM($F$7:F22),E23*Setup!$B$12))</f>
      </c>
      <c r="G23" s="79">
        <f>E23*Setup!$B$8</f>
      </c>
      <c r="H23" s="79">
        <f t="shared" si="0"/>
      </c>
      <c r="I23" s="79">
        <f>IF(A23-Setup!$B$9&lt;1,0,INDEX($H$7:$H$30,A23-Setup!$B$9))</f>
      </c>
      <c r="J23" s="79">
        <f>IF(A23=1,Setup!$B$11*Setup!$B$7,0)</f>
      </c>
      <c r="K23" s="79">
        <f>IF(A23=Setup!$B$13,SUM($G$7:G23)*Setup!$B$14,0)+IF(A23=Setup!$B$15,SUM($G$7:G23)*Setup!$B$16,0)</f>
      </c>
      <c r="L23" s="80">
        <f t="shared" si="1"/>
      </c>
      <c r="M23" s="80">
        <f>IF(A23-Setup!$B$10&lt;1,0,INDEX($C$7:$C$30,A23-Setup!$B$10))</f>
      </c>
      <c r="N23" s="79">
        <f>SUM($M$7:M23)</f>
      </c>
      <c r="O23" s="79">
        <f>SUM($L$7:L23)</f>
      </c>
      <c r="P23" s="80">
        <f t="shared" si="2"/>
      </c>
      <c r="Q23" s="79">
        <f>SUM($G$7:G23)-SUM($K$7:K23)</f>
      </c>
      <c r="R23" s="79">
        <f>IF(P23&lt;0,-P23*Setup!$B$17/12,0)</f>
      </c>
      <c r="S23" s="81">
        <f t="shared" si="3"/>
      </c>
      <c r="T23" s="81">
        <f t="shared" si="4"/>
      </c>
    </row>
    <row r="24" spans="1:20" x14ac:dyDescent="0.3">
      <c r="A24" s="77">
        <v>18</v>
      </c>
      <c r="B24" s="78">
        <f>IF(OR(Setup!$B$19="",Setup!$B$19=0),"",EOMONTH(Setup!$B$19,A24-1))</f>
      </c>
      <c r="C24" s="68"/>
      <c r="D24" s="68"/>
      <c r="E24" s="79">
        <f>IF(D24&lt;&gt;"",D24,IF(SUM($C$7:$C$30)=0,0,C24*Setup!$B$7/SUM($C$7:$C$30)))</f>
      </c>
      <c r="F24" s="79">
        <f>MAX(0,MIN(Setup!$B$11*Setup!$B$7-SUM($F$7:F23),E24*Setup!$B$12))</f>
      </c>
      <c r="G24" s="79">
        <f>E24*Setup!$B$8</f>
      </c>
      <c r="H24" s="79">
        <f t="shared" si="0"/>
      </c>
      <c r="I24" s="79">
        <f>IF(A24-Setup!$B$9&lt;1,0,INDEX($H$7:$H$30,A24-Setup!$B$9))</f>
      </c>
      <c r="J24" s="79">
        <f>IF(A24=1,Setup!$B$11*Setup!$B$7,0)</f>
      </c>
      <c r="K24" s="79">
        <f>IF(A24=Setup!$B$13,SUM($G$7:G24)*Setup!$B$14,0)+IF(A24=Setup!$B$15,SUM($G$7:G24)*Setup!$B$16,0)</f>
      </c>
      <c r="L24" s="80">
        <f t="shared" si="1"/>
      </c>
      <c r="M24" s="80">
        <f>IF(A24-Setup!$B$10&lt;1,0,INDEX($C$7:$C$30,A24-Setup!$B$10))</f>
      </c>
      <c r="N24" s="79">
        <f>SUM($M$7:M24)</f>
      </c>
      <c r="O24" s="79">
        <f>SUM($L$7:L24)</f>
      </c>
      <c r="P24" s="80">
        <f t="shared" si="2"/>
      </c>
      <c r="Q24" s="79">
        <f>SUM($G$7:G24)-SUM($K$7:K24)</f>
      </c>
      <c r="R24" s="79">
        <f>IF(P24&lt;0,-P24*Setup!$B$17/12,0)</f>
      </c>
      <c r="S24" s="81">
        <f t="shared" si="3"/>
      </c>
      <c r="T24" s="81">
        <f t="shared" si="4"/>
      </c>
    </row>
    <row r="25" spans="1:20" x14ac:dyDescent="0.3">
      <c r="A25" s="77">
        <v>19</v>
      </c>
      <c r="B25" s="78">
        <f>IF(OR(Setup!$B$19="",Setup!$B$19=0),"",EOMONTH(Setup!$B$19,A25-1))</f>
      </c>
      <c r="C25" s="68"/>
      <c r="D25" s="68"/>
      <c r="E25" s="79">
        <f>IF(D25&lt;&gt;"",D25,IF(SUM($C$7:$C$30)=0,0,C25*Setup!$B$7/SUM($C$7:$C$30)))</f>
      </c>
      <c r="F25" s="79">
        <f>MAX(0,MIN(Setup!$B$11*Setup!$B$7-SUM($F$7:F24),E25*Setup!$B$12))</f>
      </c>
      <c r="G25" s="79">
        <f>E25*Setup!$B$8</f>
      </c>
      <c r="H25" s="79">
        <f t="shared" si="0"/>
      </c>
      <c r="I25" s="79">
        <f>IF(A25-Setup!$B$9&lt;1,0,INDEX($H$7:$H$30,A25-Setup!$B$9))</f>
      </c>
      <c r="J25" s="79">
        <f>IF(A25=1,Setup!$B$11*Setup!$B$7,0)</f>
      </c>
      <c r="K25" s="79">
        <f>IF(A25=Setup!$B$13,SUM($G$7:G25)*Setup!$B$14,0)+IF(A25=Setup!$B$15,SUM($G$7:G25)*Setup!$B$16,0)</f>
      </c>
      <c r="L25" s="80">
        <f t="shared" si="1"/>
      </c>
      <c r="M25" s="80">
        <f>IF(A25-Setup!$B$10&lt;1,0,INDEX($C$7:$C$30,A25-Setup!$B$10))</f>
      </c>
      <c r="N25" s="79">
        <f>SUM($M$7:M25)</f>
      </c>
      <c r="O25" s="79">
        <f>SUM($L$7:L25)</f>
      </c>
      <c r="P25" s="80">
        <f t="shared" si="2"/>
      </c>
      <c r="Q25" s="79">
        <f>SUM($G$7:G25)-SUM($K$7:K25)</f>
      </c>
      <c r="R25" s="79">
        <f>IF(P25&lt;0,-P25*Setup!$B$17/12,0)</f>
      </c>
      <c r="S25" s="81">
        <f t="shared" si="3"/>
      </c>
      <c r="T25" s="81">
        <f t="shared" si="4"/>
      </c>
    </row>
    <row r="26" spans="1:20" x14ac:dyDescent="0.3">
      <c r="A26" s="77">
        <v>20</v>
      </c>
      <c r="B26" s="78">
        <f>IF(OR(Setup!$B$19="",Setup!$B$19=0),"",EOMONTH(Setup!$B$19,A26-1))</f>
      </c>
      <c r="C26" s="68"/>
      <c r="D26" s="68"/>
      <c r="E26" s="79">
        <f>IF(D26&lt;&gt;"",D26,IF(SUM($C$7:$C$30)=0,0,C26*Setup!$B$7/SUM($C$7:$C$30)))</f>
      </c>
      <c r="F26" s="79">
        <f>MAX(0,MIN(Setup!$B$11*Setup!$B$7-SUM($F$7:F25),E26*Setup!$B$12))</f>
      </c>
      <c r="G26" s="79">
        <f>E26*Setup!$B$8</f>
      </c>
      <c r="H26" s="79">
        <f t="shared" si="0"/>
      </c>
      <c r="I26" s="79">
        <f>IF(A26-Setup!$B$9&lt;1,0,INDEX($H$7:$H$30,A26-Setup!$B$9))</f>
      </c>
      <c r="J26" s="79">
        <f>IF(A26=1,Setup!$B$11*Setup!$B$7,0)</f>
      </c>
      <c r="K26" s="79">
        <f>IF(A26=Setup!$B$13,SUM($G$7:G26)*Setup!$B$14,0)+IF(A26=Setup!$B$15,SUM($G$7:G26)*Setup!$B$16,0)</f>
      </c>
      <c r="L26" s="80">
        <f t="shared" si="1"/>
      </c>
      <c r="M26" s="80">
        <f>IF(A26-Setup!$B$10&lt;1,0,INDEX($C$7:$C$30,A26-Setup!$B$10))</f>
      </c>
      <c r="N26" s="79">
        <f>SUM($M$7:M26)</f>
      </c>
      <c r="O26" s="79">
        <f>SUM($L$7:L26)</f>
      </c>
      <c r="P26" s="80">
        <f t="shared" si="2"/>
      </c>
      <c r="Q26" s="79">
        <f>SUM($G$7:G26)-SUM($K$7:K26)</f>
      </c>
      <c r="R26" s="79">
        <f>IF(P26&lt;0,-P26*Setup!$B$17/12,0)</f>
      </c>
      <c r="S26" s="81">
        <f t="shared" si="3"/>
      </c>
      <c r="T26" s="81">
        <f t="shared" si="4"/>
      </c>
    </row>
    <row r="27" spans="1:20" x14ac:dyDescent="0.3">
      <c r="A27" s="77">
        <v>21</v>
      </c>
      <c r="B27" s="78">
        <f>IF(OR(Setup!$B$19="",Setup!$B$19=0),"",EOMONTH(Setup!$B$19,A27-1))</f>
      </c>
      <c r="C27" s="68"/>
      <c r="D27" s="68"/>
      <c r="E27" s="79">
        <f>IF(D27&lt;&gt;"",D27,IF(SUM($C$7:$C$30)=0,0,C27*Setup!$B$7/SUM($C$7:$C$30)))</f>
      </c>
      <c r="F27" s="79">
        <f>MAX(0,MIN(Setup!$B$11*Setup!$B$7-SUM($F$7:F26),E27*Setup!$B$12))</f>
      </c>
      <c r="G27" s="79">
        <f>E27*Setup!$B$8</f>
      </c>
      <c r="H27" s="79">
        <f t="shared" si="0"/>
      </c>
      <c r="I27" s="79">
        <f>IF(A27-Setup!$B$9&lt;1,0,INDEX($H$7:$H$30,A27-Setup!$B$9))</f>
      </c>
      <c r="J27" s="79">
        <f>IF(A27=1,Setup!$B$11*Setup!$B$7,0)</f>
      </c>
      <c r="K27" s="79">
        <f>IF(A27=Setup!$B$13,SUM($G$7:G27)*Setup!$B$14,0)+IF(A27=Setup!$B$15,SUM($G$7:G27)*Setup!$B$16,0)</f>
      </c>
      <c r="L27" s="80">
        <f t="shared" si="1"/>
      </c>
      <c r="M27" s="80">
        <f>IF(A27-Setup!$B$10&lt;1,0,INDEX($C$7:$C$30,A27-Setup!$B$10))</f>
      </c>
      <c r="N27" s="79">
        <f>SUM($M$7:M27)</f>
      </c>
      <c r="O27" s="79">
        <f>SUM($L$7:L27)</f>
      </c>
      <c r="P27" s="80">
        <f t="shared" si="2"/>
      </c>
      <c r="Q27" s="79">
        <f>SUM($G$7:G27)-SUM($K$7:K27)</f>
      </c>
      <c r="R27" s="79">
        <f>IF(P27&lt;0,-P27*Setup!$B$17/12,0)</f>
      </c>
      <c r="S27" s="81">
        <f t="shared" si="3"/>
      </c>
      <c r="T27" s="81">
        <f t="shared" si="4"/>
      </c>
    </row>
    <row r="28" spans="1:20" x14ac:dyDescent="0.3">
      <c r="A28" s="77">
        <v>22</v>
      </c>
      <c r="B28" s="78">
        <f>IF(OR(Setup!$B$19="",Setup!$B$19=0),"",EOMONTH(Setup!$B$19,A28-1))</f>
      </c>
      <c r="C28" s="68"/>
      <c r="D28" s="68"/>
      <c r="E28" s="79">
        <f>IF(D28&lt;&gt;"",D28,IF(SUM($C$7:$C$30)=0,0,C28*Setup!$B$7/SUM($C$7:$C$30)))</f>
      </c>
      <c r="F28" s="79">
        <f>MAX(0,MIN(Setup!$B$11*Setup!$B$7-SUM($F$7:F27),E28*Setup!$B$12))</f>
      </c>
      <c r="G28" s="79">
        <f>E28*Setup!$B$8</f>
      </c>
      <c r="H28" s="79">
        <f t="shared" si="0"/>
      </c>
      <c r="I28" s="79">
        <f>IF(A28-Setup!$B$9&lt;1,0,INDEX($H$7:$H$30,A28-Setup!$B$9))</f>
      </c>
      <c r="J28" s="79">
        <f>IF(A28=1,Setup!$B$11*Setup!$B$7,0)</f>
      </c>
      <c r="K28" s="79">
        <f>IF(A28=Setup!$B$13,SUM($G$7:G28)*Setup!$B$14,0)+IF(A28=Setup!$B$15,SUM($G$7:G28)*Setup!$B$16,0)</f>
      </c>
      <c r="L28" s="80">
        <f t="shared" si="1"/>
      </c>
      <c r="M28" s="80">
        <f>IF(A28-Setup!$B$10&lt;1,0,INDEX($C$7:$C$30,A28-Setup!$B$10))</f>
      </c>
      <c r="N28" s="79">
        <f>SUM($M$7:M28)</f>
      </c>
      <c r="O28" s="79">
        <f>SUM($L$7:L28)</f>
      </c>
      <c r="P28" s="80">
        <f t="shared" si="2"/>
      </c>
      <c r="Q28" s="79">
        <f>SUM($G$7:G28)-SUM($K$7:K28)</f>
      </c>
      <c r="R28" s="79">
        <f>IF(P28&lt;0,-P28*Setup!$B$17/12,0)</f>
      </c>
      <c r="S28" s="81">
        <f t="shared" si="3"/>
      </c>
      <c r="T28" s="81">
        <f t="shared" si="4"/>
      </c>
    </row>
    <row r="29" spans="1:20" x14ac:dyDescent="0.3">
      <c r="A29" s="77">
        <v>23</v>
      </c>
      <c r="B29" s="78">
        <f>IF(OR(Setup!$B$19="",Setup!$B$19=0),"",EOMONTH(Setup!$B$19,A29-1))</f>
      </c>
      <c r="C29" s="68"/>
      <c r="D29" s="68"/>
      <c r="E29" s="79">
        <f>IF(D29&lt;&gt;"",D29,IF(SUM($C$7:$C$30)=0,0,C29*Setup!$B$7/SUM($C$7:$C$30)))</f>
      </c>
      <c r="F29" s="79">
        <f>MAX(0,MIN(Setup!$B$11*Setup!$B$7-SUM($F$7:F28),E29*Setup!$B$12))</f>
      </c>
      <c r="G29" s="79">
        <f>E29*Setup!$B$8</f>
      </c>
      <c r="H29" s="79">
        <f t="shared" si="0"/>
      </c>
      <c r="I29" s="79">
        <f>IF(A29-Setup!$B$9&lt;1,0,INDEX($H$7:$H$30,A29-Setup!$B$9))</f>
      </c>
      <c r="J29" s="79">
        <f>IF(A29=1,Setup!$B$11*Setup!$B$7,0)</f>
      </c>
      <c r="K29" s="79">
        <f>IF(A29=Setup!$B$13,SUM($G$7:G29)*Setup!$B$14,0)+IF(A29=Setup!$B$15,SUM($G$7:G29)*Setup!$B$16,0)</f>
      </c>
      <c r="L29" s="80">
        <f t="shared" si="1"/>
      </c>
      <c r="M29" s="80">
        <f>IF(A29-Setup!$B$10&lt;1,0,INDEX($C$7:$C$30,A29-Setup!$B$10))</f>
      </c>
      <c r="N29" s="79">
        <f>SUM($M$7:M29)</f>
      </c>
      <c r="O29" s="79">
        <f>SUM($L$7:L29)</f>
      </c>
      <c r="P29" s="80">
        <f t="shared" si="2"/>
      </c>
      <c r="Q29" s="79">
        <f>SUM($G$7:G29)-SUM($K$7:K29)</f>
      </c>
      <c r="R29" s="79">
        <f>IF(P29&lt;0,-P29*Setup!$B$17/12,0)</f>
      </c>
      <c r="S29" s="81">
        <f t="shared" si="3"/>
      </c>
      <c r="T29" s="81">
        <f t="shared" si="4"/>
      </c>
    </row>
    <row r="30" spans="1:20" x14ac:dyDescent="0.3">
      <c r="A30" s="77">
        <v>24</v>
      </c>
      <c r="B30" s="78">
        <f>IF(OR(Setup!$B$19="",Setup!$B$19=0),"",EOMONTH(Setup!$B$19,A30-1))</f>
      </c>
      <c r="C30" s="68"/>
      <c r="D30" s="68"/>
      <c r="E30" s="79">
        <f>IF(D30&lt;&gt;"",D30,IF(SUM($C$7:$C$30)=0,0,C30*Setup!$B$7/SUM($C$7:$C$30)))</f>
      </c>
      <c r="F30" s="79">
        <f>MAX(0,MIN(Setup!$B$11*Setup!$B$7-SUM($F$7:F29),E30*Setup!$B$12))</f>
      </c>
      <c r="G30" s="79">
        <f>E30*Setup!$B$8</f>
      </c>
      <c r="H30" s="79">
        <f t="shared" si="0"/>
      </c>
      <c r="I30" s="79">
        <f>IF(A30-Setup!$B$9&lt;1,0,INDEX($H$7:$H$30,A30-Setup!$B$9))</f>
      </c>
      <c r="J30" s="79">
        <f>IF(A30=1,Setup!$B$11*Setup!$B$7,0)</f>
      </c>
      <c r="K30" s="79">
        <f>IF(A30=Setup!$B$13,SUM($G$7:G30)*Setup!$B$14,0)+IF(A30=Setup!$B$15,SUM($G$7:G30)*Setup!$B$16,0)</f>
      </c>
      <c r="L30" s="80">
        <f t="shared" si="1"/>
      </c>
      <c r="M30" s="80">
        <f>IF(A30-Setup!$B$10&lt;1,0,INDEX($C$7:$C$30,A30-Setup!$B$10))</f>
      </c>
      <c r="N30" s="79">
        <f>SUM($M$7:M30)</f>
      </c>
      <c r="O30" s="79">
        <f>SUM($L$7:L30)</f>
      </c>
      <c r="P30" s="80">
        <f t="shared" si="2"/>
      </c>
      <c r="Q30" s="79">
        <f>SUM($G$7:G30)-SUM($K$7:K30)</f>
      </c>
      <c r="R30" s="79">
        <f>IF(P30&lt;0,-P30*Setup!$B$17/12,0)</f>
      </c>
      <c r="S30" s="81">
        <f t="shared" si="3"/>
      </c>
      <c r="T30" s="81">
        <f t="shared" si="4"/>
      </c>
    </row>
    <row r="32" spans="1:20" x14ac:dyDescent="0.3">
      <c r="A32" s="54" t="s">
        <v>139</v>
      </c>
    </row>
    <row r="33" spans="1:4" x14ac:dyDescent="0.3">
      <c r="A33" s="82" t="s">
        <v>140</v>
      </c>
      <c r="B33" s="23"/>
      <c r="C33" s="23"/>
      <c r="D33" s="83">
        <f>SUM(C7:C30)</f>
      </c>
    </row>
    <row r="34" spans="1:4" x14ac:dyDescent="0.3">
      <c r="A34" s="82" t="s">
        <v>91</v>
      </c>
      <c r="B34" s="23"/>
      <c r="C34" s="23"/>
      <c r="D34" s="83">
        <f>Setup!$B$7</f>
      </c>
    </row>
    <row r="35" spans="1:4" x14ac:dyDescent="0.3">
      <c r="A35" s="84" t="s">
        <v>141</v>
      </c>
      <c r="B35" s="23"/>
      <c r="C35" s="23"/>
      <c r="D35" s="85">
        <f>D34-D33</f>
      </c>
    </row>
    <row r="36" spans="1:4" x14ac:dyDescent="0.3">
      <c r="A36" s="84" t="s">
        <v>142</v>
      </c>
      <c r="B36" s="23"/>
      <c r="C36" s="23"/>
      <c r="D36" s="85">
        <f>MIN(P7:P30)</f>
      </c>
    </row>
    <row r="37" spans="1:4" x14ac:dyDescent="0.3">
      <c r="A37" s="82" t="s">
        <v>143</v>
      </c>
      <c r="B37" s="23"/>
      <c r="C37" s="23"/>
      <c r="D37" s="86">
        <f>IF(D36&gt;=0,"",INDEX(A7:A30,MATCH(D36,P7:P30,0)))</f>
      </c>
    </row>
    <row r="38" spans="1:4" x14ac:dyDescent="0.3">
      <c r="A38" s="82" t="s">
        <v>144</v>
      </c>
      <c r="B38" s="23"/>
      <c r="C38" s="23"/>
      <c r="D38" s="86">
        <f>COUNTIF(P7:P30,"&lt;0")</f>
      </c>
    </row>
    <row r="39" spans="1:4" x14ac:dyDescent="0.3">
      <c r="A39" s="82" t="s">
        <v>145</v>
      </c>
      <c r="B39" s="23"/>
      <c r="C39" s="23"/>
      <c r="D39" s="83">
        <f>IF(D36&gt;=0,0,-D36*Setup!$B$17*D38/12)</f>
      </c>
    </row>
    <row r="40" spans="1:4" x14ac:dyDescent="0.3">
      <c r="A40" s="82" t="s">
        <v>146</v>
      </c>
      <c r="B40" s="23"/>
      <c r="C40" s="23"/>
      <c r="D40" s="83">
        <f>SUM(R7:R30)</f>
      </c>
    </row>
    <row r="41" spans="1:4" x14ac:dyDescent="0.3">
      <c r="A41" s="82" t="s">
        <v>147</v>
      </c>
      <c r="B41" s="23"/>
      <c r="C41" s="23"/>
      <c r="D41" s="83">
        <f>O30</f>
      </c>
    </row>
    <row r="42" spans="1:4" x14ac:dyDescent="0.3">
      <c r="A42" s="82" t="s">
        <v>148</v>
      </c>
      <c r="B42" s="23"/>
      <c r="C42" s="23"/>
      <c r="D42" s="83">
        <f>Q30</f>
      </c>
    </row>
    <row r="43" spans="1:4" x14ac:dyDescent="0.3">
      <c r="A43" s="82" t="s">
        <v>149</v>
      </c>
      <c r="B43" s="23"/>
      <c r="C43" s="23"/>
      <c r="D43" s="83">
        <f>IF(Setup!$B$18="","",Setup!$B$18+MIN(0,D36))</f>
      </c>
    </row>
  </sheetData>
  <sheetProtection sheet="1" formatCells="0" formatColumns="0" formatRows="0" insertColumns="0" insertRows="0" insertHyperlinks="0" deleteColumns="0" deleteRows="0" sort="0" autoFilter="0" pivotTables="0"/>
  <mergeCells count="11">
    <mergeCell ref="A43:C43"/>
    <mergeCell ref="A38:C38"/>
    <mergeCell ref="A42:C42"/>
    <mergeCell ref="A41:C41"/>
    <mergeCell ref="A36:C36"/>
    <mergeCell ref="A33:C33"/>
    <mergeCell ref="A37:C37"/>
    <mergeCell ref="A40:C40"/>
    <mergeCell ref="A39:C39"/>
    <mergeCell ref="A34:C34"/>
    <mergeCell ref="A35:C35"/>
  </mergeCells>
  <conditionalFormatting sqref="P7:P30">
    <cfRule type="cellIs" dxfId="6" priority="1" operator="lessThan">
      <formula>0</formula>
    </cfRule>
    <cfRule type="expression" dxfId="5" priority="2">
      <formula>AND(P7=MIN($P$7:$P$30),P7&lt;0)</formula>
    </cfRule>
  </conditionalFormatting>
  <printOptions horizontalCentered="1"/>
  <pageMargins left="0.4" right="0.4" top="0.5" bottom="0.5" header="0.5" footer="0.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D9488"/>
    <pageSetUpPr fitToPage="1"/>
  </sheetPr>
  <dimension ref="A1:Y43"/>
  <sheetViews>
    <sheetView showGridLines="0" zoomScale="90" zoomScaleNormal="90" workbookViewId="0">
      <pane xSplit="2" ySplit="6" topLeftCell="C7" activePane="bottomRight" state="frozen"/>
      <selection pane="topRight"/>
      <selection pane="bottomLeft"/>
      <selection pane="bottomRight" activeCell="J34" sqref="J34"/>
    </sheetView>
  </sheetViews>
  <sheetFormatPr defaultRowHeight="14.4" x14ac:dyDescent="0.3"/>
  <cols>
    <col min="1" max="1" width="8" style="2" customWidth="1"/>
    <col min="2" max="2" width="10" style="2" customWidth="1"/>
    <col min="3" max="3" width="14" style="2" customWidth="1"/>
    <col min="4" max="5" width="13" style="2" customWidth="1"/>
    <col min="6" max="7" width="12" style="2" customWidth="1"/>
    <col min="8" max="9" width="13" style="2" customWidth="1"/>
    <col min="10" max="11" width="12" style="2" customWidth="1"/>
    <col min="12" max="13" width="13" style="2" customWidth="1"/>
    <col min="14" max="16" width="14" style="2" customWidth="1"/>
    <col min="17" max="17" width="13" style="2" customWidth="1"/>
    <col min="18" max="18" width="12" style="2" customWidth="1"/>
    <col min="19" max="20" width="10" style="2" customWidth="1"/>
    <col min="21" max="21" width="8.88671875" style="2"/>
    <col min="22" max="22" width="3" style="2" customWidth="1"/>
    <col min="23" max="23" width="40" style="2" customWidth="1"/>
    <col min="24" max="25" width="14" style="2" customWidth="1"/>
    <col min="26" max="16384" width="8.88671875" style="2"/>
  </cols>
  <sheetData>
    <row r="1" spans="1:25" ht="28.05" customHeight="1" x14ac:dyDescent="0.4">
      <c r="A1" s="62" t="s">
        <v>43</v>
      </c>
      <c r="Y1" s="73" t="s">
        <v>54</v>
      </c>
    </row>
    <row r="2" spans="1:25" x14ac:dyDescent="0.3">
      <c r="A2" s="63" t="s">
        <v>150</v>
      </c>
    </row>
    <row r="3" spans="1:25" x14ac:dyDescent="0.3">
      <c r="A3" s="64" t="s">
        <v>151</v>
      </c>
    </row>
    <row r="4" spans="1:25" x14ac:dyDescent="0.3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</row>
    <row r="5" spans="1:25" x14ac:dyDescent="0.3">
      <c r="W5" s="88" t="s">
        <v>152</v>
      </c>
    </row>
    <row r="6" spans="1:25" s="106" customFormat="1" ht="31.95" customHeight="1" x14ac:dyDescent="0.2">
      <c r="A6" s="102" t="s">
        <v>119</v>
      </c>
      <c r="B6" s="102" t="s">
        <v>120</v>
      </c>
      <c r="C6" s="103" t="s">
        <v>121</v>
      </c>
      <c r="D6" s="103" t="s">
        <v>122</v>
      </c>
      <c r="E6" s="102" t="s">
        <v>123</v>
      </c>
      <c r="F6" s="102" t="s">
        <v>124</v>
      </c>
      <c r="G6" s="102" t="s">
        <v>125</v>
      </c>
      <c r="H6" s="102" t="s">
        <v>126</v>
      </c>
      <c r="I6" s="102" t="s">
        <v>127</v>
      </c>
      <c r="J6" s="102" t="s">
        <v>128</v>
      </c>
      <c r="K6" s="102" t="s">
        <v>129</v>
      </c>
      <c r="L6" s="104" t="s">
        <v>130</v>
      </c>
      <c r="M6" s="104" t="s">
        <v>131</v>
      </c>
      <c r="N6" s="102" t="s">
        <v>132</v>
      </c>
      <c r="O6" s="102" t="s">
        <v>133</v>
      </c>
      <c r="P6" s="104" t="s">
        <v>134</v>
      </c>
      <c r="Q6" s="102" t="s">
        <v>135</v>
      </c>
      <c r="R6" s="102" t="s">
        <v>136</v>
      </c>
      <c r="S6" s="105" t="s">
        <v>137</v>
      </c>
      <c r="T6" s="105" t="s">
        <v>138</v>
      </c>
      <c r="W6" s="107" t="s">
        <v>153</v>
      </c>
    </row>
    <row r="7" spans="1:25" x14ac:dyDescent="0.3">
      <c r="A7" s="77">
        <v>1</v>
      </c>
      <c r="B7" s="78">
        <f t="shared" ref="B7:B30" si="0">IF(OR($X$19="",$X$19=0),"",EOMONTH($X$19,A7-1))</f>
      </c>
      <c r="C7" s="79">
        <f>'Cash flow'!C7</f>
      </c>
      <c r="D7" s="68"/>
      <c r="E7" s="79">
        <f t="shared" ref="E7:E30" si="1">IF(D7&lt;&gt;"",D7,IF(SUM($C$7:$C$30)=0,0,C7*$X$7/SUM($C$7:$C$30)))</f>
      </c>
      <c r="F7" s="79">
        <f>MAX(0,MIN($X$11*$X$7-0,E7*$X$12))</f>
      </c>
      <c r="G7" s="79">
        <f t="shared" ref="G7:G30" si="2">E7*$X$8</f>
      </c>
      <c r="H7" s="79">
        <f t="shared" ref="H7:H30" si="3">E7-G7-F7</f>
      </c>
      <c r="I7" s="79">
        <f t="shared" ref="I7:I30" si="4">IF(A7-$X$9&lt;1,0,INDEX($H$7:$H$30,A7-$X$9))</f>
      </c>
      <c r="J7" s="79">
        <f t="shared" ref="J7:J30" si="5">IF(A7=1,$X$11*$X$7,0)</f>
      </c>
      <c r="K7" s="79">
        <f>IF(A7=$X$13,SUM($G$7:G7)*$X$14,0)+IF(A7=$X$15,SUM($G$7:G7)*$X$16,0)</f>
      </c>
      <c r="L7" s="80">
        <f t="shared" ref="L7:L30" si="6">I7+J7+K7</f>
      </c>
      <c r="M7" s="80">
        <f t="shared" ref="M7:M30" si="7">IF(A7-$X$10&lt;1,0,INDEX($C$7:$C$30,A7-$X$10))</f>
      </c>
      <c r="N7" s="79">
        <f>SUM($M$7:M7)</f>
      </c>
      <c r="O7" s="79">
        <f>SUM($L$7:L7)</f>
      </c>
      <c r="P7" s="80">
        <f t="shared" ref="P7:P30" si="8">O7-N7</f>
      </c>
      <c r="Q7" s="79">
        <f>SUM($G$7:G7)-SUM($K$7:K7)</f>
      </c>
      <c r="R7" s="79">
        <f t="shared" ref="R7:R30" si="9">IF(P7&lt;0,-P7*$X$17/12,0)</f>
      </c>
      <c r="S7" s="81">
        <f t="shared" ref="S7:S30" si="10">MIN(P7,0)</f>
      </c>
      <c r="T7" s="81">
        <f t="shared" ref="T7:T30" si="11">MAX(P7,0)</f>
      </c>
      <c r="W7" s="15" t="s">
        <v>91</v>
      </c>
      <c r="X7" s="68">
        <f>Setup!$B$7</f>
      </c>
    </row>
    <row r="8" spans="1:25" x14ac:dyDescent="0.3">
      <c r="A8" s="77">
        <v>2</v>
      </c>
      <c r="B8" s="78">
        <f t="shared" si="0"/>
      </c>
      <c r="C8" s="79">
        <f>'Cash flow'!C8</f>
      </c>
      <c r="D8" s="68"/>
      <c r="E8" s="79">
        <f t="shared" si="1"/>
      </c>
      <c r="F8" s="79">
        <f>MAX(0,MIN($X$11*$X$7-SUM($F$7:F7),E8*$X$12))</f>
      </c>
      <c r="G8" s="79">
        <f t="shared" si="2"/>
      </c>
      <c r="H8" s="79">
        <f t="shared" si="3"/>
      </c>
      <c r="I8" s="79">
        <f t="shared" si="4"/>
      </c>
      <c r="J8" s="79">
        <f t="shared" si="5"/>
      </c>
      <c r="K8" s="79">
        <f>IF(A8=$X$13,SUM($G$7:G8)*$X$14,0)+IF(A8=$X$15,SUM($G$7:G8)*$X$16,0)</f>
      </c>
      <c r="L8" s="80">
        <f t="shared" si="6"/>
      </c>
      <c r="M8" s="80">
        <f t="shared" si="7"/>
      </c>
      <c r="N8" s="79">
        <f>SUM($M$7:M8)</f>
      </c>
      <c r="O8" s="79">
        <f>SUM($L$7:L8)</f>
      </c>
      <c r="P8" s="80">
        <f t="shared" si="8"/>
      </c>
      <c r="Q8" s="79">
        <f>SUM($G$7:G8)-SUM($K$7:K8)</f>
      </c>
      <c r="R8" s="79">
        <f t="shared" si="9"/>
      </c>
      <c r="S8" s="81">
        <f t="shared" si="10"/>
      </c>
      <c r="T8" s="81">
        <f t="shared" si="11"/>
      </c>
      <c r="W8" s="15" t="s">
        <v>93</v>
      </c>
      <c r="X8" s="69">
        <f>Setup!$B$8</f>
      </c>
    </row>
    <row r="9" spans="1:25" x14ac:dyDescent="0.3">
      <c r="A9" s="77">
        <v>3</v>
      </c>
      <c r="B9" s="78">
        <f t="shared" si="0"/>
      </c>
      <c r="C9" s="79">
        <f>'Cash flow'!C9</f>
      </c>
      <c r="D9" s="68"/>
      <c r="E9" s="79">
        <f t="shared" si="1"/>
      </c>
      <c r="F9" s="79">
        <f>MAX(0,MIN($X$11*$X$7-SUM($F$7:F8),E9*$X$12))</f>
      </c>
      <c r="G9" s="79">
        <f t="shared" si="2"/>
      </c>
      <c r="H9" s="79">
        <f t="shared" si="3"/>
      </c>
      <c r="I9" s="79">
        <f t="shared" si="4"/>
      </c>
      <c r="J9" s="79">
        <f t="shared" si="5"/>
      </c>
      <c r="K9" s="79">
        <f>IF(A9=$X$13,SUM($G$7:G9)*$X$14,0)+IF(A9=$X$15,SUM($G$7:G9)*$X$16,0)</f>
      </c>
      <c r="L9" s="80">
        <f t="shared" si="6"/>
      </c>
      <c r="M9" s="80">
        <f t="shared" si="7"/>
      </c>
      <c r="N9" s="79">
        <f>SUM($M$7:M9)</f>
      </c>
      <c r="O9" s="79">
        <f>SUM($L$7:L9)</f>
      </c>
      <c r="P9" s="80">
        <f t="shared" si="8"/>
      </c>
      <c r="Q9" s="79">
        <f>SUM($G$7:G9)-SUM($K$7:K9)</f>
      </c>
      <c r="R9" s="79">
        <f t="shared" si="9"/>
      </c>
      <c r="S9" s="81">
        <f t="shared" si="10"/>
      </c>
      <c r="T9" s="81">
        <f t="shared" si="11"/>
      </c>
      <c r="W9" s="15" t="s">
        <v>95</v>
      </c>
      <c r="X9" s="70">
        <f>Setup!$B$9</f>
      </c>
    </row>
    <row r="10" spans="1:25" x14ac:dyDescent="0.3">
      <c r="A10" s="77">
        <v>4</v>
      </c>
      <c r="B10" s="78">
        <f t="shared" si="0"/>
      </c>
      <c r="C10" s="79">
        <f>'Cash flow'!C10</f>
      </c>
      <c r="D10" s="68"/>
      <c r="E10" s="79">
        <f t="shared" si="1"/>
      </c>
      <c r="F10" s="79">
        <f>MAX(0,MIN($X$11*$X$7-SUM($F$7:F9),E10*$X$12))</f>
      </c>
      <c r="G10" s="79">
        <f t="shared" si="2"/>
      </c>
      <c r="H10" s="79">
        <f t="shared" si="3"/>
      </c>
      <c r="I10" s="79">
        <f t="shared" si="4"/>
      </c>
      <c r="J10" s="79">
        <f t="shared" si="5"/>
      </c>
      <c r="K10" s="79">
        <f>IF(A10=$X$13,SUM($G$7:G10)*$X$14,0)+IF(A10=$X$15,SUM($G$7:G10)*$X$16,0)</f>
      </c>
      <c r="L10" s="80">
        <f t="shared" si="6"/>
      </c>
      <c r="M10" s="80">
        <f t="shared" si="7"/>
      </c>
      <c r="N10" s="79">
        <f>SUM($M$7:M10)</f>
      </c>
      <c r="O10" s="79">
        <f>SUM($L$7:L10)</f>
      </c>
      <c r="P10" s="80">
        <f t="shared" si="8"/>
      </c>
      <c r="Q10" s="79">
        <f>SUM($G$7:G10)-SUM($K$7:K10)</f>
      </c>
      <c r="R10" s="79">
        <f t="shared" si="9"/>
      </c>
      <c r="S10" s="81">
        <f t="shared" si="10"/>
      </c>
      <c r="T10" s="81">
        <f t="shared" si="11"/>
      </c>
      <c r="W10" s="15" t="s">
        <v>97</v>
      </c>
      <c r="X10" s="70">
        <f>Setup!$B$10</f>
      </c>
    </row>
    <row r="11" spans="1:25" x14ac:dyDescent="0.3">
      <c r="A11" s="77">
        <v>5</v>
      </c>
      <c r="B11" s="78">
        <f t="shared" si="0"/>
      </c>
      <c r="C11" s="79">
        <f>'Cash flow'!C11</f>
      </c>
      <c r="D11" s="68"/>
      <c r="E11" s="79">
        <f t="shared" si="1"/>
      </c>
      <c r="F11" s="79">
        <f>MAX(0,MIN($X$11*$X$7-SUM($F$7:F10),E11*$X$12))</f>
      </c>
      <c r="G11" s="79">
        <f t="shared" si="2"/>
      </c>
      <c r="H11" s="79">
        <f t="shared" si="3"/>
      </c>
      <c r="I11" s="79">
        <f t="shared" si="4"/>
      </c>
      <c r="J11" s="79">
        <f t="shared" si="5"/>
      </c>
      <c r="K11" s="79">
        <f>IF(A11=$X$13,SUM($G$7:G11)*$X$14,0)+IF(A11=$X$15,SUM($G$7:G11)*$X$16,0)</f>
      </c>
      <c r="L11" s="80">
        <f t="shared" si="6"/>
      </c>
      <c r="M11" s="80">
        <f t="shared" si="7"/>
      </c>
      <c r="N11" s="79">
        <f>SUM($M$7:M11)</f>
      </c>
      <c r="O11" s="79">
        <f>SUM($L$7:L11)</f>
      </c>
      <c r="P11" s="80">
        <f t="shared" si="8"/>
      </c>
      <c r="Q11" s="79">
        <f>SUM($G$7:G11)-SUM($K$7:K11)</f>
      </c>
      <c r="R11" s="79">
        <f t="shared" si="9"/>
      </c>
      <c r="S11" s="81">
        <f t="shared" si="10"/>
      </c>
      <c r="T11" s="81">
        <f t="shared" si="11"/>
      </c>
      <c r="W11" s="15" t="s">
        <v>99</v>
      </c>
      <c r="X11" s="69">
        <f>Setup!$B$11</f>
      </c>
    </row>
    <row r="12" spans="1:25" x14ac:dyDescent="0.3">
      <c r="A12" s="77">
        <v>6</v>
      </c>
      <c r="B12" s="78">
        <f t="shared" si="0"/>
      </c>
      <c r="C12" s="79">
        <f>'Cash flow'!C12</f>
      </c>
      <c r="D12" s="68"/>
      <c r="E12" s="79">
        <f t="shared" si="1"/>
      </c>
      <c r="F12" s="79">
        <f>MAX(0,MIN($X$11*$X$7-SUM($F$7:F11),E12*$X$12))</f>
      </c>
      <c r="G12" s="79">
        <f t="shared" si="2"/>
      </c>
      <c r="H12" s="79">
        <f t="shared" si="3"/>
      </c>
      <c r="I12" s="79">
        <f t="shared" si="4"/>
      </c>
      <c r="J12" s="79">
        <f t="shared" si="5"/>
      </c>
      <c r="K12" s="79">
        <f>IF(A12=$X$13,SUM($G$7:G12)*$X$14,0)+IF(A12=$X$15,SUM($G$7:G12)*$X$16,0)</f>
      </c>
      <c r="L12" s="80">
        <f t="shared" si="6"/>
      </c>
      <c r="M12" s="80">
        <f t="shared" si="7"/>
      </c>
      <c r="N12" s="79">
        <f>SUM($M$7:M12)</f>
      </c>
      <c r="O12" s="79">
        <f>SUM($L$7:L12)</f>
      </c>
      <c r="P12" s="80">
        <f t="shared" si="8"/>
      </c>
      <c r="Q12" s="79">
        <f>SUM($G$7:G12)-SUM($K$7:K12)</f>
      </c>
      <c r="R12" s="79">
        <f t="shared" si="9"/>
      </c>
      <c r="S12" s="81">
        <f t="shared" si="10"/>
      </c>
      <c r="T12" s="81">
        <f t="shared" si="11"/>
      </c>
      <c r="W12" s="15" t="s">
        <v>101</v>
      </c>
      <c r="X12" s="69">
        <f>Setup!$B$12</f>
      </c>
    </row>
    <row r="13" spans="1:25" x14ac:dyDescent="0.3">
      <c r="A13" s="77">
        <v>7</v>
      </c>
      <c r="B13" s="78">
        <f t="shared" si="0"/>
      </c>
      <c r="C13" s="79">
        <f>'Cash flow'!C13</f>
      </c>
      <c r="D13" s="68"/>
      <c r="E13" s="79">
        <f t="shared" si="1"/>
      </c>
      <c r="F13" s="79">
        <f>MAX(0,MIN($X$11*$X$7-SUM($F$7:F12),E13*$X$12))</f>
      </c>
      <c r="G13" s="79">
        <f t="shared" si="2"/>
      </c>
      <c r="H13" s="79">
        <f t="shared" si="3"/>
      </c>
      <c r="I13" s="79">
        <f t="shared" si="4"/>
      </c>
      <c r="J13" s="79">
        <f t="shared" si="5"/>
      </c>
      <c r="K13" s="79">
        <f>IF(A13=$X$13,SUM($G$7:G13)*$X$14,0)+IF(A13=$X$15,SUM($G$7:G13)*$X$16,0)</f>
      </c>
      <c r="L13" s="80">
        <f t="shared" si="6"/>
      </c>
      <c r="M13" s="80">
        <f t="shared" si="7"/>
      </c>
      <c r="N13" s="79">
        <f>SUM($M$7:M13)</f>
      </c>
      <c r="O13" s="79">
        <f>SUM($L$7:L13)</f>
      </c>
      <c r="P13" s="80">
        <f t="shared" si="8"/>
      </c>
      <c r="Q13" s="79">
        <f>SUM($G$7:G13)-SUM($K$7:K13)</f>
      </c>
      <c r="R13" s="79">
        <f t="shared" si="9"/>
      </c>
      <c r="S13" s="81">
        <f t="shared" si="10"/>
      </c>
      <c r="T13" s="81">
        <f t="shared" si="11"/>
      </c>
      <c r="W13" s="15" t="s">
        <v>103</v>
      </c>
      <c r="X13" s="70">
        <f>Setup!$B$13</f>
      </c>
    </row>
    <row r="14" spans="1:25" x14ac:dyDescent="0.3">
      <c r="A14" s="77">
        <v>8</v>
      </c>
      <c r="B14" s="78">
        <f t="shared" si="0"/>
      </c>
      <c r="C14" s="79">
        <f>'Cash flow'!C14</f>
      </c>
      <c r="D14" s="68"/>
      <c r="E14" s="79">
        <f t="shared" si="1"/>
      </c>
      <c r="F14" s="79">
        <f>MAX(0,MIN($X$11*$X$7-SUM($F$7:F13),E14*$X$12))</f>
      </c>
      <c r="G14" s="79">
        <f t="shared" si="2"/>
      </c>
      <c r="H14" s="79">
        <f t="shared" si="3"/>
      </c>
      <c r="I14" s="79">
        <f t="shared" si="4"/>
      </c>
      <c r="J14" s="79">
        <f t="shared" si="5"/>
      </c>
      <c r="K14" s="79">
        <f>IF(A14=$X$13,SUM($G$7:G14)*$X$14,0)+IF(A14=$X$15,SUM($G$7:G14)*$X$16,0)</f>
      </c>
      <c r="L14" s="80">
        <f t="shared" si="6"/>
      </c>
      <c r="M14" s="80">
        <f t="shared" si="7"/>
      </c>
      <c r="N14" s="79">
        <f>SUM($M$7:M14)</f>
      </c>
      <c r="O14" s="79">
        <f>SUM($L$7:L14)</f>
      </c>
      <c r="P14" s="80">
        <f t="shared" si="8"/>
      </c>
      <c r="Q14" s="79">
        <f>SUM($G$7:G14)-SUM($K$7:K14)</f>
      </c>
      <c r="R14" s="79">
        <f t="shared" si="9"/>
      </c>
      <c r="S14" s="81">
        <f t="shared" si="10"/>
      </c>
      <c r="T14" s="81">
        <f t="shared" si="11"/>
      </c>
      <c r="W14" s="15" t="s">
        <v>105</v>
      </c>
      <c r="X14" s="69">
        <f>Setup!$B$14</f>
      </c>
    </row>
    <row r="15" spans="1:25" x14ac:dyDescent="0.3">
      <c r="A15" s="77">
        <v>9</v>
      </c>
      <c r="B15" s="78">
        <f t="shared" si="0"/>
      </c>
      <c r="C15" s="79">
        <f>'Cash flow'!C15</f>
      </c>
      <c r="D15" s="68"/>
      <c r="E15" s="79">
        <f t="shared" si="1"/>
      </c>
      <c r="F15" s="79">
        <f>MAX(0,MIN($X$11*$X$7-SUM($F$7:F14),E15*$X$12))</f>
      </c>
      <c r="G15" s="79">
        <f t="shared" si="2"/>
      </c>
      <c r="H15" s="79">
        <f t="shared" si="3"/>
      </c>
      <c r="I15" s="79">
        <f t="shared" si="4"/>
      </c>
      <c r="J15" s="79">
        <f t="shared" si="5"/>
      </c>
      <c r="K15" s="79">
        <f>IF(A15=$X$13,SUM($G$7:G15)*$X$14,0)+IF(A15=$X$15,SUM($G$7:G15)*$X$16,0)</f>
      </c>
      <c r="L15" s="80">
        <f t="shared" si="6"/>
      </c>
      <c r="M15" s="80">
        <f t="shared" si="7"/>
      </c>
      <c r="N15" s="79">
        <f>SUM($M$7:M15)</f>
      </c>
      <c r="O15" s="79">
        <f>SUM($L$7:L15)</f>
      </c>
      <c r="P15" s="80">
        <f t="shared" si="8"/>
      </c>
      <c r="Q15" s="79">
        <f>SUM($G$7:G15)-SUM($K$7:K15)</f>
      </c>
      <c r="R15" s="79">
        <f t="shared" si="9"/>
      </c>
      <c r="S15" s="81">
        <f t="shared" si="10"/>
      </c>
      <c r="T15" s="81">
        <f t="shared" si="11"/>
      </c>
      <c r="W15" s="15" t="s">
        <v>107</v>
      </c>
      <c r="X15" s="70">
        <f>Setup!$B$15</f>
      </c>
    </row>
    <row r="16" spans="1:25" x14ac:dyDescent="0.3">
      <c r="A16" s="77">
        <v>10</v>
      </c>
      <c r="B16" s="78">
        <f t="shared" si="0"/>
      </c>
      <c r="C16" s="79">
        <f>'Cash flow'!C16</f>
      </c>
      <c r="D16" s="68"/>
      <c r="E16" s="79">
        <f t="shared" si="1"/>
      </c>
      <c r="F16" s="79">
        <f>MAX(0,MIN($X$11*$X$7-SUM($F$7:F15),E16*$X$12))</f>
      </c>
      <c r="G16" s="79">
        <f t="shared" si="2"/>
      </c>
      <c r="H16" s="79">
        <f t="shared" si="3"/>
      </c>
      <c r="I16" s="79">
        <f t="shared" si="4"/>
      </c>
      <c r="J16" s="79">
        <f t="shared" si="5"/>
      </c>
      <c r="K16" s="79">
        <f>IF(A16=$X$13,SUM($G$7:G16)*$X$14,0)+IF(A16=$X$15,SUM($G$7:G16)*$X$16,0)</f>
      </c>
      <c r="L16" s="80">
        <f t="shared" si="6"/>
      </c>
      <c r="M16" s="80">
        <f t="shared" si="7"/>
      </c>
      <c r="N16" s="79">
        <f>SUM($M$7:M16)</f>
      </c>
      <c r="O16" s="79">
        <f>SUM($L$7:L16)</f>
      </c>
      <c r="P16" s="80">
        <f t="shared" si="8"/>
      </c>
      <c r="Q16" s="79">
        <f>SUM($G$7:G16)-SUM($K$7:K16)</f>
      </c>
      <c r="R16" s="79">
        <f t="shared" si="9"/>
      </c>
      <c r="S16" s="81">
        <f t="shared" si="10"/>
      </c>
      <c r="T16" s="81">
        <f t="shared" si="11"/>
      </c>
      <c r="W16" s="15" t="s">
        <v>109</v>
      </c>
      <c r="X16" s="69">
        <f>Setup!$B$16</f>
      </c>
    </row>
    <row r="17" spans="1:25" x14ac:dyDescent="0.3">
      <c r="A17" s="77">
        <v>11</v>
      </c>
      <c r="B17" s="78">
        <f t="shared" si="0"/>
      </c>
      <c r="C17" s="79">
        <f>'Cash flow'!C17</f>
      </c>
      <c r="D17" s="68"/>
      <c r="E17" s="79">
        <f t="shared" si="1"/>
      </c>
      <c r="F17" s="79">
        <f>MAX(0,MIN($X$11*$X$7-SUM($F$7:F16),E17*$X$12))</f>
      </c>
      <c r="G17" s="79">
        <f t="shared" si="2"/>
      </c>
      <c r="H17" s="79">
        <f t="shared" si="3"/>
      </c>
      <c r="I17" s="79">
        <f t="shared" si="4"/>
      </c>
      <c r="J17" s="79">
        <f t="shared" si="5"/>
      </c>
      <c r="K17" s="79">
        <f>IF(A17=$X$13,SUM($G$7:G17)*$X$14,0)+IF(A17=$X$15,SUM($G$7:G17)*$X$16,0)</f>
      </c>
      <c r="L17" s="80">
        <f t="shared" si="6"/>
      </c>
      <c r="M17" s="80">
        <f t="shared" si="7"/>
      </c>
      <c r="N17" s="79">
        <f>SUM($M$7:M17)</f>
      </c>
      <c r="O17" s="79">
        <f>SUM($L$7:L17)</f>
      </c>
      <c r="P17" s="80">
        <f t="shared" si="8"/>
      </c>
      <c r="Q17" s="79">
        <f>SUM($G$7:G17)-SUM($K$7:K17)</f>
      </c>
      <c r="R17" s="79">
        <f t="shared" si="9"/>
      </c>
      <c r="S17" s="81">
        <f t="shared" si="10"/>
      </c>
      <c r="T17" s="81">
        <f t="shared" si="11"/>
      </c>
      <c r="W17" s="15" t="s">
        <v>111</v>
      </c>
      <c r="X17" s="71">
        <f>Setup!$B$17</f>
      </c>
    </row>
    <row r="18" spans="1:25" x14ac:dyDescent="0.3">
      <c r="A18" s="77">
        <v>12</v>
      </c>
      <c r="B18" s="78">
        <f t="shared" si="0"/>
      </c>
      <c r="C18" s="79">
        <f>'Cash flow'!C18</f>
      </c>
      <c r="D18" s="68"/>
      <c r="E18" s="79">
        <f t="shared" si="1"/>
      </c>
      <c r="F18" s="79">
        <f>MAX(0,MIN($X$11*$X$7-SUM($F$7:F17),E18*$X$12))</f>
      </c>
      <c r="G18" s="79">
        <f t="shared" si="2"/>
      </c>
      <c r="H18" s="79">
        <f t="shared" si="3"/>
      </c>
      <c r="I18" s="79">
        <f t="shared" si="4"/>
      </c>
      <c r="J18" s="79">
        <f t="shared" si="5"/>
      </c>
      <c r="K18" s="79">
        <f>IF(A18=$X$13,SUM($G$7:G18)*$X$14,0)+IF(A18=$X$15,SUM($G$7:G18)*$X$16,0)</f>
      </c>
      <c r="L18" s="80">
        <f t="shared" si="6"/>
      </c>
      <c r="M18" s="80">
        <f t="shared" si="7"/>
      </c>
      <c r="N18" s="79">
        <f>SUM($M$7:M18)</f>
      </c>
      <c r="O18" s="79">
        <f>SUM($L$7:L18)</f>
      </c>
      <c r="P18" s="80">
        <f t="shared" si="8"/>
      </c>
      <c r="Q18" s="79">
        <f>SUM($G$7:G18)-SUM($K$7:K18)</f>
      </c>
      <c r="R18" s="79">
        <f t="shared" si="9"/>
      </c>
      <c r="S18" s="81">
        <f t="shared" si="10"/>
      </c>
      <c r="T18" s="81">
        <f t="shared" si="11"/>
      </c>
      <c r="W18" s="15" t="s">
        <v>113</v>
      </c>
      <c r="X18" s="68">
        <f>Setup!$B$18</f>
      </c>
    </row>
    <row r="19" spans="1:25" x14ac:dyDescent="0.3">
      <c r="A19" s="77">
        <v>13</v>
      </c>
      <c r="B19" s="78">
        <f t="shared" si="0"/>
      </c>
      <c r="C19" s="79">
        <f>'Cash flow'!C19</f>
      </c>
      <c r="D19" s="68"/>
      <c r="E19" s="79">
        <f t="shared" si="1"/>
      </c>
      <c r="F19" s="79">
        <f>MAX(0,MIN($X$11*$X$7-SUM($F$7:F18),E19*$X$12))</f>
      </c>
      <c r="G19" s="79">
        <f t="shared" si="2"/>
      </c>
      <c r="H19" s="79">
        <f t="shared" si="3"/>
      </c>
      <c r="I19" s="79">
        <f t="shared" si="4"/>
      </c>
      <c r="J19" s="79">
        <f t="shared" si="5"/>
      </c>
      <c r="K19" s="79">
        <f>IF(A19=$X$13,SUM($G$7:G19)*$X$14,0)+IF(A19=$X$15,SUM($G$7:G19)*$X$16,0)</f>
      </c>
      <c r="L19" s="80">
        <f t="shared" si="6"/>
      </c>
      <c r="M19" s="80">
        <f t="shared" si="7"/>
      </c>
      <c r="N19" s="79">
        <f>SUM($M$7:M19)</f>
      </c>
      <c r="O19" s="79">
        <f>SUM($L$7:L19)</f>
      </c>
      <c r="P19" s="80">
        <f t="shared" si="8"/>
      </c>
      <c r="Q19" s="79">
        <f>SUM($G$7:G19)-SUM($K$7:K19)</f>
      </c>
      <c r="R19" s="79">
        <f t="shared" si="9"/>
      </c>
      <c r="S19" s="81">
        <f t="shared" si="10"/>
      </c>
      <c r="T19" s="81">
        <f t="shared" si="11"/>
      </c>
      <c r="W19" s="15" t="s">
        <v>115</v>
      </c>
      <c r="X19" s="72">
        <f>Setup!$B$19</f>
      </c>
    </row>
    <row r="20" spans="1:25" x14ac:dyDescent="0.3">
      <c r="A20" s="77">
        <v>14</v>
      </c>
      <c r="B20" s="78">
        <f t="shared" si="0"/>
      </c>
      <c r="C20" s="79">
        <f>'Cash flow'!C20</f>
      </c>
      <c r="D20" s="68"/>
      <c r="E20" s="79">
        <f t="shared" si="1"/>
      </c>
      <c r="F20" s="79">
        <f>MAX(0,MIN($X$11*$X$7-SUM($F$7:F19),E20*$X$12))</f>
      </c>
      <c r="G20" s="79">
        <f t="shared" si="2"/>
      </c>
      <c r="H20" s="79">
        <f t="shared" si="3"/>
      </c>
      <c r="I20" s="79">
        <f t="shared" si="4"/>
      </c>
      <c r="J20" s="79">
        <f t="shared" si="5"/>
      </c>
      <c r="K20" s="79">
        <f>IF(A20=$X$13,SUM($G$7:G20)*$X$14,0)+IF(A20=$X$15,SUM($G$7:G20)*$X$16,0)</f>
      </c>
      <c r="L20" s="80">
        <f t="shared" si="6"/>
      </c>
      <c r="M20" s="80">
        <f t="shared" si="7"/>
      </c>
      <c r="N20" s="79">
        <f>SUM($M$7:M20)</f>
      </c>
      <c r="O20" s="79">
        <f>SUM($L$7:L20)</f>
      </c>
      <c r="P20" s="80">
        <f t="shared" si="8"/>
      </c>
      <c r="Q20" s="79">
        <f>SUM($G$7:G20)-SUM($K$7:K20)</f>
      </c>
      <c r="R20" s="79">
        <f t="shared" si="9"/>
      </c>
      <c r="S20" s="81">
        <f t="shared" si="10"/>
      </c>
      <c r="T20" s="81">
        <f t="shared" si="11"/>
      </c>
    </row>
    <row r="21" spans="1:25" x14ac:dyDescent="0.3">
      <c r="A21" s="77">
        <v>15</v>
      </c>
      <c r="B21" s="78">
        <f t="shared" si="0"/>
      </c>
      <c r="C21" s="79">
        <f>'Cash flow'!C21</f>
      </c>
      <c r="D21" s="68"/>
      <c r="E21" s="79">
        <f t="shared" si="1"/>
      </c>
      <c r="F21" s="79">
        <f>MAX(0,MIN($X$11*$X$7-SUM($F$7:F20),E21*$X$12))</f>
      </c>
      <c r="G21" s="79">
        <f t="shared" si="2"/>
      </c>
      <c r="H21" s="79">
        <f t="shared" si="3"/>
      </c>
      <c r="I21" s="79">
        <f t="shared" si="4"/>
      </c>
      <c r="J21" s="79">
        <f t="shared" si="5"/>
      </c>
      <c r="K21" s="79">
        <f>IF(A21=$X$13,SUM($G$7:G21)*$X$14,0)+IF(A21=$X$15,SUM($G$7:G21)*$X$16,0)</f>
      </c>
      <c r="L21" s="80">
        <f t="shared" si="6"/>
      </c>
      <c r="M21" s="80">
        <f t="shared" si="7"/>
      </c>
      <c r="N21" s="79">
        <f>SUM($M$7:M21)</f>
      </c>
      <c r="O21" s="79">
        <f>SUM($L$7:L21)</f>
      </c>
      <c r="P21" s="80">
        <f t="shared" si="8"/>
      </c>
      <c r="Q21" s="79">
        <f>SUM($G$7:G21)-SUM($K$7:K21)</f>
      </c>
      <c r="R21" s="79">
        <f t="shared" si="9"/>
      </c>
      <c r="S21" s="81">
        <f t="shared" si="10"/>
      </c>
      <c r="T21" s="81">
        <f t="shared" si="11"/>
      </c>
    </row>
    <row r="22" spans="1:25" x14ac:dyDescent="0.3">
      <c r="A22" s="77">
        <v>16</v>
      </c>
      <c r="B22" s="78">
        <f t="shared" si="0"/>
      </c>
      <c r="C22" s="79">
        <f>'Cash flow'!C22</f>
      </c>
      <c r="D22" s="68"/>
      <c r="E22" s="79">
        <f t="shared" si="1"/>
      </c>
      <c r="F22" s="79">
        <f>MAX(0,MIN($X$11*$X$7-SUM($F$7:F21),E22*$X$12))</f>
      </c>
      <c r="G22" s="79">
        <f t="shared" si="2"/>
      </c>
      <c r="H22" s="79">
        <f t="shared" si="3"/>
      </c>
      <c r="I22" s="79">
        <f t="shared" si="4"/>
      </c>
      <c r="J22" s="79">
        <f t="shared" si="5"/>
      </c>
      <c r="K22" s="79">
        <f>IF(A22=$X$13,SUM($G$7:G22)*$X$14,0)+IF(A22=$X$15,SUM($G$7:G22)*$X$16,0)</f>
      </c>
      <c r="L22" s="80">
        <f t="shared" si="6"/>
      </c>
      <c r="M22" s="80">
        <f t="shared" si="7"/>
      </c>
      <c r="N22" s="79">
        <f>SUM($M$7:M22)</f>
      </c>
      <c r="O22" s="79">
        <f>SUM($L$7:L22)</f>
      </c>
      <c r="P22" s="80">
        <f t="shared" si="8"/>
      </c>
      <c r="Q22" s="79">
        <f>SUM($G$7:G22)-SUM($K$7:K22)</f>
      </c>
      <c r="R22" s="79">
        <f t="shared" si="9"/>
      </c>
      <c r="S22" s="81">
        <f t="shared" si="10"/>
      </c>
      <c r="T22" s="81">
        <f t="shared" si="11"/>
      </c>
      <c r="W22" s="88" t="s">
        <v>154</v>
      </c>
    </row>
    <row r="23" spans="1:25" x14ac:dyDescent="0.3">
      <c r="A23" s="77">
        <v>17</v>
      </c>
      <c r="B23" s="78">
        <f t="shared" si="0"/>
      </c>
      <c r="C23" s="79">
        <f>'Cash flow'!C23</f>
      </c>
      <c r="D23" s="68"/>
      <c r="E23" s="79">
        <f t="shared" si="1"/>
      </c>
      <c r="F23" s="79">
        <f>MAX(0,MIN($X$11*$X$7-SUM($F$7:F22),E23*$X$12))</f>
      </c>
      <c r="G23" s="79">
        <f t="shared" si="2"/>
      </c>
      <c r="H23" s="79">
        <f t="shared" si="3"/>
      </c>
      <c r="I23" s="79">
        <f t="shared" si="4"/>
      </c>
      <c r="J23" s="79">
        <f t="shared" si="5"/>
      </c>
      <c r="K23" s="79">
        <f>IF(A23=$X$13,SUM($G$7:G23)*$X$14,0)+IF(A23=$X$15,SUM($G$7:G23)*$X$16,0)</f>
      </c>
      <c r="L23" s="80">
        <f t="shared" si="6"/>
      </c>
      <c r="M23" s="80">
        <f t="shared" si="7"/>
      </c>
      <c r="N23" s="79">
        <f>SUM($M$7:M23)</f>
      </c>
      <c r="O23" s="79">
        <f>SUM($L$7:L23)</f>
      </c>
      <c r="P23" s="80">
        <f t="shared" si="8"/>
      </c>
      <c r="Q23" s="79">
        <f>SUM($G$7:G23)-SUM($K$7:K23)</f>
      </c>
      <c r="R23" s="79">
        <f t="shared" si="9"/>
      </c>
      <c r="S23" s="81">
        <f t="shared" si="10"/>
      </c>
      <c r="T23" s="81">
        <f t="shared" si="11"/>
      </c>
      <c r="W23" s="89"/>
      <c r="X23" s="89" t="s">
        <v>155</v>
      </c>
      <c r="Y23" s="89" t="s">
        <v>156</v>
      </c>
    </row>
    <row r="24" spans="1:25" x14ac:dyDescent="0.3">
      <c r="A24" s="77">
        <v>18</v>
      </c>
      <c r="B24" s="78">
        <f t="shared" si="0"/>
      </c>
      <c r="C24" s="79">
        <f>'Cash flow'!C24</f>
      </c>
      <c r="D24" s="68"/>
      <c r="E24" s="79">
        <f t="shared" si="1"/>
      </c>
      <c r="F24" s="79">
        <f>MAX(0,MIN($X$11*$X$7-SUM($F$7:F23),E24*$X$12))</f>
      </c>
      <c r="G24" s="79">
        <f t="shared" si="2"/>
      </c>
      <c r="H24" s="79">
        <f t="shared" si="3"/>
      </c>
      <c r="I24" s="79">
        <f t="shared" si="4"/>
      </c>
      <c r="J24" s="79">
        <f t="shared" si="5"/>
      </c>
      <c r="K24" s="79">
        <f>IF(A24=$X$13,SUM($G$7:G24)*$X$14,0)+IF(A24=$X$15,SUM($G$7:G24)*$X$16,0)</f>
      </c>
      <c r="L24" s="80">
        <f t="shared" si="6"/>
      </c>
      <c r="M24" s="80">
        <f t="shared" si="7"/>
      </c>
      <c r="N24" s="79">
        <f>SUM($M$7:M24)</f>
      </c>
      <c r="O24" s="79">
        <f>SUM($L$7:L24)</f>
      </c>
      <c r="P24" s="80">
        <f t="shared" si="8"/>
      </c>
      <c r="Q24" s="79">
        <f>SUM($G$7:G24)-SUM($K$7:K24)</f>
      </c>
      <c r="R24" s="79">
        <f t="shared" si="9"/>
      </c>
      <c r="S24" s="81">
        <f t="shared" si="10"/>
      </c>
      <c r="T24" s="81">
        <f t="shared" si="11"/>
      </c>
      <c r="W24" s="15" t="s">
        <v>142</v>
      </c>
      <c r="X24" s="79">
        <f>'Cash flow'!D36</f>
      </c>
      <c r="Y24" s="90">
        <f>D36</f>
      </c>
    </row>
    <row r="25" spans="1:25" x14ac:dyDescent="0.3">
      <c r="A25" s="77">
        <v>19</v>
      </c>
      <c r="B25" s="78">
        <f t="shared" si="0"/>
      </c>
      <c r="C25" s="79">
        <f>'Cash flow'!C25</f>
      </c>
      <c r="D25" s="68"/>
      <c r="E25" s="79">
        <f t="shared" si="1"/>
      </c>
      <c r="F25" s="79">
        <f>MAX(0,MIN($X$11*$X$7-SUM($F$7:F24),E25*$X$12))</f>
      </c>
      <c r="G25" s="79">
        <f t="shared" si="2"/>
      </c>
      <c r="H25" s="79">
        <f t="shared" si="3"/>
      </c>
      <c r="I25" s="79">
        <f t="shared" si="4"/>
      </c>
      <c r="J25" s="79">
        <f t="shared" si="5"/>
      </c>
      <c r="K25" s="79">
        <f>IF(A25=$X$13,SUM($G$7:G25)*$X$14,0)+IF(A25=$X$15,SUM($G$7:G25)*$X$16,0)</f>
      </c>
      <c r="L25" s="80">
        <f t="shared" si="6"/>
      </c>
      <c r="M25" s="80">
        <f t="shared" si="7"/>
      </c>
      <c r="N25" s="79">
        <f>SUM($M$7:M25)</f>
      </c>
      <c r="O25" s="79">
        <f>SUM($L$7:L25)</f>
      </c>
      <c r="P25" s="80">
        <f t="shared" si="8"/>
      </c>
      <c r="Q25" s="79">
        <f>SUM($G$7:G25)-SUM($K$7:K25)</f>
      </c>
      <c r="R25" s="79">
        <f t="shared" si="9"/>
      </c>
      <c r="S25" s="81">
        <f t="shared" si="10"/>
      </c>
      <c r="T25" s="81">
        <f t="shared" si="11"/>
      </c>
      <c r="W25" s="15" t="s">
        <v>143</v>
      </c>
      <c r="X25" s="91">
        <f>'Cash flow'!D37</f>
      </c>
      <c r="Y25" s="92">
        <f>D37</f>
      </c>
    </row>
    <row r="26" spans="1:25" x14ac:dyDescent="0.3">
      <c r="A26" s="77">
        <v>20</v>
      </c>
      <c r="B26" s="78">
        <f t="shared" si="0"/>
      </c>
      <c r="C26" s="79">
        <f>'Cash flow'!C26</f>
      </c>
      <c r="D26" s="68"/>
      <c r="E26" s="79">
        <f t="shared" si="1"/>
      </c>
      <c r="F26" s="79">
        <f>MAX(0,MIN($X$11*$X$7-SUM($F$7:F25),E26*$X$12))</f>
      </c>
      <c r="G26" s="79">
        <f t="shared" si="2"/>
      </c>
      <c r="H26" s="79">
        <f t="shared" si="3"/>
      </c>
      <c r="I26" s="79">
        <f t="shared" si="4"/>
      </c>
      <c r="J26" s="79">
        <f t="shared" si="5"/>
      </c>
      <c r="K26" s="79">
        <f>IF(A26=$X$13,SUM($G$7:G26)*$X$14,0)+IF(A26=$X$15,SUM($G$7:G26)*$X$16,0)</f>
      </c>
      <c r="L26" s="80">
        <f t="shared" si="6"/>
      </c>
      <c r="M26" s="80">
        <f t="shared" si="7"/>
      </c>
      <c r="N26" s="79">
        <f>SUM($M$7:M26)</f>
      </c>
      <c r="O26" s="79">
        <f>SUM($L$7:L26)</f>
      </c>
      <c r="P26" s="80">
        <f t="shared" si="8"/>
      </c>
      <c r="Q26" s="79">
        <f>SUM($G$7:G26)-SUM($K$7:K26)</f>
      </c>
      <c r="R26" s="79">
        <f t="shared" si="9"/>
      </c>
      <c r="S26" s="81">
        <f t="shared" si="10"/>
      </c>
      <c r="T26" s="81">
        <f t="shared" si="11"/>
      </c>
      <c r="W26" s="15" t="s">
        <v>157</v>
      </c>
      <c r="X26" s="91">
        <f>'Cash flow'!D38</f>
      </c>
      <c r="Y26" s="92">
        <f>D38</f>
      </c>
    </row>
    <row r="27" spans="1:25" x14ac:dyDescent="0.3">
      <c r="A27" s="77">
        <v>21</v>
      </c>
      <c r="B27" s="78">
        <f t="shared" si="0"/>
      </c>
      <c r="C27" s="79">
        <f>'Cash flow'!C27</f>
      </c>
      <c r="D27" s="68"/>
      <c r="E27" s="79">
        <f t="shared" si="1"/>
      </c>
      <c r="F27" s="79">
        <f>MAX(0,MIN($X$11*$X$7-SUM($F$7:F26),E27*$X$12))</f>
      </c>
      <c r="G27" s="79">
        <f t="shared" si="2"/>
      </c>
      <c r="H27" s="79">
        <f t="shared" si="3"/>
      </c>
      <c r="I27" s="79">
        <f t="shared" si="4"/>
      </c>
      <c r="J27" s="79">
        <f t="shared" si="5"/>
      </c>
      <c r="K27" s="79">
        <f>IF(A27=$X$13,SUM($G$7:G27)*$X$14,0)+IF(A27=$X$15,SUM($G$7:G27)*$X$16,0)</f>
      </c>
      <c r="L27" s="80">
        <f t="shared" si="6"/>
      </c>
      <c r="M27" s="80">
        <f t="shared" si="7"/>
      </c>
      <c r="N27" s="79">
        <f>SUM($M$7:M27)</f>
      </c>
      <c r="O27" s="79">
        <f>SUM($L$7:L27)</f>
      </c>
      <c r="P27" s="80">
        <f t="shared" si="8"/>
      </c>
      <c r="Q27" s="79">
        <f>SUM($G$7:G27)-SUM($K$7:K27)</f>
      </c>
      <c r="R27" s="79">
        <f t="shared" si="9"/>
      </c>
      <c r="S27" s="81">
        <f t="shared" si="10"/>
      </c>
      <c r="T27" s="81">
        <f t="shared" si="11"/>
      </c>
      <c r="W27" s="15" t="s">
        <v>146</v>
      </c>
      <c r="X27" s="79">
        <f>'Cash flow'!D40</f>
      </c>
      <c r="Y27" s="90">
        <f>D40</f>
      </c>
    </row>
    <row r="28" spans="1:25" x14ac:dyDescent="0.3">
      <c r="A28" s="77">
        <v>22</v>
      </c>
      <c r="B28" s="78">
        <f t="shared" si="0"/>
      </c>
      <c r="C28" s="79">
        <f>'Cash flow'!C28</f>
      </c>
      <c r="D28" s="68"/>
      <c r="E28" s="79">
        <f t="shared" si="1"/>
      </c>
      <c r="F28" s="79">
        <f>MAX(0,MIN($X$11*$X$7-SUM($F$7:F27),E28*$X$12))</f>
      </c>
      <c r="G28" s="79">
        <f t="shared" si="2"/>
      </c>
      <c r="H28" s="79">
        <f t="shared" si="3"/>
      </c>
      <c r="I28" s="79">
        <f t="shared" si="4"/>
      </c>
      <c r="J28" s="79">
        <f t="shared" si="5"/>
      </c>
      <c r="K28" s="79">
        <f>IF(A28=$X$13,SUM($G$7:G28)*$X$14,0)+IF(A28=$X$15,SUM($G$7:G28)*$X$16,0)</f>
      </c>
      <c r="L28" s="80">
        <f t="shared" si="6"/>
      </c>
      <c r="M28" s="80">
        <f t="shared" si="7"/>
      </c>
      <c r="N28" s="79">
        <f>SUM($M$7:M28)</f>
      </c>
      <c r="O28" s="79">
        <f>SUM($L$7:L28)</f>
      </c>
      <c r="P28" s="80">
        <f t="shared" si="8"/>
      </c>
      <c r="Q28" s="79">
        <f>SUM($G$7:G28)-SUM($K$7:K28)</f>
      </c>
      <c r="R28" s="79">
        <f t="shared" si="9"/>
      </c>
      <c r="S28" s="81">
        <f t="shared" si="10"/>
      </c>
      <c r="T28" s="81">
        <f t="shared" si="11"/>
      </c>
      <c r="W28" s="15" t="s">
        <v>141</v>
      </c>
      <c r="X28" s="79">
        <f>'Cash flow'!D35</f>
      </c>
      <c r="Y28" s="90">
        <f>D35</f>
      </c>
    </row>
    <row r="29" spans="1:25" x14ac:dyDescent="0.3">
      <c r="A29" s="77">
        <v>23</v>
      </c>
      <c r="B29" s="78">
        <f t="shared" si="0"/>
      </c>
      <c r="C29" s="79">
        <f>'Cash flow'!C29</f>
      </c>
      <c r="D29" s="68"/>
      <c r="E29" s="79">
        <f t="shared" si="1"/>
      </c>
      <c r="F29" s="79">
        <f>MAX(0,MIN($X$11*$X$7-SUM($F$7:F28),E29*$X$12))</f>
      </c>
      <c r="G29" s="79">
        <f t="shared" si="2"/>
      </c>
      <c r="H29" s="79">
        <f t="shared" si="3"/>
      </c>
      <c r="I29" s="79">
        <f t="shared" si="4"/>
      </c>
      <c r="J29" s="79">
        <f t="shared" si="5"/>
      </c>
      <c r="K29" s="79">
        <f>IF(A29=$X$13,SUM($G$7:G29)*$X$14,0)+IF(A29=$X$15,SUM($G$7:G29)*$X$16,0)</f>
      </c>
      <c r="L29" s="80">
        <f t="shared" si="6"/>
      </c>
      <c r="M29" s="80">
        <f t="shared" si="7"/>
      </c>
      <c r="N29" s="79">
        <f>SUM($M$7:M29)</f>
      </c>
      <c r="O29" s="79">
        <f>SUM($L$7:L29)</f>
      </c>
      <c r="P29" s="80">
        <f t="shared" si="8"/>
      </c>
      <c r="Q29" s="79">
        <f>SUM($G$7:G29)-SUM($K$7:K29)</f>
      </c>
      <c r="R29" s="79">
        <f t="shared" si="9"/>
      </c>
      <c r="S29" s="81">
        <f t="shared" si="10"/>
      </c>
      <c r="T29" s="81">
        <f t="shared" si="11"/>
      </c>
    </row>
    <row r="30" spans="1:25" x14ac:dyDescent="0.3">
      <c r="A30" s="77">
        <v>24</v>
      </c>
      <c r="B30" s="78">
        <f t="shared" si="0"/>
      </c>
      <c r="C30" s="79">
        <f>'Cash flow'!C30</f>
      </c>
      <c r="D30" s="68"/>
      <c r="E30" s="79">
        <f t="shared" si="1"/>
      </c>
      <c r="F30" s="79">
        <f>MAX(0,MIN($X$11*$X$7-SUM($F$7:F29),E30*$X$12))</f>
      </c>
      <c r="G30" s="79">
        <f t="shared" si="2"/>
      </c>
      <c r="H30" s="79">
        <f t="shared" si="3"/>
      </c>
      <c r="I30" s="79">
        <f t="shared" si="4"/>
      </c>
      <c r="J30" s="79">
        <f t="shared" si="5"/>
      </c>
      <c r="K30" s="79">
        <f>IF(A30=$X$13,SUM($G$7:G30)*$X$14,0)+IF(A30=$X$15,SUM($G$7:G30)*$X$16,0)</f>
      </c>
      <c r="L30" s="80">
        <f t="shared" si="6"/>
      </c>
      <c r="M30" s="80">
        <f t="shared" si="7"/>
      </c>
      <c r="N30" s="79">
        <f>SUM($M$7:M30)</f>
      </c>
      <c r="O30" s="79">
        <f>SUM($L$7:L30)</f>
      </c>
      <c r="P30" s="80">
        <f t="shared" si="8"/>
      </c>
      <c r="Q30" s="79">
        <f>SUM($G$7:G30)-SUM($K$7:K30)</f>
      </c>
      <c r="R30" s="79">
        <f t="shared" si="9"/>
      </c>
      <c r="S30" s="81">
        <f t="shared" si="10"/>
      </c>
      <c r="T30" s="81">
        <f t="shared" si="11"/>
      </c>
      <c r="W30" s="22" t="s">
        <v>158</v>
      </c>
      <c r="X30" s="23"/>
      <c r="Y30" s="23"/>
    </row>
    <row r="31" spans="1:25" x14ac:dyDescent="0.3">
      <c r="W31" s="23"/>
      <c r="X31" s="23"/>
      <c r="Y31" s="23"/>
    </row>
    <row r="32" spans="1:25" x14ac:dyDescent="0.3">
      <c r="A32" s="54" t="s">
        <v>139</v>
      </c>
      <c r="W32" s="23"/>
      <c r="X32" s="23"/>
      <c r="Y32" s="23"/>
    </row>
    <row r="33" spans="1:25" x14ac:dyDescent="0.3">
      <c r="A33" s="82" t="s">
        <v>140</v>
      </c>
      <c r="B33" s="23"/>
      <c r="C33" s="23"/>
      <c r="D33" s="83">
        <f>SUM(C7:C30)</f>
      </c>
      <c r="W33" s="23"/>
      <c r="X33" s="23"/>
      <c r="Y33" s="23"/>
    </row>
    <row r="34" spans="1:25" x14ac:dyDescent="0.3">
      <c r="A34" s="82" t="s">
        <v>91</v>
      </c>
      <c r="B34" s="23"/>
      <c r="C34" s="23"/>
      <c r="D34" s="83">
        <f>$X$7</f>
      </c>
    </row>
    <row r="35" spans="1:25" x14ac:dyDescent="0.3">
      <c r="A35" s="84" t="s">
        <v>141</v>
      </c>
      <c r="B35" s="23"/>
      <c r="C35" s="23"/>
      <c r="D35" s="85">
        <f>D34-D33</f>
      </c>
    </row>
    <row r="36" spans="1:25" x14ac:dyDescent="0.3">
      <c r="A36" s="84" t="s">
        <v>142</v>
      </c>
      <c r="B36" s="23"/>
      <c r="C36" s="23"/>
      <c r="D36" s="85">
        <f>MIN(P7:P30)</f>
      </c>
    </row>
    <row r="37" spans="1:25" x14ac:dyDescent="0.3">
      <c r="A37" s="82" t="s">
        <v>143</v>
      </c>
      <c r="B37" s="23"/>
      <c r="C37" s="23"/>
      <c r="D37" s="86">
        <f>IF(D36&gt;=0,"",INDEX(A7:A30,MATCH(D36,P7:P30,0)))</f>
      </c>
    </row>
    <row r="38" spans="1:25" x14ac:dyDescent="0.3">
      <c r="A38" s="82" t="s">
        <v>144</v>
      </c>
      <c r="B38" s="23"/>
      <c r="C38" s="23"/>
      <c r="D38" s="86">
        <f>COUNTIF(P7:P30,"&lt;0")</f>
      </c>
    </row>
    <row r="39" spans="1:25" x14ac:dyDescent="0.3">
      <c r="A39" s="82" t="s">
        <v>145</v>
      </c>
      <c r="B39" s="23"/>
      <c r="C39" s="23"/>
      <c r="D39" s="83">
        <f>IF(D36&gt;=0,0,-D36*$X$17*D38/12)</f>
      </c>
    </row>
    <row r="40" spans="1:25" x14ac:dyDescent="0.3">
      <c r="A40" s="82" t="s">
        <v>146</v>
      </c>
      <c r="B40" s="23"/>
      <c r="C40" s="23"/>
      <c r="D40" s="83">
        <f>SUM(R7:R30)</f>
      </c>
    </row>
    <row r="41" spans="1:25" x14ac:dyDescent="0.3">
      <c r="A41" s="82" t="s">
        <v>147</v>
      </c>
      <c r="B41" s="23"/>
      <c r="C41" s="23"/>
      <c r="D41" s="83">
        <f>O30</f>
      </c>
    </row>
    <row r="42" spans="1:25" x14ac:dyDescent="0.3">
      <c r="A42" s="82" t="s">
        <v>148</v>
      </c>
      <c r="B42" s="23"/>
      <c r="C42" s="23"/>
      <c r="D42" s="83">
        <f>Q30</f>
      </c>
    </row>
    <row r="43" spans="1:25" x14ac:dyDescent="0.3">
      <c r="A43" s="82" t="s">
        <v>149</v>
      </c>
      <c r="B43" s="23"/>
      <c r="C43" s="23"/>
      <c r="D43" s="83">
        <f>IF($X$18="","",$X$18+MIN(0,D36))</f>
      </c>
    </row>
  </sheetData>
  <sheetProtection sheet="1" formatCells="0" formatColumns="0" formatRows="0" insertColumns="0" insertRows="0" insertHyperlinks="0" deleteColumns="0" deleteRows="0" sort="0" autoFilter="0" pivotTables="0"/>
  <mergeCells count="12">
    <mergeCell ref="W30:Y33"/>
    <mergeCell ref="A39:C39"/>
    <mergeCell ref="A34:C34"/>
    <mergeCell ref="A35:C35"/>
    <mergeCell ref="A43:C43"/>
    <mergeCell ref="A38:C38"/>
    <mergeCell ref="A42:C42"/>
    <mergeCell ref="A41:C41"/>
    <mergeCell ref="A36:C36"/>
    <mergeCell ref="A33:C33"/>
    <mergeCell ref="A37:C37"/>
    <mergeCell ref="A40:C40"/>
  </mergeCells>
  <conditionalFormatting sqref="P7:P30">
    <cfRule type="cellIs" dxfId="4" priority="1" operator="lessThan">
      <formula>0</formula>
    </cfRule>
    <cfRule type="expression" dxfId="3" priority="2">
      <formula>AND(P7=MIN($P$7:$P$30),P7&lt;0)</formula>
    </cfRule>
  </conditionalFormatting>
  <printOptions horizontalCentered="1"/>
  <pageMargins left="0.4" right="0.4" top="0.5" bottom="0.5" header="0.5" footer="0.5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D28D9"/>
    <pageSetUpPr fitToPage="1"/>
  </sheetPr>
  <dimension ref="A1:K53"/>
  <sheetViews>
    <sheetView showGridLines="0" workbookViewId="0">
      <pane xSplit="1" ySplit="17" topLeftCell="B18" activePane="bottomRight" state="frozen"/>
      <selection pane="topRight"/>
      <selection pane="bottomLeft"/>
      <selection pane="bottomRight" activeCell="J30" sqref="J30"/>
    </sheetView>
  </sheetViews>
  <sheetFormatPr defaultRowHeight="14.4" x14ac:dyDescent="0.3"/>
  <cols>
    <col min="1" max="1" width="11.5546875" style="2" customWidth="1"/>
    <col min="2" max="6" width="14" style="2" customWidth="1"/>
    <col min="7" max="7" width="16" style="2" customWidth="1"/>
    <col min="8" max="8" width="14" style="2" customWidth="1"/>
    <col min="9" max="9" width="3" style="2" customWidth="1"/>
    <col min="10" max="10" width="34" style="2" customWidth="1"/>
    <col min="11" max="11" width="16" style="2" customWidth="1"/>
    <col min="12" max="16384" width="8.88671875" style="2"/>
  </cols>
  <sheetData>
    <row r="1" spans="1:11" ht="28.05" customHeight="1" x14ac:dyDescent="0.4">
      <c r="A1" s="62" t="s">
        <v>45</v>
      </c>
      <c r="K1" s="73" t="s">
        <v>54</v>
      </c>
    </row>
    <row r="2" spans="1:11" x14ac:dyDescent="0.3">
      <c r="A2" s="63" t="s">
        <v>159</v>
      </c>
    </row>
    <row r="3" spans="1:11" x14ac:dyDescent="0.3">
      <c r="A3" s="64" t="s">
        <v>160</v>
      </c>
    </row>
    <row r="4" spans="1:11" x14ac:dyDescent="0.3">
      <c r="A4" s="93"/>
      <c r="B4" s="93"/>
      <c r="C4" s="93"/>
      <c r="D4" s="93"/>
      <c r="E4" s="93"/>
      <c r="F4" s="93"/>
      <c r="G4" s="93"/>
      <c r="H4" s="93"/>
      <c r="I4" s="93"/>
      <c r="J4" s="93"/>
    </row>
    <row r="6" spans="1:11" ht="31.95" customHeight="1" x14ac:dyDescent="0.3">
      <c r="A6" s="75" t="s">
        <v>161</v>
      </c>
      <c r="B6" s="76" t="s">
        <v>162</v>
      </c>
      <c r="C6" s="76" t="s">
        <v>163</v>
      </c>
      <c r="E6" s="94" t="s">
        <v>164</v>
      </c>
    </row>
    <row r="7" spans="1:11" x14ac:dyDescent="0.3">
      <c r="A7" s="67"/>
      <c r="B7" s="70"/>
      <c r="C7" s="95"/>
      <c r="E7" s="66" t="s">
        <v>166</v>
      </c>
      <c r="G7" s="96">
        <f>MIN(G18:G53)</f>
      </c>
    </row>
    <row r="8" spans="1:11" x14ac:dyDescent="0.3">
      <c r="A8" s="67"/>
      <c r="B8" s="70"/>
      <c r="C8" s="95"/>
      <c r="E8" s="15" t="s">
        <v>119</v>
      </c>
      <c r="G8" s="97">
        <f>IF(G7&gt;=0,"",INDEX(A18:A53,MATCH(G7,G18:G53,0)))</f>
      </c>
    </row>
    <row r="9" spans="1:11" x14ac:dyDescent="0.3">
      <c r="A9" s="67"/>
      <c r="B9" s="70"/>
      <c r="C9" s="95"/>
      <c r="E9" s="15" t="s">
        <v>113</v>
      </c>
      <c r="G9" s="98">
        <f>Setup!B18</f>
      </c>
    </row>
    <row r="10" spans="1:11" x14ac:dyDescent="0.3">
      <c r="A10" s="67"/>
      <c r="B10" s="70"/>
      <c r="C10" s="95"/>
      <c r="E10" s="66" t="s">
        <v>169</v>
      </c>
      <c r="G10" s="96">
        <f>IF(OR(G9="",G7&gt;=0),"",MAX(0,-G7-G9))</f>
      </c>
    </row>
    <row r="11" spans="1:11" x14ac:dyDescent="0.3">
      <c r="A11" s="67"/>
      <c r="B11" s="70"/>
      <c r="C11" s="95"/>
      <c r="E11" s="15" t="s">
        <v>170</v>
      </c>
      <c r="G11" s="98">
        <f>SUMPRODUCT((A7:A11&lt;&gt;"")*(B7:B11&lt;&gt;"")*((C7:C11="")+C7:C11))*'Cash flow'!D35</f>
      </c>
    </row>
    <row r="13" spans="1:11" x14ac:dyDescent="0.3">
      <c r="A13" s="22" t="s">
        <v>171</v>
      </c>
      <c r="B13" s="23"/>
      <c r="C13" s="23"/>
      <c r="E13" s="60" t="s">
        <v>172</v>
      </c>
    </row>
    <row r="14" spans="1:11" x14ac:dyDescent="0.3">
      <c r="A14" s="23"/>
      <c r="B14" s="23"/>
      <c r="C14" s="23"/>
    </row>
    <row r="15" spans="1:11" x14ac:dyDescent="0.3">
      <c r="A15" s="23"/>
      <c r="B15" s="23"/>
      <c r="C15" s="23"/>
    </row>
    <row r="17" spans="1:8" ht="31.95" customHeight="1" x14ac:dyDescent="0.3">
      <c r="A17" s="75" t="s">
        <v>119</v>
      </c>
      <c r="B17" s="75" t="s">
        <v>165</v>
      </c>
      <c r="C17" s="75" t="s">
        <v>167</v>
      </c>
      <c r="D17" s="75" t="s">
        <v>168</v>
      </c>
      <c r="E17" s="75" t="s">
        <v>173</v>
      </c>
      <c r="F17" s="75" t="s">
        <v>174</v>
      </c>
      <c r="G17" s="76" t="s">
        <v>175</v>
      </c>
      <c r="H17" s="76" t="s">
        <v>176</v>
      </c>
    </row>
    <row r="18" spans="1:8" x14ac:dyDescent="0.3">
      <c r="A18" s="99">
        <v>1</v>
      </c>
      <c r="B18" s="100">
        <f>IF(OR($A$7="",$B$7=""),0,IF((A18-$B$7)&lt;1,0,IF((A18-$B$7)&gt;24,INDEX('Cash flow'!$P$7:$P$30,24),INDEX('Cash flow'!$P$7:$P$30,(A18-$B$7))))*IF($C$7="",1,$C$7))</f>
      </c>
      <c r="C18" s="100">
        <f>IF(OR($A$8="",$B$8=""),0,IF((A18-$B$8)&lt;1,0,IF((A18-$B$8)&gt;24,INDEX('Cash flow'!$P$7:$P$30,24),INDEX('Cash flow'!$P$7:$P$30,(A18-$B$8))))*IF($C$8="",1,$C$8))</f>
      </c>
      <c r="D18" s="100">
        <f>IF(OR($A$9="",$B$9=""),0,IF((A18-$B$9)&lt;1,0,IF((A18-$B$9)&gt;24,INDEX('Cash flow'!$P$7:$P$30,24),INDEX('Cash flow'!$P$7:$P$30,(A18-$B$9))))*IF($C$9="",1,$C$9))</f>
      </c>
      <c r="E18" s="100">
        <f>IF(OR($A$10="",$B$10=""),0,IF((A18-$B$10)&lt;1,0,IF((A18-$B$10)&gt;24,INDEX('Cash flow'!$P$7:$P$30,24),INDEX('Cash flow'!$P$7:$P$30,(A18-$B$10))))*IF($C$10="",1,$C$10))</f>
      </c>
      <c r="F18" s="100">
        <f>IF(OR($A$11="",$B$11=""),0,IF((A18-$B$11)&lt;1,0,IF((A18-$B$11)&gt;24,INDEX('Cash flow'!$P$7:$P$30,24),INDEX('Cash flow'!$P$7:$P$30,(A18-$B$11))))*IF($C$11="",1,$C$11))</f>
      </c>
      <c r="G18" s="80">
        <f t="shared" ref="G18:G53" si="0">SUM(B18:F18)</f>
      </c>
      <c r="H18" s="101">
        <f>IF(Setup!$B$18="",NA(),-Setup!$B$18)</f>
      </c>
    </row>
    <row r="19" spans="1:8" x14ac:dyDescent="0.3">
      <c r="A19" s="99">
        <v>2</v>
      </c>
      <c r="B19" s="100">
        <f>IF(OR($A$7="",$B$7=""),0,IF((A19-$B$7)&lt;1,0,IF((A19-$B$7)&gt;24,INDEX('Cash flow'!$P$7:$P$30,24),INDEX('Cash flow'!$P$7:$P$30,(A19-$B$7))))*IF($C$7="",1,$C$7))</f>
      </c>
      <c r="C19" s="100">
        <f>IF(OR($A$8="",$B$8=""),0,IF((A19-$B$8)&lt;1,0,IF((A19-$B$8)&gt;24,INDEX('Cash flow'!$P$7:$P$30,24),INDEX('Cash flow'!$P$7:$P$30,(A19-$B$8))))*IF($C$8="",1,$C$8))</f>
      </c>
      <c r="D19" s="100">
        <f>IF(OR($A$9="",$B$9=""),0,IF((A19-$B$9)&lt;1,0,IF((A19-$B$9)&gt;24,INDEX('Cash flow'!$P$7:$P$30,24),INDEX('Cash flow'!$P$7:$P$30,(A19-$B$9))))*IF($C$9="",1,$C$9))</f>
      </c>
      <c r="E19" s="100">
        <f>IF(OR($A$10="",$B$10=""),0,IF((A19-$B$10)&lt;1,0,IF((A19-$B$10)&gt;24,INDEX('Cash flow'!$P$7:$P$30,24),INDEX('Cash flow'!$P$7:$P$30,(A19-$B$10))))*IF($C$10="",1,$C$10))</f>
      </c>
      <c r="F19" s="100">
        <f>IF(OR($A$11="",$B$11=""),0,IF((A19-$B$11)&lt;1,0,IF((A19-$B$11)&gt;24,INDEX('Cash flow'!$P$7:$P$30,24),INDEX('Cash flow'!$P$7:$P$30,(A19-$B$11))))*IF($C$11="",1,$C$11))</f>
      </c>
      <c r="G19" s="80">
        <f t="shared" si="0"/>
      </c>
      <c r="H19" s="101">
        <f>IF(Setup!$B$18="",NA(),-Setup!$B$18)</f>
      </c>
    </row>
    <row r="20" spans="1:8" x14ac:dyDescent="0.3">
      <c r="A20" s="99">
        <v>3</v>
      </c>
      <c r="B20" s="100">
        <f>IF(OR($A$7="",$B$7=""),0,IF((A20-$B$7)&lt;1,0,IF((A20-$B$7)&gt;24,INDEX('Cash flow'!$P$7:$P$30,24),INDEX('Cash flow'!$P$7:$P$30,(A20-$B$7))))*IF($C$7="",1,$C$7))</f>
      </c>
      <c r="C20" s="100">
        <f>IF(OR($A$8="",$B$8=""),0,IF((A20-$B$8)&lt;1,0,IF((A20-$B$8)&gt;24,INDEX('Cash flow'!$P$7:$P$30,24),INDEX('Cash flow'!$P$7:$P$30,(A20-$B$8))))*IF($C$8="",1,$C$8))</f>
      </c>
      <c r="D20" s="100">
        <f>IF(OR($A$9="",$B$9=""),0,IF((A20-$B$9)&lt;1,0,IF((A20-$B$9)&gt;24,INDEX('Cash flow'!$P$7:$P$30,24),INDEX('Cash flow'!$P$7:$P$30,(A20-$B$9))))*IF($C$9="",1,$C$9))</f>
      </c>
      <c r="E20" s="100">
        <f>IF(OR($A$10="",$B$10=""),0,IF((A20-$B$10)&lt;1,0,IF((A20-$B$10)&gt;24,INDEX('Cash flow'!$P$7:$P$30,24),INDEX('Cash flow'!$P$7:$P$30,(A20-$B$10))))*IF($C$10="",1,$C$10))</f>
      </c>
      <c r="F20" s="100">
        <f>IF(OR($A$11="",$B$11=""),0,IF((A20-$B$11)&lt;1,0,IF((A20-$B$11)&gt;24,INDEX('Cash flow'!$P$7:$P$30,24),INDEX('Cash flow'!$P$7:$P$30,(A20-$B$11))))*IF($C$11="",1,$C$11))</f>
      </c>
      <c r="G20" s="80">
        <f t="shared" si="0"/>
      </c>
      <c r="H20" s="101">
        <f>IF(Setup!$B$18="",NA(),-Setup!$B$18)</f>
      </c>
    </row>
    <row r="21" spans="1:8" x14ac:dyDescent="0.3">
      <c r="A21" s="99">
        <v>4</v>
      </c>
      <c r="B21" s="100">
        <f>IF(OR($A$7="",$B$7=""),0,IF((A21-$B$7)&lt;1,0,IF((A21-$B$7)&gt;24,INDEX('Cash flow'!$P$7:$P$30,24),INDEX('Cash flow'!$P$7:$P$30,(A21-$B$7))))*IF($C$7="",1,$C$7))</f>
      </c>
      <c r="C21" s="100">
        <f>IF(OR($A$8="",$B$8=""),0,IF((A21-$B$8)&lt;1,0,IF((A21-$B$8)&gt;24,INDEX('Cash flow'!$P$7:$P$30,24),INDEX('Cash flow'!$P$7:$P$30,(A21-$B$8))))*IF($C$8="",1,$C$8))</f>
      </c>
      <c r="D21" s="100">
        <f>IF(OR($A$9="",$B$9=""),0,IF((A21-$B$9)&lt;1,0,IF((A21-$B$9)&gt;24,INDEX('Cash flow'!$P$7:$P$30,24),INDEX('Cash flow'!$P$7:$P$30,(A21-$B$9))))*IF($C$9="",1,$C$9))</f>
      </c>
      <c r="E21" s="100">
        <f>IF(OR($A$10="",$B$10=""),0,IF((A21-$B$10)&lt;1,0,IF((A21-$B$10)&gt;24,INDEX('Cash flow'!$P$7:$P$30,24),INDEX('Cash flow'!$P$7:$P$30,(A21-$B$10))))*IF($C$10="",1,$C$10))</f>
      </c>
      <c r="F21" s="100">
        <f>IF(OR($A$11="",$B$11=""),0,IF((A21-$B$11)&lt;1,0,IF((A21-$B$11)&gt;24,INDEX('Cash flow'!$P$7:$P$30,24),INDEX('Cash flow'!$P$7:$P$30,(A21-$B$11))))*IF($C$11="",1,$C$11))</f>
      </c>
      <c r="G21" s="80">
        <f t="shared" si="0"/>
      </c>
      <c r="H21" s="101">
        <f>IF(Setup!$B$18="",NA(),-Setup!$B$18)</f>
      </c>
    </row>
    <row r="22" spans="1:8" x14ac:dyDescent="0.3">
      <c r="A22" s="99">
        <v>5</v>
      </c>
      <c r="B22" s="100">
        <f>IF(OR($A$7="",$B$7=""),0,IF((A22-$B$7)&lt;1,0,IF((A22-$B$7)&gt;24,INDEX('Cash flow'!$P$7:$P$30,24),INDEX('Cash flow'!$P$7:$P$30,(A22-$B$7))))*IF($C$7="",1,$C$7))</f>
      </c>
      <c r="C22" s="100">
        <f>IF(OR($A$8="",$B$8=""),0,IF((A22-$B$8)&lt;1,0,IF((A22-$B$8)&gt;24,INDEX('Cash flow'!$P$7:$P$30,24),INDEX('Cash flow'!$P$7:$P$30,(A22-$B$8))))*IF($C$8="",1,$C$8))</f>
      </c>
      <c r="D22" s="100">
        <f>IF(OR($A$9="",$B$9=""),0,IF((A22-$B$9)&lt;1,0,IF((A22-$B$9)&gt;24,INDEX('Cash flow'!$P$7:$P$30,24),INDEX('Cash flow'!$P$7:$P$30,(A22-$B$9))))*IF($C$9="",1,$C$9))</f>
      </c>
      <c r="E22" s="100">
        <f>IF(OR($A$10="",$B$10=""),0,IF((A22-$B$10)&lt;1,0,IF((A22-$B$10)&gt;24,INDEX('Cash flow'!$P$7:$P$30,24),INDEX('Cash flow'!$P$7:$P$30,(A22-$B$10))))*IF($C$10="",1,$C$10))</f>
      </c>
      <c r="F22" s="100">
        <f>IF(OR($A$11="",$B$11=""),0,IF((A22-$B$11)&lt;1,0,IF((A22-$B$11)&gt;24,INDEX('Cash flow'!$P$7:$P$30,24),INDEX('Cash flow'!$P$7:$P$30,(A22-$B$11))))*IF($C$11="",1,$C$11))</f>
      </c>
      <c r="G22" s="80">
        <f t="shared" si="0"/>
      </c>
      <c r="H22" s="101">
        <f>IF(Setup!$B$18="",NA(),-Setup!$B$18)</f>
      </c>
    </row>
    <row r="23" spans="1:8" x14ac:dyDescent="0.3">
      <c r="A23" s="99">
        <v>6</v>
      </c>
      <c r="B23" s="100">
        <f>IF(OR($A$7="",$B$7=""),0,IF((A23-$B$7)&lt;1,0,IF((A23-$B$7)&gt;24,INDEX('Cash flow'!$P$7:$P$30,24),INDEX('Cash flow'!$P$7:$P$30,(A23-$B$7))))*IF($C$7="",1,$C$7))</f>
      </c>
      <c r="C23" s="100">
        <f>IF(OR($A$8="",$B$8=""),0,IF((A23-$B$8)&lt;1,0,IF((A23-$B$8)&gt;24,INDEX('Cash flow'!$P$7:$P$30,24),INDEX('Cash flow'!$P$7:$P$30,(A23-$B$8))))*IF($C$8="",1,$C$8))</f>
      </c>
      <c r="D23" s="100">
        <f>IF(OR($A$9="",$B$9=""),0,IF((A23-$B$9)&lt;1,0,IF((A23-$B$9)&gt;24,INDEX('Cash flow'!$P$7:$P$30,24),INDEX('Cash flow'!$P$7:$P$30,(A23-$B$9))))*IF($C$9="",1,$C$9))</f>
      </c>
      <c r="E23" s="100">
        <f>IF(OR($A$10="",$B$10=""),0,IF((A23-$B$10)&lt;1,0,IF((A23-$B$10)&gt;24,INDEX('Cash flow'!$P$7:$P$30,24),INDEX('Cash flow'!$P$7:$P$30,(A23-$B$10))))*IF($C$10="",1,$C$10))</f>
      </c>
      <c r="F23" s="100">
        <f>IF(OR($A$11="",$B$11=""),0,IF((A23-$B$11)&lt;1,0,IF((A23-$B$11)&gt;24,INDEX('Cash flow'!$P$7:$P$30,24),INDEX('Cash flow'!$P$7:$P$30,(A23-$B$11))))*IF($C$11="",1,$C$11))</f>
      </c>
      <c r="G23" s="80">
        <f t="shared" si="0"/>
      </c>
      <c r="H23" s="101">
        <f>IF(Setup!$B$18="",NA(),-Setup!$B$18)</f>
      </c>
    </row>
    <row r="24" spans="1:8" x14ac:dyDescent="0.3">
      <c r="A24" s="99">
        <v>7</v>
      </c>
      <c r="B24" s="100">
        <f>IF(OR($A$7="",$B$7=""),0,IF((A24-$B$7)&lt;1,0,IF((A24-$B$7)&gt;24,INDEX('Cash flow'!$P$7:$P$30,24),INDEX('Cash flow'!$P$7:$P$30,(A24-$B$7))))*IF($C$7="",1,$C$7))</f>
      </c>
      <c r="C24" s="100">
        <f>IF(OR($A$8="",$B$8=""),0,IF((A24-$B$8)&lt;1,0,IF((A24-$B$8)&gt;24,INDEX('Cash flow'!$P$7:$P$30,24),INDEX('Cash flow'!$P$7:$P$30,(A24-$B$8))))*IF($C$8="",1,$C$8))</f>
      </c>
      <c r="D24" s="100">
        <f>IF(OR($A$9="",$B$9=""),0,IF((A24-$B$9)&lt;1,0,IF((A24-$B$9)&gt;24,INDEX('Cash flow'!$P$7:$P$30,24),INDEX('Cash flow'!$P$7:$P$30,(A24-$B$9))))*IF($C$9="",1,$C$9))</f>
      </c>
      <c r="E24" s="100">
        <f>IF(OR($A$10="",$B$10=""),0,IF((A24-$B$10)&lt;1,0,IF((A24-$B$10)&gt;24,INDEX('Cash flow'!$P$7:$P$30,24),INDEX('Cash flow'!$P$7:$P$30,(A24-$B$10))))*IF($C$10="",1,$C$10))</f>
      </c>
      <c r="F24" s="100">
        <f>IF(OR($A$11="",$B$11=""),0,IF((A24-$B$11)&lt;1,0,IF((A24-$B$11)&gt;24,INDEX('Cash flow'!$P$7:$P$30,24),INDEX('Cash flow'!$P$7:$P$30,(A24-$B$11))))*IF($C$11="",1,$C$11))</f>
      </c>
      <c r="G24" s="80">
        <f t="shared" si="0"/>
      </c>
      <c r="H24" s="101">
        <f>IF(Setup!$B$18="",NA(),-Setup!$B$18)</f>
      </c>
    </row>
    <row r="25" spans="1:8" x14ac:dyDescent="0.3">
      <c r="A25" s="99">
        <v>8</v>
      </c>
      <c r="B25" s="100">
        <f>IF(OR($A$7="",$B$7=""),0,IF((A25-$B$7)&lt;1,0,IF((A25-$B$7)&gt;24,INDEX('Cash flow'!$P$7:$P$30,24),INDEX('Cash flow'!$P$7:$P$30,(A25-$B$7))))*IF($C$7="",1,$C$7))</f>
      </c>
      <c r="C25" s="100">
        <f>IF(OR($A$8="",$B$8=""),0,IF((A25-$B$8)&lt;1,0,IF((A25-$B$8)&gt;24,INDEX('Cash flow'!$P$7:$P$30,24),INDEX('Cash flow'!$P$7:$P$30,(A25-$B$8))))*IF($C$8="",1,$C$8))</f>
      </c>
      <c r="D25" s="100">
        <f>IF(OR($A$9="",$B$9=""),0,IF((A25-$B$9)&lt;1,0,IF((A25-$B$9)&gt;24,INDEX('Cash flow'!$P$7:$P$30,24),INDEX('Cash flow'!$P$7:$P$30,(A25-$B$9))))*IF($C$9="",1,$C$9))</f>
      </c>
      <c r="E25" s="100">
        <f>IF(OR($A$10="",$B$10=""),0,IF((A25-$B$10)&lt;1,0,IF((A25-$B$10)&gt;24,INDEX('Cash flow'!$P$7:$P$30,24),INDEX('Cash flow'!$P$7:$P$30,(A25-$B$10))))*IF($C$10="",1,$C$10))</f>
      </c>
      <c r="F25" s="100">
        <f>IF(OR($A$11="",$B$11=""),0,IF((A25-$B$11)&lt;1,0,IF((A25-$B$11)&gt;24,INDEX('Cash flow'!$P$7:$P$30,24),INDEX('Cash flow'!$P$7:$P$30,(A25-$B$11))))*IF($C$11="",1,$C$11))</f>
      </c>
      <c r="G25" s="80">
        <f t="shared" si="0"/>
      </c>
      <c r="H25" s="101">
        <f>IF(Setup!$B$18="",NA(),-Setup!$B$18)</f>
      </c>
    </row>
    <row r="26" spans="1:8" x14ac:dyDescent="0.3">
      <c r="A26" s="99">
        <v>9</v>
      </c>
      <c r="B26" s="100">
        <f>IF(OR($A$7="",$B$7=""),0,IF((A26-$B$7)&lt;1,0,IF((A26-$B$7)&gt;24,INDEX('Cash flow'!$P$7:$P$30,24),INDEX('Cash flow'!$P$7:$P$30,(A26-$B$7))))*IF($C$7="",1,$C$7))</f>
      </c>
      <c r="C26" s="100">
        <f>IF(OR($A$8="",$B$8=""),0,IF((A26-$B$8)&lt;1,0,IF((A26-$B$8)&gt;24,INDEX('Cash flow'!$P$7:$P$30,24),INDEX('Cash flow'!$P$7:$P$30,(A26-$B$8))))*IF($C$8="",1,$C$8))</f>
      </c>
      <c r="D26" s="100">
        <f>IF(OR($A$9="",$B$9=""),0,IF((A26-$B$9)&lt;1,0,IF((A26-$B$9)&gt;24,INDEX('Cash flow'!$P$7:$P$30,24),INDEX('Cash flow'!$P$7:$P$30,(A26-$B$9))))*IF($C$9="",1,$C$9))</f>
      </c>
      <c r="E26" s="100">
        <f>IF(OR($A$10="",$B$10=""),0,IF((A26-$B$10)&lt;1,0,IF((A26-$B$10)&gt;24,INDEX('Cash flow'!$P$7:$P$30,24),INDEX('Cash flow'!$P$7:$P$30,(A26-$B$10))))*IF($C$10="",1,$C$10))</f>
      </c>
      <c r="F26" s="100">
        <f>IF(OR($A$11="",$B$11=""),0,IF((A26-$B$11)&lt;1,0,IF((A26-$B$11)&gt;24,INDEX('Cash flow'!$P$7:$P$30,24),INDEX('Cash flow'!$P$7:$P$30,(A26-$B$11))))*IF($C$11="",1,$C$11))</f>
      </c>
      <c r="G26" s="80">
        <f t="shared" si="0"/>
      </c>
      <c r="H26" s="101">
        <f>IF(Setup!$B$18="",NA(),-Setup!$B$18)</f>
      </c>
    </row>
    <row r="27" spans="1:8" x14ac:dyDescent="0.3">
      <c r="A27" s="99">
        <v>10</v>
      </c>
      <c r="B27" s="100">
        <f>IF(OR($A$7="",$B$7=""),0,IF((A27-$B$7)&lt;1,0,IF((A27-$B$7)&gt;24,INDEX('Cash flow'!$P$7:$P$30,24),INDEX('Cash flow'!$P$7:$P$30,(A27-$B$7))))*IF($C$7="",1,$C$7))</f>
      </c>
      <c r="C27" s="100">
        <f>IF(OR($A$8="",$B$8=""),0,IF((A27-$B$8)&lt;1,0,IF((A27-$B$8)&gt;24,INDEX('Cash flow'!$P$7:$P$30,24),INDEX('Cash flow'!$P$7:$P$30,(A27-$B$8))))*IF($C$8="",1,$C$8))</f>
      </c>
      <c r="D27" s="100">
        <f>IF(OR($A$9="",$B$9=""),0,IF((A27-$B$9)&lt;1,0,IF((A27-$B$9)&gt;24,INDEX('Cash flow'!$P$7:$P$30,24),INDEX('Cash flow'!$P$7:$P$30,(A27-$B$9))))*IF($C$9="",1,$C$9))</f>
      </c>
      <c r="E27" s="100">
        <f>IF(OR($A$10="",$B$10=""),0,IF((A27-$B$10)&lt;1,0,IF((A27-$B$10)&gt;24,INDEX('Cash flow'!$P$7:$P$30,24),INDEX('Cash flow'!$P$7:$P$30,(A27-$B$10))))*IF($C$10="",1,$C$10))</f>
      </c>
      <c r="F27" s="100">
        <f>IF(OR($A$11="",$B$11=""),0,IF((A27-$B$11)&lt;1,0,IF((A27-$B$11)&gt;24,INDEX('Cash flow'!$P$7:$P$30,24),INDEX('Cash flow'!$P$7:$P$30,(A27-$B$11))))*IF($C$11="",1,$C$11))</f>
      </c>
      <c r="G27" s="80">
        <f t="shared" si="0"/>
      </c>
      <c r="H27" s="101">
        <f>IF(Setup!$B$18="",NA(),-Setup!$B$18)</f>
      </c>
    </row>
    <row r="28" spans="1:8" x14ac:dyDescent="0.3">
      <c r="A28" s="99">
        <v>11</v>
      </c>
      <c r="B28" s="100">
        <f>IF(OR($A$7="",$B$7=""),0,IF((A28-$B$7)&lt;1,0,IF((A28-$B$7)&gt;24,INDEX('Cash flow'!$P$7:$P$30,24),INDEX('Cash flow'!$P$7:$P$30,(A28-$B$7))))*IF($C$7="",1,$C$7))</f>
      </c>
      <c r="C28" s="100">
        <f>IF(OR($A$8="",$B$8=""),0,IF((A28-$B$8)&lt;1,0,IF((A28-$B$8)&gt;24,INDEX('Cash flow'!$P$7:$P$30,24),INDEX('Cash flow'!$P$7:$P$30,(A28-$B$8))))*IF($C$8="",1,$C$8))</f>
      </c>
      <c r="D28" s="100">
        <f>IF(OR($A$9="",$B$9=""),0,IF((A28-$B$9)&lt;1,0,IF((A28-$B$9)&gt;24,INDEX('Cash flow'!$P$7:$P$30,24),INDEX('Cash flow'!$P$7:$P$30,(A28-$B$9))))*IF($C$9="",1,$C$9))</f>
      </c>
      <c r="E28" s="100">
        <f>IF(OR($A$10="",$B$10=""),0,IF((A28-$B$10)&lt;1,0,IF((A28-$B$10)&gt;24,INDEX('Cash flow'!$P$7:$P$30,24),INDEX('Cash flow'!$P$7:$P$30,(A28-$B$10))))*IF($C$10="",1,$C$10))</f>
      </c>
      <c r="F28" s="100">
        <f>IF(OR($A$11="",$B$11=""),0,IF((A28-$B$11)&lt;1,0,IF((A28-$B$11)&gt;24,INDEX('Cash flow'!$P$7:$P$30,24),INDEX('Cash flow'!$P$7:$P$30,(A28-$B$11))))*IF($C$11="",1,$C$11))</f>
      </c>
      <c r="G28" s="80">
        <f t="shared" si="0"/>
      </c>
      <c r="H28" s="101">
        <f>IF(Setup!$B$18="",NA(),-Setup!$B$18)</f>
      </c>
    </row>
    <row r="29" spans="1:8" x14ac:dyDescent="0.3">
      <c r="A29" s="99">
        <v>12</v>
      </c>
      <c r="B29" s="100">
        <f>IF(OR($A$7="",$B$7=""),0,IF((A29-$B$7)&lt;1,0,IF((A29-$B$7)&gt;24,INDEX('Cash flow'!$P$7:$P$30,24),INDEX('Cash flow'!$P$7:$P$30,(A29-$B$7))))*IF($C$7="",1,$C$7))</f>
      </c>
      <c r="C29" s="100">
        <f>IF(OR($A$8="",$B$8=""),0,IF((A29-$B$8)&lt;1,0,IF((A29-$B$8)&gt;24,INDEX('Cash flow'!$P$7:$P$30,24),INDEX('Cash flow'!$P$7:$P$30,(A29-$B$8))))*IF($C$8="",1,$C$8))</f>
      </c>
      <c r="D29" s="100">
        <f>IF(OR($A$9="",$B$9=""),0,IF((A29-$B$9)&lt;1,0,IF((A29-$B$9)&gt;24,INDEX('Cash flow'!$P$7:$P$30,24),INDEX('Cash flow'!$P$7:$P$30,(A29-$B$9))))*IF($C$9="",1,$C$9))</f>
      </c>
      <c r="E29" s="100">
        <f>IF(OR($A$10="",$B$10=""),0,IF((A29-$B$10)&lt;1,0,IF((A29-$B$10)&gt;24,INDEX('Cash flow'!$P$7:$P$30,24),INDEX('Cash flow'!$P$7:$P$30,(A29-$B$10))))*IF($C$10="",1,$C$10))</f>
      </c>
      <c r="F29" s="100">
        <f>IF(OR($A$11="",$B$11=""),0,IF((A29-$B$11)&lt;1,0,IF((A29-$B$11)&gt;24,INDEX('Cash flow'!$P$7:$P$30,24),INDEX('Cash flow'!$P$7:$P$30,(A29-$B$11))))*IF($C$11="",1,$C$11))</f>
      </c>
      <c r="G29" s="80">
        <f t="shared" si="0"/>
      </c>
      <c r="H29" s="101">
        <f>IF(Setup!$B$18="",NA(),-Setup!$B$18)</f>
      </c>
    </row>
    <row r="30" spans="1:8" x14ac:dyDescent="0.3">
      <c r="A30" s="99">
        <v>13</v>
      </c>
      <c r="B30" s="100">
        <f>IF(OR($A$7="",$B$7=""),0,IF((A30-$B$7)&lt;1,0,IF((A30-$B$7)&gt;24,INDEX('Cash flow'!$P$7:$P$30,24),INDEX('Cash flow'!$P$7:$P$30,(A30-$B$7))))*IF($C$7="",1,$C$7))</f>
      </c>
      <c r="C30" s="100">
        <f>IF(OR($A$8="",$B$8=""),0,IF((A30-$B$8)&lt;1,0,IF((A30-$B$8)&gt;24,INDEX('Cash flow'!$P$7:$P$30,24),INDEX('Cash flow'!$P$7:$P$30,(A30-$B$8))))*IF($C$8="",1,$C$8))</f>
      </c>
      <c r="D30" s="100">
        <f>IF(OR($A$9="",$B$9=""),0,IF((A30-$B$9)&lt;1,0,IF((A30-$B$9)&gt;24,INDEX('Cash flow'!$P$7:$P$30,24),INDEX('Cash flow'!$P$7:$P$30,(A30-$B$9))))*IF($C$9="",1,$C$9))</f>
      </c>
      <c r="E30" s="100">
        <f>IF(OR($A$10="",$B$10=""),0,IF((A30-$B$10)&lt;1,0,IF((A30-$B$10)&gt;24,INDEX('Cash flow'!$P$7:$P$30,24),INDEX('Cash flow'!$P$7:$P$30,(A30-$B$10))))*IF($C$10="",1,$C$10))</f>
      </c>
      <c r="F30" s="100">
        <f>IF(OR($A$11="",$B$11=""),0,IF((A30-$B$11)&lt;1,0,IF((A30-$B$11)&gt;24,INDEX('Cash flow'!$P$7:$P$30,24),INDEX('Cash flow'!$P$7:$P$30,(A30-$B$11))))*IF($C$11="",1,$C$11))</f>
      </c>
      <c r="G30" s="80">
        <f t="shared" si="0"/>
      </c>
      <c r="H30" s="101">
        <f>IF(Setup!$B$18="",NA(),-Setup!$B$18)</f>
      </c>
    </row>
    <row r="31" spans="1:8" x14ac:dyDescent="0.3">
      <c r="A31" s="99">
        <v>14</v>
      </c>
      <c r="B31" s="100">
        <f>IF(OR($A$7="",$B$7=""),0,IF((A31-$B$7)&lt;1,0,IF((A31-$B$7)&gt;24,INDEX('Cash flow'!$P$7:$P$30,24),INDEX('Cash flow'!$P$7:$P$30,(A31-$B$7))))*IF($C$7="",1,$C$7))</f>
      </c>
      <c r="C31" s="100">
        <f>IF(OR($A$8="",$B$8=""),0,IF((A31-$B$8)&lt;1,0,IF((A31-$B$8)&gt;24,INDEX('Cash flow'!$P$7:$P$30,24),INDEX('Cash flow'!$P$7:$P$30,(A31-$B$8))))*IF($C$8="",1,$C$8))</f>
      </c>
      <c r="D31" s="100">
        <f>IF(OR($A$9="",$B$9=""),0,IF((A31-$B$9)&lt;1,0,IF((A31-$B$9)&gt;24,INDEX('Cash flow'!$P$7:$P$30,24),INDEX('Cash flow'!$P$7:$P$30,(A31-$B$9))))*IF($C$9="",1,$C$9))</f>
      </c>
      <c r="E31" s="100">
        <f>IF(OR($A$10="",$B$10=""),0,IF((A31-$B$10)&lt;1,0,IF((A31-$B$10)&gt;24,INDEX('Cash flow'!$P$7:$P$30,24),INDEX('Cash flow'!$P$7:$P$30,(A31-$B$10))))*IF($C$10="",1,$C$10))</f>
      </c>
      <c r="F31" s="100">
        <f>IF(OR($A$11="",$B$11=""),0,IF((A31-$B$11)&lt;1,0,IF((A31-$B$11)&gt;24,INDEX('Cash flow'!$P$7:$P$30,24),INDEX('Cash flow'!$P$7:$P$30,(A31-$B$11))))*IF($C$11="",1,$C$11))</f>
      </c>
      <c r="G31" s="80">
        <f t="shared" si="0"/>
      </c>
      <c r="H31" s="101">
        <f>IF(Setup!$B$18="",NA(),-Setup!$B$18)</f>
      </c>
    </row>
    <row r="32" spans="1:8" x14ac:dyDescent="0.3">
      <c r="A32" s="99">
        <v>15</v>
      </c>
      <c r="B32" s="100">
        <f>IF(OR($A$7="",$B$7=""),0,IF((A32-$B$7)&lt;1,0,IF((A32-$B$7)&gt;24,INDEX('Cash flow'!$P$7:$P$30,24),INDEX('Cash flow'!$P$7:$P$30,(A32-$B$7))))*IF($C$7="",1,$C$7))</f>
      </c>
      <c r="C32" s="100">
        <f>IF(OR($A$8="",$B$8=""),0,IF((A32-$B$8)&lt;1,0,IF((A32-$B$8)&gt;24,INDEX('Cash flow'!$P$7:$P$30,24),INDEX('Cash flow'!$P$7:$P$30,(A32-$B$8))))*IF($C$8="",1,$C$8))</f>
      </c>
      <c r="D32" s="100">
        <f>IF(OR($A$9="",$B$9=""),0,IF((A32-$B$9)&lt;1,0,IF((A32-$B$9)&gt;24,INDEX('Cash flow'!$P$7:$P$30,24),INDEX('Cash flow'!$P$7:$P$30,(A32-$B$9))))*IF($C$9="",1,$C$9))</f>
      </c>
      <c r="E32" s="100">
        <f>IF(OR($A$10="",$B$10=""),0,IF((A32-$B$10)&lt;1,0,IF((A32-$B$10)&gt;24,INDEX('Cash flow'!$P$7:$P$30,24),INDEX('Cash flow'!$P$7:$P$30,(A32-$B$10))))*IF($C$10="",1,$C$10))</f>
      </c>
      <c r="F32" s="100">
        <f>IF(OR($A$11="",$B$11=""),0,IF((A32-$B$11)&lt;1,0,IF((A32-$B$11)&gt;24,INDEX('Cash flow'!$P$7:$P$30,24),INDEX('Cash flow'!$P$7:$P$30,(A32-$B$11))))*IF($C$11="",1,$C$11))</f>
      </c>
      <c r="G32" s="80">
        <f t="shared" si="0"/>
      </c>
      <c r="H32" s="101">
        <f>IF(Setup!$B$18="",NA(),-Setup!$B$18)</f>
      </c>
    </row>
    <row r="33" spans="1:8" x14ac:dyDescent="0.3">
      <c r="A33" s="99">
        <v>16</v>
      </c>
      <c r="B33" s="100">
        <f>IF(OR($A$7="",$B$7=""),0,IF((A33-$B$7)&lt;1,0,IF((A33-$B$7)&gt;24,INDEX('Cash flow'!$P$7:$P$30,24),INDEX('Cash flow'!$P$7:$P$30,(A33-$B$7))))*IF($C$7="",1,$C$7))</f>
      </c>
      <c r="C33" s="100">
        <f>IF(OR($A$8="",$B$8=""),0,IF((A33-$B$8)&lt;1,0,IF((A33-$B$8)&gt;24,INDEX('Cash flow'!$P$7:$P$30,24),INDEX('Cash flow'!$P$7:$P$30,(A33-$B$8))))*IF($C$8="",1,$C$8))</f>
      </c>
      <c r="D33" s="100">
        <f>IF(OR($A$9="",$B$9=""),0,IF((A33-$B$9)&lt;1,0,IF((A33-$B$9)&gt;24,INDEX('Cash flow'!$P$7:$P$30,24),INDEX('Cash flow'!$P$7:$P$30,(A33-$B$9))))*IF($C$9="",1,$C$9))</f>
      </c>
      <c r="E33" s="100">
        <f>IF(OR($A$10="",$B$10=""),0,IF((A33-$B$10)&lt;1,0,IF((A33-$B$10)&gt;24,INDEX('Cash flow'!$P$7:$P$30,24),INDEX('Cash flow'!$P$7:$P$30,(A33-$B$10))))*IF($C$10="",1,$C$10))</f>
      </c>
      <c r="F33" s="100">
        <f>IF(OR($A$11="",$B$11=""),0,IF((A33-$B$11)&lt;1,0,IF((A33-$B$11)&gt;24,INDEX('Cash flow'!$P$7:$P$30,24),INDEX('Cash flow'!$P$7:$P$30,(A33-$B$11))))*IF($C$11="",1,$C$11))</f>
      </c>
      <c r="G33" s="80">
        <f t="shared" si="0"/>
      </c>
      <c r="H33" s="101">
        <f>IF(Setup!$B$18="",NA(),-Setup!$B$18)</f>
      </c>
    </row>
    <row r="34" spans="1:8" x14ac:dyDescent="0.3">
      <c r="A34" s="99">
        <v>17</v>
      </c>
      <c r="B34" s="100">
        <f>IF(OR($A$7="",$B$7=""),0,IF((A34-$B$7)&lt;1,0,IF((A34-$B$7)&gt;24,INDEX('Cash flow'!$P$7:$P$30,24),INDEX('Cash flow'!$P$7:$P$30,(A34-$B$7))))*IF($C$7="",1,$C$7))</f>
      </c>
      <c r="C34" s="100">
        <f>IF(OR($A$8="",$B$8=""),0,IF((A34-$B$8)&lt;1,0,IF((A34-$B$8)&gt;24,INDEX('Cash flow'!$P$7:$P$30,24),INDEX('Cash flow'!$P$7:$P$30,(A34-$B$8))))*IF($C$8="",1,$C$8))</f>
      </c>
      <c r="D34" s="100">
        <f>IF(OR($A$9="",$B$9=""),0,IF((A34-$B$9)&lt;1,0,IF((A34-$B$9)&gt;24,INDEX('Cash flow'!$P$7:$P$30,24),INDEX('Cash flow'!$P$7:$P$30,(A34-$B$9))))*IF($C$9="",1,$C$9))</f>
      </c>
      <c r="E34" s="100">
        <f>IF(OR($A$10="",$B$10=""),0,IF((A34-$B$10)&lt;1,0,IF((A34-$B$10)&gt;24,INDEX('Cash flow'!$P$7:$P$30,24),INDEX('Cash flow'!$P$7:$P$30,(A34-$B$10))))*IF($C$10="",1,$C$10))</f>
      </c>
      <c r="F34" s="100">
        <f>IF(OR($A$11="",$B$11=""),0,IF((A34-$B$11)&lt;1,0,IF((A34-$B$11)&gt;24,INDEX('Cash flow'!$P$7:$P$30,24),INDEX('Cash flow'!$P$7:$P$30,(A34-$B$11))))*IF($C$11="",1,$C$11))</f>
      </c>
      <c r="G34" s="80">
        <f t="shared" si="0"/>
      </c>
      <c r="H34" s="101">
        <f>IF(Setup!$B$18="",NA(),-Setup!$B$18)</f>
      </c>
    </row>
    <row r="35" spans="1:8" x14ac:dyDescent="0.3">
      <c r="A35" s="99">
        <v>18</v>
      </c>
      <c r="B35" s="100">
        <f>IF(OR($A$7="",$B$7=""),0,IF((A35-$B$7)&lt;1,0,IF((A35-$B$7)&gt;24,INDEX('Cash flow'!$P$7:$P$30,24),INDEX('Cash flow'!$P$7:$P$30,(A35-$B$7))))*IF($C$7="",1,$C$7))</f>
      </c>
      <c r="C35" s="100">
        <f>IF(OR($A$8="",$B$8=""),0,IF((A35-$B$8)&lt;1,0,IF((A35-$B$8)&gt;24,INDEX('Cash flow'!$P$7:$P$30,24),INDEX('Cash flow'!$P$7:$P$30,(A35-$B$8))))*IF($C$8="",1,$C$8))</f>
      </c>
      <c r="D35" s="100">
        <f>IF(OR($A$9="",$B$9=""),0,IF((A35-$B$9)&lt;1,0,IF((A35-$B$9)&gt;24,INDEX('Cash flow'!$P$7:$P$30,24),INDEX('Cash flow'!$P$7:$P$30,(A35-$B$9))))*IF($C$9="",1,$C$9))</f>
      </c>
      <c r="E35" s="100">
        <f>IF(OR($A$10="",$B$10=""),0,IF((A35-$B$10)&lt;1,0,IF((A35-$B$10)&gt;24,INDEX('Cash flow'!$P$7:$P$30,24),INDEX('Cash flow'!$P$7:$P$30,(A35-$B$10))))*IF($C$10="",1,$C$10))</f>
      </c>
      <c r="F35" s="100">
        <f>IF(OR($A$11="",$B$11=""),0,IF((A35-$B$11)&lt;1,0,IF((A35-$B$11)&gt;24,INDEX('Cash flow'!$P$7:$P$30,24),INDEX('Cash flow'!$P$7:$P$30,(A35-$B$11))))*IF($C$11="",1,$C$11))</f>
      </c>
      <c r="G35" s="80">
        <f t="shared" si="0"/>
      </c>
      <c r="H35" s="101">
        <f>IF(Setup!$B$18="",NA(),-Setup!$B$18)</f>
      </c>
    </row>
    <row r="36" spans="1:8" x14ac:dyDescent="0.3">
      <c r="A36" s="99">
        <v>19</v>
      </c>
      <c r="B36" s="100">
        <f>IF(OR($A$7="",$B$7=""),0,IF((A36-$B$7)&lt;1,0,IF((A36-$B$7)&gt;24,INDEX('Cash flow'!$P$7:$P$30,24),INDEX('Cash flow'!$P$7:$P$30,(A36-$B$7))))*IF($C$7="",1,$C$7))</f>
      </c>
      <c r="C36" s="100">
        <f>IF(OR($A$8="",$B$8=""),0,IF((A36-$B$8)&lt;1,0,IF((A36-$B$8)&gt;24,INDEX('Cash flow'!$P$7:$P$30,24),INDEX('Cash flow'!$P$7:$P$30,(A36-$B$8))))*IF($C$8="",1,$C$8))</f>
      </c>
      <c r="D36" s="100">
        <f>IF(OR($A$9="",$B$9=""),0,IF((A36-$B$9)&lt;1,0,IF((A36-$B$9)&gt;24,INDEX('Cash flow'!$P$7:$P$30,24),INDEX('Cash flow'!$P$7:$P$30,(A36-$B$9))))*IF($C$9="",1,$C$9))</f>
      </c>
      <c r="E36" s="100">
        <f>IF(OR($A$10="",$B$10=""),0,IF((A36-$B$10)&lt;1,0,IF((A36-$B$10)&gt;24,INDEX('Cash flow'!$P$7:$P$30,24),INDEX('Cash flow'!$P$7:$P$30,(A36-$B$10))))*IF($C$10="",1,$C$10))</f>
      </c>
      <c r="F36" s="100">
        <f>IF(OR($A$11="",$B$11=""),0,IF((A36-$B$11)&lt;1,0,IF((A36-$B$11)&gt;24,INDEX('Cash flow'!$P$7:$P$30,24),INDEX('Cash flow'!$P$7:$P$30,(A36-$B$11))))*IF($C$11="",1,$C$11))</f>
      </c>
      <c r="G36" s="80">
        <f t="shared" si="0"/>
      </c>
      <c r="H36" s="101">
        <f>IF(Setup!$B$18="",NA(),-Setup!$B$18)</f>
      </c>
    </row>
    <row r="37" spans="1:8" x14ac:dyDescent="0.3">
      <c r="A37" s="99">
        <v>20</v>
      </c>
      <c r="B37" s="100">
        <f>IF(OR($A$7="",$B$7=""),0,IF((A37-$B$7)&lt;1,0,IF((A37-$B$7)&gt;24,INDEX('Cash flow'!$P$7:$P$30,24),INDEX('Cash flow'!$P$7:$P$30,(A37-$B$7))))*IF($C$7="",1,$C$7))</f>
      </c>
      <c r="C37" s="100">
        <f>IF(OR($A$8="",$B$8=""),0,IF((A37-$B$8)&lt;1,0,IF((A37-$B$8)&gt;24,INDEX('Cash flow'!$P$7:$P$30,24),INDEX('Cash flow'!$P$7:$P$30,(A37-$B$8))))*IF($C$8="",1,$C$8))</f>
      </c>
      <c r="D37" s="100">
        <f>IF(OR($A$9="",$B$9=""),0,IF((A37-$B$9)&lt;1,0,IF((A37-$B$9)&gt;24,INDEX('Cash flow'!$P$7:$P$30,24),INDEX('Cash flow'!$P$7:$P$30,(A37-$B$9))))*IF($C$9="",1,$C$9))</f>
      </c>
      <c r="E37" s="100">
        <f>IF(OR($A$10="",$B$10=""),0,IF((A37-$B$10)&lt;1,0,IF((A37-$B$10)&gt;24,INDEX('Cash flow'!$P$7:$P$30,24),INDEX('Cash flow'!$P$7:$P$30,(A37-$B$10))))*IF($C$10="",1,$C$10))</f>
      </c>
      <c r="F37" s="100">
        <f>IF(OR($A$11="",$B$11=""),0,IF((A37-$B$11)&lt;1,0,IF((A37-$B$11)&gt;24,INDEX('Cash flow'!$P$7:$P$30,24),INDEX('Cash flow'!$P$7:$P$30,(A37-$B$11))))*IF($C$11="",1,$C$11))</f>
      </c>
      <c r="G37" s="80">
        <f t="shared" si="0"/>
      </c>
      <c r="H37" s="101">
        <f>IF(Setup!$B$18="",NA(),-Setup!$B$18)</f>
      </c>
    </row>
    <row r="38" spans="1:8" x14ac:dyDescent="0.3">
      <c r="A38" s="99">
        <v>21</v>
      </c>
      <c r="B38" s="100">
        <f>IF(OR($A$7="",$B$7=""),0,IF((A38-$B$7)&lt;1,0,IF((A38-$B$7)&gt;24,INDEX('Cash flow'!$P$7:$P$30,24),INDEX('Cash flow'!$P$7:$P$30,(A38-$B$7))))*IF($C$7="",1,$C$7))</f>
      </c>
      <c r="C38" s="100">
        <f>IF(OR($A$8="",$B$8=""),0,IF((A38-$B$8)&lt;1,0,IF((A38-$B$8)&gt;24,INDEX('Cash flow'!$P$7:$P$30,24),INDEX('Cash flow'!$P$7:$P$30,(A38-$B$8))))*IF($C$8="",1,$C$8))</f>
      </c>
      <c r="D38" s="100">
        <f>IF(OR($A$9="",$B$9=""),0,IF((A38-$B$9)&lt;1,0,IF((A38-$B$9)&gt;24,INDEX('Cash flow'!$P$7:$P$30,24),INDEX('Cash flow'!$P$7:$P$30,(A38-$B$9))))*IF($C$9="",1,$C$9))</f>
      </c>
      <c r="E38" s="100">
        <f>IF(OR($A$10="",$B$10=""),0,IF((A38-$B$10)&lt;1,0,IF((A38-$B$10)&gt;24,INDEX('Cash flow'!$P$7:$P$30,24),INDEX('Cash flow'!$P$7:$P$30,(A38-$B$10))))*IF($C$10="",1,$C$10))</f>
      </c>
      <c r="F38" s="100">
        <f>IF(OR($A$11="",$B$11=""),0,IF((A38-$B$11)&lt;1,0,IF((A38-$B$11)&gt;24,INDEX('Cash flow'!$P$7:$P$30,24),INDEX('Cash flow'!$P$7:$P$30,(A38-$B$11))))*IF($C$11="",1,$C$11))</f>
      </c>
      <c r="G38" s="80">
        <f t="shared" si="0"/>
      </c>
      <c r="H38" s="101">
        <f>IF(Setup!$B$18="",NA(),-Setup!$B$18)</f>
      </c>
    </row>
    <row r="39" spans="1:8" x14ac:dyDescent="0.3">
      <c r="A39" s="99">
        <v>22</v>
      </c>
      <c r="B39" s="100">
        <f>IF(OR($A$7="",$B$7=""),0,IF((A39-$B$7)&lt;1,0,IF((A39-$B$7)&gt;24,INDEX('Cash flow'!$P$7:$P$30,24),INDEX('Cash flow'!$P$7:$P$30,(A39-$B$7))))*IF($C$7="",1,$C$7))</f>
      </c>
      <c r="C39" s="100">
        <f>IF(OR($A$8="",$B$8=""),0,IF((A39-$B$8)&lt;1,0,IF((A39-$B$8)&gt;24,INDEX('Cash flow'!$P$7:$P$30,24),INDEX('Cash flow'!$P$7:$P$30,(A39-$B$8))))*IF($C$8="",1,$C$8))</f>
      </c>
      <c r="D39" s="100">
        <f>IF(OR($A$9="",$B$9=""),0,IF((A39-$B$9)&lt;1,0,IF((A39-$B$9)&gt;24,INDEX('Cash flow'!$P$7:$P$30,24),INDEX('Cash flow'!$P$7:$P$30,(A39-$B$9))))*IF($C$9="",1,$C$9))</f>
      </c>
      <c r="E39" s="100">
        <f>IF(OR($A$10="",$B$10=""),0,IF((A39-$B$10)&lt;1,0,IF((A39-$B$10)&gt;24,INDEX('Cash flow'!$P$7:$P$30,24),INDEX('Cash flow'!$P$7:$P$30,(A39-$B$10))))*IF($C$10="",1,$C$10))</f>
      </c>
      <c r="F39" s="100">
        <f>IF(OR($A$11="",$B$11=""),0,IF((A39-$B$11)&lt;1,0,IF((A39-$B$11)&gt;24,INDEX('Cash flow'!$P$7:$P$30,24),INDEX('Cash flow'!$P$7:$P$30,(A39-$B$11))))*IF($C$11="",1,$C$11))</f>
      </c>
      <c r="G39" s="80">
        <f t="shared" si="0"/>
      </c>
      <c r="H39" s="101">
        <f>IF(Setup!$B$18="",NA(),-Setup!$B$18)</f>
      </c>
    </row>
    <row r="40" spans="1:8" x14ac:dyDescent="0.3">
      <c r="A40" s="99">
        <v>23</v>
      </c>
      <c r="B40" s="100">
        <f>IF(OR($A$7="",$B$7=""),0,IF((A40-$B$7)&lt;1,0,IF((A40-$B$7)&gt;24,INDEX('Cash flow'!$P$7:$P$30,24),INDEX('Cash flow'!$P$7:$P$30,(A40-$B$7))))*IF($C$7="",1,$C$7))</f>
      </c>
      <c r="C40" s="100">
        <f>IF(OR($A$8="",$B$8=""),0,IF((A40-$B$8)&lt;1,0,IF((A40-$B$8)&gt;24,INDEX('Cash flow'!$P$7:$P$30,24),INDEX('Cash flow'!$P$7:$P$30,(A40-$B$8))))*IF($C$8="",1,$C$8))</f>
      </c>
      <c r="D40" s="100">
        <f>IF(OR($A$9="",$B$9=""),0,IF((A40-$B$9)&lt;1,0,IF((A40-$B$9)&gt;24,INDEX('Cash flow'!$P$7:$P$30,24),INDEX('Cash flow'!$P$7:$P$30,(A40-$B$9))))*IF($C$9="",1,$C$9))</f>
      </c>
      <c r="E40" s="100">
        <f>IF(OR($A$10="",$B$10=""),0,IF((A40-$B$10)&lt;1,0,IF((A40-$B$10)&gt;24,INDEX('Cash flow'!$P$7:$P$30,24),INDEX('Cash flow'!$P$7:$P$30,(A40-$B$10))))*IF($C$10="",1,$C$10))</f>
      </c>
      <c r="F40" s="100">
        <f>IF(OR($A$11="",$B$11=""),0,IF((A40-$B$11)&lt;1,0,IF((A40-$B$11)&gt;24,INDEX('Cash flow'!$P$7:$P$30,24),INDEX('Cash flow'!$P$7:$P$30,(A40-$B$11))))*IF($C$11="",1,$C$11))</f>
      </c>
      <c r="G40" s="80">
        <f t="shared" si="0"/>
      </c>
      <c r="H40" s="101">
        <f>IF(Setup!$B$18="",NA(),-Setup!$B$18)</f>
      </c>
    </row>
    <row r="41" spans="1:8" x14ac:dyDescent="0.3">
      <c r="A41" s="99">
        <v>24</v>
      </c>
      <c r="B41" s="100">
        <f>IF(OR($A$7="",$B$7=""),0,IF((A41-$B$7)&lt;1,0,IF((A41-$B$7)&gt;24,INDEX('Cash flow'!$P$7:$P$30,24),INDEX('Cash flow'!$P$7:$P$30,(A41-$B$7))))*IF($C$7="",1,$C$7))</f>
      </c>
      <c r="C41" s="100">
        <f>IF(OR($A$8="",$B$8=""),0,IF((A41-$B$8)&lt;1,0,IF((A41-$B$8)&gt;24,INDEX('Cash flow'!$P$7:$P$30,24),INDEX('Cash flow'!$P$7:$P$30,(A41-$B$8))))*IF($C$8="",1,$C$8))</f>
      </c>
      <c r="D41" s="100">
        <f>IF(OR($A$9="",$B$9=""),0,IF((A41-$B$9)&lt;1,0,IF((A41-$B$9)&gt;24,INDEX('Cash flow'!$P$7:$P$30,24),INDEX('Cash flow'!$P$7:$P$30,(A41-$B$9))))*IF($C$9="",1,$C$9))</f>
      </c>
      <c r="E41" s="100">
        <f>IF(OR($A$10="",$B$10=""),0,IF((A41-$B$10)&lt;1,0,IF((A41-$B$10)&gt;24,INDEX('Cash flow'!$P$7:$P$30,24),INDEX('Cash flow'!$P$7:$P$30,(A41-$B$10))))*IF($C$10="",1,$C$10))</f>
      </c>
      <c r="F41" s="100">
        <f>IF(OR($A$11="",$B$11=""),0,IF((A41-$B$11)&lt;1,0,IF((A41-$B$11)&gt;24,INDEX('Cash flow'!$P$7:$P$30,24),INDEX('Cash flow'!$P$7:$P$30,(A41-$B$11))))*IF($C$11="",1,$C$11))</f>
      </c>
      <c r="G41" s="80">
        <f t="shared" si="0"/>
      </c>
      <c r="H41" s="101">
        <f>IF(Setup!$B$18="",NA(),-Setup!$B$18)</f>
      </c>
    </row>
    <row r="42" spans="1:8" x14ac:dyDescent="0.3">
      <c r="A42" s="99">
        <v>25</v>
      </c>
      <c r="B42" s="100">
        <f>IF(OR($A$7="",$B$7=""),0,IF((A42-$B$7)&lt;1,0,IF((A42-$B$7)&gt;24,INDEX('Cash flow'!$P$7:$P$30,24),INDEX('Cash flow'!$P$7:$P$30,(A42-$B$7))))*IF($C$7="",1,$C$7))</f>
      </c>
      <c r="C42" s="100">
        <f>IF(OR($A$8="",$B$8=""),0,IF((A42-$B$8)&lt;1,0,IF((A42-$B$8)&gt;24,INDEX('Cash flow'!$P$7:$P$30,24),INDEX('Cash flow'!$P$7:$P$30,(A42-$B$8))))*IF($C$8="",1,$C$8))</f>
      </c>
      <c r="D42" s="100">
        <f>IF(OR($A$9="",$B$9=""),0,IF((A42-$B$9)&lt;1,0,IF((A42-$B$9)&gt;24,INDEX('Cash flow'!$P$7:$P$30,24),INDEX('Cash flow'!$P$7:$P$30,(A42-$B$9))))*IF($C$9="",1,$C$9))</f>
      </c>
      <c r="E42" s="100">
        <f>IF(OR($A$10="",$B$10=""),0,IF((A42-$B$10)&lt;1,0,IF((A42-$B$10)&gt;24,INDEX('Cash flow'!$P$7:$P$30,24),INDEX('Cash flow'!$P$7:$P$30,(A42-$B$10))))*IF($C$10="",1,$C$10))</f>
      </c>
      <c r="F42" s="100">
        <f>IF(OR($A$11="",$B$11=""),0,IF((A42-$B$11)&lt;1,0,IF((A42-$B$11)&gt;24,INDEX('Cash flow'!$P$7:$P$30,24),INDEX('Cash flow'!$P$7:$P$30,(A42-$B$11))))*IF($C$11="",1,$C$11))</f>
      </c>
      <c r="G42" s="80">
        <f t="shared" si="0"/>
      </c>
      <c r="H42" s="101">
        <f>IF(Setup!$B$18="",NA(),-Setup!$B$18)</f>
      </c>
    </row>
    <row r="43" spans="1:8" x14ac:dyDescent="0.3">
      <c r="A43" s="99">
        <v>26</v>
      </c>
      <c r="B43" s="100">
        <f>IF(OR($A$7="",$B$7=""),0,IF((A43-$B$7)&lt;1,0,IF((A43-$B$7)&gt;24,INDEX('Cash flow'!$P$7:$P$30,24),INDEX('Cash flow'!$P$7:$P$30,(A43-$B$7))))*IF($C$7="",1,$C$7))</f>
      </c>
      <c r="C43" s="100">
        <f>IF(OR($A$8="",$B$8=""),0,IF((A43-$B$8)&lt;1,0,IF((A43-$B$8)&gt;24,INDEX('Cash flow'!$P$7:$P$30,24),INDEX('Cash flow'!$P$7:$P$30,(A43-$B$8))))*IF($C$8="",1,$C$8))</f>
      </c>
      <c r="D43" s="100">
        <f>IF(OR($A$9="",$B$9=""),0,IF((A43-$B$9)&lt;1,0,IF((A43-$B$9)&gt;24,INDEX('Cash flow'!$P$7:$P$30,24),INDEX('Cash flow'!$P$7:$P$30,(A43-$B$9))))*IF($C$9="",1,$C$9))</f>
      </c>
      <c r="E43" s="100">
        <f>IF(OR($A$10="",$B$10=""),0,IF((A43-$B$10)&lt;1,0,IF((A43-$B$10)&gt;24,INDEX('Cash flow'!$P$7:$P$30,24),INDEX('Cash flow'!$P$7:$P$30,(A43-$B$10))))*IF($C$10="",1,$C$10))</f>
      </c>
      <c r="F43" s="100">
        <f>IF(OR($A$11="",$B$11=""),0,IF((A43-$B$11)&lt;1,0,IF((A43-$B$11)&gt;24,INDEX('Cash flow'!$P$7:$P$30,24),INDEX('Cash flow'!$P$7:$P$30,(A43-$B$11))))*IF($C$11="",1,$C$11))</f>
      </c>
      <c r="G43" s="80">
        <f t="shared" si="0"/>
      </c>
      <c r="H43" s="101">
        <f>IF(Setup!$B$18="",NA(),-Setup!$B$18)</f>
      </c>
    </row>
    <row r="44" spans="1:8" x14ac:dyDescent="0.3">
      <c r="A44" s="99">
        <v>27</v>
      </c>
      <c r="B44" s="100">
        <f>IF(OR($A$7="",$B$7=""),0,IF((A44-$B$7)&lt;1,0,IF((A44-$B$7)&gt;24,INDEX('Cash flow'!$P$7:$P$30,24),INDEX('Cash flow'!$P$7:$P$30,(A44-$B$7))))*IF($C$7="",1,$C$7))</f>
      </c>
      <c r="C44" s="100">
        <f>IF(OR($A$8="",$B$8=""),0,IF((A44-$B$8)&lt;1,0,IF((A44-$B$8)&gt;24,INDEX('Cash flow'!$P$7:$P$30,24),INDEX('Cash flow'!$P$7:$P$30,(A44-$B$8))))*IF($C$8="",1,$C$8))</f>
      </c>
      <c r="D44" s="100">
        <f>IF(OR($A$9="",$B$9=""),0,IF((A44-$B$9)&lt;1,0,IF((A44-$B$9)&gt;24,INDEX('Cash flow'!$P$7:$P$30,24),INDEX('Cash flow'!$P$7:$P$30,(A44-$B$9))))*IF($C$9="",1,$C$9))</f>
      </c>
      <c r="E44" s="100">
        <f>IF(OR($A$10="",$B$10=""),0,IF((A44-$B$10)&lt;1,0,IF((A44-$B$10)&gt;24,INDEX('Cash flow'!$P$7:$P$30,24),INDEX('Cash flow'!$P$7:$P$30,(A44-$B$10))))*IF($C$10="",1,$C$10))</f>
      </c>
      <c r="F44" s="100">
        <f>IF(OR($A$11="",$B$11=""),0,IF((A44-$B$11)&lt;1,0,IF((A44-$B$11)&gt;24,INDEX('Cash flow'!$P$7:$P$30,24),INDEX('Cash flow'!$P$7:$P$30,(A44-$B$11))))*IF($C$11="",1,$C$11))</f>
      </c>
      <c r="G44" s="80">
        <f t="shared" si="0"/>
      </c>
      <c r="H44" s="101">
        <f>IF(Setup!$B$18="",NA(),-Setup!$B$18)</f>
      </c>
    </row>
    <row r="45" spans="1:8" x14ac:dyDescent="0.3">
      <c r="A45" s="99">
        <v>28</v>
      </c>
      <c r="B45" s="100">
        <f>IF(OR($A$7="",$B$7=""),0,IF((A45-$B$7)&lt;1,0,IF((A45-$B$7)&gt;24,INDEX('Cash flow'!$P$7:$P$30,24),INDEX('Cash flow'!$P$7:$P$30,(A45-$B$7))))*IF($C$7="",1,$C$7))</f>
      </c>
      <c r="C45" s="100">
        <f>IF(OR($A$8="",$B$8=""),0,IF((A45-$B$8)&lt;1,0,IF((A45-$B$8)&gt;24,INDEX('Cash flow'!$P$7:$P$30,24),INDEX('Cash flow'!$P$7:$P$30,(A45-$B$8))))*IF($C$8="",1,$C$8))</f>
      </c>
      <c r="D45" s="100">
        <f>IF(OR($A$9="",$B$9=""),0,IF((A45-$B$9)&lt;1,0,IF((A45-$B$9)&gt;24,INDEX('Cash flow'!$P$7:$P$30,24),INDEX('Cash flow'!$P$7:$P$30,(A45-$B$9))))*IF($C$9="",1,$C$9))</f>
      </c>
      <c r="E45" s="100">
        <f>IF(OR($A$10="",$B$10=""),0,IF((A45-$B$10)&lt;1,0,IF((A45-$B$10)&gt;24,INDEX('Cash flow'!$P$7:$P$30,24),INDEX('Cash flow'!$P$7:$P$30,(A45-$B$10))))*IF($C$10="",1,$C$10))</f>
      </c>
      <c r="F45" s="100">
        <f>IF(OR($A$11="",$B$11=""),0,IF((A45-$B$11)&lt;1,0,IF((A45-$B$11)&gt;24,INDEX('Cash flow'!$P$7:$P$30,24),INDEX('Cash flow'!$P$7:$P$30,(A45-$B$11))))*IF($C$11="",1,$C$11))</f>
      </c>
      <c r="G45" s="80">
        <f t="shared" si="0"/>
      </c>
      <c r="H45" s="101">
        <f>IF(Setup!$B$18="",NA(),-Setup!$B$18)</f>
      </c>
    </row>
    <row r="46" spans="1:8" x14ac:dyDescent="0.3">
      <c r="A46" s="99">
        <v>29</v>
      </c>
      <c r="B46" s="100">
        <f>IF(OR($A$7="",$B$7=""),0,IF((A46-$B$7)&lt;1,0,IF((A46-$B$7)&gt;24,INDEX('Cash flow'!$P$7:$P$30,24),INDEX('Cash flow'!$P$7:$P$30,(A46-$B$7))))*IF($C$7="",1,$C$7))</f>
      </c>
      <c r="C46" s="100">
        <f>IF(OR($A$8="",$B$8=""),0,IF((A46-$B$8)&lt;1,0,IF((A46-$B$8)&gt;24,INDEX('Cash flow'!$P$7:$P$30,24),INDEX('Cash flow'!$P$7:$P$30,(A46-$B$8))))*IF($C$8="",1,$C$8))</f>
      </c>
      <c r="D46" s="100">
        <f>IF(OR($A$9="",$B$9=""),0,IF((A46-$B$9)&lt;1,0,IF((A46-$B$9)&gt;24,INDEX('Cash flow'!$P$7:$P$30,24),INDEX('Cash flow'!$P$7:$P$30,(A46-$B$9))))*IF($C$9="",1,$C$9))</f>
      </c>
      <c r="E46" s="100">
        <f>IF(OR($A$10="",$B$10=""),0,IF((A46-$B$10)&lt;1,0,IF((A46-$B$10)&gt;24,INDEX('Cash flow'!$P$7:$P$30,24),INDEX('Cash flow'!$P$7:$P$30,(A46-$B$10))))*IF($C$10="",1,$C$10))</f>
      </c>
      <c r="F46" s="100">
        <f>IF(OR($A$11="",$B$11=""),0,IF((A46-$B$11)&lt;1,0,IF((A46-$B$11)&gt;24,INDEX('Cash flow'!$P$7:$P$30,24),INDEX('Cash flow'!$P$7:$P$30,(A46-$B$11))))*IF($C$11="",1,$C$11))</f>
      </c>
      <c r="G46" s="80">
        <f t="shared" si="0"/>
      </c>
      <c r="H46" s="101">
        <f>IF(Setup!$B$18="",NA(),-Setup!$B$18)</f>
      </c>
    </row>
    <row r="47" spans="1:8" x14ac:dyDescent="0.3">
      <c r="A47" s="99">
        <v>30</v>
      </c>
      <c r="B47" s="100">
        <f>IF(OR($A$7="",$B$7=""),0,IF((A47-$B$7)&lt;1,0,IF((A47-$B$7)&gt;24,INDEX('Cash flow'!$P$7:$P$30,24),INDEX('Cash flow'!$P$7:$P$30,(A47-$B$7))))*IF($C$7="",1,$C$7))</f>
      </c>
      <c r="C47" s="100">
        <f>IF(OR($A$8="",$B$8=""),0,IF((A47-$B$8)&lt;1,0,IF((A47-$B$8)&gt;24,INDEX('Cash flow'!$P$7:$P$30,24),INDEX('Cash flow'!$P$7:$P$30,(A47-$B$8))))*IF($C$8="",1,$C$8))</f>
      </c>
      <c r="D47" s="100">
        <f>IF(OR($A$9="",$B$9=""),0,IF((A47-$B$9)&lt;1,0,IF((A47-$B$9)&gt;24,INDEX('Cash flow'!$P$7:$P$30,24),INDEX('Cash flow'!$P$7:$P$30,(A47-$B$9))))*IF($C$9="",1,$C$9))</f>
      </c>
      <c r="E47" s="100">
        <f>IF(OR($A$10="",$B$10=""),0,IF((A47-$B$10)&lt;1,0,IF((A47-$B$10)&gt;24,INDEX('Cash flow'!$P$7:$P$30,24),INDEX('Cash flow'!$P$7:$P$30,(A47-$B$10))))*IF($C$10="",1,$C$10))</f>
      </c>
      <c r="F47" s="100">
        <f>IF(OR($A$11="",$B$11=""),0,IF((A47-$B$11)&lt;1,0,IF((A47-$B$11)&gt;24,INDEX('Cash flow'!$P$7:$P$30,24),INDEX('Cash flow'!$P$7:$P$30,(A47-$B$11))))*IF($C$11="",1,$C$11))</f>
      </c>
      <c r="G47" s="80">
        <f t="shared" si="0"/>
      </c>
      <c r="H47" s="101">
        <f>IF(Setup!$B$18="",NA(),-Setup!$B$18)</f>
      </c>
    </row>
    <row r="48" spans="1:8" x14ac:dyDescent="0.3">
      <c r="A48" s="99">
        <v>31</v>
      </c>
      <c r="B48" s="100">
        <f>IF(OR($A$7="",$B$7=""),0,IF((A48-$B$7)&lt;1,0,IF((A48-$B$7)&gt;24,INDEX('Cash flow'!$P$7:$P$30,24),INDEX('Cash flow'!$P$7:$P$30,(A48-$B$7))))*IF($C$7="",1,$C$7))</f>
      </c>
      <c r="C48" s="100">
        <f>IF(OR($A$8="",$B$8=""),0,IF((A48-$B$8)&lt;1,0,IF((A48-$B$8)&gt;24,INDEX('Cash flow'!$P$7:$P$30,24),INDEX('Cash flow'!$P$7:$P$30,(A48-$B$8))))*IF($C$8="",1,$C$8))</f>
      </c>
      <c r="D48" s="100">
        <f>IF(OR($A$9="",$B$9=""),0,IF((A48-$B$9)&lt;1,0,IF((A48-$B$9)&gt;24,INDEX('Cash flow'!$P$7:$P$30,24),INDEX('Cash flow'!$P$7:$P$30,(A48-$B$9))))*IF($C$9="",1,$C$9))</f>
      </c>
      <c r="E48" s="100">
        <f>IF(OR($A$10="",$B$10=""),0,IF((A48-$B$10)&lt;1,0,IF((A48-$B$10)&gt;24,INDEX('Cash flow'!$P$7:$P$30,24),INDEX('Cash flow'!$P$7:$P$30,(A48-$B$10))))*IF($C$10="",1,$C$10))</f>
      </c>
      <c r="F48" s="100">
        <f>IF(OR($A$11="",$B$11=""),0,IF((A48-$B$11)&lt;1,0,IF((A48-$B$11)&gt;24,INDEX('Cash flow'!$P$7:$P$30,24),INDEX('Cash flow'!$P$7:$P$30,(A48-$B$11))))*IF($C$11="",1,$C$11))</f>
      </c>
      <c r="G48" s="80">
        <f t="shared" si="0"/>
      </c>
      <c r="H48" s="101">
        <f>IF(Setup!$B$18="",NA(),-Setup!$B$18)</f>
      </c>
    </row>
    <row r="49" spans="1:8" x14ac:dyDescent="0.3">
      <c r="A49" s="99">
        <v>32</v>
      </c>
      <c r="B49" s="100">
        <f>IF(OR($A$7="",$B$7=""),0,IF((A49-$B$7)&lt;1,0,IF((A49-$B$7)&gt;24,INDEX('Cash flow'!$P$7:$P$30,24),INDEX('Cash flow'!$P$7:$P$30,(A49-$B$7))))*IF($C$7="",1,$C$7))</f>
      </c>
      <c r="C49" s="100">
        <f>IF(OR($A$8="",$B$8=""),0,IF((A49-$B$8)&lt;1,0,IF((A49-$B$8)&gt;24,INDEX('Cash flow'!$P$7:$P$30,24),INDEX('Cash flow'!$P$7:$P$30,(A49-$B$8))))*IF($C$8="",1,$C$8))</f>
      </c>
      <c r="D49" s="100">
        <f>IF(OR($A$9="",$B$9=""),0,IF((A49-$B$9)&lt;1,0,IF((A49-$B$9)&gt;24,INDEX('Cash flow'!$P$7:$P$30,24),INDEX('Cash flow'!$P$7:$P$30,(A49-$B$9))))*IF($C$9="",1,$C$9))</f>
      </c>
      <c r="E49" s="100">
        <f>IF(OR($A$10="",$B$10=""),0,IF((A49-$B$10)&lt;1,0,IF((A49-$B$10)&gt;24,INDEX('Cash flow'!$P$7:$P$30,24),INDEX('Cash flow'!$P$7:$P$30,(A49-$B$10))))*IF($C$10="",1,$C$10))</f>
      </c>
      <c r="F49" s="100">
        <f>IF(OR($A$11="",$B$11=""),0,IF((A49-$B$11)&lt;1,0,IF((A49-$B$11)&gt;24,INDEX('Cash flow'!$P$7:$P$30,24),INDEX('Cash flow'!$P$7:$P$30,(A49-$B$11))))*IF($C$11="",1,$C$11))</f>
      </c>
      <c r="G49" s="80">
        <f t="shared" si="0"/>
      </c>
      <c r="H49" s="101">
        <f>IF(Setup!$B$18="",NA(),-Setup!$B$18)</f>
      </c>
    </row>
    <row r="50" spans="1:8" x14ac:dyDescent="0.3">
      <c r="A50" s="99">
        <v>33</v>
      </c>
      <c r="B50" s="100">
        <f>IF(OR($A$7="",$B$7=""),0,IF((A50-$B$7)&lt;1,0,IF((A50-$B$7)&gt;24,INDEX('Cash flow'!$P$7:$P$30,24),INDEX('Cash flow'!$P$7:$P$30,(A50-$B$7))))*IF($C$7="",1,$C$7))</f>
      </c>
      <c r="C50" s="100">
        <f>IF(OR($A$8="",$B$8=""),0,IF((A50-$B$8)&lt;1,0,IF((A50-$B$8)&gt;24,INDEX('Cash flow'!$P$7:$P$30,24),INDEX('Cash flow'!$P$7:$P$30,(A50-$B$8))))*IF($C$8="",1,$C$8))</f>
      </c>
      <c r="D50" s="100">
        <f>IF(OR($A$9="",$B$9=""),0,IF((A50-$B$9)&lt;1,0,IF((A50-$B$9)&gt;24,INDEX('Cash flow'!$P$7:$P$30,24),INDEX('Cash flow'!$P$7:$P$30,(A50-$B$9))))*IF($C$9="",1,$C$9))</f>
      </c>
      <c r="E50" s="100">
        <f>IF(OR($A$10="",$B$10=""),0,IF((A50-$B$10)&lt;1,0,IF((A50-$B$10)&gt;24,INDEX('Cash flow'!$P$7:$P$30,24),INDEX('Cash flow'!$P$7:$P$30,(A50-$B$10))))*IF($C$10="",1,$C$10))</f>
      </c>
      <c r="F50" s="100">
        <f>IF(OR($A$11="",$B$11=""),0,IF((A50-$B$11)&lt;1,0,IF((A50-$B$11)&gt;24,INDEX('Cash flow'!$P$7:$P$30,24),INDEX('Cash flow'!$P$7:$P$30,(A50-$B$11))))*IF($C$11="",1,$C$11))</f>
      </c>
      <c r="G50" s="80">
        <f t="shared" si="0"/>
      </c>
      <c r="H50" s="101">
        <f>IF(Setup!$B$18="",NA(),-Setup!$B$18)</f>
      </c>
    </row>
    <row r="51" spans="1:8" x14ac:dyDescent="0.3">
      <c r="A51" s="99">
        <v>34</v>
      </c>
      <c r="B51" s="100">
        <f>IF(OR($A$7="",$B$7=""),0,IF((A51-$B$7)&lt;1,0,IF((A51-$B$7)&gt;24,INDEX('Cash flow'!$P$7:$P$30,24),INDEX('Cash flow'!$P$7:$P$30,(A51-$B$7))))*IF($C$7="",1,$C$7))</f>
      </c>
      <c r="C51" s="100">
        <f>IF(OR($A$8="",$B$8=""),0,IF((A51-$B$8)&lt;1,0,IF((A51-$B$8)&gt;24,INDEX('Cash flow'!$P$7:$P$30,24),INDEX('Cash flow'!$P$7:$P$30,(A51-$B$8))))*IF($C$8="",1,$C$8))</f>
      </c>
      <c r="D51" s="100">
        <f>IF(OR($A$9="",$B$9=""),0,IF((A51-$B$9)&lt;1,0,IF((A51-$B$9)&gt;24,INDEX('Cash flow'!$P$7:$P$30,24),INDEX('Cash flow'!$P$7:$P$30,(A51-$B$9))))*IF($C$9="",1,$C$9))</f>
      </c>
      <c r="E51" s="100">
        <f>IF(OR($A$10="",$B$10=""),0,IF((A51-$B$10)&lt;1,0,IF((A51-$B$10)&gt;24,INDEX('Cash flow'!$P$7:$P$30,24),INDEX('Cash flow'!$P$7:$P$30,(A51-$B$10))))*IF($C$10="",1,$C$10))</f>
      </c>
      <c r="F51" s="100">
        <f>IF(OR($A$11="",$B$11=""),0,IF((A51-$B$11)&lt;1,0,IF((A51-$B$11)&gt;24,INDEX('Cash flow'!$P$7:$P$30,24),INDEX('Cash flow'!$P$7:$P$30,(A51-$B$11))))*IF($C$11="",1,$C$11))</f>
      </c>
      <c r="G51" s="80">
        <f t="shared" si="0"/>
      </c>
      <c r="H51" s="101">
        <f>IF(Setup!$B$18="",NA(),-Setup!$B$18)</f>
      </c>
    </row>
    <row r="52" spans="1:8" x14ac:dyDescent="0.3">
      <c r="A52" s="99">
        <v>35</v>
      </c>
      <c r="B52" s="100">
        <f>IF(OR($A$7="",$B$7=""),0,IF((A52-$B$7)&lt;1,0,IF((A52-$B$7)&gt;24,INDEX('Cash flow'!$P$7:$P$30,24),INDEX('Cash flow'!$P$7:$P$30,(A52-$B$7))))*IF($C$7="",1,$C$7))</f>
      </c>
      <c r="C52" s="100">
        <f>IF(OR($A$8="",$B$8=""),0,IF((A52-$B$8)&lt;1,0,IF((A52-$B$8)&gt;24,INDEX('Cash flow'!$P$7:$P$30,24),INDEX('Cash flow'!$P$7:$P$30,(A52-$B$8))))*IF($C$8="",1,$C$8))</f>
      </c>
      <c r="D52" s="100">
        <f>IF(OR($A$9="",$B$9=""),0,IF((A52-$B$9)&lt;1,0,IF((A52-$B$9)&gt;24,INDEX('Cash flow'!$P$7:$P$30,24),INDEX('Cash flow'!$P$7:$P$30,(A52-$B$9))))*IF($C$9="",1,$C$9))</f>
      </c>
      <c r="E52" s="100">
        <f>IF(OR($A$10="",$B$10=""),0,IF((A52-$B$10)&lt;1,0,IF((A52-$B$10)&gt;24,INDEX('Cash flow'!$P$7:$P$30,24),INDEX('Cash flow'!$P$7:$P$30,(A52-$B$10))))*IF($C$10="",1,$C$10))</f>
      </c>
      <c r="F52" s="100">
        <f>IF(OR($A$11="",$B$11=""),0,IF((A52-$B$11)&lt;1,0,IF((A52-$B$11)&gt;24,INDEX('Cash flow'!$P$7:$P$30,24),INDEX('Cash flow'!$P$7:$P$30,(A52-$B$11))))*IF($C$11="",1,$C$11))</f>
      </c>
      <c r="G52" s="80">
        <f t="shared" si="0"/>
      </c>
      <c r="H52" s="101">
        <f>IF(Setup!$B$18="",NA(),-Setup!$B$18)</f>
      </c>
    </row>
    <row r="53" spans="1:8" x14ac:dyDescent="0.3">
      <c r="A53" s="99">
        <v>36</v>
      </c>
      <c r="B53" s="100">
        <f>IF(OR($A$7="",$B$7=""),0,IF((A53-$B$7)&lt;1,0,IF((A53-$B$7)&gt;24,INDEX('Cash flow'!$P$7:$P$30,24),INDEX('Cash flow'!$P$7:$P$30,(A53-$B$7))))*IF($C$7="",1,$C$7))</f>
      </c>
      <c r="C53" s="100">
        <f>IF(OR($A$8="",$B$8=""),0,IF((A53-$B$8)&lt;1,0,IF((A53-$B$8)&gt;24,INDEX('Cash flow'!$P$7:$P$30,24),INDEX('Cash flow'!$P$7:$P$30,(A53-$B$8))))*IF($C$8="",1,$C$8))</f>
      </c>
      <c r="D53" s="100">
        <f>IF(OR($A$9="",$B$9=""),0,IF((A53-$B$9)&lt;1,0,IF((A53-$B$9)&gt;24,INDEX('Cash flow'!$P$7:$P$30,24),INDEX('Cash flow'!$P$7:$P$30,(A53-$B$9))))*IF($C$9="",1,$C$9))</f>
      </c>
      <c r="E53" s="100">
        <f>IF(OR($A$10="",$B$10=""),0,IF((A53-$B$10)&lt;1,0,IF((A53-$B$10)&gt;24,INDEX('Cash flow'!$P$7:$P$30,24),INDEX('Cash flow'!$P$7:$P$30,(A53-$B$10))))*IF($C$10="",1,$C$10))</f>
      </c>
      <c r="F53" s="100">
        <f>IF(OR($A$11="",$B$11=""),0,IF((A53-$B$11)&lt;1,0,IF((A53-$B$11)&gt;24,INDEX('Cash flow'!$P$7:$P$30,24),INDEX('Cash flow'!$P$7:$P$30,(A53-$B$11))))*IF($C$11="",1,$C$11))</f>
      </c>
      <c r="G53" s="80">
        <f t="shared" si="0"/>
      </c>
      <c r="H53" s="101">
        <f>IF(Setup!$B$18="",NA(),-Setup!$B$18)</f>
      </c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3:C15"/>
  </mergeCells>
  <conditionalFormatting sqref="G18:G53">
    <cfRule type="cellIs" dxfId="1" priority="2" operator="lessThan">
      <formula>0</formula>
    </cfRule>
  </conditionalFormatting>
  <conditionalFormatting sqref="G10">
    <cfRule type="cellIs" dxfId="0" priority="3" operator="greaterThan">
      <formula>0</formula>
    </cfRule>
  </conditionalFormatting>
  <printOptions horizontalCentered="1"/>
  <pageMargins left="0.4" right="0.4" top="0.5" bottom="0.5" header="0.5" footer="0.5"/>
  <pageSetup paperSize="9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500-000001000000}">
            <xm:f>AND(Setup!$B$18&lt;&gt;"",G18&lt;-Setup!$B$18)</xm:f>
            <x14:dxf>
              <font>
                <b/>
                <color rgb="FFBE123C"/>
                <name val="Arial"/>
              </font>
              <fill>
                <patternFill patternType="solid">
                  <fgColor rgb="FFFFE4E6"/>
                </patternFill>
              </fill>
            </x14:dxf>
          </x14:cfRule>
          <xm:sqref>G18:G53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Start</vt:lpstr>
      <vt:lpstr>Dashboard</vt:lpstr>
      <vt:lpstr>Setup</vt:lpstr>
      <vt:lpstr>Cash flow</vt:lpstr>
      <vt:lpstr>What if</vt:lpstr>
      <vt:lpstr>Portfolio</vt:lpstr>
      <vt:lpstr>'Cash flow'!Print_Area</vt:lpstr>
      <vt:lpstr>Dashboard!Print_Area</vt:lpstr>
      <vt:lpstr>Portfolio!Print_Area</vt:lpstr>
      <vt:lpstr>Setup!Print_Area</vt:lpstr>
      <vt:lpstr>Start!Print_Area</vt:lpstr>
      <vt:lpstr>'What if'!Print_Area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Project Control Hub</dc:creator>
  <cp:lastModifiedBy>The Project Control Hub</cp:lastModifiedBy>
  <dcterms:created xsi:type="dcterms:W3CDTF">2026-10-12T08:47:22Z</dcterms:created>
  <dcterms:modified xsi:type="dcterms:W3CDTF">2026-10-12T08:53:45Z</dcterms:modified>
</cp:coreProperties>
</file>