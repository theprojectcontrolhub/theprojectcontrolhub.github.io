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0" documentId="8_{51EAB63E-507B-48A6-A510-E9B8C4837EF3}" xr6:coauthVersionLast="47" xr6:coauthVersionMax="47" xr10:uidLastSave="{00000000-0000-0000-0000-000000000000}"/>
  <bookViews>
    <workbookView xWindow="-28920" yWindow="-45" windowWidth="29040" windowHeight="15720" tabRatio="776" activeTab="1" xr2:uid="{00000000-000D-0000-FFFF-FFFF00000000}"/>
  </bookViews>
  <sheets>
    <sheet name="Start" sheetId="1" r:id="rId1"/>
    <sheet name="Dashboard" sheetId="2" r:id="rId2"/>
    <sheet name="Checklist" sheetId="3" r:id="rId3"/>
    <sheet name="Health check" sheetId="4" r:id="rId4"/>
    <sheet name="Float trend" sheetId="5" r:id="rId5"/>
    <sheet name="Remaining days" sheetId="6" r:id="rId6"/>
    <sheet name="Actions" sheetId="7" r:id="rId7"/>
    <sheet name="Updates" sheetId="8" r:id="rId8"/>
    <sheet name="Setup" sheetId="9" r:id="rId9"/>
  </sheets>
  <definedNames>
    <definedName name="_xlnm.Print_Area" localSheetId="6">Actions!$A$1:$I$38</definedName>
    <definedName name="_xlnm.Print_Area" localSheetId="2">Checklist!$A$1:$J$44</definedName>
    <definedName name="_xlnm.Print_Area" localSheetId="1">Dashboard!$A$1:$P$84</definedName>
    <definedName name="_xlnm.Print_Area" localSheetId="4">'Float trend'!$A$1:$W$29</definedName>
    <definedName name="_xlnm.Print_Area" localSheetId="3">'Health check'!$A$1:$S$18</definedName>
    <definedName name="_xlnm.Print_Area" localSheetId="5">'Remaining days'!$A$1:$N$48</definedName>
    <definedName name="_xlnm.Print_Area" localSheetId="8">Setup!$A$1:$H$42</definedName>
    <definedName name="_xlnm.Print_Area" localSheetId="0">Start!$A$1:$F$49</definedName>
    <definedName name="_xlnm.Print_Area" localSheetId="7">Updates!$A$1:$L$20</definedName>
    <definedName name="_xlnm.Print_Titles" localSheetId="2">Checklist!$6:$6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8" l="1"/>
  <c r="F9" i="8"/>
  <c r="F10" i="8"/>
  <c r="F11" i="8"/>
  <c r="F12" i="8"/>
  <c r="H9" i="2" s="1"/>
  <c r="F13" i="8"/>
  <c r="F14" i="8"/>
  <c r="F15" i="8"/>
  <c r="F16" i="8"/>
  <c r="F17" i="8"/>
  <c r="F18" i="8"/>
  <c r="F7" i="8"/>
  <c r="A5" i="3"/>
  <c r="B16" i="4"/>
  <c r="D11" i="2"/>
  <c r="B11" i="2"/>
  <c r="B8" i="9"/>
  <c r="K18" i="8"/>
  <c r="I18" i="8"/>
  <c r="H18" i="8"/>
  <c r="G18" i="8"/>
  <c r="K17" i="8"/>
  <c r="I17" i="8"/>
  <c r="H17" i="8"/>
  <c r="G17" i="8"/>
  <c r="K16" i="8"/>
  <c r="I16" i="8"/>
  <c r="H16" i="8"/>
  <c r="G16" i="8"/>
  <c r="K15" i="8"/>
  <c r="I15" i="8"/>
  <c r="H15" i="8"/>
  <c r="G15" i="8"/>
  <c r="K14" i="8"/>
  <c r="I14" i="8"/>
  <c r="H14" i="8"/>
  <c r="G14" i="8"/>
  <c r="K13" i="8"/>
  <c r="I13" i="8"/>
  <c r="H13" i="8"/>
  <c r="G13" i="8"/>
  <c r="K12" i="8"/>
  <c r="I12" i="8"/>
  <c r="H12" i="8"/>
  <c r="G12" i="8"/>
  <c r="K11" i="8"/>
  <c r="I11" i="8"/>
  <c r="H11" i="8"/>
  <c r="G11" i="8"/>
  <c r="K10" i="8"/>
  <c r="I10" i="8"/>
  <c r="H10" i="8"/>
  <c r="G10" i="8"/>
  <c r="K9" i="8"/>
  <c r="I9" i="8"/>
  <c r="H9" i="8"/>
  <c r="G9" i="8"/>
  <c r="K8" i="8"/>
  <c r="I8" i="8"/>
  <c r="H8" i="8"/>
  <c r="G8" i="8"/>
  <c r="K7" i="8"/>
  <c r="I7" i="8"/>
  <c r="H7" i="8"/>
  <c r="G7" i="8"/>
  <c r="I36" i="7"/>
  <c r="H36" i="7"/>
  <c r="I35" i="7"/>
  <c r="H35" i="7"/>
  <c r="I34" i="7"/>
  <c r="H34" i="7"/>
  <c r="I33" i="7"/>
  <c r="H33" i="7"/>
  <c r="I32" i="7"/>
  <c r="H32" i="7"/>
  <c r="I31" i="7"/>
  <c r="H31" i="7"/>
  <c r="I30" i="7"/>
  <c r="H30" i="7"/>
  <c r="I29" i="7"/>
  <c r="H29" i="7"/>
  <c r="I28" i="7"/>
  <c r="H28" i="7"/>
  <c r="I27" i="7"/>
  <c r="H27" i="7"/>
  <c r="I26" i="7"/>
  <c r="H26" i="7"/>
  <c r="I25" i="7"/>
  <c r="H25" i="7"/>
  <c r="I24" i="7"/>
  <c r="H24" i="7"/>
  <c r="I23" i="7"/>
  <c r="H23" i="7"/>
  <c r="I22" i="7"/>
  <c r="H22" i="7"/>
  <c r="I21" i="7"/>
  <c r="H21" i="7"/>
  <c r="I20" i="7"/>
  <c r="H20" i="7"/>
  <c r="I19" i="7"/>
  <c r="H19" i="7"/>
  <c r="I18" i="7"/>
  <c r="H18" i="7"/>
  <c r="I17" i="7"/>
  <c r="H17" i="7"/>
  <c r="I16" i="7"/>
  <c r="I15" i="7"/>
  <c r="I14" i="7"/>
  <c r="I11" i="7"/>
  <c r="I10" i="7"/>
  <c r="I9" i="7"/>
  <c r="N46" i="6"/>
  <c r="M46" i="6"/>
  <c r="N45" i="6"/>
  <c r="M45" i="6"/>
  <c r="N44" i="6"/>
  <c r="M44" i="6"/>
  <c r="N43" i="6"/>
  <c r="M43" i="6"/>
  <c r="N42" i="6"/>
  <c r="M42" i="6"/>
  <c r="N41" i="6"/>
  <c r="M41" i="6"/>
  <c r="N40" i="6"/>
  <c r="M40" i="6"/>
  <c r="N39" i="6"/>
  <c r="M39" i="6"/>
  <c r="N38" i="6"/>
  <c r="M38" i="6"/>
  <c r="N37" i="6"/>
  <c r="M37" i="6"/>
  <c r="N36" i="6"/>
  <c r="M36" i="6"/>
  <c r="N35" i="6"/>
  <c r="M35" i="6"/>
  <c r="N34" i="6"/>
  <c r="M34" i="6"/>
  <c r="N33" i="6"/>
  <c r="M33" i="6"/>
  <c r="N32" i="6"/>
  <c r="M32" i="6"/>
  <c r="N31" i="6"/>
  <c r="M31" i="6"/>
  <c r="N30" i="6"/>
  <c r="M30" i="6"/>
  <c r="N29" i="6"/>
  <c r="M29" i="6"/>
  <c r="N28" i="6"/>
  <c r="M28" i="6"/>
  <c r="N27" i="6"/>
  <c r="M27" i="6"/>
  <c r="N26" i="6"/>
  <c r="M26" i="6"/>
  <c r="N25" i="6"/>
  <c r="M25" i="6"/>
  <c r="N24" i="6"/>
  <c r="M24" i="6"/>
  <c r="N23" i="6"/>
  <c r="M23" i="6"/>
  <c r="N22" i="6"/>
  <c r="M22" i="6"/>
  <c r="N21" i="6"/>
  <c r="M21" i="6"/>
  <c r="N20" i="6"/>
  <c r="M20" i="6"/>
  <c r="N19" i="6"/>
  <c r="M19" i="6"/>
  <c r="P26" i="5"/>
  <c r="P25" i="5"/>
  <c r="P24" i="5"/>
  <c r="P23" i="5"/>
  <c r="P22" i="5"/>
  <c r="P21" i="5"/>
  <c r="P20" i="5"/>
  <c r="P19" i="5"/>
  <c r="P18" i="5"/>
  <c r="P17" i="5"/>
  <c r="P16" i="5"/>
  <c r="P15" i="5"/>
  <c r="P14" i="5"/>
  <c r="P13" i="5"/>
  <c r="P12" i="5"/>
  <c r="P11" i="5"/>
  <c r="P10" i="5"/>
  <c r="P9" i="5"/>
  <c r="P8" i="5"/>
  <c r="P7" i="5"/>
  <c r="P14" i="4"/>
  <c r="O14" i="4"/>
  <c r="P13" i="4"/>
  <c r="O13" i="4"/>
  <c r="P12" i="4"/>
  <c r="O12" i="4"/>
  <c r="P11" i="4"/>
  <c r="O11" i="4"/>
  <c r="P10" i="4"/>
  <c r="O10" i="4"/>
  <c r="P9" i="4"/>
  <c r="O9" i="4"/>
  <c r="P8" i="4"/>
  <c r="O8" i="4"/>
  <c r="P7" i="4"/>
  <c r="O7" i="4"/>
  <c r="J42" i="3"/>
  <c r="J41" i="3"/>
  <c r="E41" i="3"/>
  <c r="J40" i="3"/>
  <c r="J39" i="3"/>
  <c r="J37" i="3"/>
  <c r="J36" i="3"/>
  <c r="J35" i="3"/>
  <c r="E35" i="3"/>
  <c r="J33" i="3"/>
  <c r="J32" i="3"/>
  <c r="J31" i="3"/>
  <c r="J30" i="3"/>
  <c r="J29" i="3"/>
  <c r="J27" i="3"/>
  <c r="E27" i="3"/>
  <c r="J26" i="3"/>
  <c r="E26" i="3"/>
  <c r="J25" i="3"/>
  <c r="E25" i="3"/>
  <c r="J24" i="3"/>
  <c r="E24" i="3"/>
  <c r="J23" i="3"/>
  <c r="E23" i="3"/>
  <c r="J21" i="3"/>
  <c r="J20" i="3"/>
  <c r="J19" i="3"/>
  <c r="E19" i="3"/>
  <c r="J17" i="3"/>
  <c r="J16" i="3"/>
  <c r="E16" i="3"/>
  <c r="J15" i="3"/>
  <c r="J14" i="3"/>
  <c r="E14" i="3"/>
  <c r="J12" i="3"/>
  <c r="J11" i="3"/>
  <c r="J10" i="3"/>
  <c r="E10" i="3"/>
  <c r="J9" i="3"/>
  <c r="E9" i="3"/>
  <c r="J8" i="3"/>
  <c r="E8" i="3"/>
  <c r="J5" i="3"/>
  <c r="N11" i="2"/>
  <c r="H11" i="2"/>
  <c r="L9" i="2"/>
  <c r="F9" i="2"/>
  <c r="B9" i="2"/>
  <c r="B3" i="2"/>
  <c r="B5" i="2" l="1"/>
  <c r="B16" i="9"/>
  <c r="H16" i="7"/>
  <c r="H15" i="7"/>
  <c r="H14" i="7"/>
  <c r="H13" i="7"/>
  <c r="I13" i="7" s="1"/>
  <c r="H12" i="7"/>
  <c r="I12" i="7" s="1"/>
  <c r="H11" i="7"/>
  <c r="H10" i="7"/>
  <c r="H9" i="7"/>
  <c r="H8" i="7"/>
  <c r="I8" i="7" s="1"/>
  <c r="H7" i="7"/>
  <c r="I7" i="7" s="1"/>
  <c r="L11" i="2" s="1"/>
  <c r="F11" i="2"/>
  <c r="E32" i="3"/>
  <c r="S26" i="5"/>
  <c r="T26" i="5" s="1"/>
  <c r="Q26" i="5"/>
  <c r="R26" i="5" s="1"/>
  <c r="W26" i="5"/>
  <c r="U26" i="5"/>
  <c r="W25" i="5"/>
  <c r="S25" i="5"/>
  <c r="Q25" i="5"/>
  <c r="U25" i="5"/>
  <c r="T25" i="5"/>
  <c r="R25" i="5"/>
  <c r="W24" i="5"/>
  <c r="U24" i="5"/>
  <c r="T24" i="5"/>
  <c r="Q24" i="5"/>
  <c r="R24" i="5" s="1"/>
  <c r="S24" i="5"/>
  <c r="U23" i="5"/>
  <c r="S23" i="5"/>
  <c r="Q23" i="5"/>
  <c r="R23" i="5" s="1"/>
  <c r="T23" i="5"/>
  <c r="W23" i="5"/>
  <c r="W22" i="5"/>
  <c r="U22" i="5"/>
  <c r="S22" i="5"/>
  <c r="Q22" i="5"/>
  <c r="R22" i="5" s="1"/>
  <c r="T22" i="5"/>
  <c r="W21" i="5"/>
  <c r="U21" i="5"/>
  <c r="S21" i="5"/>
  <c r="Q21" i="5"/>
  <c r="R21" i="5" s="1"/>
  <c r="T21" i="5"/>
  <c r="S20" i="5"/>
  <c r="Q20" i="5"/>
  <c r="R20" i="5" s="1"/>
  <c r="W20" i="5"/>
  <c r="U20" i="5"/>
  <c r="T20" i="5"/>
  <c r="S19" i="5"/>
  <c r="Q19" i="5"/>
  <c r="R19" i="5" s="1"/>
  <c r="W19" i="5"/>
  <c r="U19" i="5"/>
  <c r="T19" i="5"/>
  <c r="W18" i="5"/>
  <c r="U18" i="5"/>
  <c r="S18" i="5"/>
  <c r="T18" i="5" s="1"/>
  <c r="Q18" i="5"/>
  <c r="R18" i="5" s="1"/>
  <c r="W17" i="5"/>
  <c r="U17" i="5"/>
  <c r="S17" i="5"/>
  <c r="T17" i="5" s="1"/>
  <c r="Q17" i="5"/>
  <c r="R17" i="5" s="1"/>
  <c r="W16" i="5"/>
  <c r="U16" i="5"/>
  <c r="S16" i="5"/>
  <c r="T16" i="5" s="1"/>
  <c r="Q16" i="5"/>
  <c r="R16" i="5" s="1"/>
  <c r="W15" i="5"/>
  <c r="J9" i="2"/>
  <c r="Q15" i="5"/>
  <c r="S15" i="5"/>
  <c r="T15" i="5" s="1"/>
  <c r="U15" i="5" s="1"/>
  <c r="R15" i="5"/>
  <c r="E31" i="3"/>
  <c r="S14" i="5"/>
  <c r="Q14" i="5"/>
  <c r="R14" i="5" s="1"/>
  <c r="W14" i="5"/>
  <c r="T14" i="5"/>
  <c r="U14" i="5" s="1"/>
  <c r="S13" i="5"/>
  <c r="T13" i="5" s="1"/>
  <c r="U13" i="5" s="1"/>
  <c r="Q13" i="5"/>
  <c r="R13" i="5" s="1"/>
  <c r="W13" i="5"/>
  <c r="S12" i="5"/>
  <c r="T12" i="5" s="1"/>
  <c r="U12" i="5" s="1"/>
  <c r="Q12" i="5"/>
  <c r="R12" i="5" s="1"/>
  <c r="W12" i="5"/>
  <c r="S11" i="5"/>
  <c r="T11" i="5" s="1"/>
  <c r="U11" i="5" s="1"/>
  <c r="Q11" i="5"/>
  <c r="R11" i="5" s="1"/>
  <c r="W11" i="5"/>
  <c r="Q10" i="5"/>
  <c r="R10" i="5" s="1"/>
  <c r="S10" i="5"/>
  <c r="T10" i="5" s="1"/>
  <c r="U10" i="5" s="1"/>
  <c r="W10" i="5"/>
  <c r="S9" i="5"/>
  <c r="T9" i="5" s="1"/>
  <c r="U9" i="5" s="1"/>
  <c r="B14" i="2" s="1"/>
  <c r="Q9" i="5"/>
  <c r="R9" i="5" s="1"/>
  <c r="W9" i="5"/>
  <c r="W8" i="5"/>
  <c r="U8" i="5"/>
  <c r="S8" i="5"/>
  <c r="T8" i="5" s="1"/>
  <c r="Q8" i="5"/>
  <c r="R8" i="5" s="1"/>
  <c r="W7" i="5"/>
  <c r="U7" i="5"/>
  <c r="S7" i="5"/>
  <c r="T7" i="5" s="1"/>
  <c r="Q7" i="5"/>
  <c r="R7" i="5" s="1"/>
  <c r="S14" i="4"/>
  <c r="Q14" i="4"/>
  <c r="Q13" i="4"/>
  <c r="S13" i="4"/>
  <c r="S12" i="4"/>
  <c r="Q12" i="4"/>
  <c r="S11" i="4"/>
  <c r="Q11" i="4"/>
  <c r="S10" i="4"/>
  <c r="Q10" i="4"/>
  <c r="S9" i="4"/>
  <c r="Q9" i="4"/>
  <c r="S8" i="4"/>
  <c r="Q8" i="4"/>
  <c r="S7" i="4"/>
  <c r="Q7" i="4"/>
  <c r="I26" i="2"/>
  <c r="H26" i="2"/>
  <c r="C26" i="2"/>
  <c r="B26" i="2"/>
  <c r="L25" i="2"/>
  <c r="J25" i="2"/>
  <c r="I25" i="2"/>
  <c r="H25" i="2"/>
  <c r="C25" i="2"/>
  <c r="B25" i="2"/>
  <c r="L24" i="2"/>
  <c r="J24" i="2"/>
  <c r="I24" i="2"/>
  <c r="H24" i="2"/>
  <c r="C24" i="2"/>
  <c r="B24" i="2"/>
  <c r="L23" i="2"/>
  <c r="J23" i="2"/>
  <c r="I23" i="2"/>
  <c r="H23" i="2"/>
  <c r="C23" i="2"/>
  <c r="B23" i="2"/>
  <c r="L22" i="2"/>
  <c r="J26" i="2"/>
  <c r="I22" i="2"/>
  <c r="H22" i="2"/>
  <c r="C22" i="2"/>
  <c r="B22" i="2"/>
  <c r="L21" i="2"/>
  <c r="J21" i="2"/>
  <c r="I21" i="2"/>
  <c r="H21" i="2"/>
  <c r="C21" i="2"/>
  <c r="B21" i="2"/>
  <c r="L20" i="2"/>
  <c r="J20" i="2"/>
  <c r="I20" i="2"/>
  <c r="H20" i="2"/>
  <c r="C20" i="2"/>
  <c r="B20" i="2"/>
  <c r="L19" i="2"/>
  <c r="J19" i="2"/>
  <c r="I19" i="2"/>
  <c r="H19" i="2"/>
  <c r="C19" i="2"/>
  <c r="B19" i="2"/>
  <c r="B27" i="2"/>
  <c r="L26" i="2"/>
  <c r="J22" i="2"/>
  <c r="J7" i="6" l="1"/>
  <c r="K7" i="6"/>
  <c r="M7" i="6" s="1"/>
  <c r="K8" i="6"/>
  <c r="M8" i="6" s="1"/>
  <c r="N8" i="6" s="1"/>
  <c r="J8" i="6"/>
  <c r="J9" i="6"/>
  <c r="K9" i="6"/>
  <c r="M9" i="6" s="1"/>
  <c r="N9" i="6" s="1"/>
  <c r="J10" i="6"/>
  <c r="K10" i="6"/>
  <c r="M10" i="6" s="1"/>
  <c r="N10" i="6" s="1"/>
  <c r="J11" i="6"/>
  <c r="K11" i="6"/>
  <c r="M11" i="6" s="1"/>
  <c r="N11" i="6" s="1"/>
  <c r="J12" i="6"/>
  <c r="K12" i="6"/>
  <c r="M12" i="6" s="1"/>
  <c r="N12" i="6" s="1"/>
  <c r="J13" i="6"/>
  <c r="K13" i="6"/>
  <c r="M13" i="6" s="1"/>
  <c r="N13" i="6" s="1"/>
  <c r="J14" i="6"/>
  <c r="K14" i="6"/>
  <c r="M14" i="6" s="1"/>
  <c r="N14" i="6" s="1"/>
  <c r="J15" i="6"/>
  <c r="K15" i="6"/>
  <c r="M15" i="6" s="1"/>
  <c r="N15" i="6" s="1"/>
  <c r="J16" i="6"/>
  <c r="K16" i="6"/>
  <c r="M16" i="6" s="1"/>
  <c r="N16" i="6" s="1"/>
  <c r="J19" i="6"/>
  <c r="K19" i="6"/>
  <c r="J20" i="6"/>
  <c r="K20" i="6"/>
  <c r="J21" i="6"/>
  <c r="K21" i="6"/>
  <c r="J22" i="6"/>
  <c r="K22" i="6"/>
  <c r="J23" i="6"/>
  <c r="K23" i="6"/>
  <c r="J24" i="6"/>
  <c r="K24" i="6"/>
  <c r="J25" i="6"/>
  <c r="K25" i="6"/>
  <c r="J17" i="6"/>
  <c r="K17" i="6"/>
  <c r="M17" i="6" s="1"/>
  <c r="N17" i="6" s="1"/>
  <c r="K18" i="6"/>
  <c r="M18" i="6" s="1"/>
  <c r="N18" i="6" s="1"/>
  <c r="K26" i="6"/>
  <c r="K27" i="6"/>
  <c r="J28" i="6"/>
  <c r="J29" i="6"/>
  <c r="K29" i="6"/>
  <c r="J30" i="6"/>
  <c r="K30" i="6"/>
  <c r="J31" i="6"/>
  <c r="K31" i="6"/>
  <c r="J32" i="6"/>
  <c r="K32" i="6"/>
  <c r="J33" i="6"/>
  <c r="K33" i="6"/>
  <c r="J34" i="6"/>
  <c r="K34" i="6"/>
  <c r="J35" i="6"/>
  <c r="K35" i="6"/>
  <c r="J36" i="6"/>
  <c r="K36" i="6"/>
  <c r="J37" i="6"/>
  <c r="K37" i="6"/>
  <c r="J38" i="6"/>
  <c r="K38" i="6"/>
  <c r="J18" i="6"/>
  <c r="J26" i="6"/>
  <c r="J27" i="6"/>
  <c r="K28" i="6"/>
  <c r="J39" i="6"/>
  <c r="K39" i="6"/>
  <c r="J40" i="6"/>
  <c r="K40" i="6"/>
  <c r="J41" i="6"/>
  <c r="K41" i="6"/>
  <c r="J42" i="6"/>
  <c r="K42" i="6"/>
  <c r="J43" i="6"/>
  <c r="K43" i="6"/>
  <c r="J44" i="6"/>
  <c r="K44" i="6"/>
  <c r="J45" i="6"/>
  <c r="K45" i="6"/>
  <c r="J46" i="6"/>
  <c r="K46" i="6"/>
  <c r="I39" i="2"/>
  <c r="J39" i="2"/>
  <c r="B40" i="2"/>
  <c r="G40" i="2"/>
  <c r="H40" i="2"/>
  <c r="I40" i="2"/>
  <c r="J40" i="2"/>
  <c r="B41" i="2"/>
  <c r="G41" i="2"/>
  <c r="H41" i="2"/>
  <c r="I41" i="2"/>
  <c r="J41" i="2"/>
  <c r="B32" i="2"/>
  <c r="G32" i="2"/>
  <c r="H32" i="2"/>
  <c r="I32" i="2"/>
  <c r="J32" i="2"/>
  <c r="B33" i="2"/>
  <c r="G33" i="2"/>
  <c r="H33" i="2"/>
  <c r="I33" i="2"/>
  <c r="J33" i="2"/>
  <c r="B34" i="2"/>
  <c r="G34" i="2"/>
  <c r="H34" i="2"/>
  <c r="I34" i="2"/>
  <c r="J34" i="2"/>
  <c r="B35" i="2"/>
  <c r="G35" i="2"/>
  <c r="H35" i="2"/>
  <c r="I35" i="2"/>
  <c r="J35" i="2"/>
  <c r="B36" i="2"/>
  <c r="G36" i="2"/>
  <c r="H36" i="2"/>
  <c r="I36" i="2"/>
  <c r="J36" i="2"/>
  <c r="B37" i="2"/>
  <c r="G37" i="2"/>
  <c r="H37" i="2"/>
  <c r="I37" i="2"/>
  <c r="J37" i="2"/>
  <c r="B38" i="2"/>
  <c r="G38" i="2"/>
  <c r="H38" i="2"/>
  <c r="I38" i="2"/>
  <c r="J38" i="2"/>
  <c r="B39" i="2"/>
  <c r="G39" i="2"/>
  <c r="H39" i="2"/>
  <c r="J11" i="2"/>
  <c r="E30" i="3"/>
  <c r="D9" i="2"/>
  <c r="E29" i="3"/>
  <c r="N9" i="2" l="1"/>
  <c r="N7" i="6"/>
  <c r="E1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The Project Control Hub</author>
  </authors>
  <commentList>
    <comment ref="C7" authorId="0" shapeId="0" xr:uid="{00000000-0006-0000-0400-000001000000}">
      <text>
        <r>
          <rPr>
            <sz val="11"/>
            <color theme="1"/>
            <rFont val="Calibri"/>
            <family val="2"/>
            <scheme val="minor"/>
          </rPr>
          <t>Schedule Topic 16: five days of float lost every update. The weekly report shows the same activity week by week. Values are illustrative.</t>
        </r>
      </text>
    </comment>
  </commentList>
</comments>
</file>

<file path=xl/sharedStrings.xml><?xml version="1.0" encoding="utf-8"?>
<sst xmlns="http://schemas.openxmlformats.org/spreadsheetml/2006/main" count="640" uniqueCount="421">
  <si>
    <t>Schedule update checklist</t>
  </si>
  <si>
    <t>Keep the model honest while ten thousand things try to make it lie. Then report.</t>
  </si>
  <si>
    <t>The Project Control Hub · free template · example: update six of the example project</t>
  </si>
  <si>
    <t>EVERY PERIOD, SAME DAY, SAME RULES · analyse, then act, then report</t>
  </si>
  <si>
    <t>Updates  →</t>
  </si>
  <si>
    <t>Add this update’s line: data date, the scheduling option, the forecast finish. Set its number in Setup.</t>
  </si>
  <si>
    <t>2 minutes</t>
  </si>
  <si>
    <t>Remaining days  →</t>
  </si>
  <si>
    <t>Every started activity: "how many days do you still need?" Write who said it and from which record.</t>
  </si>
  <si>
    <t>15 minutes</t>
  </si>
  <si>
    <t>Health check  →</t>
  </si>
  <si>
    <t>The ten-minute check: count open ends, hard constraints, negative and huge float, long lags, out-of-sequence work.</t>
  </si>
  <si>
    <t>10 minutes</t>
  </si>
  <si>
    <t>Float trend  →</t>
  </si>
  <si>
    <t>The float of your top ten activities. The sheet reads the slope and says when each one runs out.</t>
  </si>
  <si>
    <t>5 minutes</t>
  </si>
  <si>
    <t>Actions  →</t>
  </si>
  <si>
    <t>Every slipping path: an action, a person and a date.</t>
  </si>
  <si>
    <t>Checklist  →</t>
  </si>
  <si>
    <t>Work down the list. The verdict turns green when every must-do line is done. Then write the report.</t>
  </si>
  <si>
    <t>ASK THE OTHER QUESTION</t>
  </si>
  <si>
    <t>"How far along are you?"</t>
  </si>
  <si>
    <t>"About ninety percent." He said that last month too. Percent complete looks backwards.</t>
  </si>
  <si>
    <t>"How many days left?"</t>
  </si>
  <si>
    <t>"Eight. We are waiting on the glass." Now you have a forecast, and a reason you can go and fix.</t>
  </si>
  <si>
    <t>THREE PLACES THE ROT HIDES · Topic 17</t>
  </si>
  <si>
    <t>Progress override</t>
  </si>
  <si>
    <t>The default in most tools. Drops the logic when the site builds out of order. The finish is early, and fiction. Use retained logic.</t>
  </si>
  <si>
    <t>A hard constraint</t>
  </si>
  <si>
    <t>Does not protect the date. It protects you from hearing about it: the delay arrives and the float still says zero.</t>
  </si>
  <si>
    <t>An open end</t>
  </si>
  <si>
    <t>Nothing to push against, so the software hands out 180 days of imaginary float. Huge float is a broken gauge.</t>
  </si>
  <si>
    <t>HOW TO READ THE CELLS</t>
  </si>
  <si>
    <t>Yellow, blue text</t>
  </si>
  <si>
    <t>Yours to fill in: Setup, Updates, Remaining days, Health check, Float trend, Actions, and Status in the Checklist.</t>
  </si>
  <si>
    <t>White, black text</t>
  </si>
  <si>
    <t>A formula. Leave it alone and it keeps working. The Dashboard is all formulas.</t>
  </si>
  <si>
    <t>Red</t>
  </si>
  <si>
    <t>A must-do line still open, negative float, a finish that moved, a path without an owner.</t>
  </si>
  <si>
    <t>WHAT IS IN THIS FILE</t>
  </si>
  <si>
    <t>Dashboard</t>
  </si>
  <si>
    <t>The verdict, seven numbers, a paragraph, what is open, the float radar and three charts.</t>
  </si>
  <si>
    <t>Checklist</t>
  </si>
  <si>
    <t>29 lines in seven steps, each with why it matters and what the file shows.</t>
  </si>
  <si>
    <t>Health check</t>
  </si>
  <si>
    <t>Eight counts per update, against a target, with the action for each.</t>
  </si>
  <si>
    <t>Float trend</t>
  </si>
  <si>
    <t>Twenty activities, twelve updates: change, burn per update, when it runs out.</t>
  </si>
  <si>
    <t>Remaining days</t>
  </si>
  <si>
    <t>Days left from site, with the source, stuck percentages and finishes that moved.</t>
  </si>
  <si>
    <t>Actions</t>
  </si>
  <si>
    <t>Every slipping path: action, owner, date, and what is missing.</t>
  </si>
  <si>
    <t>Updates</t>
  </si>
  <si>
    <t>One line per update: data date, scheduling option, forecast finish, why it moved.</t>
  </si>
  <si>
    <t>Setup</t>
  </si>
  <si>
    <t>This update’s number, the contract date, the limits and the drop-down lists.</t>
  </si>
  <si>
    <t>EXPLAINED IN</t>
  </si>
  <si>
    <t>Schedule Topic 16 · Keeping the model honest</t>
  </si>
  <si>
    <t>Schedule Topic 17 · Updated perfectly, completely wrong</t>
  </si>
  <si>
    <t>Example: update six of the example project, data date Tuesday 30 June 2026. The update switches the scheduling option from progress override to retained logic and takes the must-finish-on off the substation slab: the finish moves 21 days later and the slab shows -10 days of float. It stopped hiding. The switchgear has lost five days of float every update and is now four days late. Two slipping paths have no owner, so the update is not ready to issue. The rock, the raft rebar and the switchgear lead time are the example project’s; the floats, counts and dates are illustrative.</t>
  </si>
  <si>
    <t>Free to use and adapt on your own projects. https://theprojectcontrolhub.com/</t>
  </si>
  <si>
    <t>Schedule update</t>
  </si>
  <si>
    <t>The Project Control Hub</t>
  </si>
  <si>
    <t>CHECKLIST</t>
  </si>
  <si>
    <t>HEALTH CHECKS FAILING</t>
  </si>
  <si>
    <t>FORECAST FINISH</t>
  </si>
  <si>
    <t>LATE AGAINST CONTRACT</t>
  </si>
  <si>
    <t>ALREADY LATE</t>
  </si>
  <si>
    <t>PATHS WITHOUT AN OWNER</t>
  </si>
  <si>
    <t>REMAINING-DAYS FLAGS</t>
  </si>
  <si>
    <t>BEFORE YOU ISSUE · open lines, must-do first</t>
  </si>
  <si>
    <t>No.</t>
  </si>
  <si>
    <t>Check</t>
  </si>
  <si>
    <t>Must</t>
  </si>
  <si>
    <t>Status</t>
  </si>
  <si>
    <t>Owner</t>
  </si>
  <si>
    <t>Evidence / note</t>
  </si>
  <si>
    <t>THE FLOAT RADAR · lowest float first</t>
  </si>
  <si>
    <t>Activity</t>
  </si>
  <si>
    <t>Float now</t>
  </si>
  <si>
    <t>Change</t>
  </si>
  <si>
    <t>Burn / upd.</t>
  </si>
  <si>
    <t>Reading</t>
  </si>
  <si>
    <t>THE SLOPE, NOT THE VALUE</t>
  </si>
  <si>
    <t>Lines above 60 days are cut off: anything that high belongs in the Health check, not on this chart. The finish chart shows the forecast finish minus the contract date in Setup.</t>
  </si>
  <si>
    <t>Everything on this page reads from Setup, Updates, Checklist, Health check, Float trend, Remaining days and Actions.</t>
  </si>
  <si>
    <t>Collect, enter, recalculate, check, analyse, act: then report. Same day, same rules, every period.</t>
  </si>
  <si>
    <t>Set the Status of each line. "What the file shows" reads the other sheets so you are not ticking from memory.</t>
  </si>
  <si>
    <t>Why it matters</t>
  </si>
  <si>
    <t>What the file shows</t>
  </si>
  <si>
    <t>Lesson</t>
  </si>
  <si>
    <t>Sort key</t>
  </si>
  <si>
    <t>1 · COLLECT · before you open the software</t>
  </si>
  <si>
    <t>1.1</t>
  </si>
  <si>
    <t>Same cut-off day and the same rules as every update</t>
  </si>
  <si>
    <t>A schedule updated when someone remembers is not a control system.</t>
  </si>
  <si>
    <t>Done</t>
  </si>
  <si>
    <t>Last working day of June, as every month</t>
  </si>
  <si>
    <t>Planner</t>
  </si>
  <si>
    <t>Topic 16</t>
  </si>
  <si>
    <t>1.2</t>
  </si>
  <si>
    <t>Actual dates from site records: diary, inspection sheets, delivery notes</t>
  </si>
  <si>
    <t>An actual invented in a car anchors every forecast downstream of it.</t>
  </si>
  <si>
    <t>1.3</t>
  </si>
  <si>
    <t>Every started activity asked "how many days do you still need?"</t>
  </si>
  <si>
    <t>Percent complete looks backwards. Remaining duration is the only number that can move a date.</t>
  </si>
  <si>
    <t>Twelve activities asked, in the Remaining days sheet</t>
  </si>
  <si>
    <t>1.4</t>
  </si>
  <si>
    <t>No percentage taken from a phone call; stuck percentages challenged</t>
  </si>
  <si>
    <t>Ninety percent for three months is not ninety percent complete. It is a problem nobody has described.</t>
  </si>
  <si>
    <t>Open</t>
  </si>
  <si>
    <t>Earthing came by phone. Switchgear and the outfall stuck: causes written down</t>
  </si>
  <si>
    <t>Site engineer</t>
  </si>
  <si>
    <t>1.5</t>
  </si>
  <si>
    <t>Subcontractor programmes received, and their scheduling option checked</t>
  </si>
  <si>
    <t>If they run progress override, they have been sending you optimistic fiction.</t>
  </si>
  <si>
    <t>Piling and electrical programmes in; both on retained logic</t>
  </si>
  <si>
    <t>2 · ENTER</t>
  </si>
  <si>
    <t>2.1</t>
  </si>
  <si>
    <t>Data date moved to the cut-off</t>
  </si>
  <si>
    <t>Everything before it is history, everything after it is forecast.</t>
  </si>
  <si>
    <t>2.2</t>
  </si>
  <si>
    <t>Actual starts and finishes entered for everything that moved</t>
  </si>
  <si>
    <t>An activity that finished on site but not in the model keeps pushing its successors.</t>
  </si>
  <si>
    <t>2.3</t>
  </si>
  <si>
    <t>No actual date later than the data date</t>
  </si>
  <si>
    <t>An actual in the future is a typing error, never progress.</t>
  </si>
  <si>
    <t>None found</t>
  </si>
  <si>
    <t>2.4</t>
  </si>
  <si>
    <t>Remaining durations entered, not only percent complete</t>
  </si>
  <si>
    <t>The software forecasts from remaining duration.</t>
  </si>
  <si>
    <t>3 · RECALCULATE</t>
  </si>
  <si>
    <t>3.1</t>
  </si>
  <si>
    <t>Scheduling option set to retained logic, not progress override</t>
  </si>
  <si>
    <t>Override deletes real dependencies and returns a date that is not real.</t>
  </si>
  <si>
    <t>Fixed</t>
  </si>
  <si>
    <t>Was progress override since update 1. Switched: the finish moved 21 days</t>
  </si>
  <si>
    <t>Topic 17</t>
  </si>
  <si>
    <t>3.2</t>
  </si>
  <si>
    <t>Recalculated and saved as a new version; last update kept to compare</t>
  </si>
  <si>
    <t>Without last month’s file there is no trend.</t>
  </si>
  <si>
    <t>Saved as update 6; update 5 kept</t>
  </si>
  <si>
    <t>3.3</t>
  </si>
  <si>
    <t>Baseline untouched</t>
  </si>
  <si>
    <t>Re-baselining without an approved change hides the slip you are meant to report.</t>
  </si>
  <si>
    <t>4 · HEALTH CHECK · ten minutes, before a word of the report</t>
  </si>
  <si>
    <t>4.1</t>
  </si>
  <si>
    <t>No open ends, apart from the first and the last activity</t>
  </si>
  <si>
    <t>An open end has nothing to push against, so it hands out imaginary float.</t>
  </si>
  <si>
    <t>Two found and linked. The compound removal: see 4.4</t>
  </si>
  <si>
    <t>4.2</t>
  </si>
  <si>
    <t>Every hard constraint justified in writing; none absorbing a delay</t>
  </si>
  <si>
    <t>A hard constraint does not protect the date. It protects you from hearing about it.</t>
  </si>
  <si>
    <t>Must-finish-on taken off the substation slab: float -10</t>
  </si>
  <si>
    <t>4.3</t>
  </si>
  <si>
    <t>Out-of-sequence progress reviewed, logic corrected where the site changed the order</t>
  </si>
  <si>
    <t>The default setting throws away the logic you spent weeks building.</t>
  </si>
  <si>
    <t>Three found; logic corrected by hand on all three</t>
  </si>
  <si>
    <t>4.4</t>
  </si>
  <si>
    <t>Unusually large float investigated, not reported as good news</t>
  </si>
  <si>
    <t>Treat it like a pressure gauge reading zero: a broken instrument.</t>
  </si>
  <si>
    <t>Temporary compound removal, 180 days: linked only to the finish</t>
  </si>
  <si>
    <t>4.5</t>
  </si>
  <si>
    <t>Long lags turned into activities with an owner</t>
  </si>
  <si>
    <t>Waiting that belongs to a person should have their name on it.</t>
  </si>
  <si>
    <t>Three over 10 days. Two are curing; one is an approval</t>
  </si>
  <si>
    <t>5 · ANALYSE</t>
  </si>
  <si>
    <t>5.1</t>
  </si>
  <si>
    <t>Float on the top ten compared with last update: the change, not the value</t>
  </si>
  <si>
    <t>Today’s float says where you stand. The slope says where you are going.</t>
  </si>
  <si>
    <t>Ten compared in the Float trend sheet</t>
  </si>
  <si>
    <t>5.2</t>
  </si>
  <si>
    <t>Every activity burning float named, with when it runs out</t>
  </si>
  <si>
    <t>The facade burns five days a month. In January it looked green; the trend already knew.</t>
  </si>
  <si>
    <t>Raft pours, commissioning, handover and the outfall named</t>
  </si>
  <si>
    <t>5.3</t>
  </si>
  <si>
    <t>Every activity with negative float listed as already late</t>
  </si>
  <si>
    <t>Negative float is not a warning that you might be late. You are.</t>
  </si>
  <si>
    <t>Switchgear 4 days, substation slab 10 days</t>
  </si>
  <si>
    <t>5.4</t>
  </si>
  <si>
    <t>Forecast finish compared with last update and with the contract; every move explained</t>
  </si>
  <si>
    <t>A finish that moves without a reason is a finish nobody understands.</t>
  </si>
  <si>
    <t>Retained logic and the slab constraint: 21 days</t>
  </si>
  <si>
    <t>5.5</t>
  </si>
  <si>
    <t>Delay stated in time as well as money</t>
  </si>
  <si>
    <t>Earned schedule turns the cost report into months behind (Earned value calculator).</t>
  </si>
  <si>
    <t>Commercial</t>
  </si>
  <si>
    <t>6 · ACT</t>
  </si>
  <si>
    <t>6.1</t>
  </si>
  <si>
    <t>Every slipping path has an action, a person and a date</t>
  </si>
  <si>
    <t>Analysis that ends without an owner is project journalism.</t>
  </si>
  <si>
    <t>Not done</t>
  </si>
  <si>
    <t>Two paths still without an owner</t>
  </si>
  <si>
    <t>Project manager</t>
  </si>
  <si>
    <t>6.2</t>
  </si>
  <si>
    <t>Recovery options tested in a copy, not in the live update</t>
  </si>
  <si>
    <t>The update records what is true; the copy tests what could be.</t>
  </si>
  <si>
    <t>Two-gang slab option tested in a copy: 6 of the 10 days back</t>
  </si>
  <si>
    <t>6.3</t>
  </si>
  <si>
    <t>Decisions needed from the client written as requests, with a date</t>
  </si>
  <si>
    <t>A decision nobody asked for in writing is a decision nobody owes you.</t>
  </si>
  <si>
    <t>N/A</t>
  </si>
  <si>
    <t>None needed this month</t>
  </si>
  <si>
    <t>7 · REPORT · last, not instead</t>
  </si>
  <si>
    <t>7.1</t>
  </si>
  <si>
    <t>Report written after the analysis, not instead of it</t>
  </si>
  <si>
    <t>Reporting without analysis is describing the accident instead of steering away from it.</t>
  </si>
  <si>
    <t>Draft written after the float review; not issued</t>
  </si>
  <si>
    <t>7.2</t>
  </si>
  <si>
    <t>First paragraph: how far the finish moved, why, and what is being done</t>
  </si>
  <si>
    <t>Most readers stop after the first paragraph.</t>
  </si>
  <si>
    <t>7.3</t>
  </si>
  <si>
    <t>Issued on the same working day after the cut-off as every period</t>
  </si>
  <si>
    <t>A late report is read as a hidden problem.</t>
  </si>
  <si>
    <t>7.4</t>
  </si>
  <si>
    <t>Schedule file, this checklist and the report archived together</t>
  </si>
  <si>
    <t>Next month’s comparison starts here.</t>
  </si>
  <si>
    <t>Done: checked, nothing wrong · Fixed: found and corrected · Open: found, not corrected · Not done: not checked yet · N/A. Must-do lines need Done or Fixed.</t>
  </si>
  <si>
    <t>The ten-minute check, every update, before a word of the report. Count what you find.</t>
  </si>
  <si>
    <t>Type the count for each update in its column. Nobody has ever run this list on a live project and found nothing.</t>
  </si>
  <si>
    <t>How to find it</t>
  </si>
  <si>
    <t>U1</t>
  </si>
  <si>
    <t>U2</t>
  </si>
  <si>
    <t>U3</t>
  </si>
  <si>
    <t>U4</t>
  </si>
  <si>
    <t>U5</t>
  </si>
  <si>
    <t>U6</t>
  </si>
  <si>
    <t>U7</t>
  </si>
  <si>
    <t>U8</t>
  </si>
  <si>
    <t>U9</t>
  </si>
  <si>
    <t>U10</t>
  </si>
  <si>
    <t>U11</t>
  </si>
  <si>
    <t>U12</t>
  </si>
  <si>
    <t>This update</t>
  </si>
  <si>
    <t>Last update</t>
  </si>
  <si>
    <t>Target</t>
  </si>
  <si>
    <t>Result</t>
  </si>
  <si>
    <t>Open ends</t>
  </si>
  <si>
    <t>Activities with no predecessor or no successor, apart from the first and the last. In P6: filter on predecessors / successors empty.</t>
  </si>
  <si>
    <t>Hard constraints without a written reason</t>
  </si>
  <si>
    <t>"Must finish on", "mandatory start / finish" and the like, with no note saying why. Each one stops a delay from travelling.</t>
  </si>
  <si>
    <t>Activities with negative float</t>
  </si>
  <si>
    <t>Total float below zero. The deadline has already passed the work.</t>
  </si>
  <si>
    <t>Float above the Setup limit</t>
  </si>
  <si>
    <t>Total float above the "suspicious" value in Setup. Usually a missing link, not good news.</t>
  </si>
  <si>
    <t>Lags longer than the Setup limit</t>
  </si>
  <si>
    <t>Long lags hide work that belongs to somebody: curing, approvals, deliveries.</t>
  </si>
  <si>
    <t>Out-of-sequence progress</t>
  </si>
  <si>
    <t>Started before its predecessor finished. Override drops the logic; retained logic keeps it.</t>
  </si>
  <si>
    <t>Actual dates after the data date</t>
  </si>
  <si>
    <t>An actual start or finish in the future. Always a typing error, never progress.</t>
  </si>
  <si>
    <t>Started activities with no remaining duration from site</t>
  </si>
  <si>
    <t>Anything in progress where nobody was asked "how many days do you still need?"</t>
  </si>
  <si>
    <t>FOUND THIS UPDATE</t>
  </si>
  <si>
    <t>The limits for "suspicious float" and "long lags" are in Setup. The highlighted column is the update in Setup. Retained logic or progress override is recorded per update in Updates.</t>
  </si>
  <si>
    <t>Float is a radar, not a number: the change since last update, and the update it runs out.</t>
  </si>
  <si>
    <t>Type the total float of your ten (or twenty) most important activities at every update. Read the slope, not the value.</t>
  </si>
  <si>
    <t>ID</t>
  </si>
  <si>
    <t>Path</t>
  </si>
  <si>
    <t>Burn per update</t>
  </si>
  <si>
    <t>Runs out in (updates)</t>
  </si>
  <si>
    <t>Note</t>
  </si>
  <si>
    <t>A13</t>
  </si>
  <si>
    <t>Switchgear delivery and installation</t>
  </si>
  <si>
    <t>Procurement</t>
  </si>
  <si>
    <t>Five days an update, every update. In February it looked fine; the slope already knew.</t>
  </si>
  <si>
    <t>A11</t>
  </si>
  <si>
    <t>Substation slab</t>
  </si>
  <si>
    <t>Substation</t>
  </si>
  <si>
    <t>Pinned by a must-finish-on from update 3 to 5. Taken off in update 6: the ten days were there all along.</t>
  </si>
  <si>
    <t>A10</t>
  </si>
  <si>
    <t>Raft concrete pours</t>
  </si>
  <si>
    <t>Follows the raft rebar.</t>
  </si>
  <si>
    <t>A15</t>
  </si>
  <si>
    <t>Cable pulling and terminations</t>
  </si>
  <si>
    <t>A16</t>
  </si>
  <si>
    <t>Testing and commissioning</t>
  </si>
  <si>
    <t>A17</t>
  </si>
  <si>
    <t>Handover documents</t>
  </si>
  <si>
    <t>Site</t>
  </si>
  <si>
    <t>A18</t>
  </si>
  <si>
    <t>Earthing and lightning protection</t>
  </si>
  <si>
    <t>A19</t>
  </si>
  <si>
    <t>Drainage connection to the outfall</t>
  </si>
  <si>
    <t>Stuck at 90% for three updates, waiting for the discharge consent. This update the days left were asked for: -22.</t>
  </si>
  <si>
    <t>A20</t>
  </si>
  <si>
    <t>Boundary fence and gates</t>
  </si>
  <si>
    <t>A21</t>
  </si>
  <si>
    <t>Temporary compound removal</t>
  </si>
  <si>
    <t>Linked only to the finish milestone: 180 days of float nobody can use.</t>
  </si>
  <si>
    <t>Burn per update = the float lost per update over the window in Setup. "Runs out in" divides the float left by that burn. The highlighted column is the update in Setup.</t>
  </si>
  <si>
    <t>Ask "how many days do you still need?", not "how far along are you?".</t>
  </si>
  <si>
    <t>One line per started activity. Write who gave the figure and from which record. The flags fill themselves.</t>
  </si>
  <si>
    <t>P6 ID</t>
  </si>
  <si>
    <t>Who gave the figure</t>
  </si>
  <si>
    <t>Source</t>
  </si>
  <si>
    <t>% two updates ago</t>
  </si>
  <si>
    <t>% last update</t>
  </si>
  <si>
    <t>% now</t>
  </si>
  <si>
    <t>Days left, last update</t>
  </si>
  <si>
    <t>Days left, now</t>
  </si>
  <si>
    <t>Should be left now</t>
  </si>
  <si>
    <t>Finish moved (working days)</t>
  </si>
  <si>
    <t>Cause: what are they waiting for?</t>
  </si>
  <si>
    <t>Flag</t>
  </si>
  <si>
    <t>✔</t>
  </si>
  <si>
    <t>Raft concrete pours, bay 3</t>
  </si>
  <si>
    <t>Site diary</t>
  </si>
  <si>
    <t>Two pours left; cube results on the last.</t>
  </si>
  <si>
    <t>Buyer</t>
  </si>
  <si>
    <t>Delivery note</t>
  </si>
  <si>
    <t>"Eight more days of testing. We are waiting on the factory test certificate."</t>
  </si>
  <si>
    <t>Inspection sheet</t>
  </si>
  <si>
    <t>Electrical sub</t>
  </si>
  <si>
    <t>Phone call</t>
  </si>
  <si>
    <t>"About eighty percent." Not yet checked against the inspection sheets.</t>
  </si>
  <si>
    <t>Engineer</t>
  </si>
  <si>
    <t>"Eight days, once we have the consent." Ninety percent for three updates.</t>
  </si>
  <si>
    <t>A12</t>
  </si>
  <si>
    <t>Drainage and ducts</t>
  </si>
  <si>
    <t>Survey</t>
  </si>
  <si>
    <t>Finished 24 June.</t>
  </si>
  <si>
    <t>Groundworks</t>
  </si>
  <si>
    <t>A22</t>
  </si>
  <si>
    <t>Access road surfacing</t>
  </si>
  <si>
    <t>A23</t>
  </si>
  <si>
    <t>Transformer bund walls</t>
  </si>
  <si>
    <t>Concrete sub</t>
  </si>
  <si>
    <t>One wall re-poured after a failed cube.</t>
  </si>
  <si>
    <t>A24</t>
  </si>
  <si>
    <t>Control building fit-out</t>
  </si>
  <si>
    <t>Timesheet</t>
  </si>
  <si>
    <t>A25</t>
  </si>
  <si>
    <t>Started 22 June after the raft bay 2 pour.</t>
  </si>
  <si>
    <t>A26</t>
  </si>
  <si>
    <t>Landscaping</t>
  </si>
  <si>
    <t>Started 29 June.</t>
  </si>
  <si>
    <t>"Should be left now" takes the working days since the last update (Setup) off last update’s figure. Finish moved = days left now minus that (it can be more than the period when work stood still).</t>
  </si>
  <si>
    <t>Every slipping path ends in a person and a date. Analysis without an owner is project journalism.</t>
  </si>
  <si>
    <t>One line per slipping path. The flag says what is missing.</t>
  </si>
  <si>
    <t>Slipping path / activity</t>
  </si>
  <si>
    <t>How bad</t>
  </si>
  <si>
    <t>Action</t>
  </si>
  <si>
    <t>Due</t>
  </si>
  <si>
    <t>Done on</t>
  </si>
  <si>
    <t>Days to due</t>
  </si>
  <si>
    <t>4 days late</t>
  </si>
  <si>
    <t>Get the factory test date in writing; ask for a part delivery of the two incomers</t>
  </si>
  <si>
    <t>10 days late</t>
  </si>
  <si>
    <t>Second concrete gang for the slab; pour in two halves</t>
  </si>
  <si>
    <t>Site manager</t>
  </si>
  <si>
    <t>2 days float, burning 2 an update</t>
  </si>
  <si>
    <t>Commission in two stages: incomers first</t>
  </si>
  <si>
    <t>2 days float</t>
  </si>
  <si>
    <t>Book the pump for both remaining pours this week</t>
  </si>
  <si>
    <t>Start the O&amp;M manuals now, not after commissioning</t>
  </si>
  <si>
    <t>3 days float, lost 22 this update</t>
  </si>
  <si>
    <t>Chase the discharge consent; ask for a conditional consent for the connection</t>
  </si>
  <si>
    <t>180 days float: linked only to the finish</t>
  </si>
  <si>
    <t>Link it to the final account and the handover</t>
  </si>
  <si>
    <t>Days to due count from the data date of the update in Setup.</t>
  </si>
  <si>
    <t>One line per update: the data date, the setting, the forecast finish and why it moved.</t>
  </si>
  <si>
    <t>Add the line before you start the checklist. The finish movement and the health counts work themselves out.</t>
  </si>
  <si>
    <t>Update</t>
  </si>
  <si>
    <t>Data date</t>
  </si>
  <si>
    <t>Same cut-off rule?</t>
  </si>
  <si>
    <t>Scheduling option</t>
  </si>
  <si>
    <t>Forecast finish</t>
  </si>
  <si>
    <t>Days late vs contract</t>
  </si>
  <si>
    <t>Moved since last update (days)</t>
  </si>
  <si>
    <t>Health checks failing</t>
  </si>
  <si>
    <t>Issued on</t>
  </si>
  <si>
    <t>Working days to issue</t>
  </si>
  <si>
    <t>Why the finish moved</t>
  </si>
  <si>
    <t>Y</t>
  </si>
  <si>
    <t>First update. On programme.</t>
  </si>
  <si>
    <t>South piling two days late; float absorbed it.</t>
  </si>
  <si>
    <t>Rock at P17 and P18; the raft rebar at about 16 hours a tonne. Must-finish-on put on the substation slab.</t>
  </si>
  <si>
    <t>N</t>
  </si>
  <si>
    <t>Cut-off moved to 6 May to "include the pour". Issued late.</t>
  </si>
  <si>
    <t>Switchgear lead time still not confirmed in writing.</t>
  </si>
  <si>
    <t>Retained logic</t>
  </si>
  <si>
    <t>Switched to retained logic and took the must-finish-on off the substation slab: 21 days later. It stopped hiding.</t>
  </si>
  <si>
    <t>The row with the teal border is the update in Setup. Days are calendar days; working days to issue count from the data date.</t>
  </si>
  <si>
    <t>Which update this is, the contract date, and the limits the health check uses.</t>
  </si>
  <si>
    <t>Change the update number every period, after you add its line in Updates. Everything else reads from here.</t>
  </si>
  <si>
    <t>Project</t>
  </si>
  <si>
    <t>Example project</t>
  </si>
  <si>
    <t>This update (number)</t>
  </si>
  <si>
    <t>The row in Updates that this checklist is for.</t>
  </si>
  <si>
    <t>Data date (from Updates)</t>
  </si>
  <si>
    <t>Type it in Updates, on the row of this update.</t>
  </si>
  <si>
    <t>Contract completion date</t>
  </si>
  <si>
    <t>The date the forecast finish is measured against.</t>
  </si>
  <si>
    <t>Cut-off rule</t>
  </si>
  <si>
    <t>Last working day of the month</t>
  </si>
  <si>
    <t>Same day, same rules, every period (Topic 16).</t>
  </si>
  <si>
    <t>Float this high is suspicious (days)</t>
  </si>
  <si>
    <t>Pick a value well above any honest float on your job. Topic 17: 180 days on temporary works is a missing link.</t>
  </si>
  <si>
    <t>Lags longer than this need an owner (days)</t>
  </si>
  <si>
    <t>Curing can be a lag. An approval cannot.</t>
  </si>
  <si>
    <t>Measure the float burn over (updates)</t>
  </si>
  <si>
    <t>The slope is the average loss per update over this many updates.</t>
  </si>
  <si>
    <t>Warn when float runs out within (updates)</t>
  </si>
  <si>
    <t>Turns the Float trend amber before it turns red.</t>
  </si>
  <si>
    <t>Scheduling software</t>
  </si>
  <si>
    <t>Primavera P6</t>
  </si>
  <si>
    <t>Working days since the last update</t>
  </si>
  <si>
    <t>The Remaining days sheet uses it to see whether a finish moved.</t>
  </si>
  <si>
    <t>LISTS · the drop-downs read from here</t>
  </si>
  <si>
    <t>Source of the figure</t>
  </si>
  <si>
    <t>Owners (roles)</t>
  </si>
  <si>
    <t>Actual dates</t>
  </si>
  <si>
    <t>Test certificate</t>
  </si>
  <si>
    <t>Design manager</t>
  </si>
  <si>
    <t>Memory</t>
  </si>
  <si>
    <t>Piling sub</t>
  </si>
  <si>
    <t>Rebar sub</t>
  </si>
  <si>
    <t>Status: Done = checked, nothing wrong. Fixed = something was wrong and is now corrected. Open = found, not yet corrected. Not done = not checked yet. Must-do items need Done or Fixed before the update goes out.</t>
  </si>
  <si>
    <t>All actual dates from the daily reports. The one phone-call figure (earthing) is a percentage, not an actual date: see 1.4</t>
  </si>
  <si>
    <t>6 days float, burning 2 an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</si>
</sst>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d\ mmm\ yyyy"/>
    <numFmt numFmtId="166" formatCode="d\ mmm\ yy"/>
    <numFmt numFmtId="167" formatCode="\+0;[Red]\-0;0"/>
    <numFmt numFmtId="168" formatCode="\+0;\-0;0"/>
    <numFmt numFmtId="169" formatCode="0;[Red]\-0"/>
    <numFmt numFmtId="170" formatCode="0.0;[Green]\-0.0;0"/>
    <numFmt numFmtId="171" formatCode="0.0"/>
    <numFmt numFmtId="172" formatCode="0.000"/>
    <numFmt numFmtId="173" formatCode="0.0;\-0.0;0"/>
  </numFmts>
  <fonts count="41" x14ac:knownFonts="1">
    <font>
      <sz val="11"/>
      <color theme="1"/>
      <name val="Calibri"/>
      <family val="2"/>
      <scheme val="minor"/>
    </font>
    <font>
      <b/>
      <sz val="18"/>
      <color rgb="FF0F172A"/>
      <name val="Arial"/>
    </font>
    <font>
      <sz val="10"/>
      <color rgb="FF64748B"/>
      <name val="Arial"/>
    </font>
    <font>
      <i/>
      <sz val="9.5"/>
      <color rgb="FF1D4ED8"/>
      <name val="Arial"/>
    </font>
    <font>
      <b/>
      <sz val="10"/>
      <color rgb="FF0F172A"/>
      <name val="Arial"/>
    </font>
    <font>
      <sz val="10"/>
      <color rgb="FF1D4ED8"/>
      <name val="Arial"/>
    </font>
    <font>
      <sz val="9"/>
      <color rgb="FF64748B"/>
      <name val="Arial"/>
    </font>
    <font>
      <sz val="10"/>
      <color rgb="FF0F172A"/>
      <name val="Arial"/>
    </font>
    <font>
      <b/>
      <sz val="9.5"/>
      <color rgb="FF0F766E"/>
      <name val="Arial"/>
    </font>
    <font>
      <b/>
      <sz val="9.5"/>
      <color rgb="FFFFFFFF"/>
      <name val="Arial"/>
    </font>
    <font>
      <b/>
      <sz val="9"/>
      <color rgb="FF0F766E"/>
      <name val="Arial"/>
    </font>
    <font>
      <b/>
      <sz val="10"/>
      <color rgb="FF0F766E"/>
      <name val="Arial"/>
    </font>
    <font>
      <i/>
      <sz val="9"/>
      <color rgb="FF64748B"/>
      <name val="Arial"/>
    </font>
    <font>
      <sz val="8"/>
      <color rgb="FF94A3B8"/>
      <name val="Arial"/>
    </font>
    <font>
      <b/>
      <sz val="13"/>
      <color rgb="FFFFFFFF"/>
      <name val="Arial"/>
    </font>
    <font>
      <b/>
      <sz val="10.5"/>
      <color rgb="FF0F766E"/>
      <name val="Arial"/>
    </font>
    <font>
      <b/>
      <sz val="9"/>
      <color rgb="FFBE123C"/>
      <name val="Arial"/>
    </font>
    <font>
      <sz val="9"/>
      <color rgb="FF1D4ED8"/>
      <name val="Arial"/>
    </font>
    <font>
      <u/>
      <sz val="9"/>
      <color rgb="FF1D4ED8"/>
      <name val="Arial"/>
    </font>
    <font>
      <b/>
      <sz val="20"/>
      <color rgb="FFFFFFFF"/>
      <name val="Arial"/>
    </font>
    <font>
      <sz val="10.5"/>
      <color rgb="FF94A3B8"/>
      <name val="Arial"/>
    </font>
    <font>
      <b/>
      <sz val="9"/>
      <color rgb="FF5EEAD4"/>
      <name val="Arial"/>
    </font>
    <font>
      <b/>
      <sz val="15"/>
      <color rgb="FFFFFFFF"/>
      <name val="Arial"/>
    </font>
    <font>
      <b/>
      <sz val="8"/>
      <color rgb="FF0F766E"/>
      <name val="Arial"/>
    </font>
    <font>
      <b/>
      <sz val="22"/>
      <color rgb="FF0F172A"/>
      <name val="Arial"/>
    </font>
    <font>
      <sz val="8"/>
      <color rgb="FF475569"/>
      <name val="Arial"/>
    </font>
    <font>
      <b/>
      <sz val="8"/>
      <color rgb="FFB45309"/>
      <name val="Arial"/>
    </font>
    <font>
      <b/>
      <sz val="8"/>
      <color rgb="FF334155"/>
      <name val="Arial"/>
    </font>
    <font>
      <b/>
      <sz val="15"/>
      <color rgb="FF0F172A"/>
      <name val="Arial"/>
    </font>
    <font>
      <b/>
      <sz val="8"/>
      <color rgb="FFBE123C"/>
      <name val="Arial"/>
    </font>
    <font>
      <sz val="10.5"/>
      <color rgb="FF0F172A"/>
      <name val="Arial"/>
    </font>
    <font>
      <sz val="9.5"/>
      <color rgb="FF0F172A"/>
      <name val="Arial"/>
    </font>
    <font>
      <b/>
      <sz val="24"/>
      <color rgb="FFFFFFFF"/>
      <name val="Arial"/>
    </font>
    <font>
      <sz val="11"/>
      <color rgb="FFCBD5E1"/>
      <name val="Arial"/>
    </font>
    <font>
      <b/>
      <sz val="9.5"/>
      <color rgb="FF5EEAD4"/>
      <name val="Arial"/>
    </font>
    <font>
      <b/>
      <sz val="16"/>
      <color rgb="FFFFFFFF"/>
      <name val="Arial"/>
    </font>
    <font>
      <b/>
      <u/>
      <sz val="10"/>
      <color rgb="FF1D4ED8"/>
      <name val="Arial"/>
    </font>
    <font>
      <b/>
      <sz val="10"/>
      <color rgb="FFBE123C"/>
      <name val="Arial"/>
    </font>
    <font>
      <b/>
      <sz val="10"/>
      <color rgb="FF047857"/>
      <name val="Arial"/>
    </font>
    <font>
      <sz val="10"/>
      <name val="Arial"/>
    </font>
    <font>
      <u/>
      <sz val="10"/>
      <color rgb="FF1D4ED8"/>
      <name val="Arial"/>
    </font>
  </fonts>
  <fills count="14">
    <fill>
      <patternFill patternType="none"/>
    </fill>
    <fill>
      <patternFill patternType="gray125"/>
    </fill>
    <fill>
      <patternFill patternType="solid">
        <fgColor rgb="FFFFF7D6"/>
      </patternFill>
    </fill>
    <fill>
      <patternFill patternType="solid">
        <fgColor rgb="FF0F172A"/>
      </patternFill>
    </fill>
    <fill>
      <patternFill patternType="solid">
        <fgColor rgb="FFCCFBF1"/>
      </patternFill>
    </fill>
    <fill>
      <patternFill patternType="solid">
        <fgColor rgb="FFF0FDFA"/>
      </patternFill>
    </fill>
    <fill>
      <patternFill patternType="solid">
        <fgColor rgb="FFFEF3C7"/>
      </patternFill>
    </fill>
    <fill>
      <patternFill patternType="solid">
        <fgColor rgb="FFF1F5F9"/>
      </patternFill>
    </fill>
    <fill>
      <patternFill patternType="solid">
        <fgColor rgb="FFFFE4E6"/>
      </patternFill>
    </fill>
    <fill>
      <patternFill patternType="solid">
        <fgColor rgb="FF0F766E"/>
      </patternFill>
    </fill>
    <fill>
      <patternFill patternType="solid">
        <fgColor rgb="FFB45309"/>
      </patternFill>
    </fill>
    <fill>
      <patternFill patternType="solid">
        <fgColor rgb="FF047857"/>
      </patternFill>
    </fill>
    <fill>
      <patternFill patternType="solid">
        <fgColor rgb="FFD1FAE5"/>
      </patternFill>
    </fill>
    <fill>
      <patternFill patternType="solid">
        <fgColor theme="4" tint="-0.249977111117893"/>
        <bgColor indexed="64"/>
      </patternFill>
    </fill>
  </fills>
  <borders count="11">
    <border>
      <left/>
      <right/>
      <top/>
      <bottom/>
      <diagonal/>
    </border>
    <border>
      <left/>
      <right/>
      <top/>
      <bottom style="medium">
        <color rgb="FF0F172A"/>
      </bottom>
      <diagonal/>
    </border>
    <border>
      <left style="thin">
        <color rgb="FFE2E8F0"/>
      </left>
      <right style="thin">
        <color rgb="FFE2E8F0"/>
      </right>
      <top style="thin">
        <color rgb="FFE2E8F0"/>
      </top>
      <bottom style="thin">
        <color rgb="FFE2E8F0"/>
      </bottom>
      <diagonal/>
    </border>
    <border>
      <left/>
      <right/>
      <top/>
      <bottom style="medium">
        <color rgb="FF14B8A6"/>
      </bottom>
      <diagonal/>
    </border>
    <border>
      <left/>
      <right/>
      <top style="thin">
        <color rgb="FFE2E8F0"/>
      </top>
      <bottom style="thin">
        <color rgb="FFE2E8F0"/>
      </bottom>
      <diagonal/>
    </border>
    <border>
      <left/>
      <right style="thin">
        <color rgb="FFE2E8F0"/>
      </right>
      <top style="thin">
        <color rgb="FFE2E8F0"/>
      </top>
      <bottom style="thin">
        <color rgb="FFE2E8F0"/>
      </bottom>
      <diagonal/>
    </border>
    <border>
      <left/>
      <right/>
      <top style="thick">
        <color rgb="FF0F766E"/>
      </top>
      <bottom/>
      <diagonal/>
    </border>
    <border>
      <left/>
      <right/>
      <top style="thick">
        <color rgb="FFB45309"/>
      </top>
      <bottom/>
      <diagonal/>
    </border>
    <border>
      <left/>
      <right/>
      <top style="thick">
        <color rgb="FF334155"/>
      </top>
      <bottom/>
      <diagonal/>
    </border>
    <border>
      <left/>
      <right/>
      <top style="thick">
        <color rgb="FFBE123C"/>
      </top>
      <bottom/>
      <diagonal/>
    </border>
    <border>
      <left/>
      <right/>
      <top/>
      <bottom style="thin">
        <color rgb="FFE2E8F0"/>
      </bottom>
      <diagonal/>
    </border>
  </borders>
  <cellStyleXfs count="1">
    <xf numFmtId="0" fontId="0" fillId="0" borderId="0"/>
  </cellStyleXfs>
  <cellXfs count="107">
    <xf numFmtId="0" fontId="0" fillId="0" borderId="0" xfId="0"/>
    <xf numFmtId="0" fontId="0" fillId="3" borderId="0" xfId="0" applyFill="1" applyProtection="1">
      <protection locked="0"/>
    </xf>
    <xf numFmtId="0" fontId="0" fillId="0" borderId="0" xfId="0" applyProtection="1">
      <protection locked="0"/>
    </xf>
    <xf numFmtId="0" fontId="32" fillId="3" borderId="0" xfId="0" applyFont="1" applyFill="1" applyProtection="1">
      <protection locked="0"/>
    </xf>
    <xf numFmtId="0" fontId="33" fillId="3" borderId="0" xfId="0" applyFont="1" applyFill="1" applyProtection="1">
      <protection locked="0"/>
    </xf>
    <xf numFmtId="0" fontId="11" fillId="0" borderId="0" xfId="0" applyFont="1" applyAlignment="1" applyProtection="1">
      <alignment vertical="top"/>
      <protection locked="0"/>
    </xf>
    <xf numFmtId="0" fontId="35" fillId="3" borderId="10" xfId="0" applyFont="1" applyFill="1" applyBorder="1" applyAlignment="1" applyProtection="1">
      <alignment horizontal="center" vertical="center"/>
      <protection locked="0"/>
    </xf>
    <xf numFmtId="0" fontId="36" fillId="0" borderId="10" xfId="0" applyFont="1" applyBorder="1" applyAlignment="1" applyProtection="1">
      <alignment vertical="center"/>
      <protection locked="0"/>
    </xf>
    <xf numFmtId="0" fontId="7" fillId="0" borderId="10" xfId="0" applyFont="1" applyBorder="1" applyAlignment="1" applyProtection="1">
      <alignment vertical="center" wrapText="1"/>
      <protection locked="0"/>
    </xf>
    <xf numFmtId="0" fontId="6" fillId="0" borderId="10" xfId="0" applyFont="1" applyBorder="1" applyAlignment="1" applyProtection="1">
      <alignment vertical="center"/>
      <protection locked="0"/>
    </xf>
    <xf numFmtId="0" fontId="35" fillId="9" borderId="10" xfId="0" applyFont="1" applyFill="1" applyBorder="1" applyAlignment="1" applyProtection="1">
      <alignment horizontal="center" vertical="center"/>
      <protection locked="0"/>
    </xf>
    <xf numFmtId="0" fontId="35" fillId="10" borderId="10" xfId="0" applyFont="1" applyFill="1" applyBorder="1" applyAlignment="1" applyProtection="1">
      <alignment horizontal="center" vertical="center"/>
      <protection locked="0"/>
    </xf>
    <xf numFmtId="0" fontId="35" fillId="11" borderId="10" xfId="0" applyFont="1" applyFill="1" applyBorder="1" applyAlignment="1" applyProtection="1">
      <alignment horizontal="center" vertical="center"/>
      <protection locked="0"/>
    </xf>
    <xf numFmtId="0" fontId="37" fillId="8" borderId="2" xfId="0" applyFont="1" applyFill="1" applyBorder="1" applyProtection="1">
      <protection locked="0"/>
    </xf>
    <xf numFmtId="0" fontId="7" fillId="0" borderId="0" xfId="0" applyFont="1" applyAlignment="1" applyProtection="1">
      <alignment vertical="top" wrapText="1"/>
      <protection locked="0"/>
    </xf>
    <xf numFmtId="0" fontId="38" fillId="12" borderId="2" xfId="0" applyFont="1" applyFill="1" applyBorder="1" applyProtection="1">
      <protection locked="0"/>
    </xf>
    <xf numFmtId="0" fontId="11" fillId="5" borderId="2" xfId="0" applyFont="1" applyFill="1" applyBorder="1" applyProtection="1">
      <protection locked="0"/>
    </xf>
    <xf numFmtId="0" fontId="5" fillId="2" borderId="2" xfId="0" applyFont="1" applyFill="1" applyBorder="1" applyAlignment="1" applyProtection="1">
      <alignment vertical="top"/>
      <protection locked="0"/>
    </xf>
    <xf numFmtId="0" fontId="7" fillId="0" borderId="0" xfId="0" applyFont="1" applyAlignment="1" applyProtection="1">
      <alignment vertical="top"/>
      <protection locked="0"/>
    </xf>
    <xf numFmtId="0" fontId="39" fillId="0" borderId="2" xfId="0" applyFont="1" applyBorder="1" applyProtection="1">
      <protection locked="0"/>
    </xf>
    <xf numFmtId="0" fontId="36" fillId="0" borderId="0" xfId="0" applyFont="1" applyProtection="1">
      <protection locked="0"/>
    </xf>
    <xf numFmtId="0" fontId="40" fillId="0" borderId="0" xfId="0" applyFont="1" applyProtection="1">
      <protection locked="0"/>
    </xf>
    <xf numFmtId="0" fontId="6" fillId="0" borderId="0" xfId="0" applyFont="1" applyAlignment="1" applyProtection="1">
      <alignment vertical="top" wrapText="1"/>
      <protection locked="0"/>
    </xf>
    <xf numFmtId="0" fontId="0" fillId="0" borderId="0" xfId="0" applyProtection="1">
      <protection locked="0"/>
    </xf>
    <xf numFmtId="0" fontId="6" fillId="0" borderId="0" xfId="0" applyFont="1" applyAlignment="1" applyProtection="1">
      <alignment vertical="top"/>
      <protection locked="0"/>
    </xf>
    <xf numFmtId="0" fontId="34" fillId="3" borderId="0" xfId="0" applyFont="1" applyFill="1" applyProtection="1"/>
    <xf numFmtId="0" fontId="19" fillId="3" borderId="0" xfId="0" applyFont="1" applyFill="1" applyProtection="1">
      <protection locked="0"/>
    </xf>
    <xf numFmtId="0" fontId="20" fillId="3" borderId="0" xfId="0" applyFont="1" applyFill="1" applyProtection="1">
      <protection locked="0"/>
    </xf>
    <xf numFmtId="0" fontId="23" fillId="5" borderId="0" xfId="0" applyFont="1" applyFill="1" applyAlignment="1" applyProtection="1">
      <alignment horizontal="center" wrapText="1"/>
      <protection locked="0"/>
    </xf>
    <xf numFmtId="0" fontId="26" fillId="6" borderId="0" xfId="0" applyFont="1" applyFill="1" applyAlignment="1" applyProtection="1">
      <alignment horizontal="center" wrapText="1"/>
      <protection locked="0"/>
    </xf>
    <xf numFmtId="0" fontId="27" fillId="7" borderId="0" xfId="0" applyFont="1" applyFill="1" applyAlignment="1" applyProtection="1">
      <alignment horizontal="center" wrapText="1"/>
      <protection locked="0"/>
    </xf>
    <xf numFmtId="0" fontId="29" fillId="8" borderId="0" xfId="0" applyFont="1" applyFill="1" applyAlignment="1" applyProtection="1">
      <alignment horizontal="center" wrapText="1"/>
      <protection locked="0"/>
    </xf>
    <xf numFmtId="1" fontId="24" fillId="5" borderId="0" xfId="0" applyNumberFormat="1" applyFont="1" applyFill="1" applyAlignment="1" applyProtection="1">
      <alignment horizontal="center" vertical="center"/>
      <protection locked="0"/>
    </xf>
    <xf numFmtId="1" fontId="24" fillId="6" borderId="0" xfId="0" applyNumberFormat="1" applyFont="1" applyFill="1" applyAlignment="1" applyProtection="1">
      <alignment horizontal="center" vertical="center"/>
      <protection locked="0"/>
    </xf>
    <xf numFmtId="166" fontId="28" fillId="7" borderId="0" xfId="0" applyNumberFormat="1" applyFont="1" applyFill="1" applyAlignment="1" applyProtection="1">
      <alignment horizontal="center" vertical="center"/>
      <protection locked="0"/>
    </xf>
    <xf numFmtId="168" fontId="24" fillId="8" borderId="0" xfId="0" applyNumberFormat="1" applyFont="1" applyFill="1" applyAlignment="1" applyProtection="1">
      <alignment horizontal="center" vertical="center"/>
      <protection locked="0"/>
    </xf>
    <xf numFmtId="1" fontId="24" fillId="8" borderId="0" xfId="0" applyNumberFormat="1" applyFont="1" applyFill="1" applyAlignment="1" applyProtection="1">
      <alignment horizontal="center" vertical="center"/>
      <protection locked="0"/>
    </xf>
    <xf numFmtId="0" fontId="25" fillId="5" borderId="0" xfId="0" applyFont="1" applyFill="1" applyAlignment="1" applyProtection="1">
      <alignment horizontal="center" vertical="top" wrapText="1"/>
      <protection locked="0"/>
    </xf>
    <xf numFmtId="0" fontId="25" fillId="6" borderId="0" xfId="0" applyFont="1" applyFill="1" applyAlignment="1" applyProtection="1">
      <alignment horizontal="center" vertical="top" wrapText="1"/>
      <protection locked="0"/>
    </xf>
    <xf numFmtId="0" fontId="25" fillId="7" borderId="0" xfId="0" applyFont="1" applyFill="1" applyAlignment="1" applyProtection="1">
      <alignment horizontal="center" vertical="top" wrapText="1"/>
      <protection locked="0"/>
    </xf>
    <xf numFmtId="0" fontId="25" fillId="8" borderId="0" xfId="0" applyFont="1" applyFill="1" applyAlignment="1" applyProtection="1">
      <alignment horizontal="center" vertical="top" wrapText="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9" xfId="0" applyBorder="1" applyProtection="1">
      <protection locked="0"/>
    </xf>
    <xf numFmtId="0" fontId="30" fillId="5" borderId="0" xfId="0" applyFont="1" applyFill="1" applyAlignment="1" applyProtection="1">
      <alignment vertical="center" wrapText="1"/>
      <protection locked="0"/>
    </xf>
    <xf numFmtId="0" fontId="0" fillId="5" borderId="0" xfId="0" applyFill="1" applyProtection="1">
      <protection locked="0"/>
    </xf>
    <xf numFmtId="0" fontId="8" fillId="0" borderId="0" xfId="0" applyFont="1" applyAlignment="1" applyProtection="1">
      <alignment vertical="top"/>
      <protection locked="0"/>
    </xf>
    <xf numFmtId="0" fontId="9" fillId="3" borderId="0" xfId="0" applyFont="1" applyFill="1" applyAlignment="1" applyProtection="1">
      <alignment horizontal="center" vertical="center"/>
      <protection locked="0"/>
    </xf>
    <xf numFmtId="0" fontId="9" fillId="3" borderId="0" xfId="0" applyFont="1" applyFill="1" applyAlignment="1" applyProtection="1">
      <alignment horizontal="left" vertical="center"/>
      <protection locked="0"/>
    </xf>
    <xf numFmtId="0" fontId="31" fillId="0" borderId="10" xfId="0" applyFont="1" applyBorder="1" applyAlignment="1" applyProtection="1">
      <alignment horizontal="center" vertical="center"/>
      <protection locked="0"/>
    </xf>
    <xf numFmtId="0" fontId="31" fillId="0" borderId="10" xfId="0" applyFont="1" applyBorder="1" applyAlignment="1" applyProtection="1">
      <alignment horizontal="left" vertical="center" wrapText="1"/>
      <protection locked="0"/>
    </xf>
    <xf numFmtId="0" fontId="0" fillId="0" borderId="10" xfId="0" applyBorder="1" applyProtection="1">
      <protection locked="0"/>
    </xf>
    <xf numFmtId="0" fontId="12" fillId="0" borderId="0" xfId="0" applyFont="1" applyAlignment="1" applyProtection="1">
      <alignment vertical="top"/>
      <protection locked="0"/>
    </xf>
    <xf numFmtId="169" fontId="31" fillId="0" borderId="10" xfId="0" applyNumberFormat="1" applyFont="1" applyBorder="1" applyAlignment="1" applyProtection="1">
      <alignment horizontal="center" vertical="center"/>
      <protection locked="0"/>
    </xf>
    <xf numFmtId="167" fontId="31" fillId="0" borderId="10" xfId="0" applyNumberFormat="1" applyFont="1" applyBorder="1" applyAlignment="1" applyProtection="1">
      <alignment horizontal="center" vertical="center"/>
      <protection locked="0"/>
    </xf>
    <xf numFmtId="173" fontId="31" fillId="0" borderId="10" xfId="0" applyNumberFormat="1" applyFont="1" applyBorder="1" applyAlignment="1" applyProtection="1">
      <alignment horizontal="center" vertical="center"/>
      <protection locked="0"/>
    </xf>
    <xf numFmtId="0" fontId="21" fillId="3" borderId="0" xfId="0" applyFont="1" applyFill="1" applyAlignment="1" applyProtection="1">
      <alignment horizontal="right"/>
    </xf>
    <xf numFmtId="0" fontId="1" fillId="0" borderId="0" xfId="0" applyFont="1" applyProtection="1">
      <protection locked="0"/>
    </xf>
    <xf numFmtId="0" fontId="2" fillId="0" borderId="0" xfId="0" applyFont="1" applyProtection="1">
      <protection locked="0"/>
    </xf>
    <xf numFmtId="0" fontId="3" fillId="0" borderId="0" xfId="0" applyFont="1" applyProtection="1">
      <protection locked="0"/>
    </xf>
    <xf numFmtId="0" fontId="0" fillId="0" borderId="3" xfId="0" applyBorder="1" applyProtection="1">
      <protection locked="0"/>
    </xf>
    <xf numFmtId="0" fontId="14" fillId="0" borderId="0" xfId="0" applyFont="1" applyAlignment="1" applyProtection="1">
      <alignment horizontal="center" vertical="center"/>
      <protection locked="0"/>
    </xf>
    <xf numFmtId="1" fontId="13" fillId="0" borderId="2" xfId="0" applyNumberFormat="1" applyFont="1" applyBorder="1" applyAlignment="1" applyProtection="1">
      <alignment vertical="top"/>
      <protection locked="0"/>
    </xf>
    <xf numFmtId="0" fontId="9" fillId="3" borderId="2" xfId="0" applyFont="1" applyFill="1" applyBorder="1" applyAlignment="1" applyProtection="1">
      <alignment horizontal="center" vertical="center" wrapText="1"/>
      <protection locked="0"/>
    </xf>
    <xf numFmtId="0" fontId="9" fillId="3" borderId="2" xfId="0" applyFont="1" applyFill="1" applyBorder="1" applyAlignment="1" applyProtection="1">
      <alignment horizontal="left" vertical="center" wrapText="1"/>
      <protection locked="0"/>
    </xf>
    <xf numFmtId="0" fontId="13" fillId="0" borderId="0" xfId="0" applyFont="1" applyProtection="1">
      <protection locked="0"/>
    </xf>
    <xf numFmtId="0" fontId="15" fillId="4" borderId="0" xfId="0" applyFont="1" applyFill="1" applyProtection="1">
      <protection locked="0"/>
    </xf>
    <xf numFmtId="0" fontId="0" fillId="4" borderId="0" xfId="0" applyFill="1" applyProtection="1">
      <protection locked="0"/>
    </xf>
    <xf numFmtId="0" fontId="8" fillId="0" borderId="2" xfId="0" applyFont="1" applyBorder="1" applyAlignment="1" applyProtection="1">
      <alignment horizontal="center" vertical="top"/>
      <protection locked="0"/>
    </xf>
    <xf numFmtId="0" fontId="4" fillId="0" borderId="2" xfId="0" applyFont="1" applyBorder="1" applyAlignment="1" applyProtection="1">
      <alignment vertical="top" wrapText="1"/>
      <protection locked="0"/>
    </xf>
    <xf numFmtId="0" fontId="6" fillId="0" borderId="2" xfId="0" applyFont="1" applyBorder="1" applyAlignment="1" applyProtection="1">
      <alignment vertical="top" wrapText="1"/>
      <protection locked="0"/>
    </xf>
    <xf numFmtId="0" fontId="16" fillId="0" borderId="2" xfId="0" applyFont="1" applyBorder="1" applyAlignment="1" applyProtection="1">
      <alignment horizontal="center" vertical="top"/>
      <protection locked="0"/>
    </xf>
    <xf numFmtId="0" fontId="17" fillId="0" borderId="2" xfId="0" applyFont="1" applyBorder="1" applyAlignment="1" applyProtection="1">
      <alignment vertical="top" wrapText="1"/>
      <protection locked="0"/>
    </xf>
    <xf numFmtId="0" fontId="5" fillId="2" borderId="2" xfId="0" applyFont="1" applyFill="1" applyBorder="1" applyAlignment="1" applyProtection="1">
      <alignment horizontal="center" vertical="top"/>
      <protection locked="0"/>
    </xf>
    <xf numFmtId="0" fontId="5" fillId="2" borderId="2" xfId="0" applyFont="1" applyFill="1" applyBorder="1" applyAlignment="1" applyProtection="1">
      <alignment vertical="top" wrapText="1"/>
      <protection locked="0"/>
    </xf>
    <xf numFmtId="0" fontId="18" fillId="0" borderId="0" xfId="0" applyFont="1" applyAlignment="1" applyProtection="1">
      <alignment vertical="top"/>
      <protection locked="0"/>
    </xf>
    <xf numFmtId="0" fontId="7" fillId="0" borderId="2" xfId="0" applyFont="1" applyBorder="1" applyAlignment="1" applyProtection="1">
      <alignment vertical="top" wrapText="1"/>
      <protection locked="0"/>
    </xf>
    <xf numFmtId="0" fontId="10" fillId="0" borderId="0" xfId="0" applyFont="1" applyAlignment="1" applyProtection="1">
      <alignment horizontal="right"/>
    </xf>
    <xf numFmtId="0" fontId="9" fillId="3" borderId="2" xfId="0" applyFont="1" applyFill="1" applyBorder="1" applyAlignment="1" applyProtection="1">
      <alignment horizontal="center" vertical="center"/>
      <protection locked="0"/>
    </xf>
    <xf numFmtId="1" fontId="5" fillId="2" borderId="2" xfId="0" applyNumberFormat="1" applyFont="1" applyFill="1" applyBorder="1" applyAlignment="1" applyProtection="1">
      <alignment horizontal="center" vertical="top"/>
      <protection locked="0"/>
    </xf>
    <xf numFmtId="1" fontId="4" fillId="0" borderId="2" xfId="0" applyNumberFormat="1" applyFont="1" applyBorder="1" applyAlignment="1" applyProtection="1">
      <alignment horizontal="center" vertical="top"/>
      <protection locked="0"/>
    </xf>
    <xf numFmtId="1" fontId="7" fillId="0" borderId="2" xfId="0" applyNumberFormat="1" applyFont="1" applyBorder="1" applyAlignment="1" applyProtection="1">
      <alignment horizontal="center" vertical="top"/>
      <protection locked="0"/>
    </xf>
    <xf numFmtId="168" fontId="7" fillId="0" borderId="2" xfId="0" applyNumberFormat="1" applyFont="1" applyBorder="1" applyAlignment="1" applyProtection="1">
      <alignment horizontal="center" vertical="top"/>
      <protection locked="0"/>
    </xf>
    <xf numFmtId="0" fontId="7" fillId="0" borderId="2" xfId="0" applyFont="1" applyBorder="1" applyAlignment="1" applyProtection="1">
      <alignment vertical="top" wrapText="1"/>
      <protection locked="0"/>
    </xf>
    <xf numFmtId="0" fontId="0" fillId="0" borderId="4" xfId="0" applyBorder="1" applyProtection="1">
      <protection locked="0"/>
    </xf>
    <xf numFmtId="0" fontId="0" fillId="0" borderId="5" xfId="0" applyBorder="1" applyProtection="1">
      <protection locked="0"/>
    </xf>
    <xf numFmtId="169" fontId="5" fillId="2" borderId="2" xfId="0" applyNumberFormat="1" applyFont="1" applyFill="1" applyBorder="1" applyAlignment="1" applyProtection="1">
      <alignment horizontal="center" vertical="top"/>
      <protection locked="0"/>
    </xf>
    <xf numFmtId="169" fontId="4" fillId="0" borderId="2" xfId="0" applyNumberFormat="1" applyFont="1" applyBorder="1" applyAlignment="1" applyProtection="1">
      <alignment horizontal="center" vertical="top"/>
      <protection locked="0"/>
    </xf>
    <xf numFmtId="169" fontId="7" fillId="0" borderId="2" xfId="0" applyNumberFormat="1" applyFont="1" applyBorder="1" applyAlignment="1" applyProtection="1">
      <alignment horizontal="center" vertical="top"/>
      <protection locked="0"/>
    </xf>
    <xf numFmtId="167" fontId="7" fillId="0" borderId="2" xfId="0" applyNumberFormat="1" applyFont="1" applyBorder="1" applyAlignment="1" applyProtection="1">
      <alignment horizontal="center" vertical="top"/>
      <protection locked="0"/>
    </xf>
    <xf numFmtId="170" fontId="7" fillId="0" borderId="2" xfId="0" applyNumberFormat="1" applyFont="1" applyBorder="1" applyAlignment="1" applyProtection="1">
      <alignment horizontal="center" vertical="top"/>
      <protection locked="0"/>
    </xf>
    <xf numFmtId="171" fontId="7" fillId="0" borderId="2" xfId="0" applyNumberFormat="1" applyFont="1" applyBorder="1" applyAlignment="1" applyProtection="1">
      <alignment horizontal="center" vertical="top"/>
      <protection locked="0"/>
    </xf>
    <xf numFmtId="172" fontId="13" fillId="0" borderId="2" xfId="0" applyNumberFormat="1" applyFont="1" applyBorder="1" applyAlignment="1" applyProtection="1">
      <alignment vertical="top"/>
      <protection locked="0"/>
    </xf>
    <xf numFmtId="0" fontId="9" fillId="3" borderId="0" xfId="0" applyFont="1" applyFill="1" applyProtection="1">
      <protection locked="0"/>
    </xf>
    <xf numFmtId="9" fontId="5" fillId="2" borderId="2" xfId="0" applyNumberFormat="1" applyFont="1" applyFill="1" applyBorder="1" applyAlignment="1" applyProtection="1">
      <alignment horizontal="center" vertical="top"/>
      <protection locked="0"/>
    </xf>
    <xf numFmtId="0" fontId="7" fillId="0" borderId="2" xfId="0" applyFont="1" applyBorder="1" applyAlignment="1" applyProtection="1">
      <alignment vertical="top"/>
      <protection locked="0"/>
    </xf>
    <xf numFmtId="166" fontId="5" fillId="2" borderId="2" xfId="0" applyNumberFormat="1" applyFont="1" applyFill="1" applyBorder="1" applyAlignment="1" applyProtection="1">
      <alignment vertical="top"/>
      <protection locked="0"/>
    </xf>
    <xf numFmtId="0" fontId="11" fillId="0" borderId="2" xfId="0" applyFont="1" applyBorder="1" applyAlignment="1" applyProtection="1">
      <alignment horizontal="center" vertical="top"/>
      <protection locked="0"/>
    </xf>
    <xf numFmtId="0" fontId="0" fillId="0" borderId="1" xfId="0" applyBorder="1" applyProtection="1">
      <protection locked="0"/>
    </xf>
    <xf numFmtId="0" fontId="4" fillId="0" borderId="0" xfId="0" applyFont="1" applyAlignment="1" applyProtection="1">
      <alignment vertical="top"/>
      <protection locked="0"/>
    </xf>
    <xf numFmtId="1" fontId="5" fillId="2" borderId="2" xfId="0" applyNumberFormat="1" applyFont="1" applyFill="1" applyBorder="1" applyAlignment="1" applyProtection="1">
      <alignment vertical="top"/>
      <protection locked="0"/>
    </xf>
    <xf numFmtId="165" fontId="7" fillId="0" borderId="2" xfId="0" applyNumberFormat="1" applyFont="1" applyBorder="1" applyAlignment="1" applyProtection="1">
      <alignment vertical="top"/>
      <protection locked="0"/>
    </xf>
    <xf numFmtId="165" fontId="5" fillId="2" borderId="2" xfId="0" applyNumberFormat="1" applyFont="1" applyFill="1" applyBorder="1" applyAlignment="1" applyProtection="1">
      <alignment vertical="top"/>
      <protection locked="0"/>
    </xf>
    <xf numFmtId="1" fontId="7" fillId="0" borderId="2" xfId="0" applyNumberFormat="1" applyFont="1" applyBorder="1" applyAlignment="1" applyProtection="1">
      <alignment vertical="top"/>
      <protection locked="0"/>
    </xf>
    <xf numFmtId="0" fontId="22" fillId="13" borderId="0" xfId="0" applyFont="1" applyFill="1" applyAlignment="1" applyProtection="1">
      <alignment horizontal="center" vertical="center"/>
      <protection locked="0"/>
    </xf>
    <xf numFmtId="0" fontId="0" fillId="13" borderId="0" xfId="0" applyFill="1" applyProtection="1">
      <protection locked="0"/>
    </xf>
  </cellXfs>
  <cellStyles count="1">
    <cellStyle name="Normal" xfId="0" builtinId="0"/>
  </cellStyles>
  <dxfs count="44">
    <dxf>
      <font>
        <color rgb="FFFFFFFF"/>
      </font>
    </dxf>
    <dxf>
      <font>
        <b/>
        <color rgb="FFBE123C"/>
        <name val="Arial"/>
      </font>
    </dxf>
    <dxf>
      <font>
        <b/>
        <color rgb="FFB45309"/>
        <name val="Arial"/>
      </font>
      <fill>
        <patternFill patternType="solid">
          <fgColor rgb="FFFEF3C7"/>
        </patternFill>
      </fill>
    </dxf>
    <dxf>
      <font>
        <b/>
        <color rgb="FFBE123C"/>
        <name val="Arial"/>
      </font>
      <fill>
        <patternFill patternType="solid">
          <fgColor rgb="FFFFE4E6"/>
        </patternFill>
      </fill>
    </dxf>
    <dxf>
      <border>
        <top style="medium">
          <color rgb="FF0F766E"/>
        </top>
        <bottom style="medium">
          <color rgb="FF0F766E"/>
        </bottom>
      </border>
    </dxf>
    <dxf>
      <font>
        <b/>
        <color rgb="FF047857"/>
        <name val="Arial"/>
      </font>
      <fill>
        <patternFill patternType="solid">
          <fgColor rgb="FFD1FAE5"/>
        </patternFill>
      </fill>
    </dxf>
    <dxf>
      <font>
        <b/>
        <color rgb="FFBE123C"/>
        <name val="Arial"/>
      </font>
      <fill>
        <patternFill patternType="solid">
          <fgColor rgb="FFFFE4E6"/>
        </patternFill>
      </fill>
    </dxf>
    <dxf>
      <fill>
        <patternFill patternType="solid">
          <fgColor rgb="FFFFE4E6"/>
        </patternFill>
      </fill>
    </dxf>
    <dxf>
      <font>
        <b/>
        <color rgb="FF047857"/>
        <name val="Arial"/>
      </font>
    </dxf>
    <dxf>
      <font>
        <b/>
        <color rgb="FFB45309"/>
        <name val="Arial"/>
      </font>
      <fill>
        <patternFill patternType="solid">
          <fgColor rgb="FFFEF3C7"/>
        </patternFill>
      </fill>
    </dxf>
    <dxf>
      <font>
        <b/>
        <color rgb="FFBE123C"/>
        <name val="Arial"/>
      </font>
    </dxf>
    <dxf>
      <font>
        <b/>
        <color rgb="FFBE123C"/>
        <name val="Arial"/>
      </font>
      <fill>
        <patternFill patternType="solid">
          <fgColor rgb="FFFFE4E6"/>
        </patternFill>
      </fill>
    </dxf>
    <dxf>
      <font>
        <b/>
        <color rgb="FF047857"/>
        <name val="Arial"/>
      </font>
      <fill>
        <patternFill patternType="solid">
          <fgColor rgb="FFD1FAE5"/>
        </patternFill>
      </fill>
    </dxf>
    <dxf>
      <font>
        <b/>
        <color rgb="FFB45309"/>
        <name val="Arial"/>
      </font>
      <fill>
        <patternFill patternType="solid">
          <fgColor rgb="FFFEF3C7"/>
        </patternFill>
      </fill>
    </dxf>
    <dxf>
      <font>
        <b/>
        <color rgb="FFBE123C"/>
        <name val="Arial"/>
      </font>
      <fill>
        <patternFill patternType="solid">
          <fgColor rgb="FFFFE4E6"/>
        </patternFill>
      </fill>
    </dxf>
    <dxf>
      <font>
        <b/>
        <color rgb="FFBE123C"/>
        <name val="Arial"/>
      </font>
    </dxf>
    <dxf>
      <font>
        <b/>
        <color rgb="FFBE123C"/>
        <name val="Arial"/>
      </font>
      <fill>
        <patternFill patternType="solid">
          <fgColor rgb="FFFFE4E6"/>
        </patternFill>
      </fill>
    </dxf>
    <dxf>
      <fill>
        <patternFill patternType="solid">
          <fgColor rgb="FFCCFBF1"/>
        </patternFill>
      </fill>
    </dxf>
    <dxf>
      <font>
        <b/>
        <color rgb="FFB45309"/>
        <name val="Arial"/>
      </font>
      <fill>
        <patternFill patternType="solid">
          <fgColor rgb="FFFEF3C7"/>
        </patternFill>
      </fill>
    </dxf>
    <dxf>
      <font>
        <b/>
        <color rgb="FF047857"/>
        <name val="Arial"/>
      </font>
      <fill>
        <patternFill patternType="solid">
          <fgColor rgb="FFD1FAE5"/>
        </patternFill>
      </fill>
    </dxf>
    <dxf>
      <font>
        <color rgb="FFBE123C"/>
        <name val="Arial"/>
      </font>
    </dxf>
    <dxf>
      <font>
        <color rgb="FF047857"/>
        <name val="Arial"/>
      </font>
    </dxf>
    <dxf>
      <font>
        <b/>
        <color rgb="FFBE123C"/>
        <name val="Arial"/>
      </font>
    </dxf>
    <dxf>
      <fill>
        <patternFill patternType="solid">
          <fgColor rgb="FFCCFBF1"/>
        </patternFill>
      </fill>
    </dxf>
    <dxf>
      <font>
        <b/>
        <color rgb="FF475569"/>
        <name val="Arial"/>
      </font>
      <fill>
        <patternFill patternType="solid">
          <fgColor rgb="FFF1F5F9"/>
        </patternFill>
      </fill>
    </dxf>
    <dxf>
      <font>
        <b/>
        <color rgb="FFBE123C"/>
        <name val="Arial"/>
      </font>
      <fill>
        <patternFill patternType="solid">
          <fgColor rgb="FFFFE4E6"/>
        </patternFill>
      </fill>
    </dxf>
    <dxf>
      <font>
        <b/>
        <color rgb="FFB45309"/>
        <name val="Arial"/>
      </font>
      <fill>
        <patternFill patternType="solid">
          <fgColor rgb="FFFEF3C7"/>
        </patternFill>
      </fill>
    </dxf>
    <dxf>
      <font>
        <b/>
        <color rgb="FF047857"/>
        <name val="Arial"/>
      </font>
      <fill>
        <patternFill patternType="solid">
          <fgColor rgb="FFD1FAE5"/>
        </patternFill>
      </fill>
    </dxf>
    <dxf>
      <font>
        <b/>
        <color rgb="FF047857"/>
        <name val="Arial"/>
      </font>
      <fill>
        <patternFill patternType="solid">
          <fgColor rgb="FFD1FAE5"/>
        </patternFill>
      </fill>
    </dxf>
    <dxf>
      <fill>
        <patternFill patternType="solid">
          <fgColor rgb="FFFFE4E6"/>
        </patternFill>
      </fill>
    </dxf>
    <dxf>
      <fill>
        <patternFill patternType="solid">
          <fgColor rgb="FF0F766E"/>
        </patternFill>
      </fill>
    </dxf>
    <dxf>
      <fill>
        <patternFill patternType="solid">
          <fgColor rgb="FFBE123C"/>
        </patternFill>
      </fill>
    </dxf>
    <dxf>
      <fill>
        <patternFill patternType="solid">
          <fgColor rgb="FF047857"/>
        </patternFill>
      </fill>
    </dxf>
    <dxf>
      <font>
        <b/>
        <sz val="22"/>
        <color rgb="FFBE123C"/>
        <name val="Arial"/>
      </font>
    </dxf>
    <dxf>
      <font>
        <b/>
        <color rgb="FFB45309"/>
        <name val="Arial"/>
      </font>
      <fill>
        <patternFill patternType="solid">
          <fgColor rgb="FFFEF3C7"/>
        </patternFill>
      </fill>
    </dxf>
    <dxf>
      <font>
        <b/>
        <color rgb="FFBE123C"/>
        <name val="Arial"/>
      </font>
      <fill>
        <patternFill patternType="solid">
          <fgColor rgb="FFFFE4E6"/>
        </patternFill>
      </fill>
    </dxf>
    <dxf>
      <font>
        <b/>
        <sz val="22"/>
        <color rgb="FFBE123C"/>
        <name val="Arial"/>
      </font>
    </dxf>
    <dxf>
      <font>
        <b/>
        <sz val="22"/>
        <color rgb="FFBE123C"/>
        <name val="Arial"/>
      </font>
    </dxf>
    <dxf>
      <font>
        <b/>
        <color rgb="FFBE123C"/>
        <name val="Arial"/>
      </font>
    </dxf>
    <dxf>
      <font>
        <b/>
        <sz val="22"/>
        <color rgb="FFBE123C"/>
        <name val="Arial"/>
      </font>
    </dxf>
    <dxf>
      <font>
        <b/>
        <color rgb="FFBE123C"/>
        <name val="Arial"/>
      </font>
      <fill>
        <patternFill patternType="solid">
          <fgColor rgb="FFFFE4E6"/>
        </patternFill>
      </fill>
    </dxf>
    <dxf>
      <fill>
        <patternFill patternType="solid">
          <fgColor rgb="FF0F766E"/>
        </patternFill>
      </fill>
    </dxf>
    <dxf>
      <fill>
        <patternFill patternType="solid">
          <fgColor rgb="FFBE123C"/>
        </patternFill>
      </fill>
    </dxf>
    <dxf>
      <fill>
        <patternFill patternType="solid">
          <fgColor rgb="FF04785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tr-TR"/>
              <a:t>Total float by update (days)</a:t>
            </a:r>
          </a:p>
        </c:rich>
      </c:tx>
      <c:overlay val="0"/>
    </c:title>
    <c:autoTitleDeleted val="0"/>
    <c:plotArea>
      <c:layout/>
      <c:lineChart>
        <c:grouping val="standard"/>
        <c:varyColors val="1"/>
        <c:ser>
          <c:idx val="0"/>
          <c:order val="0"/>
          <c:tx>
            <c:strRef>
              <c:f>'Float trend'!$B$7</c:f>
              <c:strCache>
                <c:ptCount val="1"/>
                <c:pt idx="0">
                  <c:v>Switchgear delivery and installation</c:v>
                </c:pt>
              </c:strCache>
            </c:strRef>
          </c:tx>
          <c:spPr>
            <a:ln w="22000">
              <a:solidFill>
                <a:srgbClr val="C00000"/>
              </a:solidFill>
              <a:prstDash val="solid"/>
            </a:ln>
          </c:spPr>
          <c:marker>
            <c:symbol val="circle"/>
            <c:size val="5"/>
            <c:spPr>
              <a:solidFill>
                <a:srgbClr val="C00000"/>
              </a:solidFill>
              <a:ln>
                <a:solidFill>
                  <a:srgbClr val="C00000"/>
                </a:solidFill>
                <a:prstDash val="solid"/>
              </a:ln>
            </c:spPr>
          </c:marker>
          <c:cat>
            <c:strRef>
              <c:f>'Float trend'!$C$6:$N$6</c:f>
              <c:strCache>
                <c:ptCount val="12"/>
                <c:pt idx="0">
                  <c:v>U1</c:v>
                </c:pt>
                <c:pt idx="1">
                  <c:v>U2</c:v>
                </c:pt>
                <c:pt idx="2">
                  <c:v>U3</c:v>
                </c:pt>
                <c:pt idx="3">
                  <c:v>U4</c:v>
                </c:pt>
                <c:pt idx="4">
                  <c:v>U5</c:v>
                </c:pt>
                <c:pt idx="5">
                  <c:v>U6</c:v>
                </c:pt>
                <c:pt idx="6">
                  <c:v>U7</c:v>
                </c:pt>
                <c:pt idx="7">
                  <c:v>U8</c:v>
                </c:pt>
                <c:pt idx="8">
                  <c:v>U9</c:v>
                </c:pt>
                <c:pt idx="9">
                  <c:v>U10</c:v>
                </c:pt>
                <c:pt idx="10">
                  <c:v>U11</c:v>
                </c:pt>
                <c:pt idx="11">
                  <c:v>U12</c:v>
                </c:pt>
              </c:strCache>
            </c:strRef>
          </c:cat>
          <c:val>
            <c:numRef>
              <c:f>'Float trend'!$C$7:$N$7</c:f>
              <c:numCache>
                <c:formatCode>0;[Red]\-0</c:formatCode>
                <c:ptCount val="12"/>
                <c:pt idx="0">
                  <c:v>24</c:v>
                </c:pt>
                <c:pt idx="1">
                  <c:v>18</c:v>
                </c:pt>
                <c:pt idx="2">
                  <c:v>9</c:v>
                </c:pt>
                <c:pt idx="3">
                  <c:v>5</c:v>
                </c:pt>
                <c:pt idx="4">
                  <c:v>1</c:v>
                </c:pt>
                <c:pt idx="5">
                  <c:v>-4</c:v>
                </c:pt>
              </c:numCache>
            </c:numRef>
          </c:val>
          <c:smooth val="0"/>
          <c:extLst>
            <c:ext xmlns:c16="http://schemas.microsoft.com/office/drawing/2014/chart" uri="{C3380CC4-5D6E-409C-BE32-E72D297353CC}">
              <c16:uniqueId val="{00000000-5C48-4996-81A4-D800CDB7F8F7}"/>
            </c:ext>
          </c:extLst>
        </c:ser>
        <c:ser>
          <c:idx val="1"/>
          <c:order val="1"/>
          <c:tx>
            <c:strRef>
              <c:f>'Float trend'!$B$8</c:f>
              <c:strCache>
                <c:ptCount val="1"/>
                <c:pt idx="0">
                  <c:v>Substation slab</c:v>
                </c:pt>
              </c:strCache>
            </c:strRef>
          </c:tx>
          <c:spPr>
            <a:ln w="22000">
              <a:solidFill>
                <a:srgbClr val="ED7D31"/>
              </a:solidFill>
              <a:prstDash val="solid"/>
            </a:ln>
          </c:spPr>
          <c:marker>
            <c:symbol val="circle"/>
            <c:size val="5"/>
            <c:spPr>
              <a:solidFill>
                <a:srgbClr val="ED7D31"/>
              </a:solidFill>
              <a:ln>
                <a:solidFill>
                  <a:srgbClr val="ED7D31"/>
                </a:solidFill>
                <a:prstDash val="solid"/>
              </a:ln>
            </c:spPr>
          </c:marker>
          <c:cat>
            <c:strRef>
              <c:f>'Float trend'!$C$6:$N$6</c:f>
              <c:strCache>
                <c:ptCount val="12"/>
                <c:pt idx="0">
                  <c:v>U1</c:v>
                </c:pt>
                <c:pt idx="1">
                  <c:v>U2</c:v>
                </c:pt>
                <c:pt idx="2">
                  <c:v>U3</c:v>
                </c:pt>
                <c:pt idx="3">
                  <c:v>U4</c:v>
                </c:pt>
                <c:pt idx="4">
                  <c:v>U5</c:v>
                </c:pt>
                <c:pt idx="5">
                  <c:v>U6</c:v>
                </c:pt>
                <c:pt idx="6">
                  <c:v>U7</c:v>
                </c:pt>
                <c:pt idx="7">
                  <c:v>U8</c:v>
                </c:pt>
                <c:pt idx="8">
                  <c:v>U9</c:v>
                </c:pt>
                <c:pt idx="9">
                  <c:v>U10</c:v>
                </c:pt>
                <c:pt idx="10">
                  <c:v>U11</c:v>
                </c:pt>
                <c:pt idx="11">
                  <c:v>U12</c:v>
                </c:pt>
              </c:strCache>
            </c:strRef>
          </c:cat>
          <c:val>
            <c:numRef>
              <c:f>'Float trend'!$C$8:$N$8</c:f>
              <c:numCache>
                <c:formatCode>0;[Red]\-0</c:formatCode>
                <c:ptCount val="12"/>
                <c:pt idx="0">
                  <c:v>18</c:v>
                </c:pt>
                <c:pt idx="1">
                  <c:v>18</c:v>
                </c:pt>
                <c:pt idx="2">
                  <c:v>0</c:v>
                </c:pt>
                <c:pt idx="3">
                  <c:v>0</c:v>
                </c:pt>
                <c:pt idx="4">
                  <c:v>0</c:v>
                </c:pt>
                <c:pt idx="5">
                  <c:v>-10</c:v>
                </c:pt>
              </c:numCache>
            </c:numRef>
          </c:val>
          <c:smooth val="0"/>
          <c:extLst>
            <c:ext xmlns:c16="http://schemas.microsoft.com/office/drawing/2014/chart" uri="{C3380CC4-5D6E-409C-BE32-E72D297353CC}">
              <c16:uniqueId val="{00000001-5C48-4996-81A4-D800CDB7F8F7}"/>
            </c:ext>
          </c:extLst>
        </c:ser>
        <c:ser>
          <c:idx val="2"/>
          <c:order val="2"/>
          <c:tx>
            <c:strRef>
              <c:f>'Float trend'!$B$9</c:f>
              <c:strCache>
                <c:ptCount val="1"/>
                <c:pt idx="0">
                  <c:v>Raft concrete pours</c:v>
                </c:pt>
              </c:strCache>
            </c:strRef>
          </c:tx>
          <c:spPr>
            <a:ln w="22000">
              <a:solidFill>
                <a:srgbClr val="FFC000"/>
              </a:solidFill>
              <a:prstDash val="solid"/>
            </a:ln>
          </c:spPr>
          <c:marker>
            <c:symbol val="circle"/>
            <c:size val="5"/>
            <c:spPr>
              <a:solidFill>
                <a:srgbClr val="FFC000"/>
              </a:solidFill>
              <a:ln>
                <a:solidFill>
                  <a:srgbClr val="FFC000"/>
                </a:solidFill>
                <a:prstDash val="solid"/>
              </a:ln>
            </c:spPr>
          </c:marker>
          <c:cat>
            <c:strRef>
              <c:f>'Float trend'!$C$6:$N$6</c:f>
              <c:strCache>
                <c:ptCount val="12"/>
                <c:pt idx="0">
                  <c:v>U1</c:v>
                </c:pt>
                <c:pt idx="1">
                  <c:v>U2</c:v>
                </c:pt>
                <c:pt idx="2">
                  <c:v>U3</c:v>
                </c:pt>
                <c:pt idx="3">
                  <c:v>U4</c:v>
                </c:pt>
                <c:pt idx="4">
                  <c:v>U5</c:v>
                </c:pt>
                <c:pt idx="5">
                  <c:v>U6</c:v>
                </c:pt>
                <c:pt idx="6">
                  <c:v>U7</c:v>
                </c:pt>
                <c:pt idx="7">
                  <c:v>U8</c:v>
                </c:pt>
                <c:pt idx="8">
                  <c:v>U9</c:v>
                </c:pt>
                <c:pt idx="9">
                  <c:v>U10</c:v>
                </c:pt>
                <c:pt idx="10">
                  <c:v>U11</c:v>
                </c:pt>
                <c:pt idx="11">
                  <c:v>U12</c:v>
                </c:pt>
              </c:strCache>
            </c:strRef>
          </c:cat>
          <c:val>
            <c:numRef>
              <c:f>'Float trend'!$C$9:$N$9</c:f>
              <c:numCache>
                <c:formatCode>0;[Red]\-0</c:formatCode>
                <c:ptCount val="12"/>
                <c:pt idx="0">
                  <c:v>10</c:v>
                </c:pt>
                <c:pt idx="1">
                  <c:v>10</c:v>
                </c:pt>
                <c:pt idx="2">
                  <c:v>6</c:v>
                </c:pt>
                <c:pt idx="3">
                  <c:v>4</c:v>
                </c:pt>
                <c:pt idx="4">
                  <c:v>4</c:v>
                </c:pt>
                <c:pt idx="5">
                  <c:v>2</c:v>
                </c:pt>
              </c:numCache>
            </c:numRef>
          </c:val>
          <c:smooth val="0"/>
          <c:extLst>
            <c:ext xmlns:c16="http://schemas.microsoft.com/office/drawing/2014/chart" uri="{C3380CC4-5D6E-409C-BE32-E72D297353CC}">
              <c16:uniqueId val="{00000002-5C48-4996-81A4-D800CDB7F8F7}"/>
            </c:ext>
          </c:extLst>
        </c:ser>
        <c:ser>
          <c:idx val="3"/>
          <c:order val="3"/>
          <c:tx>
            <c:strRef>
              <c:f>'Float trend'!$B$10</c:f>
              <c:strCache>
                <c:ptCount val="1"/>
                <c:pt idx="0">
                  <c:v>Cable pulling and terminations</c:v>
                </c:pt>
              </c:strCache>
            </c:strRef>
          </c:tx>
          <c:spPr>
            <a:ln w="22000">
              <a:solidFill>
                <a:srgbClr val="70AD47"/>
              </a:solidFill>
              <a:prstDash val="solid"/>
            </a:ln>
          </c:spPr>
          <c:marker>
            <c:symbol val="circle"/>
            <c:size val="5"/>
            <c:spPr>
              <a:solidFill>
                <a:srgbClr val="70AD47"/>
              </a:solidFill>
              <a:ln>
                <a:solidFill>
                  <a:srgbClr val="70AD47"/>
                </a:solidFill>
                <a:prstDash val="solid"/>
              </a:ln>
            </c:spPr>
          </c:marker>
          <c:cat>
            <c:strRef>
              <c:f>'Float trend'!$C$6:$N$6</c:f>
              <c:strCache>
                <c:ptCount val="12"/>
                <c:pt idx="0">
                  <c:v>U1</c:v>
                </c:pt>
                <c:pt idx="1">
                  <c:v>U2</c:v>
                </c:pt>
                <c:pt idx="2">
                  <c:v>U3</c:v>
                </c:pt>
                <c:pt idx="3">
                  <c:v>U4</c:v>
                </c:pt>
                <c:pt idx="4">
                  <c:v>U5</c:v>
                </c:pt>
                <c:pt idx="5">
                  <c:v>U6</c:v>
                </c:pt>
                <c:pt idx="6">
                  <c:v>U7</c:v>
                </c:pt>
                <c:pt idx="7">
                  <c:v>U8</c:v>
                </c:pt>
                <c:pt idx="8">
                  <c:v>U9</c:v>
                </c:pt>
                <c:pt idx="9">
                  <c:v>U10</c:v>
                </c:pt>
                <c:pt idx="10">
                  <c:v>U11</c:v>
                </c:pt>
                <c:pt idx="11">
                  <c:v>U12</c:v>
                </c:pt>
              </c:strCache>
            </c:strRef>
          </c:cat>
          <c:val>
            <c:numRef>
              <c:f>'Float trend'!$C$10:$N$10</c:f>
              <c:numCache>
                <c:formatCode>0;[Red]\-0</c:formatCode>
                <c:ptCount val="12"/>
                <c:pt idx="0">
                  <c:v>20</c:v>
                </c:pt>
                <c:pt idx="1">
                  <c:v>20</c:v>
                </c:pt>
                <c:pt idx="2">
                  <c:v>15</c:v>
                </c:pt>
                <c:pt idx="3">
                  <c:v>12</c:v>
                </c:pt>
                <c:pt idx="4">
                  <c:v>10</c:v>
                </c:pt>
                <c:pt idx="5">
                  <c:v>8</c:v>
                </c:pt>
              </c:numCache>
            </c:numRef>
          </c:val>
          <c:smooth val="0"/>
          <c:extLst>
            <c:ext xmlns:c16="http://schemas.microsoft.com/office/drawing/2014/chart" uri="{C3380CC4-5D6E-409C-BE32-E72D297353CC}">
              <c16:uniqueId val="{00000003-5C48-4996-81A4-D800CDB7F8F7}"/>
            </c:ext>
          </c:extLst>
        </c:ser>
        <c:ser>
          <c:idx val="4"/>
          <c:order val="4"/>
          <c:tx>
            <c:strRef>
              <c:f>'Float trend'!$B$11</c:f>
              <c:strCache>
                <c:ptCount val="1"/>
                <c:pt idx="0">
                  <c:v>Testing and commissioning</c:v>
                </c:pt>
              </c:strCache>
            </c:strRef>
          </c:tx>
          <c:spPr>
            <a:ln w="22000">
              <a:solidFill>
                <a:srgbClr val="00B0F0"/>
              </a:solidFill>
              <a:prstDash val="solid"/>
            </a:ln>
          </c:spPr>
          <c:marker>
            <c:symbol val="circle"/>
            <c:size val="5"/>
            <c:spPr>
              <a:solidFill>
                <a:srgbClr val="00B0F0"/>
              </a:solidFill>
              <a:ln>
                <a:solidFill>
                  <a:srgbClr val="00B0F0"/>
                </a:solidFill>
                <a:prstDash val="solid"/>
              </a:ln>
            </c:spPr>
          </c:marker>
          <c:cat>
            <c:strRef>
              <c:f>'Float trend'!$C$6:$N$6</c:f>
              <c:strCache>
                <c:ptCount val="12"/>
                <c:pt idx="0">
                  <c:v>U1</c:v>
                </c:pt>
                <c:pt idx="1">
                  <c:v>U2</c:v>
                </c:pt>
                <c:pt idx="2">
                  <c:v>U3</c:v>
                </c:pt>
                <c:pt idx="3">
                  <c:v>U4</c:v>
                </c:pt>
                <c:pt idx="4">
                  <c:v>U5</c:v>
                </c:pt>
                <c:pt idx="5">
                  <c:v>U6</c:v>
                </c:pt>
                <c:pt idx="6">
                  <c:v>U7</c:v>
                </c:pt>
                <c:pt idx="7">
                  <c:v>U8</c:v>
                </c:pt>
                <c:pt idx="8">
                  <c:v>U9</c:v>
                </c:pt>
                <c:pt idx="9">
                  <c:v>U10</c:v>
                </c:pt>
                <c:pt idx="10">
                  <c:v>U11</c:v>
                </c:pt>
                <c:pt idx="11">
                  <c:v>U12</c:v>
                </c:pt>
              </c:strCache>
            </c:strRef>
          </c:cat>
          <c:val>
            <c:numRef>
              <c:f>'Float trend'!$C$11:$N$11</c:f>
              <c:numCache>
                <c:formatCode>0;[Red]\-0</c:formatCode>
                <c:ptCount val="12"/>
                <c:pt idx="0">
                  <c:v>12</c:v>
                </c:pt>
                <c:pt idx="1">
                  <c:v>12</c:v>
                </c:pt>
                <c:pt idx="2">
                  <c:v>8</c:v>
                </c:pt>
                <c:pt idx="3">
                  <c:v>6</c:v>
                </c:pt>
                <c:pt idx="4">
                  <c:v>6</c:v>
                </c:pt>
                <c:pt idx="5">
                  <c:v>2</c:v>
                </c:pt>
              </c:numCache>
            </c:numRef>
          </c:val>
          <c:smooth val="0"/>
          <c:extLst>
            <c:ext xmlns:c16="http://schemas.microsoft.com/office/drawing/2014/chart" uri="{C3380CC4-5D6E-409C-BE32-E72D297353CC}">
              <c16:uniqueId val="{00000004-5C48-4996-81A4-D800CDB7F8F7}"/>
            </c:ext>
          </c:extLst>
        </c:ser>
        <c:ser>
          <c:idx val="5"/>
          <c:order val="5"/>
          <c:tx>
            <c:strRef>
              <c:f>'Float trend'!$B$12</c:f>
              <c:strCache>
                <c:ptCount val="1"/>
                <c:pt idx="0">
                  <c:v>Handover documents</c:v>
                </c:pt>
              </c:strCache>
            </c:strRef>
          </c:tx>
          <c:spPr>
            <a:ln w="22000">
              <a:solidFill>
                <a:srgbClr val="0070C0"/>
              </a:solidFill>
              <a:prstDash val="solid"/>
            </a:ln>
          </c:spPr>
          <c:marker>
            <c:symbol val="circle"/>
            <c:size val="5"/>
            <c:spPr>
              <a:solidFill>
                <a:srgbClr val="0070C0"/>
              </a:solidFill>
              <a:ln>
                <a:solidFill>
                  <a:srgbClr val="0070C0"/>
                </a:solidFill>
                <a:prstDash val="solid"/>
              </a:ln>
            </c:spPr>
          </c:marker>
          <c:cat>
            <c:strRef>
              <c:f>'Float trend'!$C$6:$N$6</c:f>
              <c:strCache>
                <c:ptCount val="12"/>
                <c:pt idx="0">
                  <c:v>U1</c:v>
                </c:pt>
                <c:pt idx="1">
                  <c:v>U2</c:v>
                </c:pt>
                <c:pt idx="2">
                  <c:v>U3</c:v>
                </c:pt>
                <c:pt idx="3">
                  <c:v>U4</c:v>
                </c:pt>
                <c:pt idx="4">
                  <c:v>U5</c:v>
                </c:pt>
                <c:pt idx="5">
                  <c:v>U6</c:v>
                </c:pt>
                <c:pt idx="6">
                  <c:v>U7</c:v>
                </c:pt>
                <c:pt idx="7">
                  <c:v>U8</c:v>
                </c:pt>
                <c:pt idx="8">
                  <c:v>U9</c:v>
                </c:pt>
                <c:pt idx="9">
                  <c:v>U10</c:v>
                </c:pt>
                <c:pt idx="10">
                  <c:v>U11</c:v>
                </c:pt>
                <c:pt idx="11">
                  <c:v>U12</c:v>
                </c:pt>
              </c:strCache>
            </c:strRef>
          </c:cat>
          <c:val>
            <c:numRef>
              <c:f>'Float trend'!$C$12:$N$12</c:f>
              <c:numCache>
                <c:formatCode>0;[Red]\-0</c:formatCode>
                <c:ptCount val="12"/>
                <c:pt idx="0">
                  <c:v>15</c:v>
                </c:pt>
                <c:pt idx="1">
                  <c:v>15</c:v>
                </c:pt>
                <c:pt idx="2">
                  <c:v>12</c:v>
                </c:pt>
                <c:pt idx="3">
                  <c:v>10</c:v>
                </c:pt>
                <c:pt idx="4">
                  <c:v>10</c:v>
                </c:pt>
                <c:pt idx="5">
                  <c:v>6</c:v>
                </c:pt>
              </c:numCache>
            </c:numRef>
          </c:val>
          <c:smooth val="0"/>
          <c:extLst>
            <c:ext xmlns:c16="http://schemas.microsoft.com/office/drawing/2014/chart" uri="{C3380CC4-5D6E-409C-BE32-E72D297353CC}">
              <c16:uniqueId val="{00000005-5C48-4996-81A4-D800CDB7F8F7}"/>
            </c:ext>
          </c:extLst>
        </c:ser>
        <c:ser>
          <c:idx val="6"/>
          <c:order val="6"/>
          <c:tx>
            <c:strRef>
              <c:f>'Float trend'!$B$13</c:f>
              <c:strCache>
                <c:ptCount val="1"/>
                <c:pt idx="0">
                  <c:v>Earthing and lightning protection</c:v>
                </c:pt>
              </c:strCache>
            </c:strRef>
          </c:tx>
          <c:spPr>
            <a:ln w="22000">
              <a:solidFill>
                <a:srgbClr val="7030A0"/>
              </a:solidFill>
              <a:prstDash val="solid"/>
            </a:ln>
          </c:spPr>
          <c:marker>
            <c:symbol val="circle"/>
            <c:size val="5"/>
            <c:spPr>
              <a:solidFill>
                <a:srgbClr val="7030A0"/>
              </a:solidFill>
              <a:ln>
                <a:solidFill>
                  <a:srgbClr val="7030A0"/>
                </a:solidFill>
                <a:prstDash val="solid"/>
              </a:ln>
            </c:spPr>
          </c:marker>
          <c:cat>
            <c:strRef>
              <c:f>'Float trend'!$C$6:$N$6</c:f>
              <c:strCache>
                <c:ptCount val="12"/>
                <c:pt idx="0">
                  <c:v>U1</c:v>
                </c:pt>
                <c:pt idx="1">
                  <c:v>U2</c:v>
                </c:pt>
                <c:pt idx="2">
                  <c:v>U3</c:v>
                </c:pt>
                <c:pt idx="3">
                  <c:v>U4</c:v>
                </c:pt>
                <c:pt idx="4">
                  <c:v>U5</c:v>
                </c:pt>
                <c:pt idx="5">
                  <c:v>U6</c:v>
                </c:pt>
                <c:pt idx="6">
                  <c:v>U7</c:v>
                </c:pt>
                <c:pt idx="7">
                  <c:v>U8</c:v>
                </c:pt>
                <c:pt idx="8">
                  <c:v>U9</c:v>
                </c:pt>
                <c:pt idx="9">
                  <c:v>U10</c:v>
                </c:pt>
                <c:pt idx="10">
                  <c:v>U11</c:v>
                </c:pt>
                <c:pt idx="11">
                  <c:v>U12</c:v>
                </c:pt>
              </c:strCache>
            </c:strRef>
          </c:cat>
          <c:val>
            <c:numRef>
              <c:f>'Float trend'!$C$13:$N$13</c:f>
              <c:numCache>
                <c:formatCode>0;[Red]\-0</c:formatCode>
                <c:ptCount val="12"/>
                <c:pt idx="0">
                  <c:v>25</c:v>
                </c:pt>
                <c:pt idx="1">
                  <c:v>25</c:v>
                </c:pt>
                <c:pt idx="2">
                  <c:v>22</c:v>
                </c:pt>
                <c:pt idx="3">
                  <c:v>20</c:v>
                </c:pt>
                <c:pt idx="4">
                  <c:v>18</c:v>
                </c:pt>
                <c:pt idx="5">
                  <c:v>16</c:v>
                </c:pt>
              </c:numCache>
            </c:numRef>
          </c:val>
          <c:smooth val="0"/>
          <c:extLst>
            <c:ext xmlns:c16="http://schemas.microsoft.com/office/drawing/2014/chart" uri="{C3380CC4-5D6E-409C-BE32-E72D297353CC}">
              <c16:uniqueId val="{00000006-5C48-4996-81A4-D800CDB7F8F7}"/>
            </c:ext>
          </c:extLst>
        </c:ser>
        <c:ser>
          <c:idx val="7"/>
          <c:order val="7"/>
          <c:tx>
            <c:strRef>
              <c:f>'Float trend'!$B$14</c:f>
              <c:strCache>
                <c:ptCount val="1"/>
                <c:pt idx="0">
                  <c:v>Drainage connection to the outfall</c:v>
                </c:pt>
              </c:strCache>
            </c:strRef>
          </c:tx>
          <c:spPr>
            <a:ln w="22000">
              <a:solidFill>
                <a:srgbClr val="FF66CC"/>
              </a:solidFill>
              <a:prstDash val="solid"/>
            </a:ln>
          </c:spPr>
          <c:marker>
            <c:symbol val="circle"/>
            <c:size val="5"/>
            <c:spPr>
              <a:solidFill>
                <a:srgbClr val="FF66CC"/>
              </a:solidFill>
              <a:ln>
                <a:solidFill>
                  <a:srgbClr val="FF66CC"/>
                </a:solidFill>
                <a:prstDash val="solid"/>
              </a:ln>
            </c:spPr>
          </c:marker>
          <c:cat>
            <c:strRef>
              <c:f>'Float trend'!$C$6:$N$6</c:f>
              <c:strCache>
                <c:ptCount val="12"/>
                <c:pt idx="0">
                  <c:v>U1</c:v>
                </c:pt>
                <c:pt idx="1">
                  <c:v>U2</c:v>
                </c:pt>
                <c:pt idx="2">
                  <c:v>U3</c:v>
                </c:pt>
                <c:pt idx="3">
                  <c:v>U4</c:v>
                </c:pt>
                <c:pt idx="4">
                  <c:v>U5</c:v>
                </c:pt>
                <c:pt idx="5">
                  <c:v>U6</c:v>
                </c:pt>
                <c:pt idx="6">
                  <c:v>U7</c:v>
                </c:pt>
                <c:pt idx="7">
                  <c:v>U8</c:v>
                </c:pt>
                <c:pt idx="8">
                  <c:v>U9</c:v>
                </c:pt>
                <c:pt idx="9">
                  <c:v>U10</c:v>
                </c:pt>
                <c:pt idx="10">
                  <c:v>U11</c:v>
                </c:pt>
                <c:pt idx="11">
                  <c:v>U12</c:v>
                </c:pt>
              </c:strCache>
            </c:strRef>
          </c:cat>
          <c:val>
            <c:numRef>
              <c:f>'Float trend'!$C$14:$N$14</c:f>
              <c:numCache>
                <c:formatCode>0;[Red]\-0</c:formatCode>
                <c:ptCount val="12"/>
                <c:pt idx="0">
                  <c:v>30</c:v>
                </c:pt>
                <c:pt idx="1">
                  <c:v>30</c:v>
                </c:pt>
                <c:pt idx="2">
                  <c:v>28</c:v>
                </c:pt>
                <c:pt idx="3">
                  <c:v>26</c:v>
                </c:pt>
                <c:pt idx="4">
                  <c:v>25</c:v>
                </c:pt>
                <c:pt idx="5">
                  <c:v>3</c:v>
                </c:pt>
              </c:numCache>
            </c:numRef>
          </c:val>
          <c:smooth val="0"/>
          <c:extLst>
            <c:ext xmlns:c16="http://schemas.microsoft.com/office/drawing/2014/chart" uri="{C3380CC4-5D6E-409C-BE32-E72D297353CC}">
              <c16:uniqueId val="{00000007-5C48-4996-81A4-D800CDB7F8F7}"/>
            </c:ext>
          </c:extLst>
        </c:ser>
        <c:ser>
          <c:idx val="8"/>
          <c:order val="8"/>
          <c:tx>
            <c:strRef>
              <c:f>'Float trend'!$B$15</c:f>
              <c:strCache>
                <c:ptCount val="1"/>
                <c:pt idx="0">
                  <c:v>Boundary fence and gates</c:v>
                </c:pt>
              </c:strCache>
            </c:strRef>
          </c:tx>
          <c:spPr>
            <a:ln w="22000">
              <a:solidFill>
                <a:srgbClr val="7F7F7F"/>
              </a:solidFill>
              <a:prstDash val="solid"/>
            </a:ln>
          </c:spPr>
          <c:marker>
            <c:symbol val="circle"/>
            <c:size val="5"/>
            <c:spPr>
              <a:solidFill>
                <a:srgbClr val="7F7F7F"/>
              </a:solidFill>
              <a:ln>
                <a:solidFill>
                  <a:srgbClr val="7F7F7F"/>
                </a:solidFill>
                <a:prstDash val="solid"/>
              </a:ln>
            </c:spPr>
          </c:marker>
          <c:cat>
            <c:strRef>
              <c:f>'Float trend'!$C$6:$N$6</c:f>
              <c:strCache>
                <c:ptCount val="12"/>
                <c:pt idx="0">
                  <c:v>U1</c:v>
                </c:pt>
                <c:pt idx="1">
                  <c:v>U2</c:v>
                </c:pt>
                <c:pt idx="2">
                  <c:v>U3</c:v>
                </c:pt>
                <c:pt idx="3">
                  <c:v>U4</c:v>
                </c:pt>
                <c:pt idx="4">
                  <c:v>U5</c:v>
                </c:pt>
                <c:pt idx="5">
                  <c:v>U6</c:v>
                </c:pt>
                <c:pt idx="6">
                  <c:v>U7</c:v>
                </c:pt>
                <c:pt idx="7">
                  <c:v>U8</c:v>
                </c:pt>
                <c:pt idx="8">
                  <c:v>U9</c:v>
                </c:pt>
                <c:pt idx="9">
                  <c:v>U10</c:v>
                </c:pt>
                <c:pt idx="10">
                  <c:v>U11</c:v>
                </c:pt>
                <c:pt idx="11">
                  <c:v>U12</c:v>
                </c:pt>
              </c:strCache>
            </c:strRef>
          </c:cat>
          <c:val>
            <c:numRef>
              <c:f>'Float trend'!$C$15:$N$15</c:f>
              <c:numCache>
                <c:formatCode>0;[Red]\-0</c:formatCode>
                <c:ptCount val="12"/>
                <c:pt idx="0">
                  <c:v>40</c:v>
                </c:pt>
                <c:pt idx="1">
                  <c:v>40</c:v>
                </c:pt>
                <c:pt idx="2">
                  <c:v>40</c:v>
                </c:pt>
                <c:pt idx="3">
                  <c:v>38</c:v>
                </c:pt>
                <c:pt idx="4">
                  <c:v>38</c:v>
                </c:pt>
                <c:pt idx="5">
                  <c:v>36</c:v>
                </c:pt>
              </c:numCache>
            </c:numRef>
          </c:val>
          <c:smooth val="0"/>
          <c:extLst>
            <c:ext xmlns:c16="http://schemas.microsoft.com/office/drawing/2014/chart" uri="{C3380CC4-5D6E-409C-BE32-E72D297353CC}">
              <c16:uniqueId val="{00000008-5C48-4996-81A4-D800CDB7F8F7}"/>
            </c:ext>
          </c:extLst>
        </c:ser>
        <c:ser>
          <c:idx val="9"/>
          <c:order val="9"/>
          <c:tx>
            <c:strRef>
              <c:f>'Float trend'!$B$16</c:f>
              <c:strCache>
                <c:ptCount val="1"/>
                <c:pt idx="0">
                  <c:v>Temporary compound removal</c:v>
                </c:pt>
              </c:strCache>
            </c:strRef>
          </c:tx>
          <c:spPr>
            <a:ln w="22000">
              <a:solidFill>
                <a:srgbClr val="00897B"/>
              </a:solidFill>
              <a:prstDash val="solid"/>
            </a:ln>
          </c:spPr>
          <c:marker>
            <c:symbol val="circle"/>
            <c:size val="5"/>
            <c:spPr>
              <a:solidFill>
                <a:srgbClr val="00897B"/>
              </a:solidFill>
              <a:ln>
                <a:solidFill>
                  <a:srgbClr val="00897B"/>
                </a:solidFill>
                <a:prstDash val="solid"/>
              </a:ln>
            </c:spPr>
          </c:marker>
          <c:cat>
            <c:strRef>
              <c:f>'Float trend'!$C$6:$N$6</c:f>
              <c:strCache>
                <c:ptCount val="12"/>
                <c:pt idx="0">
                  <c:v>U1</c:v>
                </c:pt>
                <c:pt idx="1">
                  <c:v>U2</c:v>
                </c:pt>
                <c:pt idx="2">
                  <c:v>U3</c:v>
                </c:pt>
                <c:pt idx="3">
                  <c:v>U4</c:v>
                </c:pt>
                <c:pt idx="4">
                  <c:v>U5</c:v>
                </c:pt>
                <c:pt idx="5">
                  <c:v>U6</c:v>
                </c:pt>
                <c:pt idx="6">
                  <c:v>U7</c:v>
                </c:pt>
                <c:pt idx="7">
                  <c:v>U8</c:v>
                </c:pt>
                <c:pt idx="8">
                  <c:v>U9</c:v>
                </c:pt>
                <c:pt idx="9">
                  <c:v>U10</c:v>
                </c:pt>
                <c:pt idx="10">
                  <c:v>U11</c:v>
                </c:pt>
                <c:pt idx="11">
                  <c:v>U12</c:v>
                </c:pt>
              </c:strCache>
            </c:strRef>
          </c:cat>
          <c:val>
            <c:numRef>
              <c:f>'Float trend'!$C$16:$N$16</c:f>
              <c:numCache>
                <c:formatCode>0;[Red]\-0</c:formatCode>
                <c:ptCount val="12"/>
                <c:pt idx="0">
                  <c:v>180</c:v>
                </c:pt>
                <c:pt idx="1">
                  <c:v>180</c:v>
                </c:pt>
                <c:pt idx="2">
                  <c:v>180</c:v>
                </c:pt>
                <c:pt idx="3">
                  <c:v>180</c:v>
                </c:pt>
                <c:pt idx="4">
                  <c:v>180</c:v>
                </c:pt>
                <c:pt idx="5">
                  <c:v>180</c:v>
                </c:pt>
              </c:numCache>
            </c:numRef>
          </c:val>
          <c:smooth val="0"/>
          <c:extLst>
            <c:ext xmlns:c16="http://schemas.microsoft.com/office/drawing/2014/chart" uri="{C3380CC4-5D6E-409C-BE32-E72D297353CC}">
              <c16:uniqueId val="{00000009-5C48-4996-81A4-D800CDB7F8F7}"/>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max val="60"/>
          <c:min val="-20"/>
        </c:scaling>
        <c:delete val="0"/>
        <c:axPos val="l"/>
        <c:majorGridlines/>
        <c:numFmt formatCode="0;[Red]\-0" sourceLinked="1"/>
        <c:majorTickMark val="none"/>
        <c:minorTickMark val="none"/>
        <c:tickLblPos val="nextTo"/>
        <c:crossAx val="10"/>
        <c:crosses val="autoZero"/>
        <c:crossBetween val="between"/>
        <c:majorUnit val="10"/>
      </c:valAx>
    </c:plotArea>
    <c:legend>
      <c:legendPos val="r"/>
      <c:overlay val="0"/>
      <c:txPr>
        <a:bodyPr/>
        <a:lstStyle/>
        <a:p>
          <a:pPr>
            <a:defRPr sz="800"/>
          </a:pPr>
          <a:endParaRPr lang="tr-TR"/>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tr-TR"/>
              <a:t>Days late against the contract, by update</a:t>
            </a:r>
          </a:p>
        </c:rich>
      </c:tx>
      <c:overlay val="0"/>
    </c:title>
    <c:autoTitleDeleted val="0"/>
    <c:plotArea>
      <c:layout/>
      <c:barChart>
        <c:barDir val="col"/>
        <c:grouping val="clustered"/>
        <c:varyColors val="1"/>
        <c:ser>
          <c:idx val="0"/>
          <c:order val="0"/>
          <c:tx>
            <c:strRef>
              <c:f>Updates!$F$6</c:f>
              <c:strCache>
                <c:ptCount val="1"/>
                <c:pt idx="0">
                  <c:v>Days late vs contract</c:v>
                </c:pt>
              </c:strCache>
            </c:strRef>
          </c:tx>
          <c:spPr>
            <a:solidFill>
              <a:srgbClr val="BE123C"/>
            </a:solidFill>
            <a:ln>
              <a:solidFill>
                <a:srgbClr val="BE123C"/>
              </a:solidFill>
              <a:prstDash val="solid"/>
            </a:ln>
          </c:spPr>
          <c:invertIfNegative val="1"/>
          <c:dLbls>
            <c:numFmt formatCode="\+0;[Red]\-0;;" sourceLinked="0"/>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numRef>
              <c:f>Updates!$A$7:$A$18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Updates!$F$7:$F$18</c:f>
              <c:numCache>
                <c:formatCode>\+0;[Red]\-0;0</c:formatCode>
                <c:ptCount val="12"/>
                <c:pt idx="0">
                  <c:v>0</c:v>
                </c:pt>
                <c:pt idx="1">
                  <c:v>0</c:v>
                </c:pt>
                <c:pt idx="2">
                  <c:v>14</c:v>
                </c:pt>
                <c:pt idx="3">
                  <c:v>19</c:v>
                </c:pt>
                <c:pt idx="4">
                  <c:v>21</c:v>
                </c:pt>
                <c:pt idx="5">
                  <c:v>42</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BE123C"/>
                    </a:solidFill>
                    <a:prstDash val="solid"/>
                  </a:ln>
                </c14:spPr>
              </c14:invertSolidFillFmt>
            </c:ext>
            <c:ext xmlns:c16="http://schemas.microsoft.com/office/drawing/2014/chart" uri="{C3380CC4-5D6E-409C-BE32-E72D297353CC}">
              <c16:uniqueId val="{00000000-2D6E-4E70-B8AB-74C96D0A4665}"/>
            </c:ext>
          </c:extLst>
        </c:ser>
        <c:dLbls>
          <c:showLegendKey val="0"/>
          <c:showVal val="1"/>
          <c:showCatName val="0"/>
          <c:showSerName val="0"/>
          <c:showPercent val="1"/>
          <c:showBubbleSize val="1"/>
        </c:dLbls>
        <c:gapWidth val="40"/>
        <c:axId val="10"/>
        <c:axId val="100"/>
      </c:barChart>
      <c:catAx>
        <c:axId val="10"/>
        <c:scaling>
          <c:orientation val="minMax"/>
        </c:scaling>
        <c:delete val="0"/>
        <c:axPos val="b"/>
        <c:numFmt formatCode="&quot;U&quot;0" sourceLinked="0"/>
        <c:majorTickMark val="none"/>
        <c:minorTickMark val="none"/>
        <c:tickLblPos val="nextTo"/>
        <c:crossAx val="100"/>
        <c:crosses val="autoZero"/>
        <c:auto val="1"/>
        <c:lblAlgn val="ctr"/>
        <c:lblOffset val="100"/>
        <c:noMultiLvlLbl val="1"/>
      </c:catAx>
      <c:valAx>
        <c:axId val="100"/>
        <c:scaling>
          <c:orientation val="minMax"/>
        </c:scaling>
        <c:delete val="0"/>
        <c:axPos val="l"/>
        <c:numFmt formatCode="\+0;[Red]\-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tr-TR"/>
              <a:t>Health check: this update and the last</a:t>
            </a:r>
          </a:p>
        </c:rich>
      </c:tx>
      <c:overlay val="0"/>
    </c:title>
    <c:autoTitleDeleted val="0"/>
    <c:plotArea>
      <c:layout/>
      <c:barChart>
        <c:barDir val="bar"/>
        <c:grouping val="clustered"/>
        <c:varyColors val="1"/>
        <c:ser>
          <c:idx val="0"/>
          <c:order val="0"/>
          <c:tx>
            <c:strRef>
              <c:f>'Health check'!$O$6</c:f>
              <c:strCache>
                <c:ptCount val="1"/>
                <c:pt idx="0">
                  <c:v>This update</c:v>
                </c:pt>
              </c:strCache>
            </c:strRef>
          </c:tx>
          <c:spPr>
            <a:solidFill>
              <a:srgbClr val="0F766E"/>
            </a:solidFill>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'Health check'!$A$7:$A$14</c:f>
              <c:strCache>
                <c:ptCount val="8"/>
                <c:pt idx="0">
                  <c:v>Open ends</c:v>
                </c:pt>
                <c:pt idx="1">
                  <c:v>Hard constraints without a written reason</c:v>
                </c:pt>
                <c:pt idx="2">
                  <c:v>Activities with negative float</c:v>
                </c:pt>
                <c:pt idx="3">
                  <c:v>Float above the Setup limit</c:v>
                </c:pt>
                <c:pt idx="4">
                  <c:v>Lags longer than the Setup limit</c:v>
                </c:pt>
                <c:pt idx="5">
                  <c:v>Out-of-sequence progress</c:v>
                </c:pt>
                <c:pt idx="6">
                  <c:v>Actual dates after the data date</c:v>
                </c:pt>
                <c:pt idx="7">
                  <c:v>Started activities with no remaining duration from site</c:v>
                </c:pt>
              </c:strCache>
            </c:strRef>
          </c:cat>
          <c:val>
            <c:numRef>
              <c:f>'Health check'!$O$7:$O$14</c:f>
              <c:numCache>
                <c:formatCode>0</c:formatCode>
                <c:ptCount val="8"/>
                <c:pt idx="0">
                  <c:v>2</c:v>
                </c:pt>
                <c:pt idx="1">
                  <c:v>1</c:v>
                </c:pt>
                <c:pt idx="2">
                  <c:v>2</c:v>
                </c:pt>
                <c:pt idx="3">
                  <c:v>1</c:v>
                </c:pt>
                <c:pt idx="4">
                  <c:v>3</c:v>
                </c:pt>
                <c:pt idx="5">
                  <c:v>3</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2270-4800-9F51-885D986DDF9A}"/>
            </c:ext>
          </c:extLst>
        </c:ser>
        <c:ser>
          <c:idx val="1"/>
          <c:order val="1"/>
          <c:tx>
            <c:strRef>
              <c:f>'Health check'!$P$6</c:f>
              <c:strCache>
                <c:ptCount val="1"/>
                <c:pt idx="0">
                  <c:v>Last update</c:v>
                </c:pt>
              </c:strCache>
            </c:strRef>
          </c:tx>
          <c:spPr>
            <a:solidFill>
              <a:srgbClr val="CBD5E1"/>
            </a:solidFill>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'Health check'!$A$7:$A$14</c:f>
              <c:strCache>
                <c:ptCount val="8"/>
                <c:pt idx="0">
                  <c:v>Open ends</c:v>
                </c:pt>
                <c:pt idx="1">
                  <c:v>Hard constraints without a written reason</c:v>
                </c:pt>
                <c:pt idx="2">
                  <c:v>Activities with negative float</c:v>
                </c:pt>
                <c:pt idx="3">
                  <c:v>Float above the Setup limit</c:v>
                </c:pt>
                <c:pt idx="4">
                  <c:v>Lags longer than the Setup limit</c:v>
                </c:pt>
                <c:pt idx="5">
                  <c:v>Out-of-sequence progress</c:v>
                </c:pt>
                <c:pt idx="6">
                  <c:v>Actual dates after the data date</c:v>
                </c:pt>
                <c:pt idx="7">
                  <c:v>Started activities with no remaining duration from site</c:v>
                </c:pt>
              </c:strCache>
            </c:strRef>
          </c:cat>
          <c:val>
            <c:numRef>
              <c:f>'Health check'!$P$7:$P$14</c:f>
              <c:numCache>
                <c:formatCode>0</c:formatCode>
                <c:ptCount val="8"/>
                <c:pt idx="0">
                  <c:v>2</c:v>
                </c:pt>
                <c:pt idx="1">
                  <c:v>2</c:v>
                </c:pt>
                <c:pt idx="2">
                  <c:v>0</c:v>
                </c:pt>
                <c:pt idx="3">
                  <c:v>1</c:v>
                </c:pt>
                <c:pt idx="4">
                  <c:v>3</c:v>
                </c:pt>
                <c:pt idx="5">
                  <c:v>4</c:v>
                </c:pt>
                <c:pt idx="6">
                  <c:v>0</c:v>
                </c:pt>
                <c:pt idx="7">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2270-4800-9F51-885D986DDF9A}"/>
            </c:ext>
          </c:extLst>
        </c:ser>
        <c:dLbls>
          <c:showLegendKey val="0"/>
          <c:showVal val="1"/>
          <c:showCatName val="0"/>
          <c:showSerName val="0"/>
          <c:showPercent val="1"/>
          <c:showBubbleSize val="1"/>
        </c:dLbls>
        <c:gapWidth val="4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5"/>
          <c:min val="0"/>
        </c:scaling>
        <c:delete val="0"/>
        <c:axPos val="t"/>
        <c:numFmt formatCode="0" sourceLinked="1"/>
        <c:majorTickMark val="none"/>
        <c:minorTickMark val="none"/>
        <c:tickLblPos val="nextTo"/>
        <c:crossAx val="10"/>
        <c:crosses val="autoZero"/>
        <c:crossBetween val="between"/>
        <c:majorUnit val="1"/>
      </c:valAx>
    </c:plotArea>
    <c:legend>
      <c:legendPos val="b"/>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44</xdr:row>
      <xdr:rowOff>0</xdr:rowOff>
    </xdr:from>
    <xdr:ext cx="6120000" cy="324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44</xdr:row>
      <xdr:rowOff>0</xdr:rowOff>
    </xdr:from>
    <xdr:ext cx="4140000" cy="324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64</xdr:row>
      <xdr:rowOff>0</xdr:rowOff>
    </xdr:from>
    <xdr:ext cx="10260000" cy="30600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heprojectcontrolhub.com/week-17.html" TargetMode="External"/><Relationship Id="rId1" Type="http://schemas.openxmlformats.org/officeDocument/2006/relationships/hyperlink" Target="https://theprojectcontrolhub.com/week-16.htm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theprojectcontrolhub.com/week-16.html" TargetMode="External"/><Relationship Id="rId13" Type="http://schemas.openxmlformats.org/officeDocument/2006/relationships/hyperlink" Target="https://theprojectcontrolhub.com/week-17.html" TargetMode="External"/><Relationship Id="rId18" Type="http://schemas.openxmlformats.org/officeDocument/2006/relationships/hyperlink" Target="https://theprojectcontrolhub.com/week-16.html" TargetMode="External"/><Relationship Id="rId26" Type="http://schemas.openxmlformats.org/officeDocument/2006/relationships/hyperlink" Target="https://theprojectcontrolhub.com/week-16.html" TargetMode="External"/><Relationship Id="rId3" Type="http://schemas.openxmlformats.org/officeDocument/2006/relationships/hyperlink" Target="https://theprojectcontrolhub.com/week-16.html" TargetMode="External"/><Relationship Id="rId21" Type="http://schemas.openxmlformats.org/officeDocument/2006/relationships/hyperlink" Target="https://theprojectcontrolhub.com/week-16.html" TargetMode="External"/><Relationship Id="rId7" Type="http://schemas.openxmlformats.org/officeDocument/2006/relationships/hyperlink" Target="https://theprojectcontrolhub.com/week-16.html" TargetMode="External"/><Relationship Id="rId12" Type="http://schemas.openxmlformats.org/officeDocument/2006/relationships/hyperlink" Target="https://theprojectcontrolhub.com/week-17.html" TargetMode="External"/><Relationship Id="rId17" Type="http://schemas.openxmlformats.org/officeDocument/2006/relationships/hyperlink" Target="https://theprojectcontrolhub.com/week-17.html" TargetMode="External"/><Relationship Id="rId25" Type="http://schemas.openxmlformats.org/officeDocument/2006/relationships/hyperlink" Target="https://theprojectcontrolhub.com/week-16.html" TargetMode="External"/><Relationship Id="rId2" Type="http://schemas.openxmlformats.org/officeDocument/2006/relationships/hyperlink" Target="https://theprojectcontrolhub.com/week-16.html" TargetMode="External"/><Relationship Id="rId16" Type="http://schemas.openxmlformats.org/officeDocument/2006/relationships/hyperlink" Target="https://theprojectcontrolhub.com/week-17.html" TargetMode="External"/><Relationship Id="rId20" Type="http://schemas.openxmlformats.org/officeDocument/2006/relationships/hyperlink" Target="https://theprojectcontrolhub.com/week-16.html" TargetMode="External"/><Relationship Id="rId29" Type="http://schemas.openxmlformats.org/officeDocument/2006/relationships/hyperlink" Target="https://theprojectcontrolhub.com/week-16.html" TargetMode="External"/><Relationship Id="rId1" Type="http://schemas.openxmlformats.org/officeDocument/2006/relationships/hyperlink" Target="https://theprojectcontrolhub.com/week-16.html" TargetMode="External"/><Relationship Id="rId6" Type="http://schemas.openxmlformats.org/officeDocument/2006/relationships/hyperlink" Target="https://theprojectcontrolhub.com/week-16.html" TargetMode="External"/><Relationship Id="rId11" Type="http://schemas.openxmlformats.org/officeDocument/2006/relationships/hyperlink" Target="https://theprojectcontrolhub.com/week-17.html" TargetMode="External"/><Relationship Id="rId24" Type="http://schemas.openxmlformats.org/officeDocument/2006/relationships/hyperlink" Target="https://theprojectcontrolhub.com/week-16.html" TargetMode="External"/><Relationship Id="rId5" Type="http://schemas.openxmlformats.org/officeDocument/2006/relationships/hyperlink" Target="https://theprojectcontrolhub.com/week-16.html" TargetMode="External"/><Relationship Id="rId15" Type="http://schemas.openxmlformats.org/officeDocument/2006/relationships/hyperlink" Target="https://theprojectcontrolhub.com/week-17.html" TargetMode="External"/><Relationship Id="rId23" Type="http://schemas.openxmlformats.org/officeDocument/2006/relationships/hyperlink" Target="https://theprojectcontrolhub.com/week-16.html" TargetMode="External"/><Relationship Id="rId28" Type="http://schemas.openxmlformats.org/officeDocument/2006/relationships/hyperlink" Target="https://theprojectcontrolhub.com/week-16.html" TargetMode="External"/><Relationship Id="rId10" Type="http://schemas.openxmlformats.org/officeDocument/2006/relationships/hyperlink" Target="https://theprojectcontrolhub.com/week-17.html" TargetMode="External"/><Relationship Id="rId19" Type="http://schemas.openxmlformats.org/officeDocument/2006/relationships/hyperlink" Target="https://theprojectcontrolhub.com/week-16.html" TargetMode="External"/><Relationship Id="rId4" Type="http://schemas.openxmlformats.org/officeDocument/2006/relationships/hyperlink" Target="https://theprojectcontrolhub.com/week-16.html" TargetMode="External"/><Relationship Id="rId9" Type="http://schemas.openxmlformats.org/officeDocument/2006/relationships/hyperlink" Target="https://theprojectcontrolhub.com/week-16.html" TargetMode="External"/><Relationship Id="rId14" Type="http://schemas.openxmlformats.org/officeDocument/2006/relationships/hyperlink" Target="https://theprojectcontrolhub.com/week-17.html" TargetMode="External"/><Relationship Id="rId22" Type="http://schemas.openxmlformats.org/officeDocument/2006/relationships/hyperlink" Target="https://theprojectcontrolhub.com/week-16.html" TargetMode="External"/><Relationship Id="rId27" Type="http://schemas.openxmlformats.org/officeDocument/2006/relationships/hyperlink" Target="https://theprojectcontrolhub.com/week-16.html" TargetMode="External"/><Relationship Id="rId30"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B8A6"/>
    <pageSetUpPr fitToPage="1"/>
  </sheetPr>
  <dimension ref="A1:F48"/>
  <sheetViews>
    <sheetView showGridLines="0" view="pageBreakPreview" zoomScale="60" zoomScaleNormal="100" workbookViewId="0"/>
  </sheetViews>
  <sheetFormatPr defaultRowHeight="14.4" x14ac:dyDescent="0.3"/>
  <cols>
    <col min="1" max="1" width="3" style="2" customWidth="1"/>
    <col min="2" max="2" width="7" style="2" customWidth="1"/>
    <col min="3" max="3" width="30" style="2" customWidth="1"/>
    <col min="4" max="4" width="74" style="2" customWidth="1"/>
    <col min="5" max="5" width="16" style="2" customWidth="1"/>
    <col min="6" max="6" width="3" style="2" customWidth="1"/>
    <col min="7" max="16384" width="8.88671875" style="2"/>
  </cols>
  <sheetData>
    <row r="1" spans="1:6" ht="12" customHeight="1" x14ac:dyDescent="0.3">
      <c r="A1" s="1"/>
      <c r="B1" s="1"/>
      <c r="C1" s="1"/>
      <c r="D1" s="1"/>
      <c r="E1" s="1"/>
      <c r="F1" s="1"/>
    </row>
    <row r="2" spans="1:6" ht="36" customHeight="1" x14ac:dyDescent="0.5">
      <c r="A2" s="1"/>
      <c r="B2" s="3" t="s">
        <v>0</v>
      </c>
      <c r="C2" s="1"/>
      <c r="D2" s="1"/>
      <c r="E2" s="1"/>
      <c r="F2" s="1"/>
    </row>
    <row r="3" spans="1:6" x14ac:dyDescent="0.3">
      <c r="A3" s="1"/>
      <c r="B3" s="4" t="s">
        <v>1</v>
      </c>
      <c r="C3" s="1"/>
      <c r="D3" s="1"/>
      <c r="E3" s="1"/>
      <c r="F3" s="1"/>
    </row>
    <row r="4" spans="1:6" x14ac:dyDescent="0.3">
      <c r="A4" s="1"/>
      <c r="B4" s="25" t="s">
        <v>2</v>
      </c>
      <c r="C4" s="1"/>
      <c r="D4" s="1"/>
      <c r="E4" s="1"/>
      <c r="F4" s="1"/>
    </row>
    <row r="5" spans="1:6" ht="10.050000000000001" customHeight="1" x14ac:dyDescent="0.3">
      <c r="A5" s="1"/>
      <c r="B5" s="1"/>
      <c r="C5" s="1"/>
      <c r="D5" s="1"/>
      <c r="E5" s="1"/>
      <c r="F5" s="1"/>
    </row>
    <row r="7" spans="1:6" x14ac:dyDescent="0.3">
      <c r="B7" s="5" t="s">
        <v>3</v>
      </c>
    </row>
    <row r="8" spans="1:6" ht="34.049999999999997" customHeight="1" x14ac:dyDescent="0.3">
      <c r="B8" s="6">
        <v>1</v>
      </c>
      <c r="C8" s="7" t="s">
        <v>4</v>
      </c>
      <c r="D8" s="8" t="s">
        <v>5</v>
      </c>
      <c r="E8" s="9" t="s">
        <v>6</v>
      </c>
    </row>
    <row r="9" spans="1:6" ht="34.049999999999997" customHeight="1" x14ac:dyDescent="0.3">
      <c r="B9" s="10">
        <v>2</v>
      </c>
      <c r="C9" s="7" t="s">
        <v>7</v>
      </c>
      <c r="D9" s="8" t="s">
        <v>8</v>
      </c>
      <c r="E9" s="9" t="s">
        <v>9</v>
      </c>
    </row>
    <row r="10" spans="1:6" ht="34.049999999999997" customHeight="1" x14ac:dyDescent="0.3">
      <c r="B10" s="10">
        <v>3</v>
      </c>
      <c r="C10" s="7" t="s">
        <v>10</v>
      </c>
      <c r="D10" s="8" t="s">
        <v>11</v>
      </c>
      <c r="E10" s="9" t="s">
        <v>12</v>
      </c>
    </row>
    <row r="11" spans="1:6" ht="34.049999999999997" customHeight="1" x14ac:dyDescent="0.3">
      <c r="B11" s="10">
        <v>4</v>
      </c>
      <c r="C11" s="7" t="s">
        <v>13</v>
      </c>
      <c r="D11" s="8" t="s">
        <v>14</v>
      </c>
      <c r="E11" s="9" t="s">
        <v>15</v>
      </c>
    </row>
    <row r="12" spans="1:6" ht="34.049999999999997" customHeight="1" x14ac:dyDescent="0.3">
      <c r="B12" s="11">
        <v>5</v>
      </c>
      <c r="C12" s="7" t="s">
        <v>16</v>
      </c>
      <c r="D12" s="8" t="s">
        <v>17</v>
      </c>
      <c r="E12" s="9" t="s">
        <v>12</v>
      </c>
    </row>
    <row r="13" spans="1:6" ht="34.049999999999997" customHeight="1" x14ac:dyDescent="0.3">
      <c r="B13" s="12">
        <v>6</v>
      </c>
      <c r="C13" s="7" t="s">
        <v>18</v>
      </c>
      <c r="D13" s="8" t="s">
        <v>19</v>
      </c>
      <c r="E13" s="9" t="s">
        <v>12</v>
      </c>
    </row>
    <row r="15" spans="1:6" x14ac:dyDescent="0.3">
      <c r="B15" s="5" t="s">
        <v>20</v>
      </c>
    </row>
    <row r="16" spans="1:6" ht="28.05" customHeight="1" x14ac:dyDescent="0.3">
      <c r="C16" s="13" t="s">
        <v>21</v>
      </c>
      <c r="D16" s="14" t="s">
        <v>22</v>
      </c>
    </row>
    <row r="17" spans="2:4" ht="28.05" customHeight="1" x14ac:dyDescent="0.3">
      <c r="C17" s="15" t="s">
        <v>23</v>
      </c>
      <c r="D17" s="14" t="s">
        <v>24</v>
      </c>
    </row>
    <row r="19" spans="2:4" x14ac:dyDescent="0.3">
      <c r="B19" s="5" t="s">
        <v>25</v>
      </c>
    </row>
    <row r="20" spans="2:4" ht="28.05" customHeight="1" x14ac:dyDescent="0.3">
      <c r="C20" s="16" t="s">
        <v>26</v>
      </c>
      <c r="D20" s="14" t="s">
        <v>27</v>
      </c>
    </row>
    <row r="21" spans="2:4" ht="28.05" customHeight="1" x14ac:dyDescent="0.3">
      <c r="C21" s="16" t="s">
        <v>28</v>
      </c>
      <c r="D21" s="14" t="s">
        <v>29</v>
      </c>
    </row>
    <row r="22" spans="2:4" ht="28.05" customHeight="1" x14ac:dyDescent="0.3">
      <c r="C22" s="16" t="s">
        <v>30</v>
      </c>
      <c r="D22" s="14" t="s">
        <v>31</v>
      </c>
    </row>
    <row r="24" spans="2:4" x14ac:dyDescent="0.3">
      <c r="B24" s="5" t="s">
        <v>32</v>
      </c>
    </row>
    <row r="25" spans="2:4" x14ac:dyDescent="0.3">
      <c r="C25" s="17" t="s">
        <v>33</v>
      </c>
      <c r="D25" s="18" t="s">
        <v>34</v>
      </c>
    </row>
    <row r="26" spans="2:4" x14ac:dyDescent="0.3">
      <c r="C26" s="19" t="s">
        <v>35</v>
      </c>
      <c r="D26" s="18" t="s">
        <v>36</v>
      </c>
    </row>
    <row r="27" spans="2:4" x14ac:dyDescent="0.3">
      <c r="C27" s="13" t="s">
        <v>37</v>
      </c>
      <c r="D27" s="18" t="s">
        <v>38</v>
      </c>
    </row>
    <row r="29" spans="2:4" x14ac:dyDescent="0.3">
      <c r="B29" s="5" t="s">
        <v>39</v>
      </c>
    </row>
    <row r="30" spans="2:4" x14ac:dyDescent="0.3">
      <c r="C30" s="20" t="s">
        <v>40</v>
      </c>
      <c r="D30" s="18" t="s">
        <v>41</v>
      </c>
    </row>
    <row r="31" spans="2:4" x14ac:dyDescent="0.3">
      <c r="C31" s="20" t="s">
        <v>42</v>
      </c>
      <c r="D31" s="18" t="s">
        <v>43</v>
      </c>
    </row>
    <row r="32" spans="2:4" x14ac:dyDescent="0.3">
      <c r="C32" s="20" t="s">
        <v>44</v>
      </c>
      <c r="D32" s="18" t="s">
        <v>45</v>
      </c>
    </row>
    <row r="33" spans="2:5" x14ac:dyDescent="0.3">
      <c r="C33" s="20" t="s">
        <v>46</v>
      </c>
      <c r="D33" s="18" t="s">
        <v>47</v>
      </c>
    </row>
    <row r="34" spans="2:5" x14ac:dyDescent="0.3">
      <c r="C34" s="20" t="s">
        <v>48</v>
      </c>
      <c r="D34" s="18" t="s">
        <v>49</v>
      </c>
    </row>
    <row r="35" spans="2:5" x14ac:dyDescent="0.3">
      <c r="C35" s="20" t="s">
        <v>50</v>
      </c>
      <c r="D35" s="18" t="s">
        <v>51</v>
      </c>
    </row>
    <row r="36" spans="2:5" x14ac:dyDescent="0.3">
      <c r="C36" s="20" t="s">
        <v>52</v>
      </c>
      <c r="D36" s="18" t="s">
        <v>53</v>
      </c>
    </row>
    <row r="37" spans="2:5" x14ac:dyDescent="0.3">
      <c r="C37" s="20" t="s">
        <v>54</v>
      </c>
      <c r="D37" s="18" t="s">
        <v>55</v>
      </c>
    </row>
    <row r="39" spans="2:5" x14ac:dyDescent="0.3">
      <c r="B39" s="5" t="s">
        <v>56</v>
      </c>
    </row>
    <row r="40" spans="2:5" x14ac:dyDescent="0.3">
      <c r="C40" s="21" t="s">
        <v>57</v>
      </c>
    </row>
    <row r="41" spans="2:5" x14ac:dyDescent="0.3">
      <c r="C41" s="21" t="s">
        <v>58</v>
      </c>
    </row>
    <row r="43" spans="2:5" ht="25.95" customHeight="1" x14ac:dyDescent="0.3">
      <c r="B43" s="22" t="s">
        <v>59</v>
      </c>
      <c r="C43" s="23"/>
      <c r="D43" s="23"/>
      <c r="E43" s="23"/>
    </row>
    <row r="44" spans="2:5" x14ac:dyDescent="0.3">
      <c r="B44" s="23"/>
      <c r="C44" s="23"/>
      <c r="D44" s="23"/>
      <c r="E44" s="23"/>
    </row>
    <row r="45" spans="2:5" x14ac:dyDescent="0.3">
      <c r="B45" s="23"/>
      <c r="C45" s="23"/>
      <c r="D45" s="23"/>
      <c r="E45" s="23"/>
    </row>
    <row r="46" spans="2:5" x14ac:dyDescent="0.3">
      <c r="B46" s="23"/>
      <c r="C46" s="23"/>
      <c r="D46" s="23"/>
      <c r="E46" s="23"/>
    </row>
    <row r="48" spans="2:5" x14ac:dyDescent="0.3">
      <c r="B48" s="24" t="s">
        <v>60</v>
      </c>
    </row>
  </sheetData>
  <sheetProtection sheet="1" formatCells="0" formatColumns="0" formatRows="0" insertColumns="0" insertRows="0" insertHyperlinks="0" deleteColumns="0" deleteRows="0" sort="0" autoFilter="0" pivotTables="0"/>
  <mergeCells count="1">
    <mergeCell ref="B43:E46"/>
  </mergeCells>
  <hyperlinks>
    <hyperlink ref="C8" location="'Updates'!A1" display="Updates  →" xr:uid="{00000000-0004-0000-0000-000000000000}"/>
    <hyperlink ref="C9" location="'Remaining days'!A1" display="Remaining days  →" xr:uid="{00000000-0004-0000-0000-000001000000}"/>
    <hyperlink ref="C10" location="'Health check'!A1" display="Health check  →" xr:uid="{00000000-0004-0000-0000-000002000000}"/>
    <hyperlink ref="C11" location="'Float trend'!A1" display="Float trend  →" xr:uid="{00000000-0004-0000-0000-000003000000}"/>
    <hyperlink ref="C12" location="'Actions'!A1" display="Actions  →" xr:uid="{00000000-0004-0000-0000-000004000000}"/>
    <hyperlink ref="C13" location="'Checklist'!A1" display="Checklist  →" xr:uid="{00000000-0004-0000-0000-000005000000}"/>
    <hyperlink ref="C30" location="'Dashboard'!A1" display="Dashboard" xr:uid="{00000000-0004-0000-0000-000006000000}"/>
    <hyperlink ref="C31" location="'Checklist'!A1" display="Checklist" xr:uid="{00000000-0004-0000-0000-000007000000}"/>
    <hyperlink ref="C32" location="'Health check'!A1" display="Health check" xr:uid="{00000000-0004-0000-0000-000008000000}"/>
    <hyperlink ref="C33" location="'Float trend'!A1" display="Float trend" xr:uid="{00000000-0004-0000-0000-000009000000}"/>
    <hyperlink ref="C34" location="'Remaining days'!A1" display="Remaining days" xr:uid="{00000000-0004-0000-0000-00000A000000}"/>
    <hyperlink ref="C35" location="'Actions'!A1" display="Actions" xr:uid="{00000000-0004-0000-0000-00000B000000}"/>
    <hyperlink ref="C36" location="'Updates'!A1" display="Updates" xr:uid="{00000000-0004-0000-0000-00000C000000}"/>
    <hyperlink ref="C37" location="'Setup'!A1" display="Setup" xr:uid="{00000000-0004-0000-0000-00000D000000}"/>
    <hyperlink ref="C40" r:id="rId1" xr:uid="{00000000-0004-0000-0000-00000E000000}"/>
    <hyperlink ref="C41" r:id="rId2" xr:uid="{00000000-0004-0000-0000-00000F000000}"/>
  </hyperlinks>
  <printOptions horizontalCentered="1"/>
  <pageMargins left="0.4" right="0.4" top="0.5" bottom="0.5" header="0.5" footer="0.5"/>
  <pageSetup paperSize="9" scale="72"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F766E"/>
    <pageSetUpPr fitToPage="1"/>
  </sheetPr>
  <dimension ref="A1:P83"/>
  <sheetViews>
    <sheetView showGridLines="0" tabSelected="1" view="pageBreakPreview" zoomScaleNormal="100" zoomScaleSheetLayoutView="100" workbookViewId="0">
      <pane ySplit="3" topLeftCell="A4" activePane="bottomLeft" state="frozen"/>
      <selection pane="bottomLeft" activeCell="L2" sqref="L2:O2"/>
    </sheetView>
  </sheetViews>
  <sheetFormatPr defaultRowHeight="14.4" x14ac:dyDescent="0.3"/>
  <cols>
    <col min="1" max="1" width="2" style="2" customWidth="1"/>
    <col min="2" max="15" width="11.44140625" style="2" customWidth="1"/>
    <col min="16" max="16" width="2" style="2" customWidth="1"/>
    <col min="17" max="16384" width="8.88671875" style="2"/>
  </cols>
  <sheetData>
    <row r="1" spans="1:16" ht="10.050000000000001" customHeight="1" x14ac:dyDescent="0.3">
      <c r="A1" s="1"/>
      <c r="B1" s="1"/>
      <c r="C1" s="1"/>
      <c r="D1" s="1"/>
      <c r="E1" s="1"/>
      <c r="F1" s="1"/>
      <c r="G1" s="1"/>
      <c r="H1" s="1"/>
      <c r="I1" s="1"/>
      <c r="J1" s="1"/>
      <c r="K1" s="1"/>
      <c r="L1" s="1"/>
      <c r="M1" s="1"/>
      <c r="N1" s="1"/>
      <c r="O1" s="1"/>
      <c r="P1" s="1"/>
    </row>
    <row r="2" spans="1:16" ht="31.95" customHeight="1" x14ac:dyDescent="0.4">
      <c r="A2" s="1"/>
      <c r="B2" s="26" t="s">
        <v>61</v>
      </c>
      <c r="C2" s="1"/>
      <c r="D2" s="1"/>
      <c r="E2" s="1"/>
      <c r="F2" s="1"/>
      <c r="G2" s="1"/>
      <c r="H2" s="1"/>
      <c r="I2" s="1"/>
      <c r="J2" s="1"/>
      <c r="K2" s="1"/>
      <c r="L2" s="57" t="s">
        <v>62</v>
      </c>
      <c r="M2" s="23"/>
      <c r="N2" s="23"/>
      <c r="O2" s="23"/>
      <c r="P2" s="1"/>
    </row>
    <row r="3" spans="1:16" ht="22.05" customHeight="1" x14ac:dyDescent="0.3">
      <c r="A3" s="1"/>
      <c r="B3" s="27" t="str">
        <f>IF(Setup!B6="","",Setup!B6&amp;"   ·   ")&amp;"update "&amp;Setup!$B$7&amp;IF(Setup!$B$8="","","   ·   data date "&amp;TEXT(Setup!$B$8,"d mmm yyyy"))&amp;"   ·   "&amp;IFERROR(INDEX(Updates!$D$7:$D$18,Setup!$B$7),"")</f>
        <v>Example project   ·   update 6   ·   data date 30 Jun 2026   ·   Retained logic</v>
      </c>
      <c r="C3" s="1"/>
      <c r="D3" s="1"/>
      <c r="E3" s="1"/>
      <c r="F3" s="1"/>
      <c r="G3" s="1"/>
      <c r="H3" s="1"/>
      <c r="I3" s="1"/>
      <c r="J3" s="1"/>
      <c r="K3" s="1"/>
      <c r="L3" s="1"/>
      <c r="M3" s="1"/>
      <c r="N3" s="1"/>
      <c r="O3" s="1"/>
      <c r="P3" s="1"/>
    </row>
    <row r="5" spans="1:16" ht="19.95" customHeight="1" x14ac:dyDescent="0.3">
      <c r="B5" s="105" t="str">
        <f>Checklist!A5</f>
        <v>NOT READY TO ISSUE  ·  1 must-do item(s) still open</v>
      </c>
      <c r="C5" s="106"/>
      <c r="D5" s="106"/>
      <c r="E5" s="106"/>
      <c r="F5" s="106"/>
      <c r="G5" s="106"/>
      <c r="H5" s="106"/>
      <c r="I5" s="106"/>
      <c r="J5" s="106"/>
      <c r="K5" s="106"/>
      <c r="L5" s="106"/>
      <c r="M5" s="106"/>
      <c r="N5" s="106"/>
      <c r="O5" s="106"/>
    </row>
    <row r="6" spans="1:16" ht="19.95" customHeight="1" x14ac:dyDescent="0.3">
      <c r="B6" s="106"/>
      <c r="C6" s="106"/>
      <c r="D6" s="106"/>
      <c r="E6" s="106"/>
      <c r="F6" s="106"/>
      <c r="G6" s="106"/>
      <c r="H6" s="106"/>
      <c r="I6" s="106"/>
      <c r="J6" s="106"/>
      <c r="K6" s="106"/>
      <c r="L6" s="106"/>
      <c r="M6" s="106"/>
      <c r="N6" s="106"/>
      <c r="O6" s="106"/>
    </row>
    <row r="8" spans="1:16" ht="22.05" customHeight="1" x14ac:dyDescent="0.3">
      <c r="B8" s="28" t="s">
        <v>63</v>
      </c>
      <c r="C8" s="23"/>
      <c r="D8" s="29" t="s">
        <v>64</v>
      </c>
      <c r="E8" s="23"/>
      <c r="F8" s="30" t="s">
        <v>65</v>
      </c>
      <c r="G8" s="23"/>
      <c r="H8" s="31" t="s">
        <v>66</v>
      </c>
      <c r="I8" s="23"/>
      <c r="J8" s="31" t="s">
        <v>67</v>
      </c>
      <c r="K8" s="23"/>
      <c r="L8" s="29" t="s">
        <v>68</v>
      </c>
      <c r="M8" s="23"/>
      <c r="N8" s="28" t="s">
        <v>69</v>
      </c>
      <c r="O8" s="23"/>
    </row>
    <row r="9" spans="1:16" ht="22.05" customHeight="1" x14ac:dyDescent="0.3">
      <c r="B9" s="32">
        <f>COUNTIF(Checklist!$F$8:$F$42,"Done")+COUNTIF(Checklist!$F$8:$F$42,"Fixed")+COUNTIF(Checklist!$F$8:$F$42,"N/A")</f>
        <v>23</v>
      </c>
      <c r="C9" s="23"/>
      <c r="D9" s="33">
        <f>IFERROR(COUNTIF('Health check'!$S$7:$S$14,"*found*"),0)</f>
        <v>6</v>
      </c>
      <c r="E9" s="23"/>
      <c r="F9" s="34">
        <f>IFERROR(IF(INDEX(Updates!$E$7:$E$18,Setup!$B$7)="","",INDEX(Updates!$E$7:$E$18,Setup!$B$7)),"")</f>
        <v>46269</v>
      </c>
      <c r="G9" s="23"/>
      <c r="H9" s="35">
        <f>IFERROR(IF(INDEX(Updates!$F$7:$F$18,Setup!$B$7)="","",INDEX(Updates!$F$7:$F$18,Setup!$B$7)),"")</f>
        <v>42</v>
      </c>
      <c r="I9" s="23"/>
      <c r="J9" s="36">
        <f>COUNTIF('Float trend'!$P$7:$P$26,"&lt;0")</f>
        <v>2</v>
      </c>
      <c r="K9" s="23"/>
      <c r="L9" s="33">
        <f>COUNTIFS(Actions!$A$7:$A$36,"&lt;&gt;",Actions!$D$7:$D$36,"",Actions!$F$7:$F$36,"&lt;&gt;Done")</f>
        <v>2</v>
      </c>
      <c r="M9" s="23"/>
      <c r="N9" s="32">
        <f>COUNTIF('Remaining days'!$M$7:$M$46,"?*")</f>
        <v>7</v>
      </c>
      <c r="O9" s="23"/>
    </row>
    <row r="10" spans="1:16" ht="22.05" customHeight="1" x14ac:dyDescent="0.3">
      <c r="B10" s="23"/>
      <c r="C10" s="23"/>
      <c r="D10" s="23"/>
      <c r="E10" s="23"/>
      <c r="F10" s="23"/>
      <c r="G10" s="23"/>
      <c r="H10" s="23"/>
      <c r="I10" s="23"/>
      <c r="J10" s="23"/>
      <c r="K10" s="23"/>
      <c r="L10" s="23"/>
      <c r="M10" s="23"/>
      <c r="N10" s="23"/>
      <c r="O10" s="23"/>
    </row>
    <row r="11" spans="1:16" ht="24" customHeight="1" x14ac:dyDescent="0.3">
      <c r="B11" s="37" t="str">
        <f>"of "&amp;COUNTA(Checklist!$B$8:$B$42)&amp;" lines · "&amp;COUNT(Checklist!$J$8:$J$42)&amp;" open"</f>
        <v>of 29 lines · 6 open</v>
      </c>
      <c r="C11" s="23"/>
      <c r="D11" s="38" t="str">
        <f>"of "&amp;ROWS('Health check'!$O$7:$O$14)&amp;" · "&amp;IFERROR(SUM('Health check'!$O$7:$O$14),0)&amp;" items found"</f>
        <v>of 8 · 12 items found</v>
      </c>
      <c r="E11" s="23"/>
      <c r="F11" s="39" t="str">
        <f>IFERROR(IF(INDEX(Updates!$G$7:$G$18,Setup!$B$7)="","",TEXT(INDEX(Updates!$G$7:$G$18,Setup!$B$7),"+0;-0;0")&amp;" days since last update"),"")</f>
        <v>+21 days since last update</v>
      </c>
      <c r="G11" s="23"/>
      <c r="H11" s="40" t="str">
        <f>IF(Setup!B9="","set the contract date in Setup","days after "&amp;TEXT(Setup!B9,"d mmm yyyy"))</f>
        <v>days after 24 Jul 2026</v>
      </c>
      <c r="I11" s="23"/>
      <c r="J11" s="40" t="str">
        <f>"activities with negative float · "&amp;COUNTIF('Float trend'!$U$7:$U$26,"Runs out*")&amp;" running out"</f>
        <v>activities with negative float · 4 running out</v>
      </c>
      <c r="K11" s="23"/>
      <c r="L11" s="38" t="str">
        <f>COUNTIF(Actions!$I$7:$I$36,"Overdue*")&amp;" action(s) overdue"</f>
        <v>0 action(s) overdue</v>
      </c>
      <c r="M11" s="23"/>
      <c r="N11" s="37" t="str">
        <f>"of "&amp;COUNTA('Remaining days'!$B$7:$B$46)&amp;" started activities"</f>
        <v>of 12 started activities</v>
      </c>
      <c r="O11" s="23"/>
    </row>
    <row r="12" spans="1:16" x14ac:dyDescent="0.3">
      <c r="B12" s="41"/>
      <c r="C12" s="41"/>
      <c r="D12" s="42"/>
      <c r="E12" s="42"/>
      <c r="F12" s="43"/>
      <c r="G12" s="43"/>
      <c r="H12" s="44"/>
      <c r="I12" s="44"/>
      <c r="J12" s="44"/>
      <c r="K12" s="44"/>
      <c r="L12" s="42"/>
      <c r="M12" s="42"/>
      <c r="N12" s="41"/>
      <c r="O12" s="41"/>
    </row>
    <row r="14" spans="1:16" ht="22.05" customHeight="1" x14ac:dyDescent="0.3">
      <c r="B14" s="45" t="str">
        <f>IF(Setup!$B$8="","Add this update’s line in Updates and set its number in Setup.","The finish is forecast for "&amp;IFERROR(TEXT(F9,"d mmmm yyyy"),"—")&amp;IF(H9="","",", "&amp;H9&amp;" days against the contract")&amp;". "&amp;J9&amp;" activit"&amp;IF(J9=1,"y is","ies are")&amp;" already late and "&amp;COUNTIF('Float trend'!$U$7:$U$26,"Runs out*")&amp;" will run out of float within "&amp;Setup!$B$14&amp;" updates. The health check found "&amp;IFERROR(SUM('Health check'!$O$7:$O$14),0)&amp;" items. "&amp;IF(L9&gt;0,L9&amp;" slipping path(s) still have no owner.","Every slipping path has an owner."))</f>
        <v>The finish is forecast for 4 September 2026, 42 days against the contract. 2 activities are already late and 4 will run out of float within 3 updates. The health check found 12 items. 2 slipping path(s) still have no owner.</v>
      </c>
      <c r="C14" s="46"/>
      <c r="D14" s="46"/>
      <c r="E14" s="46"/>
      <c r="F14" s="46"/>
      <c r="G14" s="46"/>
      <c r="H14" s="46"/>
      <c r="I14" s="46"/>
      <c r="J14" s="46"/>
      <c r="K14" s="46"/>
      <c r="L14" s="46"/>
      <c r="M14" s="46"/>
      <c r="N14" s="46"/>
      <c r="O14" s="46"/>
    </row>
    <row r="15" spans="1:16" ht="22.05" customHeight="1" x14ac:dyDescent="0.3">
      <c r="B15" s="46"/>
      <c r="C15" s="46"/>
      <c r="D15" s="46"/>
      <c r="E15" s="46"/>
      <c r="F15" s="46"/>
      <c r="G15" s="46"/>
      <c r="H15" s="46"/>
      <c r="I15" s="46"/>
      <c r="J15" s="46"/>
      <c r="K15" s="46"/>
      <c r="L15" s="46"/>
      <c r="M15" s="46"/>
      <c r="N15" s="46"/>
      <c r="O15" s="46"/>
    </row>
    <row r="17" spans="2:15" x14ac:dyDescent="0.3">
      <c r="B17" s="47" t="s">
        <v>70</v>
      </c>
    </row>
    <row r="18" spans="2:15" x14ac:dyDescent="0.3">
      <c r="B18" s="48" t="s">
        <v>71</v>
      </c>
      <c r="C18" s="49" t="s">
        <v>72</v>
      </c>
      <c r="D18" s="23"/>
      <c r="E18" s="23"/>
      <c r="F18" s="23"/>
      <c r="G18" s="23"/>
      <c r="H18" s="48" t="s">
        <v>73</v>
      </c>
      <c r="I18" s="48" t="s">
        <v>74</v>
      </c>
      <c r="J18" s="49" t="s">
        <v>75</v>
      </c>
      <c r="K18" s="23"/>
      <c r="L18" s="49" t="s">
        <v>76</v>
      </c>
      <c r="M18" s="23"/>
      <c r="N18" s="23"/>
      <c r="O18" s="23"/>
    </row>
    <row r="19" spans="2:15" ht="27" customHeight="1" x14ac:dyDescent="0.3">
      <c r="B19" s="50" t="str">
        <f>IFERROR(INDEX(Checklist!$A$8:$A$42,MATCH(SMALL(Checklist!$J$8:$J$42,1),Checklist!$J$8:$J$42,0))&amp;"","")</f>
        <v>6.1</v>
      </c>
      <c r="C19" s="51" t="str">
        <f>IFERROR(INDEX(Checklist!$B$8:$B$42,MATCH(SMALL(Checklist!$J$8:$J$42,1),Checklist!$J$8:$J$42,0))&amp;"","")</f>
        <v>Every slipping path has an action, a person and a date</v>
      </c>
      <c r="D19" s="52"/>
      <c r="E19" s="52"/>
      <c r="F19" s="52"/>
      <c r="G19" s="52"/>
      <c r="H19" s="50" t="str">
        <f>IFERROR(INDEX(Checklist!$D$8:$D$42,MATCH(SMALL(Checklist!$J$8:$J$42,1),Checklist!$J$8:$J$42,0))&amp;"","")</f>
        <v>Must</v>
      </c>
      <c r="I19" s="50" t="str">
        <f>IFERROR(INDEX(Checklist!$F$8:$F$42,MATCH(SMALL(Checklist!$J$8:$J$42,1),Checklist!$J$8:$J$42,0))&amp;"","")</f>
        <v>Not done</v>
      </c>
      <c r="J19" s="51" t="str">
        <f>IFERROR(INDEX(Checklist!$H$8:$H$42,MATCH(SMALL(Checklist!$J$8:$J$42,1),Checklist!$J$8:$J$42,0))&amp;"","")</f>
        <v>Project manager</v>
      </c>
      <c r="K19" s="52"/>
      <c r="L19" s="51" t="str">
        <f>IFERROR(INDEX(Checklist!$G$8:$G$42,MATCH(SMALL(Checklist!$J$8:$J$42,1),Checklist!$J$8:$J$42,0))&amp;"","")</f>
        <v>Two paths still without an owner</v>
      </c>
      <c r="M19" s="52"/>
      <c r="N19" s="52"/>
      <c r="O19" s="52"/>
    </row>
    <row r="20" spans="2:15" ht="27" customHeight="1" x14ac:dyDescent="0.3">
      <c r="B20" s="50" t="str">
        <f>IFERROR(INDEX(Checklist!$A$8:$A$42,MATCH(SMALL(Checklist!$J$8:$J$42,2),Checklist!$J$8:$J$42,0))&amp;"","")</f>
        <v>1.4</v>
      </c>
      <c r="C20" s="51" t="str">
        <f>IFERROR(INDEX(Checklist!$B$8:$B$42,MATCH(SMALL(Checklist!$J$8:$J$42,2),Checklist!$J$8:$J$42,0))&amp;"","")</f>
        <v>No percentage taken from a phone call; stuck percentages challenged</v>
      </c>
      <c r="D20" s="52"/>
      <c r="E20" s="52"/>
      <c r="F20" s="52"/>
      <c r="G20" s="52"/>
      <c r="H20" s="50" t="str">
        <f>IFERROR(INDEX(Checklist!$D$8:$D$42,MATCH(SMALL(Checklist!$J$8:$J$42,2),Checklist!$J$8:$J$42,0))&amp;"","")</f>
        <v/>
      </c>
      <c r="I20" s="50" t="str">
        <f>IFERROR(INDEX(Checklist!$F$8:$F$42,MATCH(SMALL(Checklist!$J$8:$J$42,2),Checklist!$J$8:$J$42,0))&amp;"","")</f>
        <v>Open</v>
      </c>
      <c r="J20" s="51" t="str">
        <f>IFERROR(INDEX(Checklist!$H$8:$H$42,MATCH(SMALL(Checklist!$J$8:$J$42,2),Checklist!$J$8:$J$42,0))&amp;"","")</f>
        <v>Site engineer</v>
      </c>
      <c r="K20" s="52"/>
      <c r="L20" s="51" t="str">
        <f>IFERROR(INDEX(Checklist!$G$8:$G$42,MATCH(SMALL(Checklist!$J$8:$J$42,2),Checklist!$J$8:$J$42,0))&amp;"","")</f>
        <v>Earthing came by phone. Switchgear and the outfall stuck: causes written down</v>
      </c>
      <c r="M20" s="52"/>
      <c r="N20" s="52"/>
      <c r="O20" s="52"/>
    </row>
    <row r="21" spans="2:15" ht="27" customHeight="1" x14ac:dyDescent="0.3">
      <c r="B21" s="50" t="str">
        <f>IFERROR(INDEX(Checklist!$A$8:$A$42,MATCH(SMALL(Checklist!$J$8:$J$42,3),Checklist!$J$8:$J$42,0))&amp;"","")</f>
        <v>4.4</v>
      </c>
      <c r="C21" s="51" t="str">
        <f>IFERROR(INDEX(Checklist!$B$8:$B$42,MATCH(SMALL(Checklist!$J$8:$J$42,3),Checklist!$J$8:$J$42,0))&amp;"","")</f>
        <v>Unusually large float investigated, not reported as good news</v>
      </c>
      <c r="D21" s="52"/>
      <c r="E21" s="52"/>
      <c r="F21" s="52"/>
      <c r="G21" s="52"/>
      <c r="H21" s="50" t="str">
        <f>IFERROR(INDEX(Checklist!$D$8:$D$42,MATCH(SMALL(Checklist!$J$8:$J$42,3),Checklist!$J$8:$J$42,0))&amp;"","")</f>
        <v/>
      </c>
      <c r="I21" s="50" t="str">
        <f>IFERROR(INDEX(Checklist!$F$8:$F$42,MATCH(SMALL(Checklist!$J$8:$J$42,3),Checklist!$J$8:$J$42,0))&amp;"","")</f>
        <v>Open</v>
      </c>
      <c r="J21" s="51" t="str">
        <f>IFERROR(INDEX(Checklist!$H$8:$H$42,MATCH(SMALL(Checklist!$J$8:$J$42,3),Checklist!$J$8:$J$42,0))&amp;"","")</f>
        <v>Planner</v>
      </c>
      <c r="K21" s="52"/>
      <c r="L21" s="51" t="str">
        <f>IFERROR(INDEX(Checklist!$G$8:$G$42,MATCH(SMALL(Checklist!$J$8:$J$42,3),Checklist!$J$8:$J$42,0))&amp;"","")</f>
        <v>Temporary compound removal, 180 days: linked only to the finish</v>
      </c>
      <c r="M21" s="52"/>
      <c r="N21" s="52"/>
      <c r="O21" s="52"/>
    </row>
    <row r="22" spans="2:15" ht="27" customHeight="1" x14ac:dyDescent="0.3">
      <c r="B22" s="50" t="str">
        <f>IFERROR(INDEX(Checklist!$A$8:$A$42,MATCH(SMALL(Checklist!$J$8:$J$42,4),Checklist!$J$8:$J$42,0))&amp;"","")</f>
        <v>4.5</v>
      </c>
      <c r="C22" s="51" t="str">
        <f>IFERROR(INDEX(Checklist!$B$8:$B$42,MATCH(SMALL(Checklist!$J$8:$J$42,4),Checklist!$J$8:$J$42,0))&amp;"","")</f>
        <v>Long lags turned into activities with an owner</v>
      </c>
      <c r="D22" s="52"/>
      <c r="E22" s="52"/>
      <c r="F22" s="52"/>
      <c r="G22" s="52"/>
      <c r="H22" s="50" t="str">
        <f>IFERROR(INDEX(Checklist!$D$8:$D$42,MATCH(SMALL(Checklist!$J$8:$J$42,4),Checklist!$J$8:$J$42,0))&amp;"","")</f>
        <v/>
      </c>
      <c r="I22" s="50" t="str">
        <f>IFERROR(INDEX(Checklist!$F$8:$F$42,MATCH(SMALL(Checklist!$J$8:$J$42,4),Checklist!$J$8:$J$42,0))&amp;"","")</f>
        <v>Open</v>
      </c>
      <c r="J22" s="51" t="str">
        <f>IFERROR(INDEX(Checklist!$H$8:$H$42,MATCH(SMALL(Checklist!$J$8:$J$42,4),Checklist!$J$8:$J$42,0))&amp;"","")</f>
        <v>Planner</v>
      </c>
      <c r="K22" s="52"/>
      <c r="L22" s="51" t="str">
        <f>IFERROR(INDEX(Checklist!$G$8:$G$42,MATCH(SMALL(Checklist!$J$8:$J$42,4),Checklist!$J$8:$J$42,0))&amp;"","")</f>
        <v>Three over 10 days. Two are curing; one is an approval</v>
      </c>
      <c r="M22" s="52"/>
      <c r="N22" s="52"/>
      <c r="O22" s="52"/>
    </row>
    <row r="23" spans="2:15" ht="27" customHeight="1" x14ac:dyDescent="0.3">
      <c r="B23" s="50" t="str">
        <f>IFERROR(INDEX(Checklist!$A$8:$A$42,MATCH(SMALL(Checklist!$J$8:$J$42,5),Checklist!$J$8:$J$42,0))&amp;"","")</f>
        <v>7.3</v>
      </c>
      <c r="C23" s="51" t="str">
        <f>IFERROR(INDEX(Checklist!$B$8:$B$42,MATCH(SMALL(Checklist!$J$8:$J$42,5),Checklist!$J$8:$J$42,0))&amp;"","")</f>
        <v>Issued on the same working day after the cut-off as every period</v>
      </c>
      <c r="D23" s="52"/>
      <c r="E23" s="52"/>
      <c r="F23" s="52"/>
      <c r="G23" s="52"/>
      <c r="H23" s="50" t="str">
        <f>IFERROR(INDEX(Checklist!$D$8:$D$42,MATCH(SMALL(Checklist!$J$8:$J$42,5),Checklist!$J$8:$J$42,0))&amp;"","")</f>
        <v/>
      </c>
      <c r="I23" s="50" t="str">
        <f>IFERROR(INDEX(Checklist!$F$8:$F$42,MATCH(SMALL(Checklist!$J$8:$J$42,5),Checklist!$J$8:$J$42,0))&amp;"","")</f>
        <v>Not done</v>
      </c>
      <c r="J23" s="51" t="str">
        <f>IFERROR(INDEX(Checklist!$H$8:$H$42,MATCH(SMALL(Checklist!$J$8:$J$42,5),Checklist!$J$8:$J$42,0))&amp;"","")</f>
        <v>Planner</v>
      </c>
      <c r="K23" s="52"/>
      <c r="L23" s="51" t="str">
        <f>IFERROR(INDEX(Checklist!$G$8:$G$42,MATCH(SMALL(Checklist!$J$8:$J$42,5),Checklist!$J$8:$J$42,0))&amp;"","")</f>
        <v/>
      </c>
      <c r="M23" s="52"/>
      <c r="N23" s="52"/>
      <c r="O23" s="52"/>
    </row>
    <row r="24" spans="2:15" ht="27" customHeight="1" x14ac:dyDescent="0.3">
      <c r="B24" s="50" t="str">
        <f>IFERROR(INDEX(Checklist!$A$8:$A$42,MATCH(SMALL(Checklist!$J$8:$J$42,6),Checklist!$J$8:$J$42,0))&amp;"","")</f>
        <v>7.4</v>
      </c>
      <c r="C24" s="51" t="str">
        <f>IFERROR(INDEX(Checklist!$B$8:$B$42,MATCH(SMALL(Checklist!$J$8:$J$42,6),Checklist!$J$8:$J$42,0))&amp;"","")</f>
        <v>Schedule file, this checklist and the report archived together</v>
      </c>
      <c r="D24" s="52"/>
      <c r="E24" s="52"/>
      <c r="F24" s="52"/>
      <c r="G24" s="52"/>
      <c r="H24" s="50" t="str">
        <f>IFERROR(INDEX(Checklist!$D$8:$D$42,MATCH(SMALL(Checklist!$J$8:$J$42,6),Checklist!$J$8:$J$42,0))&amp;"","")</f>
        <v/>
      </c>
      <c r="I24" s="50" t="str">
        <f>IFERROR(INDEX(Checklist!$F$8:$F$42,MATCH(SMALL(Checklist!$J$8:$J$42,6),Checklist!$J$8:$J$42,0))&amp;"","")</f>
        <v>Not done</v>
      </c>
      <c r="J24" s="51" t="str">
        <f>IFERROR(INDEX(Checklist!$H$8:$H$42,MATCH(SMALL(Checklist!$J$8:$J$42,6),Checklist!$J$8:$J$42,0))&amp;"","")</f>
        <v>Planner</v>
      </c>
      <c r="K24" s="52"/>
      <c r="L24" s="51" t="str">
        <f>IFERROR(INDEX(Checklist!$G$8:$G$42,MATCH(SMALL(Checklist!$J$8:$J$42,6),Checklist!$J$8:$J$42,0))&amp;"","")</f>
        <v/>
      </c>
      <c r="M24" s="52"/>
      <c r="N24" s="52"/>
      <c r="O24" s="52"/>
    </row>
    <row r="25" spans="2:15" ht="27" customHeight="1" x14ac:dyDescent="0.3">
      <c r="B25" s="50" t="str">
        <f>IFERROR(INDEX(Checklist!$A$8:$A$42,MATCH(SMALL(Checklist!$J$8:$J$42,7),Checklist!$J$8:$J$42,0))&amp;"","")</f>
        <v/>
      </c>
      <c r="C25" s="51" t="str">
        <f>IFERROR(INDEX(Checklist!$B$8:$B$42,MATCH(SMALL(Checklist!$J$8:$J$42,7),Checklist!$J$8:$J$42,0))&amp;"","")</f>
        <v/>
      </c>
      <c r="D25" s="52"/>
      <c r="E25" s="52"/>
      <c r="F25" s="52"/>
      <c r="G25" s="52"/>
      <c r="H25" s="50" t="str">
        <f>IFERROR(INDEX(Checklist!$D$8:$D$42,MATCH(SMALL(Checklist!$J$8:$J$42,7),Checklist!$J$8:$J$42,0))&amp;"","")</f>
        <v/>
      </c>
      <c r="I25" s="50" t="str">
        <f>IFERROR(INDEX(Checklist!$F$8:$F$42,MATCH(SMALL(Checklist!$J$8:$J$42,7),Checklist!$J$8:$J$42,0))&amp;"","")</f>
        <v/>
      </c>
      <c r="J25" s="51" t="str">
        <f>IFERROR(INDEX(Checklist!$H$8:$H$42,MATCH(SMALL(Checklist!$J$8:$J$42,7),Checklist!$J$8:$J$42,0))&amp;"","")</f>
        <v/>
      </c>
      <c r="K25" s="52"/>
      <c r="L25" s="51" t="str">
        <f>IFERROR(INDEX(Checklist!$G$8:$G$42,MATCH(SMALL(Checklist!$J$8:$J$42,7),Checklist!$J$8:$J$42,0))&amp;"","")</f>
        <v/>
      </c>
      <c r="M25" s="52"/>
      <c r="N25" s="52"/>
      <c r="O25" s="52"/>
    </row>
    <row r="26" spans="2:15" ht="27" customHeight="1" x14ac:dyDescent="0.3">
      <c r="B26" s="50" t="str">
        <f>IFERROR(INDEX(Checklist!$A$8:$A$42,MATCH(SMALL(Checklist!$J$8:$J$42,8),Checklist!$J$8:$J$42,0))&amp;"","")</f>
        <v/>
      </c>
      <c r="C26" s="51" t="str">
        <f>IFERROR(INDEX(Checklist!$B$8:$B$42,MATCH(SMALL(Checklist!$J$8:$J$42,8),Checklist!$J$8:$J$42,0))&amp;"","")</f>
        <v/>
      </c>
      <c r="D26" s="52"/>
      <c r="E26" s="52"/>
      <c r="F26" s="52"/>
      <c r="G26" s="52"/>
      <c r="H26" s="50" t="str">
        <f>IFERROR(INDEX(Checklist!$D$8:$D$42,MATCH(SMALL(Checklist!$J$8:$J$42,8),Checklist!$J$8:$J$42,0))&amp;"","")</f>
        <v/>
      </c>
      <c r="I26" s="50" t="str">
        <f>IFERROR(INDEX(Checklist!$F$8:$F$42,MATCH(SMALL(Checklist!$J$8:$J$42,8),Checklist!$J$8:$J$42,0))&amp;"","")</f>
        <v/>
      </c>
      <c r="J26" s="51" t="str">
        <f>IFERROR(INDEX(Checklist!$H$8:$H$42,MATCH(SMALL(Checklist!$J$8:$J$42,8),Checklist!$J$8:$J$42,0))&amp;"","")</f>
        <v/>
      </c>
      <c r="K26" s="52"/>
      <c r="L26" s="51" t="str">
        <f>IFERROR(INDEX(Checklist!$G$8:$G$42,MATCH(SMALL(Checklist!$J$8:$J$42,8),Checklist!$J$8:$J$42,0))&amp;"","")</f>
        <v/>
      </c>
      <c r="M26" s="52"/>
      <c r="N26" s="52"/>
      <c r="O26" s="52"/>
    </row>
    <row r="27" spans="2:15" x14ac:dyDescent="0.3">
      <c r="B27" s="53" t="str">
        <f>IF(COUNT(Checklist!$J$8:$J$42)=0,"Nothing open on the checklist.",IF(COUNT(Checklist!$J$8:$J$42)&gt;8,"…and "&amp;(COUNT(Checklist!$J$8:$J$42)-8)&amp;" more in the Checklist.",""))</f>
        <v/>
      </c>
    </row>
    <row r="30" spans="2:15" x14ac:dyDescent="0.3">
      <c r="B30" s="47" t="s">
        <v>77</v>
      </c>
    </row>
    <row r="31" spans="2:15" x14ac:dyDescent="0.3">
      <c r="B31" s="49" t="s">
        <v>78</v>
      </c>
      <c r="C31" s="23"/>
      <c r="D31" s="23"/>
      <c r="E31" s="23"/>
      <c r="F31" s="23"/>
      <c r="G31" s="48" t="s">
        <v>79</v>
      </c>
      <c r="H31" s="48" t="s">
        <v>80</v>
      </c>
      <c r="I31" s="48" t="s">
        <v>81</v>
      </c>
      <c r="J31" s="49" t="s">
        <v>82</v>
      </c>
      <c r="K31" s="23"/>
      <c r="L31" s="23"/>
      <c r="M31" s="23"/>
      <c r="N31" s="23"/>
      <c r="O31" s="23"/>
    </row>
    <row r="32" spans="2:15" ht="19.95" customHeight="1" x14ac:dyDescent="0.3">
      <c r="B32" s="51" t="str">
        <f>IFERROR(INDEX('Float trend'!$B$7:$B$26,MATCH(SMALL('Float trend'!$W$7:$W$26,1),'Float trend'!$W$7:$W$26,0)),"")</f>
        <v>Substation slab</v>
      </c>
      <c r="C32" s="52"/>
      <c r="D32" s="52"/>
      <c r="E32" s="52"/>
      <c r="F32" s="52"/>
      <c r="G32" s="54">
        <f>IFERROR(INDEX('Float trend'!$P$7:$P$26,MATCH(SMALL('Float trend'!$W$7:$W$26,1),'Float trend'!$W$7:$W$26,0)),"")</f>
        <v>-10</v>
      </c>
      <c r="H32" s="55">
        <f>IFERROR(INDEX('Float trend'!$R$7:$R$26,MATCH(SMALL('Float trend'!$W$7:$W$26,1),'Float trend'!$W$7:$W$26,0)),"")</f>
        <v>-10</v>
      </c>
      <c r="I32" s="56">
        <f>IFERROR(INDEX('Float trend'!$S$7:$S$26,MATCH(SMALL('Float trend'!$W$7:$W$26,1),'Float trend'!$W$7:$W$26,0)),"")</f>
        <v>3.3333333333333335</v>
      </c>
      <c r="J32" s="51" t="str">
        <f>IFERROR(INDEX('Float trend'!$U$7:$U$26,MATCH(SMALL('Float trend'!$W$7:$W$26,1),'Float trend'!$W$7:$W$26,0)),"")</f>
        <v>Already late by 10 days</v>
      </c>
      <c r="K32" s="52"/>
      <c r="L32" s="52"/>
      <c r="M32" s="52"/>
      <c r="N32" s="52"/>
      <c r="O32" s="52"/>
    </row>
    <row r="33" spans="2:15" ht="19.95" customHeight="1" x14ac:dyDescent="0.3">
      <c r="B33" s="51" t="str">
        <f>IFERROR(INDEX('Float trend'!$B$7:$B$26,MATCH(SMALL('Float trend'!$W$7:$W$26,2),'Float trend'!$W$7:$W$26,0)),"")</f>
        <v>Switchgear delivery and installation</v>
      </c>
      <c r="C33" s="52"/>
      <c r="D33" s="52"/>
      <c r="E33" s="52"/>
      <c r="F33" s="52"/>
      <c r="G33" s="54">
        <f>IFERROR(INDEX('Float trend'!$P$7:$P$26,MATCH(SMALL('Float trend'!$W$7:$W$26,2),'Float trend'!$W$7:$W$26,0)),"")</f>
        <v>-4</v>
      </c>
      <c r="H33" s="55">
        <f>IFERROR(INDEX('Float trend'!$R$7:$R$26,MATCH(SMALL('Float trend'!$W$7:$W$26,2),'Float trend'!$W$7:$W$26,0)),"")</f>
        <v>-5</v>
      </c>
      <c r="I33" s="56">
        <f>IFERROR(INDEX('Float trend'!$S$7:$S$26,MATCH(SMALL('Float trend'!$W$7:$W$26,2),'Float trend'!$W$7:$W$26,0)),"")</f>
        <v>4.333333333333333</v>
      </c>
      <c r="J33" s="51" t="str">
        <f>IFERROR(INDEX('Float trend'!$U$7:$U$26,MATCH(SMALL('Float trend'!$W$7:$W$26,2),'Float trend'!$W$7:$W$26,0)),"")</f>
        <v>Already late by 4 days</v>
      </c>
      <c r="K33" s="52"/>
      <c r="L33" s="52"/>
      <c r="M33" s="52"/>
      <c r="N33" s="52"/>
      <c r="O33" s="52"/>
    </row>
    <row r="34" spans="2:15" ht="19.95" customHeight="1" x14ac:dyDescent="0.3">
      <c r="B34" s="51" t="str">
        <f>IFERROR(INDEX('Float trend'!$B$7:$B$26,MATCH(SMALL('Float trend'!$W$7:$W$26,3),'Float trend'!$W$7:$W$26,0)),"")</f>
        <v>Raft concrete pours</v>
      </c>
      <c r="C34" s="52"/>
      <c r="D34" s="52"/>
      <c r="E34" s="52"/>
      <c r="F34" s="52"/>
      <c r="G34" s="54">
        <f>IFERROR(INDEX('Float trend'!$P$7:$P$26,MATCH(SMALL('Float trend'!$W$7:$W$26,3),'Float trend'!$W$7:$W$26,0)),"")</f>
        <v>2</v>
      </c>
      <c r="H34" s="55">
        <f>IFERROR(INDEX('Float trend'!$R$7:$R$26,MATCH(SMALL('Float trend'!$W$7:$W$26,3),'Float trend'!$W$7:$W$26,0)),"")</f>
        <v>-2</v>
      </c>
      <c r="I34" s="56">
        <f>IFERROR(INDEX('Float trend'!$S$7:$S$26,MATCH(SMALL('Float trend'!$W$7:$W$26,3),'Float trend'!$W$7:$W$26,0)),"")</f>
        <v>1.3333333333333333</v>
      </c>
      <c r="J34" s="51" t="str">
        <f>IFERROR(INDEX('Float trend'!$U$7:$U$26,MATCH(SMALL('Float trend'!$W$7:$W$26,3),'Float trend'!$W$7:$W$26,0)),"")</f>
        <v>Runs out in about 2 update(s) at this rate</v>
      </c>
      <c r="K34" s="52"/>
      <c r="L34" s="52"/>
      <c r="M34" s="52"/>
      <c r="N34" s="52"/>
      <c r="O34" s="52"/>
    </row>
    <row r="35" spans="2:15" ht="19.95" customHeight="1" x14ac:dyDescent="0.3">
      <c r="B35" s="51" t="str">
        <f>IFERROR(INDEX('Float trend'!$B$7:$B$26,MATCH(SMALL('Float trend'!$W$7:$W$26,4),'Float trend'!$W$7:$W$26,0)),"")</f>
        <v>Testing and commissioning</v>
      </c>
      <c r="C35" s="52"/>
      <c r="D35" s="52"/>
      <c r="E35" s="52"/>
      <c r="F35" s="52"/>
      <c r="G35" s="54">
        <f>IFERROR(INDEX('Float trend'!$P$7:$P$26,MATCH(SMALL('Float trend'!$W$7:$W$26,4),'Float trend'!$W$7:$W$26,0)),"")</f>
        <v>2</v>
      </c>
      <c r="H35" s="55">
        <f>IFERROR(INDEX('Float trend'!$R$7:$R$26,MATCH(SMALL('Float trend'!$W$7:$W$26,4),'Float trend'!$W$7:$W$26,0)),"")</f>
        <v>-4</v>
      </c>
      <c r="I35" s="56">
        <f>IFERROR(INDEX('Float trend'!$S$7:$S$26,MATCH(SMALL('Float trend'!$W$7:$W$26,4),'Float trend'!$W$7:$W$26,0)),"")</f>
        <v>2</v>
      </c>
      <c r="J35" s="51" t="str">
        <f>IFERROR(INDEX('Float trend'!$U$7:$U$26,MATCH(SMALL('Float trend'!$W$7:$W$26,4),'Float trend'!$W$7:$W$26,0)),"")</f>
        <v>Runs out in about 1 update(s) at this rate</v>
      </c>
      <c r="K35" s="52"/>
      <c r="L35" s="52"/>
      <c r="M35" s="52"/>
      <c r="N35" s="52"/>
      <c r="O35" s="52"/>
    </row>
    <row r="36" spans="2:15" ht="19.95" customHeight="1" x14ac:dyDescent="0.3">
      <c r="B36" s="51" t="str">
        <f>IFERROR(INDEX('Float trend'!$B$7:$B$26,MATCH(SMALL('Float trend'!$W$7:$W$26,5),'Float trend'!$W$7:$W$26,0)),"")</f>
        <v>Drainage connection to the outfall</v>
      </c>
      <c r="C36" s="52"/>
      <c r="D36" s="52"/>
      <c r="E36" s="52"/>
      <c r="F36" s="52"/>
      <c r="G36" s="54">
        <f>IFERROR(INDEX('Float trend'!$P$7:$P$26,MATCH(SMALL('Float trend'!$W$7:$W$26,5),'Float trend'!$W$7:$W$26,0)),"")</f>
        <v>3</v>
      </c>
      <c r="H36" s="55">
        <f>IFERROR(INDEX('Float trend'!$R$7:$R$26,MATCH(SMALL('Float trend'!$W$7:$W$26,5),'Float trend'!$W$7:$W$26,0)),"")</f>
        <v>-22</v>
      </c>
      <c r="I36" s="56">
        <f>IFERROR(INDEX('Float trend'!$S$7:$S$26,MATCH(SMALL('Float trend'!$W$7:$W$26,5),'Float trend'!$W$7:$W$26,0)),"")</f>
        <v>8.3333333333333339</v>
      </c>
      <c r="J36" s="51" t="str">
        <f>IFERROR(INDEX('Float trend'!$U$7:$U$26,MATCH(SMALL('Float trend'!$W$7:$W$26,5),'Float trend'!$W$7:$W$26,0)),"")</f>
        <v>Runs out in about 1 update(s) at this rate</v>
      </c>
      <c r="K36" s="52"/>
      <c r="L36" s="52"/>
      <c r="M36" s="52"/>
      <c r="N36" s="52"/>
      <c r="O36" s="52"/>
    </row>
    <row r="37" spans="2:15" ht="19.95" customHeight="1" x14ac:dyDescent="0.3">
      <c r="B37" s="51" t="str">
        <f>IFERROR(INDEX('Float trend'!$B$7:$B$26,MATCH(SMALL('Float trend'!$W$7:$W$26,6),'Float trend'!$W$7:$W$26,0)),"")</f>
        <v>Handover documents</v>
      </c>
      <c r="C37" s="52"/>
      <c r="D37" s="52"/>
      <c r="E37" s="52"/>
      <c r="F37" s="52"/>
      <c r="G37" s="54">
        <f>IFERROR(INDEX('Float trend'!$P$7:$P$26,MATCH(SMALL('Float trend'!$W$7:$W$26,6),'Float trend'!$W$7:$W$26,0)),"")</f>
        <v>6</v>
      </c>
      <c r="H37" s="55">
        <f>IFERROR(INDEX('Float trend'!$R$7:$R$26,MATCH(SMALL('Float trend'!$W$7:$W$26,6),'Float trend'!$W$7:$W$26,0)),"")</f>
        <v>-4</v>
      </c>
      <c r="I37" s="56">
        <f>IFERROR(INDEX('Float trend'!$S$7:$S$26,MATCH(SMALL('Float trend'!$W$7:$W$26,6),'Float trend'!$W$7:$W$26,0)),"")</f>
        <v>2</v>
      </c>
      <c r="J37" s="51" t="str">
        <f>IFERROR(INDEX('Float trend'!$U$7:$U$26,MATCH(SMALL('Float trend'!$W$7:$W$26,6),'Float trend'!$W$7:$W$26,0)),"")</f>
        <v>Runs out in about 3 update(s) at this rate</v>
      </c>
      <c r="K37" s="52"/>
      <c r="L37" s="52"/>
      <c r="M37" s="52"/>
      <c r="N37" s="52"/>
      <c r="O37" s="52"/>
    </row>
    <row r="38" spans="2:15" ht="19.95" customHeight="1" x14ac:dyDescent="0.3">
      <c r="B38" s="51" t="str">
        <f>IFERROR(INDEX('Float trend'!$B$7:$B$26,MATCH(SMALL('Float trend'!$W$7:$W$26,7),'Float trend'!$W$7:$W$26,0)),"")</f>
        <v>Cable pulling and terminations</v>
      </c>
      <c r="C38" s="52"/>
      <c r="D38" s="52"/>
      <c r="E38" s="52"/>
      <c r="F38" s="52"/>
      <c r="G38" s="54">
        <f>IFERROR(INDEX('Float trend'!$P$7:$P$26,MATCH(SMALL('Float trend'!$W$7:$W$26,7),'Float trend'!$W$7:$W$26,0)),"")</f>
        <v>8</v>
      </c>
      <c r="H38" s="55">
        <f>IFERROR(INDEX('Float trend'!$R$7:$R$26,MATCH(SMALL('Float trend'!$W$7:$W$26,7),'Float trend'!$W$7:$W$26,0)),"")</f>
        <v>-2</v>
      </c>
      <c r="I38" s="56">
        <f>IFERROR(INDEX('Float trend'!$S$7:$S$26,MATCH(SMALL('Float trend'!$W$7:$W$26,7),'Float trend'!$W$7:$W$26,0)),"")</f>
        <v>2.3333333333333335</v>
      </c>
      <c r="J38" s="51" t="str">
        <f>IFERROR(INDEX('Float trend'!$U$7:$U$26,MATCH(SMALL('Float trend'!$W$7:$W$26,7),'Float trend'!$W$7:$W$26,0)),"")</f>
        <v>Burning 2.3 days an update</v>
      </c>
      <c r="K38" s="52"/>
      <c r="L38" s="52"/>
      <c r="M38" s="52"/>
      <c r="N38" s="52"/>
      <c r="O38" s="52"/>
    </row>
    <row r="39" spans="2:15" ht="19.95" customHeight="1" x14ac:dyDescent="0.3">
      <c r="B39" s="51" t="str">
        <f>IFERROR(INDEX('Float trend'!$B$7:$B$26,MATCH(SMALL('Float trend'!$W$7:$W$26,8),'Float trend'!$W$7:$W$26,0)),"")</f>
        <v>Earthing and lightning protection</v>
      </c>
      <c r="C39" s="52"/>
      <c r="D39" s="52"/>
      <c r="E39" s="52"/>
      <c r="F39" s="52"/>
      <c r="G39" s="54">
        <f>IFERROR(INDEX('Float trend'!$P$7:$P$26,MATCH(SMALL('Float trend'!$W$7:$W$26,8),'Float trend'!$W$7:$W$26,0)),"")</f>
        <v>16</v>
      </c>
      <c r="H39" s="55">
        <f>IFERROR(INDEX('Float trend'!$R$7:$R$26,MATCH(SMALL('Float trend'!$W$7:$W$26,8),'Float trend'!$W$7:$W$26,0)),"")</f>
        <v>-2</v>
      </c>
      <c r="I39" s="56">
        <f>IFERROR(INDEX('Float trend'!$S$7:$S$26,MATCH(SMALL('Float trend'!$W$7:$W$26,8),'Float trend'!$W$7:$W$26,0)),"")</f>
        <v>2</v>
      </c>
      <c r="J39" s="51" t="str">
        <f>IFERROR(INDEX('Float trend'!$U$7:$U$26,MATCH(SMALL('Float trend'!$W$7:$W$26,8),'Float trend'!$W$7:$W$26,0)),"")</f>
        <v>Burning 2.0 days an update</v>
      </c>
      <c r="K39" s="52"/>
      <c r="L39" s="52"/>
      <c r="M39" s="52"/>
      <c r="N39" s="52"/>
      <c r="O39" s="52"/>
    </row>
    <row r="40" spans="2:15" ht="19.95" customHeight="1" x14ac:dyDescent="0.3">
      <c r="B40" s="51" t="str">
        <f>IFERROR(INDEX('Float trend'!$B$7:$B$26,MATCH(SMALL('Float trend'!$W$7:$W$26,9),'Float trend'!$W$7:$W$26,0)),"")</f>
        <v>Boundary fence and gates</v>
      </c>
      <c r="C40" s="52"/>
      <c r="D40" s="52"/>
      <c r="E40" s="52"/>
      <c r="F40" s="52"/>
      <c r="G40" s="54">
        <f>IFERROR(INDEX('Float trend'!$P$7:$P$26,MATCH(SMALL('Float trend'!$W$7:$W$26,9),'Float trend'!$W$7:$W$26,0)),"")</f>
        <v>36</v>
      </c>
      <c r="H40" s="55">
        <f>IFERROR(INDEX('Float trend'!$R$7:$R$26,MATCH(SMALL('Float trend'!$W$7:$W$26,9),'Float trend'!$W$7:$W$26,0)),"")</f>
        <v>-2</v>
      </c>
      <c r="I40" s="56">
        <f>IFERROR(INDEX('Float trend'!$S$7:$S$26,MATCH(SMALL('Float trend'!$W$7:$W$26,9),'Float trend'!$W$7:$W$26,0)),"")</f>
        <v>1.3333333333333333</v>
      </c>
      <c r="J40" s="51" t="str">
        <f>IFERROR(INDEX('Float trend'!$U$7:$U$26,MATCH(SMALL('Float trend'!$W$7:$W$26,9),'Float trend'!$W$7:$W$26,0)),"")</f>
        <v>Burning 1.3 days an update</v>
      </c>
      <c r="K40" s="52"/>
      <c r="L40" s="52"/>
      <c r="M40" s="52"/>
      <c r="N40" s="52"/>
      <c r="O40" s="52"/>
    </row>
    <row r="41" spans="2:15" ht="19.95" customHeight="1" x14ac:dyDescent="0.3">
      <c r="B41" s="51" t="str">
        <f>IFERROR(INDEX('Float trend'!$B$7:$B$26,MATCH(SMALL('Float trend'!$W$7:$W$26,10),'Float trend'!$W$7:$W$26,0)),"")</f>
        <v>Temporary compound removal</v>
      </c>
      <c r="C41" s="52"/>
      <c r="D41" s="52"/>
      <c r="E41" s="52"/>
      <c r="F41" s="52"/>
      <c r="G41" s="54">
        <f>IFERROR(INDEX('Float trend'!$P$7:$P$26,MATCH(SMALL('Float trend'!$W$7:$W$26,10),'Float trend'!$W$7:$W$26,0)),"")</f>
        <v>180</v>
      </c>
      <c r="H41" s="55">
        <f>IFERROR(INDEX('Float trend'!$R$7:$R$26,MATCH(SMALL('Float trend'!$W$7:$W$26,10),'Float trend'!$W$7:$W$26,0)),"")</f>
        <v>0</v>
      </c>
      <c r="I41" s="56">
        <f>IFERROR(INDEX('Float trend'!$S$7:$S$26,MATCH(SMALL('Float trend'!$W$7:$W$26,10),'Float trend'!$W$7:$W$26,0)),"")</f>
        <v>0</v>
      </c>
      <c r="J41" s="51" t="str">
        <f>IFERROR(INDEX('Float trend'!$U$7:$U$26,MATCH(SMALL('Float trend'!$W$7:$W$26,10),'Float trend'!$W$7:$W$26,0)),"")</f>
        <v>Suspicious: 180 days is a missing link, not good news</v>
      </c>
      <c r="K41" s="52"/>
      <c r="L41" s="52"/>
      <c r="M41" s="52"/>
      <c r="N41" s="52"/>
      <c r="O41" s="52"/>
    </row>
    <row r="44" spans="2:15" x14ac:dyDescent="0.3">
      <c r="B44" s="47" t="s">
        <v>83</v>
      </c>
    </row>
    <row r="63" spans="2:2" x14ac:dyDescent="0.3">
      <c r="B63" s="53" t="s">
        <v>84</v>
      </c>
    </row>
    <row r="83" spans="2:2" x14ac:dyDescent="0.3">
      <c r="B83" s="53" t="s">
        <v>85</v>
      </c>
    </row>
  </sheetData>
  <sheetProtection sheet="1" formatCells="0" formatColumns="0" formatRows="0" insertColumns="0" insertRows="0" insertHyperlinks="0" deleteColumns="0" deleteRows="0" sort="0" autoFilter="0" pivotTables="0"/>
  <mergeCells count="73">
    <mergeCell ref="B41:F41"/>
    <mergeCell ref="L25:O25"/>
    <mergeCell ref="B14:O15"/>
    <mergeCell ref="D8:E8"/>
    <mergeCell ref="L23:O23"/>
    <mergeCell ref="J9:K10"/>
    <mergeCell ref="J21:K21"/>
    <mergeCell ref="J38:O38"/>
    <mergeCell ref="J37:O37"/>
    <mergeCell ref="B33:F33"/>
    <mergeCell ref="L26:O26"/>
    <mergeCell ref="J18:K18"/>
    <mergeCell ref="L11:M11"/>
    <mergeCell ref="C19:G19"/>
    <mergeCell ref="L20:O20"/>
    <mergeCell ref="B36:F36"/>
    <mergeCell ref="H8:I8"/>
    <mergeCell ref="B32:F32"/>
    <mergeCell ref="J8:K8"/>
    <mergeCell ref="L2:O2"/>
    <mergeCell ref="J31:O31"/>
    <mergeCell ref="B5:O6"/>
    <mergeCell ref="L8:M8"/>
    <mergeCell ref="B8:C8"/>
    <mergeCell ref="C22:G22"/>
    <mergeCell ref="N8:O8"/>
    <mergeCell ref="J26:K26"/>
    <mergeCell ref="F8:G8"/>
    <mergeCell ref="L19:O19"/>
    <mergeCell ref="H11:I11"/>
    <mergeCell ref="C21:G21"/>
    <mergeCell ref="J11:K11"/>
    <mergeCell ref="J20:K20"/>
    <mergeCell ref="J25:K25"/>
    <mergeCell ref="C23:G23"/>
    <mergeCell ref="J41:O41"/>
    <mergeCell ref="J24:K24"/>
    <mergeCell ref="D11:E11"/>
    <mergeCell ref="J32:O32"/>
    <mergeCell ref="C25:G25"/>
    <mergeCell ref="B38:F38"/>
    <mergeCell ref="J33:O33"/>
    <mergeCell ref="B34:F34"/>
    <mergeCell ref="B35:F35"/>
    <mergeCell ref="B37:F37"/>
    <mergeCell ref="J39:O39"/>
    <mergeCell ref="L24:O24"/>
    <mergeCell ref="J22:K22"/>
    <mergeCell ref="L18:O18"/>
    <mergeCell ref="B40:F40"/>
    <mergeCell ref="J40:O40"/>
    <mergeCell ref="N9:O10"/>
    <mergeCell ref="C20:G20"/>
    <mergeCell ref="B39:F39"/>
    <mergeCell ref="J23:K23"/>
    <mergeCell ref="B11:C11"/>
    <mergeCell ref="H9:I10"/>
    <mergeCell ref="C18:G18"/>
    <mergeCell ref="B9:C10"/>
    <mergeCell ref="D9:E10"/>
    <mergeCell ref="C26:G26"/>
    <mergeCell ref="F9:G10"/>
    <mergeCell ref="L9:M10"/>
    <mergeCell ref="F11:G11"/>
    <mergeCell ref="N11:O11"/>
    <mergeCell ref="L22:O22"/>
    <mergeCell ref="C24:G24"/>
    <mergeCell ref="J36:O36"/>
    <mergeCell ref="L21:O21"/>
    <mergeCell ref="J19:K19"/>
    <mergeCell ref="B31:F31"/>
    <mergeCell ref="J34:O34"/>
    <mergeCell ref="J35:O35"/>
  </mergeCells>
  <conditionalFormatting sqref="B5:O6">
    <cfRule type="expression" dxfId="43" priority="1">
      <formula>LEFT($B$5,5)="READY"</formula>
    </cfRule>
    <cfRule type="expression" dxfId="42" priority="2">
      <formula>LEFT($B$5,3)="NOT"</formula>
    </cfRule>
    <cfRule type="expression" dxfId="41" priority="3">
      <formula>LEFT($B$5,5)="Start"</formula>
    </cfRule>
  </conditionalFormatting>
  <conditionalFormatting sqref="B19:O26">
    <cfRule type="expression" dxfId="40" priority="8">
      <formula>$H19="Must"</formula>
    </cfRule>
  </conditionalFormatting>
  <conditionalFormatting sqref="D9">
    <cfRule type="cellIs" dxfId="39" priority="6" operator="greaterThan">
      <formula>0</formula>
    </cfRule>
  </conditionalFormatting>
  <conditionalFormatting sqref="G32:G41">
    <cfRule type="cellIs" dxfId="38" priority="11" operator="lessThan">
      <formula>0</formula>
    </cfRule>
  </conditionalFormatting>
  <conditionalFormatting sqref="H9">
    <cfRule type="cellIs" dxfId="37" priority="7" operator="greaterThan">
      <formula>0</formula>
    </cfRule>
  </conditionalFormatting>
  <conditionalFormatting sqref="J9">
    <cfRule type="cellIs" dxfId="36" priority="4" operator="greaterThan">
      <formula>0</formula>
    </cfRule>
  </conditionalFormatting>
  <conditionalFormatting sqref="J32:O41">
    <cfRule type="expression" dxfId="35" priority="9">
      <formula>OR(LEFT($J32,7)="Already",LEFT($J32,8)="Critical")</formula>
    </cfRule>
    <cfRule type="expression" dxfId="34" priority="10">
      <formula>OR(LEFT($J32,4)="Runs",LEFT($J32,10)="Suspicious")</formula>
    </cfRule>
  </conditionalFormatting>
  <conditionalFormatting sqref="L9">
    <cfRule type="cellIs" dxfId="33" priority="5" operator="greaterThan">
      <formula>0</formula>
    </cfRule>
  </conditionalFormatting>
  <printOptions horizontalCentered="1"/>
  <pageMargins left="0.4" right="0.4" top="0.5" bottom="0.5" header="0.5" footer="0.5"/>
  <pageSetup paperSize="9" scale="5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B8A6"/>
    <pageSetUpPr fitToPage="1"/>
  </sheetPr>
  <dimension ref="A1:J44"/>
  <sheetViews>
    <sheetView showGridLines="0" view="pageBreakPreview" zoomScale="60" zoomScaleNormal="80" workbookViewId="0">
      <pane xSplit="2" ySplit="6" topLeftCell="C7" activePane="bottomRight" state="frozen"/>
      <selection pane="topRight"/>
      <selection pane="bottomLeft"/>
      <selection pane="bottomRight" activeCell="B17" sqref="B17"/>
    </sheetView>
  </sheetViews>
  <sheetFormatPr defaultRowHeight="14.4" x14ac:dyDescent="0.3"/>
  <cols>
    <col min="1" max="1" width="6" style="2" customWidth="1"/>
    <col min="2" max="2" width="46" style="2" customWidth="1"/>
    <col min="3" max="3" width="44" style="2" customWidth="1"/>
    <col min="4" max="4" width="7" style="2" customWidth="1"/>
    <col min="5" max="5" width="32" style="2" customWidth="1"/>
    <col min="6" max="6" width="11" style="2" customWidth="1"/>
    <col min="7" max="7" width="40" style="2" customWidth="1"/>
    <col min="8" max="8" width="15" style="2" customWidth="1"/>
    <col min="9" max="9" width="10" style="2" customWidth="1"/>
    <col min="10" max="10" width="7" style="2" customWidth="1"/>
    <col min="11" max="16384" width="8.88671875" style="2"/>
  </cols>
  <sheetData>
    <row r="1" spans="1:10" ht="28.05" customHeight="1" x14ac:dyDescent="0.4">
      <c r="A1" s="58" t="s">
        <v>42</v>
      </c>
      <c r="I1" s="78" t="s">
        <v>62</v>
      </c>
    </row>
    <row r="2" spans="1:10" x14ac:dyDescent="0.3">
      <c r="A2" s="59" t="s">
        <v>86</v>
      </c>
    </row>
    <row r="3" spans="1:10" x14ac:dyDescent="0.3">
      <c r="A3" s="60" t="s">
        <v>87</v>
      </c>
    </row>
    <row r="4" spans="1:10" x14ac:dyDescent="0.3">
      <c r="A4" s="61"/>
      <c r="B4" s="61"/>
      <c r="C4" s="61"/>
      <c r="D4" s="61"/>
      <c r="E4" s="61"/>
      <c r="F4" s="61"/>
      <c r="G4" s="61"/>
      <c r="H4" s="61"/>
      <c r="I4" s="61"/>
    </row>
    <row r="5" spans="1:10" ht="30" customHeight="1" x14ac:dyDescent="0.3">
      <c r="A5" s="62" t="str">
        <f>IF(COUNTA(F8:F42)=0,"Start with the Updates line, then work down the list.",IF(J5=0,"READY TO ISSUE  ·  every must-do item is done or fixed","NOT READY TO ISSUE  ·  "&amp;J5&amp;" must-do item(s) still open"))</f>
        <v>NOT READY TO ISSUE  ·  1 must-do item(s) still open</v>
      </c>
      <c r="B5" s="23"/>
      <c r="C5" s="23"/>
      <c r="D5" s="23"/>
      <c r="E5" s="23"/>
      <c r="F5" s="23"/>
      <c r="G5" s="23"/>
      <c r="H5" s="23"/>
      <c r="I5" s="23"/>
      <c r="J5" s="63">
        <f>SUMPRODUCT((D8:D42="Must")*(F8:F42&lt;&gt;"Done")*(F8:F42&lt;&gt;"Fixed"))</f>
        <v>1</v>
      </c>
    </row>
    <row r="6" spans="1:10" ht="31.95" customHeight="1" x14ac:dyDescent="0.3">
      <c r="A6" s="64" t="s">
        <v>71</v>
      </c>
      <c r="B6" s="64" t="s">
        <v>72</v>
      </c>
      <c r="C6" s="65" t="s">
        <v>88</v>
      </c>
      <c r="D6" s="64" t="s">
        <v>73</v>
      </c>
      <c r="E6" s="65" t="s">
        <v>89</v>
      </c>
      <c r="F6" s="64" t="s">
        <v>74</v>
      </c>
      <c r="G6" s="65" t="s">
        <v>76</v>
      </c>
      <c r="H6" s="64" t="s">
        <v>75</v>
      </c>
      <c r="I6" s="64" t="s">
        <v>90</v>
      </c>
      <c r="J6" s="66" t="s">
        <v>91</v>
      </c>
    </row>
    <row r="7" spans="1:10" ht="19.95" customHeight="1" x14ac:dyDescent="0.3">
      <c r="A7" s="67" t="s">
        <v>92</v>
      </c>
      <c r="B7" s="68"/>
      <c r="C7" s="68"/>
      <c r="D7" s="68"/>
      <c r="E7" s="68"/>
      <c r="F7" s="68"/>
      <c r="G7" s="68"/>
      <c r="H7" s="68"/>
      <c r="I7" s="68"/>
    </row>
    <row r="8" spans="1:10" ht="40.049999999999997" customHeight="1" x14ac:dyDescent="0.3">
      <c r="A8" s="69" t="s">
        <v>93</v>
      </c>
      <c r="B8" s="70" t="s">
        <v>94</v>
      </c>
      <c r="C8" s="71" t="s">
        <v>95</v>
      </c>
      <c r="D8" s="72" t="s">
        <v>73</v>
      </c>
      <c r="E8" s="73" t="str">
        <f>IFERROR(IF(INDEX(Updates!$C$7:$C$18,Setup!$B$7)="","",IF(INDEX(Updates!$C$7:$C$18,Setup!$B$7)="Y","Same rule: ","Rule changed: ")&amp;Setup!$B$10),"")</f>
        <v>Same rule: Last working day of the month</v>
      </c>
      <c r="F8" s="74" t="s">
        <v>96</v>
      </c>
      <c r="G8" s="75" t="s">
        <v>97</v>
      </c>
      <c r="H8" s="17" t="s">
        <v>98</v>
      </c>
      <c r="I8" s="76" t="s">
        <v>99</v>
      </c>
      <c r="J8" s="63" t="str">
        <f>IF(OR(F8="Done",F8="Fixed",F8="N/A"),"",IF(D8="Must",0,1000)+ROW())</f>
        <v/>
      </c>
    </row>
    <row r="9" spans="1:10" ht="40.049999999999997" customHeight="1" x14ac:dyDescent="0.3">
      <c r="A9" s="69" t="s">
        <v>100</v>
      </c>
      <c r="B9" s="70" t="s">
        <v>101</v>
      </c>
      <c r="C9" s="71" t="s">
        <v>102</v>
      </c>
      <c r="D9" s="72" t="s">
        <v>73</v>
      </c>
      <c r="E9" s="73" t="str">
        <f>IF(COUNTA('Remaining days'!$B$7:$B$46)=0,"",(COUNTIF('Remaining days'!$D$7:$D$46,"Phone call")+COUNTIF('Remaining days'!$D$7:$D$46,"Memory"))&amp;" figure(s) from a phone call or memory")</f>
        <v>1 figure(s) from a phone call or memory</v>
      </c>
      <c r="F9" s="74" t="s">
        <v>96</v>
      </c>
      <c r="G9" s="75" t="s">
        <v>419</v>
      </c>
      <c r="H9" s="17" t="s">
        <v>98</v>
      </c>
      <c r="I9" s="76" t="s">
        <v>99</v>
      </c>
      <c r="J9" s="63" t="str">
        <f>IF(OR(F9="Done",F9="Fixed",F9="N/A"),"",IF(D9="Must",0,1000)+ROW())</f>
        <v/>
      </c>
    </row>
    <row r="10" spans="1:10" ht="40.049999999999997" customHeight="1" x14ac:dyDescent="0.3">
      <c r="A10" s="69" t="s">
        <v>103</v>
      </c>
      <c r="B10" s="70" t="s">
        <v>104</v>
      </c>
      <c r="C10" s="71" t="s">
        <v>105</v>
      </c>
      <c r="D10" s="72" t="s">
        <v>73</v>
      </c>
      <c r="E10" s="73" t="str">
        <f>COUNTA('Remaining days'!$B$7:$B$46)&amp;" in Remaining days, "&amp;COUNTIFS('Remaining days'!$B$7:$B$46,"&lt;&gt;",'Remaining days'!$I$7:$I$46,"")&amp;" without days left"</f>
        <v>12 in Remaining days, 0 without days left</v>
      </c>
      <c r="F10" s="74" t="s">
        <v>96</v>
      </c>
      <c r="G10" s="75" t="s">
        <v>106</v>
      </c>
      <c r="H10" s="17" t="s">
        <v>98</v>
      </c>
      <c r="I10" s="76" t="s">
        <v>99</v>
      </c>
      <c r="J10" s="63" t="str">
        <f>IF(OR(F10="Done",F10="Fixed",F10="N/A"),"",IF(D10="Must",0,1000)+ROW())</f>
        <v/>
      </c>
    </row>
    <row r="11" spans="1:10" ht="40.049999999999997" customHeight="1" x14ac:dyDescent="0.3">
      <c r="A11" s="69" t="s">
        <v>107</v>
      </c>
      <c r="B11" s="77" t="s">
        <v>108</v>
      </c>
      <c r="C11" s="71" t="s">
        <v>109</v>
      </c>
      <c r="D11" s="72"/>
      <c r="E11" s="73" t="str">
        <f>COUNTIF('Remaining days'!$M$7:$M$46,"*Stuck*")&amp;" stuck, "&amp;COUNTIF('Remaining days'!$M$7:$M$46,"*Not a site*")&amp;" not from a record"</f>
        <v>2 stuck, 1 not from a record</v>
      </c>
      <c r="F11" s="74" t="s">
        <v>110</v>
      </c>
      <c r="G11" s="75" t="s">
        <v>111</v>
      </c>
      <c r="H11" s="17" t="s">
        <v>112</v>
      </c>
      <c r="I11" s="76" t="s">
        <v>99</v>
      </c>
      <c r="J11" s="63">
        <f>IF(OR(F11="Done",F11="Fixed",F11="N/A"),"",IF(D11="Must",0,1000)+ROW())</f>
        <v>1011</v>
      </c>
    </row>
    <row r="12" spans="1:10" ht="40.049999999999997" customHeight="1" x14ac:dyDescent="0.3">
      <c r="A12" s="69" t="s">
        <v>113</v>
      </c>
      <c r="B12" s="77" t="s">
        <v>114</v>
      </c>
      <c r="C12" s="71" t="s">
        <v>115</v>
      </c>
      <c r="D12" s="72"/>
      <c r="E12" s="71"/>
      <c r="F12" s="74" t="s">
        <v>96</v>
      </c>
      <c r="G12" s="75" t="s">
        <v>116</v>
      </c>
      <c r="H12" s="17" t="s">
        <v>98</v>
      </c>
      <c r="I12" s="76" t="s">
        <v>99</v>
      </c>
      <c r="J12" s="63" t="str">
        <f>IF(OR(F12="Done",F12="Fixed",F12="N/A"),"",IF(D12="Must",0,1000)+ROW())</f>
        <v/>
      </c>
    </row>
    <row r="13" spans="1:10" ht="19.95" customHeight="1" x14ac:dyDescent="0.3">
      <c r="A13" s="67" t="s">
        <v>117</v>
      </c>
      <c r="B13" s="68"/>
      <c r="C13" s="68"/>
      <c r="D13" s="68"/>
      <c r="E13" s="68"/>
      <c r="F13" s="68"/>
      <c r="G13" s="68"/>
      <c r="H13" s="68"/>
      <c r="I13" s="68"/>
    </row>
    <row r="14" spans="1:10" ht="40.049999999999997" customHeight="1" x14ac:dyDescent="0.3">
      <c r="A14" s="69" t="s">
        <v>118</v>
      </c>
      <c r="B14" s="70" t="s">
        <v>119</v>
      </c>
      <c r="C14" s="71" t="s">
        <v>120</v>
      </c>
      <c r="D14" s="72" t="s">
        <v>73</v>
      </c>
      <c r="E14" s="73" t="str">
        <f>IF(Setup!$B$8="","Type the data date in Updates","Data date "&amp;TEXT(Setup!$B$8,"d mmm yyyy"))</f>
        <v>Data date 30 Jun 2026</v>
      </c>
      <c r="F14" s="74" t="s">
        <v>96</v>
      </c>
      <c r="G14" s="75"/>
      <c r="H14" s="17" t="s">
        <v>98</v>
      </c>
      <c r="I14" s="76" t="s">
        <v>99</v>
      </c>
      <c r="J14" s="63" t="str">
        <f>IF(OR(F14="Done",F14="Fixed",F14="N/A"),"",IF(D14="Must",0,1000)+ROW())</f>
        <v/>
      </c>
    </row>
    <row r="15" spans="1:10" ht="40.049999999999997" customHeight="1" x14ac:dyDescent="0.3">
      <c r="A15" s="69" t="s">
        <v>121</v>
      </c>
      <c r="B15" s="77" t="s">
        <v>122</v>
      </c>
      <c r="C15" s="71" t="s">
        <v>123</v>
      </c>
      <c r="D15" s="72"/>
      <c r="E15" s="71"/>
      <c r="F15" s="74" t="s">
        <v>96</v>
      </c>
      <c r="G15" s="75"/>
      <c r="H15" s="17" t="s">
        <v>98</v>
      </c>
      <c r="I15" s="76" t="s">
        <v>99</v>
      </c>
      <c r="J15" s="63" t="str">
        <f>IF(OR(F15="Done",F15="Fixed",F15="N/A"),"",IF(D15="Must",0,1000)+ROW())</f>
        <v/>
      </c>
    </row>
    <row r="16" spans="1:10" ht="40.049999999999997" customHeight="1" x14ac:dyDescent="0.3">
      <c r="A16" s="69" t="s">
        <v>124</v>
      </c>
      <c r="B16" s="70" t="s">
        <v>125</v>
      </c>
      <c r="C16" s="71" t="s">
        <v>126</v>
      </c>
      <c r="D16" s="72" t="s">
        <v>73</v>
      </c>
      <c r="E16" s="73" t="str">
        <f>IF('Health check'!$O$13="","",'Health check'!$O$13&amp;" found")</f>
        <v>0 found</v>
      </c>
      <c r="F16" s="74" t="s">
        <v>96</v>
      </c>
      <c r="G16" s="75" t="s">
        <v>127</v>
      </c>
      <c r="H16" s="17" t="s">
        <v>98</v>
      </c>
      <c r="I16" s="76" t="s">
        <v>99</v>
      </c>
      <c r="J16" s="63" t="str">
        <f>IF(OR(F16="Done",F16="Fixed",F16="N/A"),"",IF(D16="Must",0,1000)+ROW())</f>
        <v/>
      </c>
    </row>
    <row r="17" spans="1:10" ht="40.049999999999997" customHeight="1" x14ac:dyDescent="0.3">
      <c r="A17" s="69" t="s">
        <v>128</v>
      </c>
      <c r="B17" s="77" t="s">
        <v>129</v>
      </c>
      <c r="C17" s="71" t="s">
        <v>130</v>
      </c>
      <c r="D17" s="72"/>
      <c r="E17" s="71"/>
      <c r="F17" s="74" t="s">
        <v>96</v>
      </c>
      <c r="G17" s="75"/>
      <c r="H17" s="17" t="s">
        <v>98</v>
      </c>
      <c r="I17" s="76" t="s">
        <v>99</v>
      </c>
      <c r="J17" s="63" t="str">
        <f>IF(OR(F17="Done",F17="Fixed",F17="N/A"),"",IF(D17="Must",0,1000)+ROW())</f>
        <v/>
      </c>
    </row>
    <row r="18" spans="1:10" ht="19.95" customHeight="1" x14ac:dyDescent="0.3">
      <c r="A18" s="67" t="s">
        <v>131</v>
      </c>
      <c r="B18" s="68"/>
      <c r="C18" s="68"/>
      <c r="D18" s="68"/>
      <c r="E18" s="68"/>
      <c r="F18" s="68"/>
      <c r="G18" s="68"/>
      <c r="H18" s="68"/>
      <c r="I18" s="68"/>
    </row>
    <row r="19" spans="1:10" ht="40.049999999999997" customHeight="1" x14ac:dyDescent="0.3">
      <c r="A19" s="69" t="s">
        <v>132</v>
      </c>
      <c r="B19" s="70" t="s">
        <v>133</v>
      </c>
      <c r="C19" s="71" t="s">
        <v>134</v>
      </c>
      <c r="D19" s="72" t="s">
        <v>73</v>
      </c>
      <c r="E19" s="73" t="str">
        <f>IFERROR(IF(INDEX(Updates!$D$7:$D$18,Setup!$B$7)="","",INDEX(Updates!$D$7:$D$18,Setup!$B$7)),"")</f>
        <v>Retained logic</v>
      </c>
      <c r="F19" s="74" t="s">
        <v>135</v>
      </c>
      <c r="G19" s="75" t="s">
        <v>136</v>
      </c>
      <c r="H19" s="17" t="s">
        <v>98</v>
      </c>
      <c r="I19" s="76" t="s">
        <v>137</v>
      </c>
      <c r="J19" s="63" t="str">
        <f>IF(OR(F19="Done",F19="Fixed",F19="N/A"),"",IF(D19="Must",0,1000)+ROW())</f>
        <v/>
      </c>
    </row>
    <row r="20" spans="1:10" ht="40.049999999999997" customHeight="1" x14ac:dyDescent="0.3">
      <c r="A20" s="69" t="s">
        <v>138</v>
      </c>
      <c r="B20" s="77" t="s">
        <v>139</v>
      </c>
      <c r="C20" s="71" t="s">
        <v>140</v>
      </c>
      <c r="D20" s="72"/>
      <c r="E20" s="71"/>
      <c r="F20" s="74" t="s">
        <v>96</v>
      </c>
      <c r="G20" s="75" t="s">
        <v>141</v>
      </c>
      <c r="H20" s="17" t="s">
        <v>98</v>
      </c>
      <c r="I20" s="76" t="s">
        <v>137</v>
      </c>
      <c r="J20" s="63" t="str">
        <f>IF(OR(F20="Done",F20="Fixed",F20="N/A"),"",IF(D20="Must",0,1000)+ROW())</f>
        <v/>
      </c>
    </row>
    <row r="21" spans="1:10" ht="40.049999999999997" customHeight="1" x14ac:dyDescent="0.3">
      <c r="A21" s="69" t="s">
        <v>142</v>
      </c>
      <c r="B21" s="77" t="s">
        <v>143</v>
      </c>
      <c r="C21" s="71" t="s">
        <v>144</v>
      </c>
      <c r="D21" s="72"/>
      <c r="E21" s="71"/>
      <c r="F21" s="74" t="s">
        <v>96</v>
      </c>
      <c r="G21" s="75"/>
      <c r="H21" s="17" t="s">
        <v>98</v>
      </c>
      <c r="I21" s="76" t="s">
        <v>137</v>
      </c>
      <c r="J21" s="63" t="str">
        <f>IF(OR(F21="Done",F21="Fixed",F21="N/A"),"",IF(D21="Must",0,1000)+ROW())</f>
        <v/>
      </c>
    </row>
    <row r="22" spans="1:10" ht="19.95" customHeight="1" x14ac:dyDescent="0.3">
      <c r="A22" s="67" t="s">
        <v>145</v>
      </c>
      <c r="B22" s="68"/>
      <c r="C22" s="68"/>
      <c r="D22" s="68"/>
      <c r="E22" s="68"/>
      <c r="F22" s="68"/>
      <c r="G22" s="68"/>
      <c r="H22" s="68"/>
      <c r="I22" s="68"/>
    </row>
    <row r="23" spans="1:10" ht="40.049999999999997" customHeight="1" x14ac:dyDescent="0.3">
      <c r="A23" s="69" t="s">
        <v>146</v>
      </c>
      <c r="B23" s="70" t="s">
        <v>147</v>
      </c>
      <c r="C23" s="71" t="s">
        <v>148</v>
      </c>
      <c r="D23" s="72" t="s">
        <v>73</v>
      </c>
      <c r="E23" s="73" t="str">
        <f>IF('Health check'!$O$7="","",'Health check'!$O$7&amp;" found")</f>
        <v>2 found</v>
      </c>
      <c r="F23" s="74" t="s">
        <v>135</v>
      </c>
      <c r="G23" s="75" t="s">
        <v>149</v>
      </c>
      <c r="H23" s="17" t="s">
        <v>98</v>
      </c>
      <c r="I23" s="76" t="s">
        <v>137</v>
      </c>
      <c r="J23" s="63" t="str">
        <f>IF(OR(F23="Done",F23="Fixed",F23="N/A"),"",IF(D23="Must",0,1000)+ROW())</f>
        <v/>
      </c>
    </row>
    <row r="24" spans="1:10" ht="40.049999999999997" customHeight="1" x14ac:dyDescent="0.3">
      <c r="A24" s="69" t="s">
        <v>150</v>
      </c>
      <c r="B24" s="70" t="s">
        <v>151</v>
      </c>
      <c r="C24" s="71" t="s">
        <v>152</v>
      </c>
      <c r="D24" s="72" t="s">
        <v>73</v>
      </c>
      <c r="E24" s="73" t="str">
        <f>IF('Health check'!$O$8="","",'Health check'!$O$8&amp;" found")</f>
        <v>1 found</v>
      </c>
      <c r="F24" s="74" t="s">
        <v>135</v>
      </c>
      <c r="G24" s="75" t="s">
        <v>153</v>
      </c>
      <c r="H24" s="17" t="s">
        <v>98</v>
      </c>
      <c r="I24" s="76" t="s">
        <v>137</v>
      </c>
      <c r="J24" s="63" t="str">
        <f>IF(OR(F24="Done",F24="Fixed",F24="N/A"),"",IF(D24="Must",0,1000)+ROW())</f>
        <v/>
      </c>
    </row>
    <row r="25" spans="1:10" ht="40.049999999999997" customHeight="1" x14ac:dyDescent="0.3">
      <c r="A25" s="69" t="s">
        <v>154</v>
      </c>
      <c r="B25" s="77" t="s">
        <v>155</v>
      </c>
      <c r="C25" s="71" t="s">
        <v>156</v>
      </c>
      <c r="D25" s="72"/>
      <c r="E25" s="73" t="str">
        <f>IF('Health check'!$O$12="","",'Health check'!$O$12&amp;" found")</f>
        <v>3 found</v>
      </c>
      <c r="F25" s="74" t="s">
        <v>135</v>
      </c>
      <c r="G25" s="75" t="s">
        <v>157</v>
      </c>
      <c r="H25" s="17" t="s">
        <v>98</v>
      </c>
      <c r="I25" s="76" t="s">
        <v>137</v>
      </c>
      <c r="J25" s="63" t="str">
        <f>IF(OR(F25="Done",F25="Fixed",F25="N/A"),"",IF(D25="Must",0,1000)+ROW())</f>
        <v/>
      </c>
    </row>
    <row r="26" spans="1:10" ht="40.049999999999997" customHeight="1" x14ac:dyDescent="0.3">
      <c r="A26" s="69" t="s">
        <v>158</v>
      </c>
      <c r="B26" s="77" t="s">
        <v>159</v>
      </c>
      <c r="C26" s="71" t="s">
        <v>160</v>
      </c>
      <c r="D26" s="72"/>
      <c r="E26" s="73" t="str">
        <f>IF('Health check'!$O$10="","",'Health check'!$O$10&amp;" found")</f>
        <v>1 found</v>
      </c>
      <c r="F26" s="74" t="s">
        <v>110</v>
      </c>
      <c r="G26" s="75" t="s">
        <v>161</v>
      </c>
      <c r="H26" s="17" t="s">
        <v>98</v>
      </c>
      <c r="I26" s="76" t="s">
        <v>137</v>
      </c>
      <c r="J26" s="63">
        <f>IF(OR(F26="Done",F26="Fixed",F26="N/A"),"",IF(D26="Must",0,1000)+ROW())</f>
        <v>1026</v>
      </c>
    </row>
    <row r="27" spans="1:10" ht="40.049999999999997" customHeight="1" x14ac:dyDescent="0.3">
      <c r="A27" s="69" t="s">
        <v>162</v>
      </c>
      <c r="B27" s="77" t="s">
        <v>163</v>
      </c>
      <c r="C27" s="71" t="s">
        <v>164</v>
      </c>
      <c r="D27" s="72"/>
      <c r="E27" s="73" t="str">
        <f>IF('Health check'!$O$11="","",'Health check'!$O$11&amp;" found")</f>
        <v>3 found</v>
      </c>
      <c r="F27" s="74" t="s">
        <v>110</v>
      </c>
      <c r="G27" s="75" t="s">
        <v>165</v>
      </c>
      <c r="H27" s="17" t="s">
        <v>98</v>
      </c>
      <c r="I27" s="76" t="s">
        <v>137</v>
      </c>
      <c r="J27" s="63">
        <f>IF(OR(F27="Done",F27="Fixed",F27="N/A"),"",IF(D27="Must",0,1000)+ROW())</f>
        <v>1027</v>
      </c>
    </row>
    <row r="28" spans="1:10" ht="19.95" customHeight="1" x14ac:dyDescent="0.3">
      <c r="A28" s="67" t="s">
        <v>166</v>
      </c>
      <c r="B28" s="68"/>
      <c r="C28" s="68"/>
      <c r="D28" s="68"/>
      <c r="E28" s="68"/>
      <c r="F28" s="68"/>
      <c r="G28" s="68"/>
      <c r="H28" s="68"/>
      <c r="I28" s="68"/>
    </row>
    <row r="29" spans="1:10" ht="40.049999999999997" customHeight="1" x14ac:dyDescent="0.3">
      <c r="A29" s="69" t="s">
        <v>167</v>
      </c>
      <c r="B29" s="70" t="s">
        <v>168</v>
      </c>
      <c r="C29" s="71" t="s">
        <v>169</v>
      </c>
      <c r="D29" s="72" t="s">
        <v>73</v>
      </c>
      <c r="E29" s="73" t="str">
        <f>COUNT('Float trend'!$R$7:$R$26)&amp;" compared; worst change "&amp;IFERROR(TEXT(MIN('Float trend'!$R$7:$R$26),"+0;-0;0")&amp;" days","—")</f>
        <v>10 compared; worst change -22 days</v>
      </c>
      <c r="F29" s="74" t="s">
        <v>96</v>
      </c>
      <c r="G29" s="75" t="s">
        <v>170</v>
      </c>
      <c r="H29" s="17" t="s">
        <v>98</v>
      </c>
      <c r="I29" s="76" t="s">
        <v>99</v>
      </c>
      <c r="J29" s="63" t="str">
        <f>IF(OR(F29="Done",F29="Fixed",F29="N/A"),"",IF(D29="Must",0,1000)+ROW())</f>
        <v/>
      </c>
    </row>
    <row r="30" spans="1:10" ht="40.049999999999997" customHeight="1" x14ac:dyDescent="0.3">
      <c r="A30" s="69" t="s">
        <v>171</v>
      </c>
      <c r="B30" s="77" t="s">
        <v>172</v>
      </c>
      <c r="C30" s="71" t="s">
        <v>173</v>
      </c>
      <c r="D30" s="72"/>
      <c r="E30" s="73" t="str">
        <f>COUNTIF('Float trend'!$U$7:$U$26,"Runs out*")&amp;" run out within "&amp;Setup!$B$14&amp;" updates"</f>
        <v>4 run out within 3 updates</v>
      </c>
      <c r="F30" s="74" t="s">
        <v>96</v>
      </c>
      <c r="G30" s="75" t="s">
        <v>174</v>
      </c>
      <c r="H30" s="17" t="s">
        <v>98</v>
      </c>
      <c r="I30" s="76" t="s">
        <v>99</v>
      </c>
      <c r="J30" s="63" t="str">
        <f>IF(OR(F30="Done",F30="Fixed",F30="N/A"),"",IF(D30="Must",0,1000)+ROW())</f>
        <v/>
      </c>
    </row>
    <row r="31" spans="1:10" ht="40.049999999999997" customHeight="1" x14ac:dyDescent="0.3">
      <c r="A31" s="69" t="s">
        <v>175</v>
      </c>
      <c r="B31" s="70" t="s">
        <v>176</v>
      </c>
      <c r="C31" s="71" t="s">
        <v>177</v>
      </c>
      <c r="D31" s="72" t="s">
        <v>73</v>
      </c>
      <c r="E31" s="73" t="str">
        <f>COUNTIF('Float trend'!$P$7:$P$26,"&lt;0")&amp;" with negative float"</f>
        <v>2 with negative float</v>
      </c>
      <c r="F31" s="74" t="s">
        <v>96</v>
      </c>
      <c r="G31" s="75" t="s">
        <v>178</v>
      </c>
      <c r="H31" s="17" t="s">
        <v>98</v>
      </c>
      <c r="I31" s="76" t="s">
        <v>99</v>
      </c>
      <c r="J31" s="63" t="str">
        <f>IF(OR(F31="Done",F31="Fixed",F31="N/A"),"",IF(D31="Must",0,1000)+ROW())</f>
        <v/>
      </c>
    </row>
    <row r="32" spans="1:10" ht="40.049999999999997" customHeight="1" x14ac:dyDescent="0.3">
      <c r="A32" s="69" t="s">
        <v>179</v>
      </c>
      <c r="B32" s="70" t="s">
        <v>180</v>
      </c>
      <c r="C32" s="71" t="s">
        <v>181</v>
      </c>
      <c r="D32" s="72" t="s">
        <v>73</v>
      </c>
      <c r="E32" s="73" t="str">
        <f>IFERROR(IF(INDEX(Updates!$E$7:$E$18,Setup!$B$7)="","","Finish "&amp;TEXT(INDEX(Updates!$E$7:$E$18,Setup!$B$7),"d mmm yy")&amp;IF(INDEX(Updates!$G$7:$G$18,Setup!$B$7)="","","  ·  moved "&amp;TEXT(INDEX(Updates!$G$7:$G$18,Setup!$B$7),"+0;-0;0")&amp;" d")),"")</f>
        <v>Finish 4 Sep 26  ·  moved +21 d</v>
      </c>
      <c r="F32" s="74" t="s">
        <v>96</v>
      </c>
      <c r="G32" s="75" t="s">
        <v>182</v>
      </c>
      <c r="H32" s="17" t="s">
        <v>98</v>
      </c>
      <c r="I32" s="76" t="s">
        <v>99</v>
      </c>
      <c r="J32" s="63" t="str">
        <f>IF(OR(F32="Done",F32="Fixed",F32="N/A"),"",IF(D32="Must",0,1000)+ROW())</f>
        <v/>
      </c>
    </row>
    <row r="33" spans="1:10" ht="40.049999999999997" customHeight="1" x14ac:dyDescent="0.3">
      <c r="A33" s="69" t="s">
        <v>183</v>
      </c>
      <c r="B33" s="77" t="s">
        <v>184</v>
      </c>
      <c r="C33" s="71" t="s">
        <v>185</v>
      </c>
      <c r="D33" s="72"/>
      <c r="E33" s="71"/>
      <c r="F33" s="74" t="s">
        <v>96</v>
      </c>
      <c r="G33" s="75"/>
      <c r="H33" s="17" t="s">
        <v>186</v>
      </c>
      <c r="I33" s="76" t="s">
        <v>99</v>
      </c>
      <c r="J33" s="63" t="str">
        <f>IF(OR(F33="Done",F33="Fixed",F33="N/A"),"",IF(D33="Must",0,1000)+ROW())</f>
        <v/>
      </c>
    </row>
    <row r="34" spans="1:10" ht="19.95" customHeight="1" x14ac:dyDescent="0.3">
      <c r="A34" s="67" t="s">
        <v>187</v>
      </c>
      <c r="B34" s="68"/>
      <c r="C34" s="68"/>
      <c r="D34" s="68"/>
      <c r="E34" s="68"/>
      <c r="F34" s="68"/>
      <c r="G34" s="68"/>
      <c r="H34" s="68"/>
      <c r="I34" s="68"/>
    </row>
    <row r="35" spans="1:10" ht="40.049999999999997" customHeight="1" x14ac:dyDescent="0.3">
      <c r="A35" s="69" t="s">
        <v>188</v>
      </c>
      <c r="B35" s="70" t="s">
        <v>189</v>
      </c>
      <c r="C35" s="71" t="s">
        <v>190</v>
      </c>
      <c r="D35" s="72" t="s">
        <v>73</v>
      </c>
      <c r="E35" s="73" t="str">
        <f>COUNTIFS(Actions!$A$7:$A$36,"&lt;&gt;",Actions!$D$7:$D$36,"",Actions!$F$7:$F$36,"&lt;&gt;Done")&amp;" path(s) without an owner"</f>
        <v>2 path(s) without an owner</v>
      </c>
      <c r="F35" s="74" t="s">
        <v>191</v>
      </c>
      <c r="G35" s="75" t="s">
        <v>192</v>
      </c>
      <c r="H35" s="17" t="s">
        <v>193</v>
      </c>
      <c r="I35" s="76" t="s">
        <v>99</v>
      </c>
      <c r="J35" s="63">
        <f>IF(OR(F35="Done",F35="Fixed",F35="N/A"),"",IF(D35="Must",0,1000)+ROW())</f>
        <v>35</v>
      </c>
    </row>
    <row r="36" spans="1:10" ht="40.049999999999997" customHeight="1" x14ac:dyDescent="0.3">
      <c r="A36" s="69" t="s">
        <v>194</v>
      </c>
      <c r="B36" s="77" t="s">
        <v>195</v>
      </c>
      <c r="C36" s="71" t="s">
        <v>196</v>
      </c>
      <c r="D36" s="72"/>
      <c r="E36" s="71"/>
      <c r="F36" s="74" t="s">
        <v>96</v>
      </c>
      <c r="G36" s="75" t="s">
        <v>197</v>
      </c>
      <c r="H36" s="17" t="s">
        <v>98</v>
      </c>
      <c r="I36" s="76" t="s">
        <v>99</v>
      </c>
      <c r="J36" s="63" t="str">
        <f>IF(OR(F36="Done",F36="Fixed",F36="N/A"),"",IF(D36="Must",0,1000)+ROW())</f>
        <v/>
      </c>
    </row>
    <row r="37" spans="1:10" ht="40.049999999999997" customHeight="1" x14ac:dyDescent="0.3">
      <c r="A37" s="69" t="s">
        <v>198</v>
      </c>
      <c r="B37" s="77" t="s">
        <v>199</v>
      </c>
      <c r="C37" s="71" t="s">
        <v>200</v>
      </c>
      <c r="D37" s="72"/>
      <c r="E37" s="71"/>
      <c r="F37" s="74" t="s">
        <v>201</v>
      </c>
      <c r="G37" s="75" t="s">
        <v>202</v>
      </c>
      <c r="H37" s="17"/>
      <c r="I37" s="76" t="s">
        <v>99</v>
      </c>
      <c r="J37" s="63" t="str">
        <f>IF(OR(F37="Done",F37="Fixed",F37="N/A"),"",IF(D37="Must",0,1000)+ROW())</f>
        <v/>
      </c>
    </row>
    <row r="38" spans="1:10" ht="19.95" customHeight="1" x14ac:dyDescent="0.3">
      <c r="A38" s="67" t="s">
        <v>203</v>
      </c>
      <c r="B38" s="68"/>
      <c r="C38" s="68"/>
      <c r="D38" s="68"/>
      <c r="E38" s="68"/>
      <c r="F38" s="68"/>
      <c r="G38" s="68"/>
      <c r="H38" s="68"/>
      <c r="I38" s="68"/>
    </row>
    <row r="39" spans="1:10" ht="40.049999999999997" customHeight="1" x14ac:dyDescent="0.3">
      <c r="A39" s="69" t="s">
        <v>204</v>
      </c>
      <c r="B39" s="70" t="s">
        <v>205</v>
      </c>
      <c r="C39" s="71" t="s">
        <v>206</v>
      </c>
      <c r="D39" s="72" t="s">
        <v>73</v>
      </c>
      <c r="E39" s="71"/>
      <c r="F39" s="74" t="s">
        <v>96</v>
      </c>
      <c r="G39" s="75" t="s">
        <v>207</v>
      </c>
      <c r="H39" s="17" t="s">
        <v>98</v>
      </c>
      <c r="I39" s="76" t="s">
        <v>99</v>
      </c>
      <c r="J39" s="63" t="str">
        <f>IF(OR(F39="Done",F39="Fixed",F39="N/A"),"",IF(D39="Must",0,1000)+ROW())</f>
        <v/>
      </c>
    </row>
    <row r="40" spans="1:10" ht="40.049999999999997" customHeight="1" x14ac:dyDescent="0.3">
      <c r="A40" s="69" t="s">
        <v>208</v>
      </c>
      <c r="B40" s="77" t="s">
        <v>209</v>
      </c>
      <c r="C40" s="71" t="s">
        <v>210</v>
      </c>
      <c r="D40" s="72"/>
      <c r="E40" s="71"/>
      <c r="F40" s="74" t="s">
        <v>96</v>
      </c>
      <c r="G40" s="75"/>
      <c r="H40" s="17" t="s">
        <v>98</v>
      </c>
      <c r="I40" s="76" t="s">
        <v>99</v>
      </c>
      <c r="J40" s="63" t="str">
        <f>IF(OR(F40="Done",F40="Fixed",F40="N/A"),"",IF(D40="Must",0,1000)+ROW())</f>
        <v/>
      </c>
    </row>
    <row r="41" spans="1:10" ht="40.049999999999997" customHeight="1" x14ac:dyDescent="0.3">
      <c r="A41" s="69" t="s">
        <v>211</v>
      </c>
      <c r="B41" s="77" t="s">
        <v>212</v>
      </c>
      <c r="C41" s="71" t="s">
        <v>213</v>
      </c>
      <c r="D41" s="72"/>
      <c r="E41" s="73" t="str">
        <f>IFERROR(IF(INDEX(Updates!$J$7:$J$18,Setup!$B$7)="","Not issued yet","Issued "&amp;TEXT(INDEX(Updates!$J$7:$J$18,Setup!$B$7),"d mmm")&amp;", "&amp;INDEX(Updates!$K$7:$K$18,Setup!$B$7)&amp;" working days after"),"")</f>
        <v>Not issued yet</v>
      </c>
      <c r="F41" s="74" t="s">
        <v>191</v>
      </c>
      <c r="G41" s="75"/>
      <c r="H41" s="17" t="s">
        <v>98</v>
      </c>
      <c r="I41" s="76" t="s">
        <v>99</v>
      </c>
      <c r="J41" s="63">
        <f>IF(OR(F41="Done",F41="Fixed",F41="N/A"),"",IF(D41="Must",0,1000)+ROW())</f>
        <v>1041</v>
      </c>
    </row>
    <row r="42" spans="1:10" ht="40.049999999999997" customHeight="1" x14ac:dyDescent="0.3">
      <c r="A42" s="69" t="s">
        <v>214</v>
      </c>
      <c r="B42" s="77" t="s">
        <v>215</v>
      </c>
      <c r="C42" s="71" t="s">
        <v>216</v>
      </c>
      <c r="D42" s="72"/>
      <c r="E42" s="71"/>
      <c r="F42" s="74" t="s">
        <v>191</v>
      </c>
      <c r="G42" s="75"/>
      <c r="H42" s="17" t="s">
        <v>98</v>
      </c>
      <c r="I42" s="76" t="s">
        <v>99</v>
      </c>
      <c r="J42" s="63">
        <f>IF(OR(F42="Done",F42="Fixed",F42="N/A"),"",IF(D42="Must",0,1000)+ROW())</f>
        <v>1042</v>
      </c>
    </row>
    <row r="44" spans="1:10" x14ac:dyDescent="0.3">
      <c r="A44" s="53" t="s">
        <v>217</v>
      </c>
    </row>
  </sheetData>
  <sheetProtection sheet="1" formatCells="0" formatColumns="0" formatRows="0" insertColumns="0" insertRows="0" insertHyperlinks="0" deleteColumns="0" deleteRows="0" sort="0" autoFilter="0" pivotTables="0"/>
  <mergeCells count="8">
    <mergeCell ref="A34:I34"/>
    <mergeCell ref="A38:I38"/>
    <mergeCell ref="A7:I7"/>
    <mergeCell ref="A5:I5"/>
    <mergeCell ref="A28:I28"/>
    <mergeCell ref="A13:I13"/>
    <mergeCell ref="A18:I18"/>
    <mergeCell ref="A22:I22"/>
  </mergeCells>
  <conditionalFormatting sqref="A5:I5">
    <cfRule type="expression" dxfId="32" priority="1">
      <formula>LEFT($A$5,5)="READY"</formula>
    </cfRule>
    <cfRule type="expression" dxfId="31" priority="2">
      <formula>LEFT($A$5,3)="NOT"</formula>
    </cfRule>
    <cfRule type="expression" dxfId="30" priority="3">
      <formula>LEFT($A$5,5)="Start"</formula>
    </cfRule>
  </conditionalFormatting>
  <conditionalFormatting sqref="B8:B42">
    <cfRule type="expression" dxfId="29" priority="9">
      <formula>AND($D8="Must",$F8&lt;&gt;"Done",$F8&lt;&gt;"Fixed")</formula>
    </cfRule>
  </conditionalFormatting>
  <conditionalFormatting sqref="F8:F42">
    <cfRule type="cellIs" dxfId="28" priority="4" operator="equal">
      <formula>"Done"</formula>
    </cfRule>
    <cfRule type="cellIs" dxfId="27" priority="5" operator="equal">
      <formula>"Fixed"</formula>
    </cfRule>
    <cfRule type="cellIs" dxfId="26" priority="6" operator="equal">
      <formula>"Open"</formula>
    </cfRule>
    <cfRule type="cellIs" dxfId="25" priority="7" operator="equal">
      <formula>"Not done"</formula>
    </cfRule>
    <cfRule type="cellIs" dxfId="24" priority="8" operator="equal">
      <formula>"N/A"</formula>
    </cfRule>
  </conditionalFormatting>
  <hyperlinks>
    <hyperlink ref="I8" r:id="rId1" xr:uid="{00000000-0004-0000-0200-000000000000}"/>
    <hyperlink ref="I9" r:id="rId2" xr:uid="{00000000-0004-0000-0200-000001000000}"/>
    <hyperlink ref="I10" r:id="rId3" xr:uid="{00000000-0004-0000-0200-000002000000}"/>
    <hyperlink ref="I11" r:id="rId4" xr:uid="{00000000-0004-0000-0200-000003000000}"/>
    <hyperlink ref="I12" r:id="rId5" xr:uid="{00000000-0004-0000-0200-000004000000}"/>
    <hyperlink ref="I14" r:id="rId6" xr:uid="{00000000-0004-0000-0200-000005000000}"/>
    <hyperlink ref="I15" r:id="rId7" xr:uid="{00000000-0004-0000-0200-000006000000}"/>
    <hyperlink ref="I16" r:id="rId8" xr:uid="{00000000-0004-0000-0200-000007000000}"/>
    <hyperlink ref="I17" r:id="rId9" xr:uid="{00000000-0004-0000-0200-000008000000}"/>
    <hyperlink ref="I19" r:id="rId10" xr:uid="{00000000-0004-0000-0200-000009000000}"/>
    <hyperlink ref="I20" r:id="rId11" xr:uid="{00000000-0004-0000-0200-00000A000000}"/>
    <hyperlink ref="I21" r:id="rId12" xr:uid="{00000000-0004-0000-0200-00000B000000}"/>
    <hyperlink ref="I23" r:id="rId13" xr:uid="{00000000-0004-0000-0200-00000C000000}"/>
    <hyperlink ref="I24" r:id="rId14" xr:uid="{00000000-0004-0000-0200-00000D000000}"/>
    <hyperlink ref="I25" r:id="rId15" xr:uid="{00000000-0004-0000-0200-00000E000000}"/>
    <hyperlink ref="I26" r:id="rId16" xr:uid="{00000000-0004-0000-0200-00000F000000}"/>
    <hyperlink ref="I27" r:id="rId17" xr:uid="{00000000-0004-0000-0200-000010000000}"/>
    <hyperlink ref="I29" r:id="rId18" xr:uid="{00000000-0004-0000-0200-000011000000}"/>
    <hyperlink ref="I30" r:id="rId19" xr:uid="{00000000-0004-0000-0200-000012000000}"/>
    <hyperlink ref="I31" r:id="rId20" xr:uid="{00000000-0004-0000-0200-000013000000}"/>
    <hyperlink ref="I32" r:id="rId21" xr:uid="{00000000-0004-0000-0200-000014000000}"/>
    <hyperlink ref="I33" r:id="rId22" xr:uid="{00000000-0004-0000-0200-000015000000}"/>
    <hyperlink ref="I35" r:id="rId23" xr:uid="{00000000-0004-0000-0200-000016000000}"/>
    <hyperlink ref="I36" r:id="rId24" xr:uid="{00000000-0004-0000-0200-000017000000}"/>
    <hyperlink ref="I37" r:id="rId25" xr:uid="{00000000-0004-0000-0200-000018000000}"/>
    <hyperlink ref="I39" r:id="rId26" xr:uid="{00000000-0004-0000-0200-000019000000}"/>
    <hyperlink ref="I40" r:id="rId27" xr:uid="{00000000-0004-0000-0200-00001A000000}"/>
    <hyperlink ref="I41" r:id="rId28" xr:uid="{00000000-0004-0000-0200-00001B000000}"/>
    <hyperlink ref="I42" r:id="rId29" xr:uid="{00000000-0004-0000-0200-00001C000000}"/>
  </hyperlinks>
  <printOptions horizontalCentered="1"/>
  <pageMargins left="0.4" right="0.4" top="0.5" bottom="0.5" header="0.5" footer="0.5"/>
  <pageSetup paperSize="9" scale="63" fitToHeight="0" orientation="landscape" r:id="rId30"/>
  <extLst>
    <ext xmlns:x14="http://schemas.microsoft.com/office/spreadsheetml/2009/9/main" uri="{CCE6A557-97BC-4b89-ADB6-D9C93CAAB3DF}">
      <x14:dataValidations xmlns:xm="http://schemas.microsoft.com/office/excel/2006/main" count="2">
        <x14:dataValidation type="list" allowBlank="1" xr:uid="{00000000-0002-0000-0200-000000000000}">
          <x14:formula1>
            <xm:f>Setup!$A$20:$A$24</xm:f>
          </x14:formula1>
          <xm:sqref>F8:F42</xm:sqref>
        </x14:dataValidation>
        <x14:dataValidation type="list" allowBlank="1" xr:uid="{00000000-0002-0000-0200-000001000000}">
          <x14:formula1>
            <xm:f>Setup!$G$20:$G$39</xm:f>
          </x14:formula1>
          <xm:sqref>H8:H42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B8A6"/>
    <pageSetUpPr fitToPage="1"/>
  </sheetPr>
  <dimension ref="A1:S18"/>
  <sheetViews>
    <sheetView showGridLines="0" view="pageBreakPreview" zoomScale="60" zoomScaleNormal="100" workbookViewId="0">
      <pane xSplit="2" ySplit="6" topLeftCell="C7" activePane="bottomRight" state="frozen"/>
      <selection pane="topRight"/>
      <selection pane="bottomLeft"/>
      <selection pane="bottomRight"/>
    </sheetView>
  </sheetViews>
  <sheetFormatPr defaultRowHeight="14.4" x14ac:dyDescent="0.3"/>
  <cols>
    <col min="1" max="1" width="34" style="2" customWidth="1"/>
    <col min="2" max="2" width="46" style="2" customWidth="1"/>
    <col min="3" max="14" width="6" style="2" customWidth="1"/>
    <col min="15" max="16" width="9" style="2" customWidth="1"/>
    <col min="17" max="17" width="8" style="2" customWidth="1"/>
    <col min="18" max="18" width="7" style="2" customWidth="1"/>
    <col min="19" max="19" width="42" style="2" customWidth="1"/>
    <col min="20" max="16384" width="8.88671875" style="2"/>
  </cols>
  <sheetData>
    <row r="1" spans="1:19" ht="28.05" customHeight="1" x14ac:dyDescent="0.4">
      <c r="A1" s="58" t="s">
        <v>44</v>
      </c>
      <c r="S1" s="78" t="s">
        <v>62</v>
      </c>
    </row>
    <row r="2" spans="1:19" x14ac:dyDescent="0.3">
      <c r="A2" s="59" t="s">
        <v>218</v>
      </c>
    </row>
    <row r="3" spans="1:19" x14ac:dyDescent="0.3">
      <c r="A3" s="60" t="s">
        <v>219</v>
      </c>
    </row>
    <row r="4" spans="1:19" x14ac:dyDescent="0.3">
      <c r="A4" s="61"/>
      <c r="B4" s="61"/>
      <c r="C4" s="61"/>
      <c r="D4" s="61"/>
      <c r="E4" s="61"/>
      <c r="F4" s="61"/>
      <c r="G4" s="61"/>
      <c r="H4" s="61"/>
      <c r="I4" s="61"/>
      <c r="J4" s="61"/>
      <c r="K4" s="61"/>
      <c r="L4" s="61"/>
      <c r="M4" s="61"/>
      <c r="N4" s="61"/>
      <c r="O4" s="61"/>
      <c r="P4" s="61"/>
      <c r="Q4" s="61"/>
      <c r="R4" s="61"/>
      <c r="S4" s="61"/>
    </row>
    <row r="6" spans="1:19" ht="31.95" customHeight="1" x14ac:dyDescent="0.3">
      <c r="A6" s="64" t="s">
        <v>72</v>
      </c>
      <c r="B6" s="65" t="s">
        <v>220</v>
      </c>
      <c r="C6" s="79" t="s">
        <v>221</v>
      </c>
      <c r="D6" s="79" t="s">
        <v>222</v>
      </c>
      <c r="E6" s="79" t="s">
        <v>223</v>
      </c>
      <c r="F6" s="79" t="s">
        <v>224</v>
      </c>
      <c r="G6" s="79" t="s">
        <v>225</v>
      </c>
      <c r="H6" s="79" t="s">
        <v>226</v>
      </c>
      <c r="I6" s="79" t="s">
        <v>227</v>
      </c>
      <c r="J6" s="79" t="s">
        <v>228</v>
      </c>
      <c r="K6" s="79" t="s">
        <v>229</v>
      </c>
      <c r="L6" s="79" t="s">
        <v>230</v>
      </c>
      <c r="M6" s="79" t="s">
        <v>231</v>
      </c>
      <c r="N6" s="79" t="s">
        <v>232</v>
      </c>
      <c r="O6" s="65" t="s">
        <v>233</v>
      </c>
      <c r="P6" s="65" t="s">
        <v>234</v>
      </c>
      <c r="Q6" s="64" t="s">
        <v>80</v>
      </c>
      <c r="R6" s="64" t="s">
        <v>235</v>
      </c>
      <c r="S6" s="64" t="s">
        <v>236</v>
      </c>
    </row>
    <row r="7" spans="1:19" ht="40.049999999999997" customHeight="1" x14ac:dyDescent="0.3">
      <c r="A7" s="70" t="s">
        <v>237</v>
      </c>
      <c r="B7" s="71" t="s">
        <v>238</v>
      </c>
      <c r="C7" s="80">
        <v>4</v>
      </c>
      <c r="D7" s="80">
        <v>3</v>
      </c>
      <c r="E7" s="80">
        <v>3</v>
      </c>
      <c r="F7" s="80">
        <v>2</v>
      </c>
      <c r="G7" s="80">
        <v>2</v>
      </c>
      <c r="H7" s="80">
        <v>2</v>
      </c>
      <c r="I7" s="80"/>
      <c r="J7" s="80"/>
      <c r="K7" s="80"/>
      <c r="L7" s="80"/>
      <c r="M7" s="80"/>
      <c r="N7" s="80"/>
      <c r="O7" s="81">
        <f>IFERROR(IF(INDEX($C7:$N7,Setup!$B$7)="","",INDEX($C7:$N7,Setup!$B$7)),"")</f>
        <v>2</v>
      </c>
      <c r="P7" s="82">
        <f>IFERROR(IF(Setup!$B$7&lt;2,"",IF(INDEX($C7:$N7,Setup!$B$7-1)="","",INDEX($C7:$N7,Setup!$B$7-1))),"")</f>
        <v>2</v>
      </c>
      <c r="Q7" s="83">
        <f t="shared" ref="Q7:Q14" si="0">IF(OR(O7="",P7=""),"",O7-P7)</f>
        <v>0</v>
      </c>
      <c r="R7" s="80">
        <v>0</v>
      </c>
      <c r="S7" s="77" t="str">
        <f>IF(O7="","",IF(O7&lt;=R7,"✔ clean",O7&amp;" found. Link it. Open ends make float out of nothing."))</f>
        <v>2 found. Link it. Open ends make float out of nothing.</v>
      </c>
    </row>
    <row r="8" spans="1:19" ht="40.049999999999997" customHeight="1" x14ac:dyDescent="0.3">
      <c r="A8" s="70" t="s">
        <v>239</v>
      </c>
      <c r="B8" s="71" t="s">
        <v>240</v>
      </c>
      <c r="C8" s="80">
        <v>1</v>
      </c>
      <c r="D8" s="80">
        <v>1</v>
      </c>
      <c r="E8" s="80">
        <v>2</v>
      </c>
      <c r="F8" s="80">
        <v>2</v>
      </c>
      <c r="G8" s="80">
        <v>2</v>
      </c>
      <c r="H8" s="80">
        <v>1</v>
      </c>
      <c r="I8" s="80"/>
      <c r="J8" s="80"/>
      <c r="K8" s="80"/>
      <c r="L8" s="80"/>
      <c r="M8" s="80"/>
      <c r="N8" s="80"/>
      <c r="O8" s="81">
        <f>IFERROR(IF(INDEX($C8:$N8,Setup!$B$7)="","",INDEX($C8:$N8,Setup!$B$7)),"")</f>
        <v>1</v>
      </c>
      <c r="P8" s="82">
        <f>IFERROR(IF(Setup!$B$7&lt;2,"",IF(INDEX($C8:$N8,Setup!$B$7-1)="","",INDEX($C8:$N8,Setup!$B$7-1))),"")</f>
        <v>2</v>
      </c>
      <c r="Q8" s="83">
        <f t="shared" si="0"/>
        <v>-1</v>
      </c>
      <c r="R8" s="80">
        <v>0</v>
      </c>
      <c r="S8" s="77" t="str">
        <f>IF(O8="","",IF(O8&lt;=R8,"✔ clean",O8&amp;" found. Write the reason or take it off."))</f>
        <v>1 found. Write the reason or take it off.</v>
      </c>
    </row>
    <row r="9" spans="1:19" ht="40.049999999999997" customHeight="1" x14ac:dyDescent="0.3">
      <c r="A9" s="70" t="s">
        <v>241</v>
      </c>
      <c r="B9" s="71" t="s">
        <v>242</v>
      </c>
      <c r="C9" s="80">
        <v>0</v>
      </c>
      <c r="D9" s="80">
        <v>0</v>
      </c>
      <c r="E9" s="80">
        <v>0</v>
      </c>
      <c r="F9" s="80">
        <v>0</v>
      </c>
      <c r="G9" s="80">
        <v>0</v>
      </c>
      <c r="H9" s="80">
        <v>2</v>
      </c>
      <c r="I9" s="80"/>
      <c r="J9" s="80"/>
      <c r="K9" s="80"/>
      <c r="L9" s="80"/>
      <c r="M9" s="80"/>
      <c r="N9" s="80"/>
      <c r="O9" s="81">
        <f>IFERROR(IF(INDEX($C9:$N9,Setup!$B$7)="","",INDEX($C9:$N9,Setup!$B$7)),"")</f>
        <v>2</v>
      </c>
      <c r="P9" s="82">
        <f>IFERROR(IF(Setup!$B$7&lt;2,"",IF(INDEX($C9:$N9,Setup!$B$7-1)="","",INDEX($C9:$N9,Setup!$B$7-1))),"")</f>
        <v>0</v>
      </c>
      <c r="Q9" s="83">
        <f t="shared" si="0"/>
        <v>2</v>
      </c>
      <c r="R9" s="80">
        <v>0</v>
      </c>
      <c r="S9" s="77" t="str">
        <f>IF(O9="","",IF(O9&lt;=R9,"✔ clean",O9&amp;" found. List them as late, with how late, in the report."))</f>
        <v>2 found. List them as late, with how late, in the report.</v>
      </c>
    </row>
    <row r="10" spans="1:19" ht="40.049999999999997" customHeight="1" x14ac:dyDescent="0.3">
      <c r="A10" s="70" t="s">
        <v>243</v>
      </c>
      <c r="B10" s="71" t="s">
        <v>244</v>
      </c>
      <c r="C10" s="80">
        <v>2</v>
      </c>
      <c r="D10" s="80">
        <v>2</v>
      </c>
      <c r="E10" s="80">
        <v>2</v>
      </c>
      <c r="F10" s="80">
        <v>1</v>
      </c>
      <c r="G10" s="80">
        <v>1</v>
      </c>
      <c r="H10" s="80">
        <v>1</v>
      </c>
      <c r="I10" s="80"/>
      <c r="J10" s="80"/>
      <c r="K10" s="80"/>
      <c r="L10" s="80"/>
      <c r="M10" s="80"/>
      <c r="N10" s="80"/>
      <c r="O10" s="81">
        <f>IFERROR(IF(INDEX($C10:$N10,Setup!$B$7)="","",INDEX($C10:$N10,Setup!$B$7)),"")</f>
        <v>1</v>
      </c>
      <c r="P10" s="82">
        <f>IFERROR(IF(Setup!$B$7&lt;2,"",IF(INDEX($C10:$N10,Setup!$B$7-1)="","",INDEX($C10:$N10,Setup!$B$7-1))),"")</f>
        <v>1</v>
      </c>
      <c r="Q10" s="83">
        <f t="shared" si="0"/>
        <v>0</v>
      </c>
      <c r="R10" s="80">
        <v>0</v>
      </c>
      <c r="S10" s="77" t="str">
        <f>IF(O10="","",IF(O10&lt;=R10,"✔ clean",O10&amp;" found. Investigate: find the missing successor."))</f>
        <v>1 found. Investigate: find the missing successor.</v>
      </c>
    </row>
    <row r="11" spans="1:19" ht="40.049999999999997" customHeight="1" x14ac:dyDescent="0.3">
      <c r="A11" s="70" t="s">
        <v>245</v>
      </c>
      <c r="B11" s="71" t="s">
        <v>246</v>
      </c>
      <c r="C11" s="80">
        <v>5</v>
      </c>
      <c r="D11" s="80">
        <v>5</v>
      </c>
      <c r="E11" s="80">
        <v>4</v>
      </c>
      <c r="F11" s="80">
        <v>4</v>
      </c>
      <c r="G11" s="80">
        <v>3</v>
      </c>
      <c r="H11" s="80">
        <v>3</v>
      </c>
      <c r="I11" s="80"/>
      <c r="J11" s="80"/>
      <c r="K11" s="80"/>
      <c r="L11" s="80"/>
      <c r="M11" s="80"/>
      <c r="N11" s="80"/>
      <c r="O11" s="81">
        <f>IFERROR(IF(INDEX($C11:$N11,Setup!$B$7)="","",INDEX($C11:$N11,Setup!$B$7)),"")</f>
        <v>3</v>
      </c>
      <c r="P11" s="82">
        <f>IFERROR(IF(Setup!$B$7&lt;2,"",IF(INDEX($C11:$N11,Setup!$B$7-1)="","",INDEX($C11:$N11,Setup!$B$7-1))),"")</f>
        <v>3</v>
      </c>
      <c r="Q11" s="83">
        <f t="shared" si="0"/>
        <v>0</v>
      </c>
      <c r="R11" s="80">
        <v>0</v>
      </c>
      <c r="S11" s="77" t="str">
        <f>IF(O11="","",IF(O11&lt;=R11,"✔ clean",O11&amp;" found. Make it an activity with an owner."))</f>
        <v>3 found. Make it an activity with an owner.</v>
      </c>
    </row>
    <row r="12" spans="1:19" ht="40.049999999999997" customHeight="1" x14ac:dyDescent="0.3">
      <c r="A12" s="70" t="s">
        <v>247</v>
      </c>
      <c r="B12" s="71" t="s">
        <v>248</v>
      </c>
      <c r="C12" s="80">
        <v>0</v>
      </c>
      <c r="D12" s="80">
        <v>2</v>
      </c>
      <c r="E12" s="80">
        <v>3</v>
      </c>
      <c r="F12" s="80">
        <v>5</v>
      </c>
      <c r="G12" s="80">
        <v>4</v>
      </c>
      <c r="H12" s="80">
        <v>3</v>
      </c>
      <c r="I12" s="80"/>
      <c r="J12" s="80"/>
      <c r="K12" s="80"/>
      <c r="L12" s="80"/>
      <c r="M12" s="80"/>
      <c r="N12" s="80"/>
      <c r="O12" s="81">
        <f>IFERROR(IF(INDEX($C12:$N12,Setup!$B$7)="","",INDEX($C12:$N12,Setup!$B$7)),"")</f>
        <v>3</v>
      </c>
      <c r="P12" s="82">
        <f>IFERROR(IF(Setup!$B$7&lt;2,"",IF(INDEX($C12:$N12,Setup!$B$7-1)="","",INDEX($C12:$N12,Setup!$B$7-1))),"")</f>
        <v>4</v>
      </c>
      <c r="Q12" s="83">
        <f t="shared" si="0"/>
        <v>-1</v>
      </c>
      <c r="R12" s="80">
        <v>0</v>
      </c>
      <c r="S12" s="77" t="str">
        <f>IF(O12="","",IF(O12&lt;=R12,"✔ clean",O12&amp;" found. Correct the logic by hand where the site changed the order."))</f>
        <v>3 found. Correct the logic by hand where the site changed the order.</v>
      </c>
    </row>
    <row r="13" spans="1:19" ht="40.049999999999997" customHeight="1" x14ac:dyDescent="0.3">
      <c r="A13" s="70" t="s">
        <v>249</v>
      </c>
      <c r="B13" s="71" t="s">
        <v>250</v>
      </c>
      <c r="C13" s="80">
        <v>1</v>
      </c>
      <c r="D13" s="80">
        <v>0</v>
      </c>
      <c r="E13" s="80">
        <v>0</v>
      </c>
      <c r="F13" s="80">
        <v>0</v>
      </c>
      <c r="G13" s="80">
        <v>0</v>
      </c>
      <c r="H13" s="80">
        <v>0</v>
      </c>
      <c r="I13" s="80"/>
      <c r="J13" s="80"/>
      <c r="K13" s="80"/>
      <c r="L13" s="80"/>
      <c r="M13" s="80"/>
      <c r="N13" s="80"/>
      <c r="O13" s="81">
        <f>IFERROR(IF(INDEX($C13:$N13,Setup!$B$7)="","",INDEX($C13:$N13,Setup!$B$7)),"")</f>
        <v>0</v>
      </c>
      <c r="P13" s="82">
        <f>IFERROR(IF(Setup!$B$7&lt;2,"",IF(INDEX($C13:$N13,Setup!$B$7-1)="","",INDEX($C13:$N13,Setup!$B$7-1))),"")</f>
        <v>0</v>
      </c>
      <c r="Q13" s="83">
        <f t="shared" si="0"/>
        <v>0</v>
      </c>
      <c r="R13" s="80">
        <v>0</v>
      </c>
      <c r="S13" s="77" t="str">
        <f>IF(O13="","",IF(O13&lt;=R13,"✔ clean",O13&amp;" found. Correct it before you recalculate."))</f>
        <v>✔ clean</v>
      </c>
    </row>
    <row r="14" spans="1:19" ht="40.049999999999997" customHeight="1" x14ac:dyDescent="0.3">
      <c r="A14" s="70" t="s">
        <v>251</v>
      </c>
      <c r="B14" s="71" t="s">
        <v>252</v>
      </c>
      <c r="C14" s="80">
        <v>6</v>
      </c>
      <c r="D14" s="80">
        <v>4</v>
      </c>
      <c r="E14" s="80">
        <v>3</v>
      </c>
      <c r="F14" s="80">
        <v>2</v>
      </c>
      <c r="G14" s="80">
        <v>1</v>
      </c>
      <c r="H14" s="80">
        <v>0</v>
      </c>
      <c r="I14" s="80"/>
      <c r="J14" s="80"/>
      <c r="K14" s="80"/>
      <c r="L14" s="80"/>
      <c r="M14" s="80"/>
      <c r="N14" s="80"/>
      <c r="O14" s="81">
        <f>IFERROR(IF(INDEX($C14:$N14,Setup!$B$7)="","",INDEX($C14:$N14,Setup!$B$7)),"")</f>
        <v>0</v>
      </c>
      <c r="P14" s="82">
        <f>IFERROR(IF(Setup!$B$7&lt;2,"",IF(INDEX($C14:$N14,Setup!$B$7-1)="","",INDEX($C14:$N14,Setup!$B$7-1))),"")</f>
        <v>1</v>
      </c>
      <c r="Q14" s="83">
        <f t="shared" si="0"/>
        <v>-1</v>
      </c>
      <c r="R14" s="80">
        <v>0</v>
      </c>
      <c r="S14" s="77" t="str">
        <f>IF(O14="","",IF(O14&lt;=R14,"✔ clean",O14&amp;" found. Ask the question. Percent complete cannot move a date."))</f>
        <v>✔ clean</v>
      </c>
    </row>
    <row r="16" spans="1:19" x14ac:dyDescent="0.3">
      <c r="A16" s="47" t="s">
        <v>253</v>
      </c>
      <c r="B16" s="84" t="str">
        <f>IF(COUNT(O7:O14)=0,"",COUNTIF(S7:S14,"*found*")&amp;" of "&amp;ROWS(O7:O14)&amp;" checks found something, "&amp;SUM(O7:O14)&amp;" items in all. Fix them, or say in the report why they stay.")</f>
        <v>6 of 8 checks found something, 12 items in all. Fix them, or say in the report why they stay.</v>
      </c>
      <c r="C16" s="85"/>
      <c r="D16" s="85"/>
      <c r="E16" s="85"/>
      <c r="F16" s="85"/>
      <c r="G16" s="85"/>
      <c r="H16" s="85"/>
      <c r="I16" s="85"/>
      <c r="J16" s="85"/>
      <c r="K16" s="85"/>
      <c r="L16" s="85"/>
      <c r="M16" s="85"/>
      <c r="N16" s="85"/>
      <c r="O16" s="85"/>
      <c r="P16" s="85"/>
      <c r="Q16" s="85"/>
      <c r="R16" s="85"/>
      <c r="S16" s="86"/>
    </row>
    <row r="18" spans="1:1" x14ac:dyDescent="0.3">
      <c r="A18" s="53" t="s">
        <v>254</v>
      </c>
    </row>
  </sheetData>
  <sheetProtection sheet="1" formatCells="0" formatColumns="0" formatRows="0" insertColumns="0" insertRows="0" insertHyperlinks="0" deleteColumns="0" deleteRows="0" sort="0" autoFilter="0" pivotTables="0"/>
  <mergeCells count="1">
    <mergeCell ref="B16:S16"/>
  </mergeCells>
  <conditionalFormatting sqref="O7:O14">
    <cfRule type="expression" dxfId="22" priority="3">
      <formula>AND(ISNUMBER(O7),O7&gt;R7)</formula>
    </cfRule>
  </conditionalFormatting>
  <conditionalFormatting sqref="Q7:Q14">
    <cfRule type="cellIs" dxfId="21" priority="4" operator="lessThan">
      <formula>0</formula>
    </cfRule>
    <cfRule type="cellIs" dxfId="20" priority="5" operator="greaterThan">
      <formula>0</formula>
    </cfRule>
  </conditionalFormatting>
  <conditionalFormatting sqref="S7:S14">
    <cfRule type="cellIs" dxfId="19" priority="1" operator="equal">
      <formula>"✔ clean"</formula>
    </cfRule>
    <cfRule type="expression" dxfId="18" priority="2">
      <formula>ISNUMBER(SEARCH("found",S7))</formula>
    </cfRule>
  </conditionalFormatting>
  <printOptions horizontalCentered="1"/>
  <pageMargins left="0.4" right="0.4" top="0.5" bottom="0.5" header="0.5" footer="0.5"/>
  <pageSetup paperSize="9" scale="61" orientation="landscape" r:id="rId1"/>
  <extLst>
    <ext xmlns:x14="http://schemas.microsoft.com/office/spreadsheetml/2009/9/main" uri="{78C0D931-6437-407d-A8EE-F0AAD7539E65}">
      <x14:conditionalFormattings>
        <x14:conditionalFormatting xmlns:xm="http://schemas.microsoft.com/office/excel/2006/main">
          <x14:cfRule type="expression" priority="6" id="{00000000-000E-0000-0300-000006000000}">
            <xm:f>COLUMN(C6)-2=Setup!$B$7</xm:f>
            <x14:dxf>
              <fill>
                <patternFill patternType="solid">
                  <fgColor rgb="FFCCFBF1"/>
                </patternFill>
              </fill>
            </x14:dxf>
          </x14:cfRule>
          <xm:sqref>C6:N14</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B8A6"/>
    <pageSetUpPr fitToPage="1"/>
  </sheetPr>
  <dimension ref="A1:W28"/>
  <sheetViews>
    <sheetView showGridLines="0" view="pageBreakPreview" zoomScale="85" zoomScaleNormal="100" zoomScaleSheetLayoutView="85" workbookViewId="0">
      <pane xSplit="2" ySplit="6" topLeftCell="C7" activePane="bottomRight" state="frozen"/>
      <selection pane="topRight"/>
      <selection pane="bottomLeft"/>
      <selection pane="bottomRight" activeCell="W6" sqref="W6"/>
    </sheetView>
  </sheetViews>
  <sheetFormatPr defaultRowHeight="14.4" x14ac:dyDescent="0.3"/>
  <cols>
    <col min="1" max="1" width="7" style="2" customWidth="1"/>
    <col min="2" max="2" width="34" style="2" customWidth="1"/>
    <col min="3" max="14" width="6" style="2" customWidth="1"/>
    <col min="15" max="15" width="13" style="2" customWidth="1"/>
    <col min="16" max="18" width="8" style="2" customWidth="1"/>
    <col min="19" max="19" width="9" style="2" customWidth="1"/>
    <col min="20" max="20" width="10" style="2" customWidth="1"/>
    <col min="21" max="21" width="46" style="2" customWidth="1"/>
    <col min="22" max="22" width="40" style="2" customWidth="1"/>
    <col min="23" max="23" width="8" style="2" customWidth="1"/>
    <col min="24" max="16384" width="8.88671875" style="2"/>
  </cols>
  <sheetData>
    <row r="1" spans="1:23" ht="28.05" customHeight="1" x14ac:dyDescent="0.4">
      <c r="A1" s="58" t="s">
        <v>46</v>
      </c>
      <c r="V1" s="78" t="s">
        <v>62</v>
      </c>
    </row>
    <row r="2" spans="1:23" x14ac:dyDescent="0.3">
      <c r="A2" s="59" t="s">
        <v>255</v>
      </c>
    </row>
    <row r="3" spans="1:23" x14ac:dyDescent="0.3">
      <c r="A3" s="60" t="s">
        <v>256</v>
      </c>
    </row>
    <row r="4" spans="1:23" x14ac:dyDescent="0.3">
      <c r="A4" s="61"/>
      <c r="B4" s="61"/>
      <c r="C4" s="61"/>
      <c r="D4" s="61"/>
      <c r="E4" s="61"/>
      <c r="F4" s="61"/>
      <c r="G4" s="61"/>
      <c r="H4" s="61"/>
      <c r="I4" s="61"/>
      <c r="J4" s="61"/>
      <c r="K4" s="61"/>
      <c r="L4" s="61"/>
      <c r="M4" s="61"/>
      <c r="N4" s="61"/>
      <c r="O4" s="61"/>
      <c r="P4" s="61"/>
      <c r="Q4" s="61"/>
      <c r="R4" s="61"/>
      <c r="S4" s="61"/>
      <c r="T4" s="61"/>
      <c r="U4" s="61"/>
      <c r="V4" s="61"/>
    </row>
    <row r="6" spans="1:23" ht="31.95" customHeight="1" x14ac:dyDescent="0.3">
      <c r="A6" s="64" t="s">
        <v>257</v>
      </c>
      <c r="B6" s="64" t="s">
        <v>78</v>
      </c>
      <c r="C6" s="79" t="s">
        <v>221</v>
      </c>
      <c r="D6" s="79" t="s">
        <v>222</v>
      </c>
      <c r="E6" s="79" t="s">
        <v>223</v>
      </c>
      <c r="F6" s="79" t="s">
        <v>224</v>
      </c>
      <c r="G6" s="79" t="s">
        <v>225</v>
      </c>
      <c r="H6" s="79" t="s">
        <v>226</v>
      </c>
      <c r="I6" s="79" t="s">
        <v>227</v>
      </c>
      <c r="J6" s="79" t="s">
        <v>228</v>
      </c>
      <c r="K6" s="79" t="s">
        <v>229</v>
      </c>
      <c r="L6" s="79" t="s">
        <v>230</v>
      </c>
      <c r="M6" s="79" t="s">
        <v>231</v>
      </c>
      <c r="N6" s="79" t="s">
        <v>232</v>
      </c>
      <c r="O6" s="64" t="s">
        <v>258</v>
      </c>
      <c r="P6" s="65" t="s">
        <v>79</v>
      </c>
      <c r="Q6" s="65" t="s">
        <v>234</v>
      </c>
      <c r="R6" s="64" t="s">
        <v>80</v>
      </c>
      <c r="S6" s="65" t="s">
        <v>259</v>
      </c>
      <c r="T6" s="65" t="s">
        <v>260</v>
      </c>
      <c r="U6" s="64" t="s">
        <v>82</v>
      </c>
      <c r="V6" s="64" t="s">
        <v>261</v>
      </c>
      <c r="W6" s="66" t="s">
        <v>91</v>
      </c>
    </row>
    <row r="7" spans="1:23" ht="28.05" customHeight="1" x14ac:dyDescent="0.3">
      <c r="A7" s="17" t="s">
        <v>262</v>
      </c>
      <c r="B7" s="75" t="s">
        <v>263</v>
      </c>
      <c r="C7" s="87">
        <v>24</v>
      </c>
      <c r="D7" s="87">
        <v>18</v>
      </c>
      <c r="E7" s="87">
        <v>9</v>
      </c>
      <c r="F7" s="87">
        <v>5</v>
      </c>
      <c r="G7" s="87">
        <v>1</v>
      </c>
      <c r="H7" s="87">
        <v>-4</v>
      </c>
      <c r="I7" s="87"/>
      <c r="J7" s="87"/>
      <c r="K7" s="87"/>
      <c r="L7" s="87"/>
      <c r="M7" s="87"/>
      <c r="N7" s="87"/>
      <c r="O7" s="17" t="s">
        <v>264</v>
      </c>
      <c r="P7" s="88">
        <f>IF(B7="","",IFERROR(IF(INDEX($C7:$N7,Setup!$B$7)="","",INDEX($C7:$N7,Setup!$B$7)),""))</f>
        <v>-4</v>
      </c>
      <c r="Q7" s="89">
        <f>IF(OR(P7="",Setup!$B$7&lt;2),"",IFERROR(IF(INDEX($C7:$N7,Setup!$B$7-1)="","",INDEX($C7:$N7,Setup!$B$7-1)),""))</f>
        <v>1</v>
      </c>
      <c r="R7" s="90">
        <f t="shared" ref="R7:R26" si="0">IF(OR(P7="",Q7=""),"",P7-Q7)</f>
        <v>-5</v>
      </c>
      <c r="S7" s="91">
        <f>IF(P7="","",IFERROR(IF(OR((Setup!$B$7-MAX(1,Setup!$B$7-Setup!$B$13))=0,INDEX($C7:$N7,MAX(1,Setup!$B$7-Setup!$B$13))=""),"",(INDEX($C7:$N7,MAX(1,Setup!$B$7-Setup!$B$13))-P7)/(Setup!$B$7-MAX(1,Setup!$B$7-Setup!$B$13))),""))</f>
        <v>4.333333333333333</v>
      </c>
      <c r="T7" s="92" t="str">
        <f t="shared" ref="T7:T26" si="1">IF(OR(P7="",S7=""),"",IF(AND(S7&gt;0,P7&gt;0),P7/S7,""))</f>
        <v/>
      </c>
      <c r="U7" s="77" t="str">
        <f>IF(P7="","",IF(P7&gt;=Setup!$B$11,"Suspicious: "&amp;P7&amp;" days is a missing link, not good news",IF(P7&lt;0,"Already late by "&amp;-P7&amp;" days",IF(P7=0,"Critical: no float left",IF(AND(T7&lt;&gt;"",T7&lt;=Setup!$B$14),"Runs out in about "&amp;ROUNDUP(T7,0)&amp;" update(s) at this rate",IF(N(S7)&gt;0,"Burning "&amp;TEXT(S7,"0.0")&amp;" days an update","Holding"))))))</f>
        <v>Already late by 4 days</v>
      </c>
      <c r="V7" s="75" t="s">
        <v>265</v>
      </c>
      <c r="W7" s="93">
        <f t="shared" ref="W7:W26" si="2">IF(P7="","",P7+ROW()/1000)</f>
        <v>-3.9929999999999999</v>
      </c>
    </row>
    <row r="8" spans="1:23" ht="28.05" customHeight="1" x14ac:dyDescent="0.3">
      <c r="A8" s="17" t="s">
        <v>266</v>
      </c>
      <c r="B8" s="75" t="s">
        <v>267</v>
      </c>
      <c r="C8" s="87">
        <v>18</v>
      </c>
      <c r="D8" s="87">
        <v>18</v>
      </c>
      <c r="E8" s="87">
        <v>0</v>
      </c>
      <c r="F8" s="87">
        <v>0</v>
      </c>
      <c r="G8" s="87">
        <v>0</v>
      </c>
      <c r="H8" s="87">
        <v>-10</v>
      </c>
      <c r="I8" s="87"/>
      <c r="J8" s="87"/>
      <c r="K8" s="87"/>
      <c r="L8" s="87"/>
      <c r="M8" s="87"/>
      <c r="N8" s="87"/>
      <c r="O8" s="17" t="s">
        <v>268</v>
      </c>
      <c r="P8" s="88">
        <f>IF(B8="","",IFERROR(IF(INDEX($C8:$N8,Setup!$B$7)="","",INDEX($C8:$N8,Setup!$B$7)),""))</f>
        <v>-10</v>
      </c>
      <c r="Q8" s="89">
        <f>IF(OR(P8="",Setup!$B$7&lt;2),"",IFERROR(IF(INDEX($C8:$N8,Setup!$B$7-1)="","",INDEX($C8:$N8,Setup!$B$7-1)),""))</f>
        <v>0</v>
      </c>
      <c r="R8" s="90">
        <f t="shared" si="0"/>
        <v>-10</v>
      </c>
      <c r="S8" s="91">
        <f>IF(P8="","",IFERROR(IF(OR((Setup!$B$7-MAX(1,Setup!$B$7-Setup!$B$13))=0,INDEX($C8:$N8,MAX(1,Setup!$B$7-Setup!$B$13))=""),"",(INDEX($C8:$N8,MAX(1,Setup!$B$7-Setup!$B$13))-P8)/(Setup!$B$7-MAX(1,Setup!$B$7-Setup!$B$13))),""))</f>
        <v>3.3333333333333335</v>
      </c>
      <c r="T8" s="92" t="str">
        <f t="shared" si="1"/>
        <v/>
      </c>
      <c r="U8" s="77" t="str">
        <f>IF(P8="","",IF(P8&gt;=Setup!$B$11,"Suspicious: "&amp;P8&amp;" days is a missing link, not good news",IF(P8&lt;0,"Already late by "&amp;-P8&amp;" days",IF(P8=0,"Critical: no float left",IF(AND(T8&lt;&gt;"",T8&lt;=Setup!$B$14),"Runs out in about "&amp;ROUNDUP(T8,0)&amp;" update(s) at this rate",IF(N(S8)&gt;0,"Burning "&amp;TEXT(S8,"0.0")&amp;" days an update","Holding"))))))</f>
        <v>Already late by 10 days</v>
      </c>
      <c r="V8" s="75" t="s">
        <v>269</v>
      </c>
      <c r="W8" s="93">
        <f t="shared" si="2"/>
        <v>-9.9920000000000009</v>
      </c>
    </row>
    <row r="9" spans="1:23" ht="28.05" customHeight="1" x14ac:dyDescent="0.3">
      <c r="A9" s="17" t="s">
        <v>270</v>
      </c>
      <c r="B9" s="75" t="s">
        <v>271</v>
      </c>
      <c r="C9" s="87">
        <v>10</v>
      </c>
      <c r="D9" s="87">
        <v>10</v>
      </c>
      <c r="E9" s="87">
        <v>6</v>
      </c>
      <c r="F9" s="87">
        <v>4</v>
      </c>
      <c r="G9" s="87">
        <v>4</v>
      </c>
      <c r="H9" s="87">
        <v>2</v>
      </c>
      <c r="I9" s="87"/>
      <c r="J9" s="87"/>
      <c r="K9" s="87"/>
      <c r="L9" s="87"/>
      <c r="M9" s="87"/>
      <c r="N9" s="87"/>
      <c r="O9" s="17" t="s">
        <v>268</v>
      </c>
      <c r="P9" s="88">
        <f>IF(B9="","",IFERROR(IF(INDEX($C9:$N9,Setup!$B$7)="","",INDEX($C9:$N9,Setup!$B$7)),""))</f>
        <v>2</v>
      </c>
      <c r="Q9" s="89">
        <f>IF(OR(P9="",Setup!$B$7&lt;2),"",IFERROR(IF(INDEX($C9:$N9,Setup!$B$7-1)="","",INDEX($C9:$N9,Setup!$B$7-1)),""))</f>
        <v>4</v>
      </c>
      <c r="R9" s="90">
        <f t="shared" si="0"/>
        <v>-2</v>
      </c>
      <c r="S9" s="91">
        <f>IF(P9="","",IFERROR(IF(OR((Setup!$B$7-MAX(1,Setup!$B$7-Setup!$B$13))=0,INDEX($C9:$N9,MAX(1,Setup!$B$7-Setup!$B$13))=""),"",(INDEX($C9:$N9,MAX(1,Setup!$B$7-Setup!$B$13))-P9)/(Setup!$B$7-MAX(1,Setup!$B$7-Setup!$B$13))),""))</f>
        <v>1.3333333333333333</v>
      </c>
      <c r="T9" s="92">
        <f t="shared" si="1"/>
        <v>1.5</v>
      </c>
      <c r="U9" s="77" t="str">
        <f>IF(P9="","",IF(P9&gt;=Setup!$B$11,"Suspicious: "&amp;P9&amp;" days is a missing link, not good news",IF(P9&lt;0,"Already late by "&amp;-P9&amp;" days",IF(P9=0,"Critical: no float left",IF(AND(T9&lt;&gt;"",T9&lt;=Setup!$B$14),"Runs out in about "&amp;ROUNDUP(T9,0)&amp;" update(s) at this rate",IF(N(S9)&gt;0,"Burning "&amp;TEXT(S9,"0.0")&amp;" days an update","Holding"))))))</f>
        <v>Runs out in about 2 update(s) at this rate</v>
      </c>
      <c r="V9" s="75" t="s">
        <v>272</v>
      </c>
      <c r="W9" s="93">
        <f t="shared" si="2"/>
        <v>2.0089999999999999</v>
      </c>
    </row>
    <row r="10" spans="1:23" ht="28.05" customHeight="1" x14ac:dyDescent="0.3">
      <c r="A10" s="17" t="s">
        <v>273</v>
      </c>
      <c r="B10" s="75" t="s">
        <v>274</v>
      </c>
      <c r="C10" s="87">
        <v>20</v>
      </c>
      <c r="D10" s="87">
        <v>20</v>
      </c>
      <c r="E10" s="87">
        <v>15</v>
      </c>
      <c r="F10" s="87">
        <v>12</v>
      </c>
      <c r="G10" s="87">
        <v>10</v>
      </c>
      <c r="H10" s="87">
        <v>8</v>
      </c>
      <c r="I10" s="87"/>
      <c r="J10" s="87"/>
      <c r="K10" s="87"/>
      <c r="L10" s="87"/>
      <c r="M10" s="87"/>
      <c r="N10" s="87"/>
      <c r="O10" s="17" t="s">
        <v>268</v>
      </c>
      <c r="P10" s="88">
        <f>IF(B10="","",IFERROR(IF(INDEX($C10:$N10,Setup!$B$7)="","",INDEX($C10:$N10,Setup!$B$7)),""))</f>
        <v>8</v>
      </c>
      <c r="Q10" s="89">
        <f>IF(OR(P10="",Setup!$B$7&lt;2),"",IFERROR(IF(INDEX($C10:$N10,Setup!$B$7-1)="","",INDEX($C10:$N10,Setup!$B$7-1)),""))</f>
        <v>10</v>
      </c>
      <c r="R10" s="90">
        <f t="shared" si="0"/>
        <v>-2</v>
      </c>
      <c r="S10" s="91">
        <f>IF(P10="","",IFERROR(IF(OR((Setup!$B$7-MAX(1,Setup!$B$7-Setup!$B$13))=0,INDEX($C10:$N10,MAX(1,Setup!$B$7-Setup!$B$13))=""),"",(INDEX($C10:$N10,MAX(1,Setup!$B$7-Setup!$B$13))-P10)/(Setup!$B$7-MAX(1,Setup!$B$7-Setup!$B$13))),""))</f>
        <v>2.3333333333333335</v>
      </c>
      <c r="T10" s="92">
        <f t="shared" si="1"/>
        <v>3.4285714285714284</v>
      </c>
      <c r="U10" s="77" t="str">
        <f>IF(P10="","",IF(P10&gt;=Setup!$B$11,"Suspicious: "&amp;P10&amp;" days is a missing link, not good news",IF(P10&lt;0,"Already late by "&amp;-P10&amp;" days",IF(P10=0,"Critical: no float left",IF(AND(T10&lt;&gt;"",T10&lt;=Setup!$B$14),"Runs out in about "&amp;ROUNDUP(T10,0)&amp;" update(s) at this rate",IF(N(S10)&gt;0,"Burning "&amp;TEXT(S10,"0.0")&amp;" days an update","Holding"))))))</f>
        <v>Burning 2.3 days an update</v>
      </c>
      <c r="V10" s="75"/>
      <c r="W10" s="93">
        <f t="shared" si="2"/>
        <v>8.01</v>
      </c>
    </row>
    <row r="11" spans="1:23" ht="28.05" customHeight="1" x14ac:dyDescent="0.3">
      <c r="A11" s="17" t="s">
        <v>275</v>
      </c>
      <c r="B11" s="75" t="s">
        <v>276</v>
      </c>
      <c r="C11" s="87">
        <v>12</v>
      </c>
      <c r="D11" s="87">
        <v>12</v>
      </c>
      <c r="E11" s="87">
        <v>8</v>
      </c>
      <c r="F11" s="87">
        <v>6</v>
      </c>
      <c r="G11" s="87">
        <v>6</v>
      </c>
      <c r="H11" s="87">
        <v>2</v>
      </c>
      <c r="I11" s="87"/>
      <c r="J11" s="87"/>
      <c r="K11" s="87"/>
      <c r="L11" s="87"/>
      <c r="M11" s="87"/>
      <c r="N11" s="87"/>
      <c r="O11" s="17" t="s">
        <v>268</v>
      </c>
      <c r="P11" s="88">
        <f>IF(B11="","",IFERROR(IF(INDEX($C11:$N11,Setup!$B$7)="","",INDEX($C11:$N11,Setup!$B$7)),""))</f>
        <v>2</v>
      </c>
      <c r="Q11" s="89">
        <f>IF(OR(P11="",Setup!$B$7&lt;2),"",IFERROR(IF(INDEX($C11:$N11,Setup!$B$7-1)="","",INDEX($C11:$N11,Setup!$B$7-1)),""))</f>
        <v>6</v>
      </c>
      <c r="R11" s="90">
        <f t="shared" si="0"/>
        <v>-4</v>
      </c>
      <c r="S11" s="91">
        <f>IF(P11="","",IFERROR(IF(OR((Setup!$B$7-MAX(1,Setup!$B$7-Setup!$B$13))=0,INDEX($C11:$N11,MAX(1,Setup!$B$7-Setup!$B$13))=""),"",(INDEX($C11:$N11,MAX(1,Setup!$B$7-Setup!$B$13))-P11)/(Setup!$B$7-MAX(1,Setup!$B$7-Setup!$B$13))),""))</f>
        <v>2</v>
      </c>
      <c r="T11" s="92">
        <f t="shared" si="1"/>
        <v>1</v>
      </c>
      <c r="U11" s="77" t="str">
        <f>IF(P11="","",IF(P11&gt;=Setup!$B$11,"Suspicious: "&amp;P11&amp;" days is a missing link, not good news",IF(P11&lt;0,"Already late by "&amp;-P11&amp;" days",IF(P11=0,"Critical: no float left",IF(AND(T11&lt;&gt;"",T11&lt;=Setup!$B$14),"Runs out in about "&amp;ROUNDUP(T11,0)&amp;" update(s) at this rate",IF(N(S11)&gt;0,"Burning "&amp;TEXT(S11,"0.0")&amp;" days an update","Holding"))))))</f>
        <v>Runs out in about 1 update(s) at this rate</v>
      </c>
      <c r="V11" s="75"/>
      <c r="W11" s="93">
        <f t="shared" si="2"/>
        <v>2.0110000000000001</v>
      </c>
    </row>
    <row r="12" spans="1:23" ht="28.05" customHeight="1" x14ac:dyDescent="0.3">
      <c r="A12" s="17" t="s">
        <v>277</v>
      </c>
      <c r="B12" s="75" t="s">
        <v>278</v>
      </c>
      <c r="C12" s="87">
        <v>15</v>
      </c>
      <c r="D12" s="87">
        <v>15</v>
      </c>
      <c r="E12" s="87">
        <v>12</v>
      </c>
      <c r="F12" s="87">
        <v>10</v>
      </c>
      <c r="G12" s="87">
        <v>10</v>
      </c>
      <c r="H12" s="87">
        <v>6</v>
      </c>
      <c r="I12" s="87"/>
      <c r="J12" s="87"/>
      <c r="K12" s="87"/>
      <c r="L12" s="87"/>
      <c r="M12" s="87"/>
      <c r="N12" s="87"/>
      <c r="O12" s="17" t="s">
        <v>279</v>
      </c>
      <c r="P12" s="88">
        <f>IF(B12="","",IFERROR(IF(INDEX($C12:$N12,Setup!$B$7)="","",INDEX($C12:$N12,Setup!$B$7)),""))</f>
        <v>6</v>
      </c>
      <c r="Q12" s="89">
        <f>IF(OR(P12="",Setup!$B$7&lt;2),"",IFERROR(IF(INDEX($C12:$N12,Setup!$B$7-1)="","",INDEX($C12:$N12,Setup!$B$7-1)),""))</f>
        <v>10</v>
      </c>
      <c r="R12" s="90">
        <f t="shared" si="0"/>
        <v>-4</v>
      </c>
      <c r="S12" s="91">
        <f>IF(P12="","",IFERROR(IF(OR((Setup!$B$7-MAX(1,Setup!$B$7-Setup!$B$13))=0,INDEX($C12:$N12,MAX(1,Setup!$B$7-Setup!$B$13))=""),"",(INDEX($C12:$N12,MAX(1,Setup!$B$7-Setup!$B$13))-P12)/(Setup!$B$7-MAX(1,Setup!$B$7-Setup!$B$13))),""))</f>
        <v>2</v>
      </c>
      <c r="T12" s="92">
        <f t="shared" si="1"/>
        <v>3</v>
      </c>
      <c r="U12" s="77" t="str">
        <f>IF(P12="","",IF(P12&gt;=Setup!$B$11,"Suspicious: "&amp;P12&amp;" days is a missing link, not good news",IF(P12&lt;0,"Already late by "&amp;-P12&amp;" days",IF(P12=0,"Critical: no float left",IF(AND(T12&lt;&gt;"",T12&lt;=Setup!$B$14),"Runs out in about "&amp;ROUNDUP(T12,0)&amp;" update(s) at this rate",IF(N(S12)&gt;0,"Burning "&amp;TEXT(S12,"0.0")&amp;" days an update","Holding"))))))</f>
        <v>Runs out in about 3 update(s) at this rate</v>
      </c>
      <c r="V12" s="75"/>
      <c r="W12" s="93">
        <f t="shared" si="2"/>
        <v>6.0119999999999996</v>
      </c>
    </row>
    <row r="13" spans="1:23" ht="28.05" customHeight="1" x14ac:dyDescent="0.3">
      <c r="A13" s="17" t="s">
        <v>280</v>
      </c>
      <c r="B13" s="75" t="s">
        <v>281</v>
      </c>
      <c r="C13" s="87">
        <v>25</v>
      </c>
      <c r="D13" s="87">
        <v>25</v>
      </c>
      <c r="E13" s="87">
        <v>22</v>
      </c>
      <c r="F13" s="87">
        <v>20</v>
      </c>
      <c r="G13" s="87">
        <v>18</v>
      </c>
      <c r="H13" s="87">
        <v>16</v>
      </c>
      <c r="I13" s="87"/>
      <c r="J13" s="87"/>
      <c r="K13" s="87"/>
      <c r="L13" s="87"/>
      <c r="M13" s="87"/>
      <c r="N13" s="87"/>
      <c r="O13" s="17" t="s">
        <v>279</v>
      </c>
      <c r="P13" s="88">
        <f>IF(B13="","",IFERROR(IF(INDEX($C13:$N13,Setup!$B$7)="","",INDEX($C13:$N13,Setup!$B$7)),""))</f>
        <v>16</v>
      </c>
      <c r="Q13" s="89">
        <f>IF(OR(P13="",Setup!$B$7&lt;2),"",IFERROR(IF(INDEX($C13:$N13,Setup!$B$7-1)="","",INDEX($C13:$N13,Setup!$B$7-1)),""))</f>
        <v>18</v>
      </c>
      <c r="R13" s="90">
        <f t="shared" si="0"/>
        <v>-2</v>
      </c>
      <c r="S13" s="91">
        <f>IF(P13="","",IFERROR(IF(OR((Setup!$B$7-MAX(1,Setup!$B$7-Setup!$B$13))=0,INDEX($C13:$N13,MAX(1,Setup!$B$7-Setup!$B$13))=""),"",(INDEX($C13:$N13,MAX(1,Setup!$B$7-Setup!$B$13))-P13)/(Setup!$B$7-MAX(1,Setup!$B$7-Setup!$B$13))),""))</f>
        <v>2</v>
      </c>
      <c r="T13" s="92">
        <f t="shared" si="1"/>
        <v>8</v>
      </c>
      <c r="U13" s="77" t="str">
        <f>IF(P13="","",IF(P13&gt;=Setup!$B$11,"Suspicious: "&amp;P13&amp;" days is a missing link, not good news",IF(P13&lt;0,"Already late by "&amp;-P13&amp;" days",IF(P13=0,"Critical: no float left",IF(AND(T13&lt;&gt;"",T13&lt;=Setup!$B$14),"Runs out in about "&amp;ROUNDUP(T13,0)&amp;" update(s) at this rate",IF(N(S13)&gt;0,"Burning "&amp;TEXT(S13,"0.0")&amp;" days an update","Holding"))))))</f>
        <v>Burning 2.0 days an update</v>
      </c>
      <c r="V13" s="75"/>
      <c r="W13" s="93">
        <f t="shared" si="2"/>
        <v>16.013000000000002</v>
      </c>
    </row>
    <row r="14" spans="1:23" ht="28.05" customHeight="1" x14ac:dyDescent="0.3">
      <c r="A14" s="17" t="s">
        <v>282</v>
      </c>
      <c r="B14" s="75" t="s">
        <v>283</v>
      </c>
      <c r="C14" s="87">
        <v>30</v>
      </c>
      <c r="D14" s="87">
        <v>30</v>
      </c>
      <c r="E14" s="87">
        <v>28</v>
      </c>
      <c r="F14" s="87">
        <v>26</v>
      </c>
      <c r="G14" s="87">
        <v>25</v>
      </c>
      <c r="H14" s="87">
        <v>3</v>
      </c>
      <c r="I14" s="87"/>
      <c r="J14" s="87"/>
      <c r="K14" s="87"/>
      <c r="L14" s="87"/>
      <c r="M14" s="87"/>
      <c r="N14" s="87"/>
      <c r="O14" s="17" t="s">
        <v>279</v>
      </c>
      <c r="P14" s="88">
        <f>IF(B14="","",IFERROR(IF(INDEX($C14:$N14,Setup!$B$7)="","",INDEX($C14:$N14,Setup!$B$7)),""))</f>
        <v>3</v>
      </c>
      <c r="Q14" s="89">
        <f>IF(OR(P14="",Setup!$B$7&lt;2),"",IFERROR(IF(INDEX($C14:$N14,Setup!$B$7-1)="","",INDEX($C14:$N14,Setup!$B$7-1)),""))</f>
        <v>25</v>
      </c>
      <c r="R14" s="90">
        <f t="shared" si="0"/>
        <v>-22</v>
      </c>
      <c r="S14" s="91">
        <f>IF(P14="","",IFERROR(IF(OR((Setup!$B$7-MAX(1,Setup!$B$7-Setup!$B$13))=0,INDEX($C14:$N14,MAX(1,Setup!$B$7-Setup!$B$13))=""),"",(INDEX($C14:$N14,MAX(1,Setup!$B$7-Setup!$B$13))-P14)/(Setup!$B$7-MAX(1,Setup!$B$7-Setup!$B$13))),""))</f>
        <v>8.3333333333333339</v>
      </c>
      <c r="T14" s="92">
        <f t="shared" si="1"/>
        <v>0.36</v>
      </c>
      <c r="U14" s="77" t="str">
        <f>IF(P14="","",IF(P14&gt;=Setup!$B$11,"Suspicious: "&amp;P14&amp;" days is a missing link, not good news",IF(P14&lt;0,"Already late by "&amp;-P14&amp;" days",IF(P14=0,"Critical: no float left",IF(AND(T14&lt;&gt;"",T14&lt;=Setup!$B$14),"Runs out in about "&amp;ROUNDUP(T14,0)&amp;" update(s) at this rate",IF(N(S14)&gt;0,"Burning "&amp;TEXT(S14,"0.0")&amp;" days an update","Holding"))))))</f>
        <v>Runs out in about 1 update(s) at this rate</v>
      </c>
      <c r="V14" s="75" t="s">
        <v>284</v>
      </c>
      <c r="W14" s="93">
        <f t="shared" si="2"/>
        <v>3.0139999999999998</v>
      </c>
    </row>
    <row r="15" spans="1:23" ht="28.05" customHeight="1" x14ac:dyDescent="0.3">
      <c r="A15" s="17" t="s">
        <v>285</v>
      </c>
      <c r="B15" s="75" t="s">
        <v>286</v>
      </c>
      <c r="C15" s="87">
        <v>40</v>
      </c>
      <c r="D15" s="87">
        <v>40</v>
      </c>
      <c r="E15" s="87">
        <v>40</v>
      </c>
      <c r="F15" s="87">
        <v>38</v>
      </c>
      <c r="G15" s="87">
        <v>38</v>
      </c>
      <c r="H15" s="87">
        <v>36</v>
      </c>
      <c r="I15" s="87"/>
      <c r="J15" s="87"/>
      <c r="K15" s="87"/>
      <c r="L15" s="87"/>
      <c r="M15" s="87"/>
      <c r="N15" s="87"/>
      <c r="O15" s="17" t="s">
        <v>279</v>
      </c>
      <c r="P15" s="88">
        <f>IF(B15="","",IFERROR(IF(INDEX($C15:$N15,Setup!$B$7)="","",INDEX($C15:$N15,Setup!$B$7)),""))</f>
        <v>36</v>
      </c>
      <c r="Q15" s="89">
        <f>IF(OR(P15="",Setup!$B$7&lt;2),"",IFERROR(IF(INDEX($C15:$N15,Setup!$B$7-1)="","",INDEX($C15:$N15,Setup!$B$7-1)),""))</f>
        <v>38</v>
      </c>
      <c r="R15" s="90">
        <f t="shared" si="0"/>
        <v>-2</v>
      </c>
      <c r="S15" s="91">
        <f>IF(P15="","",IFERROR(IF(OR((Setup!$B$7-MAX(1,Setup!$B$7-Setup!$B$13))=0,INDEX($C15:$N15,MAX(1,Setup!$B$7-Setup!$B$13))=""),"",(INDEX($C15:$N15,MAX(1,Setup!$B$7-Setup!$B$13))-P15)/(Setup!$B$7-MAX(1,Setup!$B$7-Setup!$B$13))),""))</f>
        <v>1.3333333333333333</v>
      </c>
      <c r="T15" s="92">
        <f t="shared" si="1"/>
        <v>27</v>
      </c>
      <c r="U15" s="77" t="str">
        <f>IF(P15="","",IF(P15&gt;=Setup!$B$11,"Suspicious: "&amp;P15&amp;" days is a missing link, not good news",IF(P15&lt;0,"Already late by "&amp;-P15&amp;" days",IF(P15=0,"Critical: no float left",IF(AND(T15&lt;&gt;"",T15&lt;=Setup!$B$14),"Runs out in about "&amp;ROUNDUP(T15,0)&amp;" update(s) at this rate",IF(N(S15)&gt;0,"Burning "&amp;TEXT(S15,"0.0")&amp;" days an update","Holding"))))))</f>
        <v>Burning 1.3 days an update</v>
      </c>
      <c r="V15" s="75"/>
      <c r="W15" s="93">
        <f t="shared" si="2"/>
        <v>36.015000000000001</v>
      </c>
    </row>
    <row r="16" spans="1:23" ht="28.05" customHeight="1" x14ac:dyDescent="0.3">
      <c r="A16" s="17" t="s">
        <v>287</v>
      </c>
      <c r="B16" s="75" t="s">
        <v>288</v>
      </c>
      <c r="C16" s="87">
        <v>180</v>
      </c>
      <c r="D16" s="87">
        <v>180</v>
      </c>
      <c r="E16" s="87">
        <v>180</v>
      </c>
      <c r="F16" s="87">
        <v>180</v>
      </c>
      <c r="G16" s="87">
        <v>180</v>
      </c>
      <c r="H16" s="87">
        <v>180</v>
      </c>
      <c r="I16" s="87"/>
      <c r="J16" s="87"/>
      <c r="K16" s="87"/>
      <c r="L16" s="87"/>
      <c r="M16" s="87"/>
      <c r="N16" s="87"/>
      <c r="O16" s="17" t="s">
        <v>279</v>
      </c>
      <c r="P16" s="88">
        <f>IF(B16="","",IFERROR(IF(INDEX($C16:$N16,Setup!$B$7)="","",INDEX($C16:$N16,Setup!$B$7)),""))</f>
        <v>180</v>
      </c>
      <c r="Q16" s="89">
        <f>IF(OR(P16="",Setup!$B$7&lt;2),"",IFERROR(IF(INDEX($C16:$N16,Setup!$B$7-1)="","",INDEX($C16:$N16,Setup!$B$7-1)),""))</f>
        <v>180</v>
      </c>
      <c r="R16" s="90">
        <f t="shared" si="0"/>
        <v>0</v>
      </c>
      <c r="S16" s="91">
        <f>IF(P16="","",IFERROR(IF(OR((Setup!$B$7-MAX(1,Setup!$B$7-Setup!$B$13))=0,INDEX($C16:$N16,MAX(1,Setup!$B$7-Setup!$B$13))=""),"",(INDEX($C16:$N16,MAX(1,Setup!$B$7-Setup!$B$13))-P16)/(Setup!$B$7-MAX(1,Setup!$B$7-Setup!$B$13))),""))</f>
        <v>0</v>
      </c>
      <c r="T16" s="92" t="str">
        <f t="shared" si="1"/>
        <v/>
      </c>
      <c r="U16" s="77" t="str">
        <f>IF(P16="","",IF(P16&gt;=Setup!$B$11,"Suspicious: "&amp;P16&amp;" days is a missing link, not good news",IF(P16&lt;0,"Already late by "&amp;-P16&amp;" days",IF(P16=0,"Critical: no float left",IF(AND(T16&lt;&gt;"",T16&lt;=Setup!$B$14),"Runs out in about "&amp;ROUNDUP(T16,0)&amp;" update(s) at this rate",IF(N(S16)&gt;0,"Burning "&amp;TEXT(S16,"0.0")&amp;" days an update","Holding"))))))</f>
        <v>Suspicious: 180 days is a missing link, not good news</v>
      </c>
      <c r="V16" s="75" t="s">
        <v>289</v>
      </c>
      <c r="W16" s="93">
        <f t="shared" si="2"/>
        <v>180.01599999999999</v>
      </c>
    </row>
    <row r="17" spans="1:23" ht="28.05" customHeight="1" x14ac:dyDescent="0.3">
      <c r="A17" s="17"/>
      <c r="B17" s="75"/>
      <c r="C17" s="87"/>
      <c r="D17" s="87"/>
      <c r="E17" s="87"/>
      <c r="F17" s="87"/>
      <c r="G17" s="87"/>
      <c r="H17" s="87"/>
      <c r="I17" s="87"/>
      <c r="J17" s="87"/>
      <c r="K17" s="87"/>
      <c r="L17" s="87"/>
      <c r="M17" s="87"/>
      <c r="N17" s="87"/>
      <c r="O17" s="17"/>
      <c r="P17" s="88" t="str">
        <f>IF(B17="","",IFERROR(IF(INDEX($C17:$N17,Setup!$B$7)="","",INDEX($C17:$N17,Setup!$B$7)),""))</f>
        <v/>
      </c>
      <c r="Q17" s="89" t="str">
        <f>IF(OR(P17="",Setup!$B$7&lt;2),"",IFERROR(IF(INDEX($C17:$N17,Setup!$B$7-1)="","",INDEX($C17:$N17,Setup!$B$7-1)),""))</f>
        <v/>
      </c>
      <c r="R17" s="90" t="str">
        <f t="shared" si="0"/>
        <v/>
      </c>
      <c r="S17" s="91" t="str">
        <f>IF(P17="","",IFERROR(IF(OR((Setup!$B$7-MAX(1,Setup!$B$7-Setup!$B$13))=0,INDEX($C17:$N17,MAX(1,Setup!$B$7-Setup!$B$13))=""),"",(INDEX($C17:$N17,MAX(1,Setup!$B$7-Setup!$B$13))-P17)/(Setup!$B$7-MAX(1,Setup!$B$7-Setup!$B$13))),""))</f>
        <v/>
      </c>
      <c r="T17" s="92" t="str">
        <f t="shared" si="1"/>
        <v/>
      </c>
      <c r="U17" s="77" t="str">
        <f>IF(P17="","",IF(P17&gt;=Setup!$B$11,"Suspicious: "&amp;P17&amp;" days is a missing link, not good news",IF(P17&lt;0,"Already late by "&amp;-P17&amp;" days",IF(P17=0,"Critical: no float left",IF(AND(T17&lt;&gt;"",T17&lt;=Setup!$B$14),"Runs out in about "&amp;ROUNDUP(T17,0)&amp;" update(s) at this rate",IF(N(S17)&gt;0,"Burning "&amp;TEXT(S17,"0.0")&amp;" days an update","Holding"))))))</f>
        <v/>
      </c>
      <c r="V17" s="75"/>
      <c r="W17" s="93" t="str">
        <f t="shared" si="2"/>
        <v/>
      </c>
    </row>
    <row r="18" spans="1:23" ht="28.05" customHeight="1" x14ac:dyDescent="0.3">
      <c r="A18" s="17"/>
      <c r="B18" s="75"/>
      <c r="C18" s="87"/>
      <c r="D18" s="87"/>
      <c r="E18" s="87"/>
      <c r="F18" s="87"/>
      <c r="G18" s="87"/>
      <c r="H18" s="87"/>
      <c r="I18" s="87"/>
      <c r="J18" s="87"/>
      <c r="K18" s="87"/>
      <c r="L18" s="87"/>
      <c r="M18" s="87"/>
      <c r="N18" s="87"/>
      <c r="O18" s="17"/>
      <c r="P18" s="88" t="str">
        <f>IF(B18="","",IFERROR(IF(INDEX($C18:$N18,Setup!$B$7)="","",INDEX($C18:$N18,Setup!$B$7)),""))</f>
        <v/>
      </c>
      <c r="Q18" s="89" t="str">
        <f>IF(OR(P18="",Setup!$B$7&lt;2),"",IFERROR(IF(INDEX($C18:$N18,Setup!$B$7-1)="","",INDEX($C18:$N18,Setup!$B$7-1)),""))</f>
        <v/>
      </c>
      <c r="R18" s="90" t="str">
        <f t="shared" si="0"/>
        <v/>
      </c>
      <c r="S18" s="91" t="str">
        <f>IF(P18="","",IFERROR(IF(OR((Setup!$B$7-MAX(1,Setup!$B$7-Setup!$B$13))=0,INDEX($C18:$N18,MAX(1,Setup!$B$7-Setup!$B$13))=""),"",(INDEX($C18:$N18,MAX(1,Setup!$B$7-Setup!$B$13))-P18)/(Setup!$B$7-MAX(1,Setup!$B$7-Setup!$B$13))),""))</f>
        <v/>
      </c>
      <c r="T18" s="92" t="str">
        <f t="shared" si="1"/>
        <v/>
      </c>
      <c r="U18" s="77" t="str">
        <f>IF(P18="","",IF(P18&gt;=Setup!$B$11,"Suspicious: "&amp;P18&amp;" days is a missing link, not good news",IF(P18&lt;0,"Already late by "&amp;-P18&amp;" days",IF(P18=0,"Critical: no float left",IF(AND(T18&lt;&gt;"",T18&lt;=Setup!$B$14),"Runs out in about "&amp;ROUNDUP(T18,0)&amp;" update(s) at this rate",IF(N(S18)&gt;0,"Burning "&amp;TEXT(S18,"0.0")&amp;" days an update","Holding"))))))</f>
        <v/>
      </c>
      <c r="V18" s="75"/>
      <c r="W18" s="93" t="str">
        <f t="shared" si="2"/>
        <v/>
      </c>
    </row>
    <row r="19" spans="1:23" ht="28.05" customHeight="1" x14ac:dyDescent="0.3">
      <c r="A19" s="17"/>
      <c r="B19" s="75"/>
      <c r="C19" s="87"/>
      <c r="D19" s="87"/>
      <c r="E19" s="87"/>
      <c r="F19" s="87"/>
      <c r="G19" s="87"/>
      <c r="H19" s="87"/>
      <c r="I19" s="87"/>
      <c r="J19" s="87"/>
      <c r="K19" s="87"/>
      <c r="L19" s="87"/>
      <c r="M19" s="87"/>
      <c r="N19" s="87"/>
      <c r="O19" s="17"/>
      <c r="P19" s="88" t="str">
        <f>IF(B19="","",IFERROR(IF(INDEX($C19:$N19,Setup!$B$7)="","",INDEX($C19:$N19,Setup!$B$7)),""))</f>
        <v/>
      </c>
      <c r="Q19" s="89" t="str">
        <f>IF(OR(P19="",Setup!$B$7&lt;2),"",IFERROR(IF(INDEX($C19:$N19,Setup!$B$7-1)="","",INDEX($C19:$N19,Setup!$B$7-1)),""))</f>
        <v/>
      </c>
      <c r="R19" s="90" t="str">
        <f t="shared" si="0"/>
        <v/>
      </c>
      <c r="S19" s="91" t="str">
        <f>IF(P19="","",IFERROR(IF(OR((Setup!$B$7-MAX(1,Setup!$B$7-Setup!$B$13))=0,INDEX($C19:$N19,MAX(1,Setup!$B$7-Setup!$B$13))=""),"",(INDEX($C19:$N19,MAX(1,Setup!$B$7-Setup!$B$13))-P19)/(Setup!$B$7-MAX(1,Setup!$B$7-Setup!$B$13))),""))</f>
        <v/>
      </c>
      <c r="T19" s="92" t="str">
        <f t="shared" si="1"/>
        <v/>
      </c>
      <c r="U19" s="77" t="str">
        <f>IF(P19="","",IF(P19&gt;=Setup!$B$11,"Suspicious: "&amp;P19&amp;" days is a missing link, not good news",IF(P19&lt;0,"Already late by "&amp;-P19&amp;" days",IF(P19=0,"Critical: no float left",IF(AND(T19&lt;&gt;"",T19&lt;=Setup!$B$14),"Runs out in about "&amp;ROUNDUP(T19,0)&amp;" update(s) at this rate",IF(N(S19)&gt;0,"Burning "&amp;TEXT(S19,"0.0")&amp;" days an update","Holding"))))))</f>
        <v/>
      </c>
      <c r="V19" s="75"/>
      <c r="W19" s="93" t="str">
        <f t="shared" si="2"/>
        <v/>
      </c>
    </row>
    <row r="20" spans="1:23" ht="28.05" customHeight="1" x14ac:dyDescent="0.3">
      <c r="A20" s="17"/>
      <c r="B20" s="75"/>
      <c r="C20" s="87"/>
      <c r="D20" s="87"/>
      <c r="E20" s="87"/>
      <c r="F20" s="87"/>
      <c r="G20" s="87"/>
      <c r="H20" s="87"/>
      <c r="I20" s="87"/>
      <c r="J20" s="87"/>
      <c r="K20" s="87"/>
      <c r="L20" s="87"/>
      <c r="M20" s="87"/>
      <c r="N20" s="87"/>
      <c r="O20" s="17"/>
      <c r="P20" s="88" t="str">
        <f>IF(B20="","",IFERROR(IF(INDEX($C20:$N20,Setup!$B$7)="","",INDEX($C20:$N20,Setup!$B$7)),""))</f>
        <v/>
      </c>
      <c r="Q20" s="89" t="str">
        <f>IF(OR(P20="",Setup!$B$7&lt;2),"",IFERROR(IF(INDEX($C20:$N20,Setup!$B$7-1)="","",INDEX($C20:$N20,Setup!$B$7-1)),""))</f>
        <v/>
      </c>
      <c r="R20" s="90" t="str">
        <f t="shared" si="0"/>
        <v/>
      </c>
      <c r="S20" s="91" t="str">
        <f>IF(P20="","",IFERROR(IF(OR((Setup!$B$7-MAX(1,Setup!$B$7-Setup!$B$13))=0,INDEX($C20:$N20,MAX(1,Setup!$B$7-Setup!$B$13))=""),"",(INDEX($C20:$N20,MAX(1,Setup!$B$7-Setup!$B$13))-P20)/(Setup!$B$7-MAX(1,Setup!$B$7-Setup!$B$13))),""))</f>
        <v/>
      </c>
      <c r="T20" s="92" t="str">
        <f t="shared" si="1"/>
        <v/>
      </c>
      <c r="U20" s="77" t="str">
        <f>IF(P20="","",IF(P20&gt;=Setup!$B$11,"Suspicious: "&amp;P20&amp;" days is a missing link, not good news",IF(P20&lt;0,"Already late by "&amp;-P20&amp;" days",IF(P20=0,"Critical: no float left",IF(AND(T20&lt;&gt;"",T20&lt;=Setup!$B$14),"Runs out in about "&amp;ROUNDUP(T20,0)&amp;" update(s) at this rate",IF(N(S20)&gt;0,"Burning "&amp;TEXT(S20,"0.0")&amp;" days an update","Holding"))))))</f>
        <v/>
      </c>
      <c r="V20" s="75"/>
      <c r="W20" s="93" t="str">
        <f t="shared" si="2"/>
        <v/>
      </c>
    </row>
    <row r="21" spans="1:23" ht="28.05" customHeight="1" x14ac:dyDescent="0.3">
      <c r="A21" s="17"/>
      <c r="B21" s="75"/>
      <c r="C21" s="87"/>
      <c r="D21" s="87"/>
      <c r="E21" s="87"/>
      <c r="F21" s="87"/>
      <c r="G21" s="87"/>
      <c r="H21" s="87"/>
      <c r="I21" s="87"/>
      <c r="J21" s="87"/>
      <c r="K21" s="87"/>
      <c r="L21" s="87"/>
      <c r="M21" s="87"/>
      <c r="N21" s="87"/>
      <c r="O21" s="17"/>
      <c r="P21" s="88" t="str">
        <f>IF(B21="","",IFERROR(IF(INDEX($C21:$N21,Setup!$B$7)="","",INDEX($C21:$N21,Setup!$B$7)),""))</f>
        <v/>
      </c>
      <c r="Q21" s="89" t="str">
        <f>IF(OR(P21="",Setup!$B$7&lt;2),"",IFERROR(IF(INDEX($C21:$N21,Setup!$B$7-1)="","",INDEX($C21:$N21,Setup!$B$7-1)),""))</f>
        <v/>
      </c>
      <c r="R21" s="90" t="str">
        <f t="shared" si="0"/>
        <v/>
      </c>
      <c r="S21" s="91" t="str">
        <f>IF(P21="","",IFERROR(IF(OR((Setup!$B$7-MAX(1,Setup!$B$7-Setup!$B$13))=0,INDEX($C21:$N21,MAX(1,Setup!$B$7-Setup!$B$13))=""),"",(INDEX($C21:$N21,MAX(1,Setup!$B$7-Setup!$B$13))-P21)/(Setup!$B$7-MAX(1,Setup!$B$7-Setup!$B$13))),""))</f>
        <v/>
      </c>
      <c r="T21" s="92" t="str">
        <f t="shared" si="1"/>
        <v/>
      </c>
      <c r="U21" s="77" t="str">
        <f>IF(P21="","",IF(P21&gt;=Setup!$B$11,"Suspicious: "&amp;P21&amp;" days is a missing link, not good news",IF(P21&lt;0,"Already late by "&amp;-P21&amp;" days",IF(P21=0,"Critical: no float left",IF(AND(T21&lt;&gt;"",T21&lt;=Setup!$B$14),"Runs out in about "&amp;ROUNDUP(T21,0)&amp;" update(s) at this rate",IF(N(S21)&gt;0,"Burning "&amp;TEXT(S21,"0.0")&amp;" days an update","Holding"))))))</f>
        <v/>
      </c>
      <c r="V21" s="75"/>
      <c r="W21" s="93" t="str">
        <f t="shared" si="2"/>
        <v/>
      </c>
    </row>
    <row r="22" spans="1:23" ht="28.05" customHeight="1" x14ac:dyDescent="0.3">
      <c r="A22" s="17"/>
      <c r="B22" s="75"/>
      <c r="C22" s="87"/>
      <c r="D22" s="87"/>
      <c r="E22" s="87"/>
      <c r="F22" s="87"/>
      <c r="G22" s="87"/>
      <c r="H22" s="87"/>
      <c r="I22" s="87"/>
      <c r="J22" s="87"/>
      <c r="K22" s="87"/>
      <c r="L22" s="87"/>
      <c r="M22" s="87"/>
      <c r="N22" s="87"/>
      <c r="O22" s="17"/>
      <c r="P22" s="88" t="str">
        <f>IF(B22="","",IFERROR(IF(INDEX($C22:$N22,Setup!$B$7)="","",INDEX($C22:$N22,Setup!$B$7)),""))</f>
        <v/>
      </c>
      <c r="Q22" s="89" t="str">
        <f>IF(OR(P22="",Setup!$B$7&lt;2),"",IFERROR(IF(INDEX($C22:$N22,Setup!$B$7-1)="","",INDEX($C22:$N22,Setup!$B$7-1)),""))</f>
        <v/>
      </c>
      <c r="R22" s="90" t="str">
        <f t="shared" si="0"/>
        <v/>
      </c>
      <c r="S22" s="91" t="str">
        <f>IF(P22="","",IFERROR(IF(OR((Setup!$B$7-MAX(1,Setup!$B$7-Setup!$B$13))=0,INDEX($C22:$N22,MAX(1,Setup!$B$7-Setup!$B$13))=""),"",(INDEX($C22:$N22,MAX(1,Setup!$B$7-Setup!$B$13))-P22)/(Setup!$B$7-MAX(1,Setup!$B$7-Setup!$B$13))),""))</f>
        <v/>
      </c>
      <c r="T22" s="92" t="str">
        <f t="shared" si="1"/>
        <v/>
      </c>
      <c r="U22" s="77" t="str">
        <f>IF(P22="","",IF(P22&gt;=Setup!$B$11,"Suspicious: "&amp;P22&amp;" days is a missing link, not good news",IF(P22&lt;0,"Already late by "&amp;-P22&amp;" days",IF(P22=0,"Critical: no float left",IF(AND(T22&lt;&gt;"",T22&lt;=Setup!$B$14),"Runs out in about "&amp;ROUNDUP(T22,0)&amp;" update(s) at this rate",IF(N(S22)&gt;0,"Burning "&amp;TEXT(S22,"0.0")&amp;" days an update","Holding"))))))</f>
        <v/>
      </c>
      <c r="V22" s="75"/>
      <c r="W22" s="93" t="str">
        <f t="shared" si="2"/>
        <v/>
      </c>
    </row>
    <row r="23" spans="1:23" ht="28.05" customHeight="1" x14ac:dyDescent="0.3">
      <c r="A23" s="17"/>
      <c r="B23" s="75"/>
      <c r="C23" s="87"/>
      <c r="D23" s="87"/>
      <c r="E23" s="87"/>
      <c r="F23" s="87"/>
      <c r="G23" s="87"/>
      <c r="H23" s="87"/>
      <c r="I23" s="87"/>
      <c r="J23" s="87"/>
      <c r="K23" s="87"/>
      <c r="L23" s="87"/>
      <c r="M23" s="87"/>
      <c r="N23" s="87"/>
      <c r="O23" s="17"/>
      <c r="P23" s="88" t="str">
        <f>IF(B23="","",IFERROR(IF(INDEX($C23:$N23,Setup!$B$7)="","",INDEX($C23:$N23,Setup!$B$7)),""))</f>
        <v/>
      </c>
      <c r="Q23" s="89" t="str">
        <f>IF(OR(P23="",Setup!$B$7&lt;2),"",IFERROR(IF(INDEX($C23:$N23,Setup!$B$7-1)="","",INDEX($C23:$N23,Setup!$B$7-1)),""))</f>
        <v/>
      </c>
      <c r="R23" s="90" t="str">
        <f t="shared" si="0"/>
        <v/>
      </c>
      <c r="S23" s="91" t="str">
        <f>IF(P23="","",IFERROR(IF(OR((Setup!$B$7-MAX(1,Setup!$B$7-Setup!$B$13))=0,INDEX($C23:$N23,MAX(1,Setup!$B$7-Setup!$B$13))=""),"",(INDEX($C23:$N23,MAX(1,Setup!$B$7-Setup!$B$13))-P23)/(Setup!$B$7-MAX(1,Setup!$B$7-Setup!$B$13))),""))</f>
        <v/>
      </c>
      <c r="T23" s="92" t="str">
        <f t="shared" si="1"/>
        <v/>
      </c>
      <c r="U23" s="77" t="str">
        <f>IF(P23="","",IF(P23&gt;=Setup!$B$11,"Suspicious: "&amp;P23&amp;" days is a missing link, not good news",IF(P23&lt;0,"Already late by "&amp;-P23&amp;" days",IF(P23=0,"Critical: no float left",IF(AND(T23&lt;&gt;"",T23&lt;=Setup!$B$14),"Runs out in about "&amp;ROUNDUP(T23,0)&amp;" update(s) at this rate",IF(N(S23)&gt;0,"Burning "&amp;TEXT(S23,"0.0")&amp;" days an update","Holding"))))))</f>
        <v/>
      </c>
      <c r="V23" s="75"/>
      <c r="W23" s="93" t="str">
        <f t="shared" si="2"/>
        <v/>
      </c>
    </row>
    <row r="24" spans="1:23" ht="28.05" customHeight="1" x14ac:dyDescent="0.3">
      <c r="A24" s="17"/>
      <c r="B24" s="75"/>
      <c r="C24" s="87"/>
      <c r="D24" s="87"/>
      <c r="E24" s="87"/>
      <c r="F24" s="87"/>
      <c r="G24" s="87"/>
      <c r="H24" s="87"/>
      <c r="I24" s="87"/>
      <c r="J24" s="87"/>
      <c r="K24" s="87"/>
      <c r="L24" s="87"/>
      <c r="M24" s="87"/>
      <c r="N24" s="87"/>
      <c r="O24" s="17"/>
      <c r="P24" s="88" t="str">
        <f>IF(B24="","",IFERROR(IF(INDEX($C24:$N24,Setup!$B$7)="","",INDEX($C24:$N24,Setup!$B$7)),""))</f>
        <v/>
      </c>
      <c r="Q24" s="89" t="str">
        <f>IF(OR(P24="",Setup!$B$7&lt;2),"",IFERROR(IF(INDEX($C24:$N24,Setup!$B$7-1)="","",INDEX($C24:$N24,Setup!$B$7-1)),""))</f>
        <v/>
      </c>
      <c r="R24" s="90" t="str">
        <f t="shared" si="0"/>
        <v/>
      </c>
      <c r="S24" s="91" t="str">
        <f>IF(P24="","",IFERROR(IF(OR((Setup!$B$7-MAX(1,Setup!$B$7-Setup!$B$13))=0,INDEX($C24:$N24,MAX(1,Setup!$B$7-Setup!$B$13))=""),"",(INDEX($C24:$N24,MAX(1,Setup!$B$7-Setup!$B$13))-P24)/(Setup!$B$7-MAX(1,Setup!$B$7-Setup!$B$13))),""))</f>
        <v/>
      </c>
      <c r="T24" s="92" t="str">
        <f t="shared" si="1"/>
        <v/>
      </c>
      <c r="U24" s="77" t="str">
        <f>IF(P24="","",IF(P24&gt;=Setup!$B$11,"Suspicious: "&amp;P24&amp;" days is a missing link, not good news",IF(P24&lt;0,"Already late by "&amp;-P24&amp;" days",IF(P24=0,"Critical: no float left",IF(AND(T24&lt;&gt;"",T24&lt;=Setup!$B$14),"Runs out in about "&amp;ROUNDUP(T24,0)&amp;" update(s) at this rate",IF(N(S24)&gt;0,"Burning "&amp;TEXT(S24,"0.0")&amp;" days an update","Holding"))))))</f>
        <v/>
      </c>
      <c r="V24" s="75"/>
      <c r="W24" s="93" t="str">
        <f t="shared" si="2"/>
        <v/>
      </c>
    </row>
    <row r="25" spans="1:23" ht="28.05" customHeight="1" x14ac:dyDescent="0.3">
      <c r="A25" s="17"/>
      <c r="B25" s="75"/>
      <c r="C25" s="87"/>
      <c r="D25" s="87"/>
      <c r="E25" s="87"/>
      <c r="F25" s="87"/>
      <c r="G25" s="87"/>
      <c r="H25" s="87"/>
      <c r="I25" s="87"/>
      <c r="J25" s="87"/>
      <c r="K25" s="87"/>
      <c r="L25" s="87"/>
      <c r="M25" s="87"/>
      <c r="N25" s="87"/>
      <c r="O25" s="17"/>
      <c r="P25" s="88" t="str">
        <f>IF(B25="","",IFERROR(IF(INDEX($C25:$N25,Setup!$B$7)="","",INDEX($C25:$N25,Setup!$B$7)),""))</f>
        <v/>
      </c>
      <c r="Q25" s="89" t="str">
        <f>IF(OR(P25="",Setup!$B$7&lt;2),"",IFERROR(IF(INDEX($C25:$N25,Setup!$B$7-1)="","",INDEX($C25:$N25,Setup!$B$7-1)),""))</f>
        <v/>
      </c>
      <c r="R25" s="90" t="str">
        <f t="shared" si="0"/>
        <v/>
      </c>
      <c r="S25" s="91" t="str">
        <f>IF(P25="","",IFERROR(IF(OR((Setup!$B$7-MAX(1,Setup!$B$7-Setup!$B$13))=0,INDEX($C25:$N25,MAX(1,Setup!$B$7-Setup!$B$13))=""),"",(INDEX($C25:$N25,MAX(1,Setup!$B$7-Setup!$B$13))-P25)/(Setup!$B$7-MAX(1,Setup!$B$7-Setup!$B$13))),""))</f>
        <v/>
      </c>
      <c r="T25" s="92" t="str">
        <f t="shared" si="1"/>
        <v/>
      </c>
      <c r="U25" s="77" t="str">
        <f>IF(P25="","",IF(P25&gt;=Setup!$B$11,"Suspicious: "&amp;P25&amp;" days is a missing link, not good news",IF(P25&lt;0,"Already late by "&amp;-P25&amp;" days",IF(P25=0,"Critical: no float left",IF(AND(T25&lt;&gt;"",T25&lt;=Setup!$B$14),"Runs out in about "&amp;ROUNDUP(T25,0)&amp;" update(s) at this rate",IF(N(S25)&gt;0,"Burning "&amp;TEXT(S25,"0.0")&amp;" days an update","Holding"))))))</f>
        <v/>
      </c>
      <c r="V25" s="75"/>
      <c r="W25" s="93" t="str">
        <f t="shared" si="2"/>
        <v/>
      </c>
    </row>
    <row r="26" spans="1:23" ht="28.05" customHeight="1" x14ac:dyDescent="0.3">
      <c r="A26" s="17"/>
      <c r="B26" s="75"/>
      <c r="C26" s="87"/>
      <c r="D26" s="87"/>
      <c r="E26" s="87"/>
      <c r="F26" s="87"/>
      <c r="G26" s="87"/>
      <c r="H26" s="87"/>
      <c r="I26" s="87"/>
      <c r="J26" s="87"/>
      <c r="K26" s="87"/>
      <c r="L26" s="87"/>
      <c r="M26" s="87"/>
      <c r="N26" s="87"/>
      <c r="O26" s="17"/>
      <c r="P26" s="88" t="str">
        <f>IF(B26="","",IFERROR(IF(INDEX($C26:$N26,Setup!$B$7)="","",INDEX($C26:$N26,Setup!$B$7)),""))</f>
        <v/>
      </c>
      <c r="Q26" s="89" t="str">
        <f>IF(OR(P26="",Setup!$B$7&lt;2),"",IFERROR(IF(INDEX($C26:$N26,Setup!$B$7-1)="","",INDEX($C26:$N26,Setup!$B$7-1)),""))</f>
        <v/>
      </c>
      <c r="R26" s="90" t="str">
        <f t="shared" si="0"/>
        <v/>
      </c>
      <c r="S26" s="91" t="str">
        <f>IF(P26="","",IFERROR(IF(OR((Setup!$B$7-MAX(1,Setup!$B$7-Setup!$B$13))=0,INDEX($C26:$N26,MAX(1,Setup!$B$7-Setup!$B$13))=""),"",(INDEX($C26:$N26,MAX(1,Setup!$B$7-Setup!$B$13))-P26)/(Setup!$B$7-MAX(1,Setup!$B$7-Setup!$B$13))),""))</f>
        <v/>
      </c>
      <c r="T26" s="92" t="str">
        <f t="shared" si="1"/>
        <v/>
      </c>
      <c r="U26" s="77" t="str">
        <f>IF(P26="","",IF(P26&gt;=Setup!$B$11,"Suspicious: "&amp;P26&amp;" days is a missing link, not good news",IF(P26&lt;0,"Already late by "&amp;-P26&amp;" days",IF(P26=0,"Critical: no float left",IF(AND(T26&lt;&gt;"",T26&lt;=Setup!$B$14),"Runs out in about "&amp;ROUNDUP(T26,0)&amp;" update(s) at this rate",IF(N(S26)&gt;0,"Burning "&amp;TEXT(S26,"0.0")&amp;" days an update","Holding"))))))</f>
        <v/>
      </c>
      <c r="V26" s="75"/>
      <c r="W26" s="93" t="str">
        <f t="shared" si="2"/>
        <v/>
      </c>
    </row>
    <row r="28" spans="1:23" x14ac:dyDescent="0.3">
      <c r="A28" s="53" t="s">
        <v>290</v>
      </c>
    </row>
  </sheetData>
  <sheetProtection sheet="1" formatCells="0" formatColumns="0" formatRows="0" insertColumns="0" insertRows="0" insertHyperlinks="0" deleteColumns="0" deleteRows="0" sort="0" autoFilter="0" pivotTables="0"/>
  <conditionalFormatting sqref="C7:N26">
    <cfRule type="cellIs" dxfId="16" priority="4" operator="lessThan">
      <formula>0</formula>
    </cfRule>
  </conditionalFormatting>
  <conditionalFormatting sqref="R7:R26">
    <cfRule type="cellIs" dxfId="15" priority="6" operator="lessThan">
      <formula>0</formula>
    </cfRule>
  </conditionalFormatting>
  <conditionalFormatting sqref="U7:U26">
    <cfRule type="expression" dxfId="14" priority="1">
      <formula>OR(LEFT(U7,7)="Already",LEFT(U7,8)="Critical")</formula>
    </cfRule>
    <cfRule type="expression" dxfId="13" priority="2">
      <formula>OR(LEFT(U7,4)="Runs",LEFT(U7,10)="Suspicious")</formula>
    </cfRule>
    <cfRule type="expression" dxfId="12" priority="3">
      <formula>U7="Holding"</formula>
    </cfRule>
  </conditionalFormatting>
  <printOptions horizontalCentered="1"/>
  <pageMargins left="0.4" right="0.4" top="0.5" bottom="0.5" header="0.5" footer="0.5"/>
  <pageSetup paperSize="9" scale="52" orientation="landscape" r:id="rId1"/>
  <legacyDrawing r:id="rId2"/>
  <extLst>
    <ext xmlns:x14="http://schemas.microsoft.com/office/spreadsheetml/2009/9/main" uri="{78C0D931-6437-407d-A8EE-F0AAD7539E65}">
      <x14:conditionalFormattings>
        <x14:conditionalFormatting xmlns:xm="http://schemas.microsoft.com/office/excel/2006/main">
          <x14:cfRule type="expression" priority="5" id="{00000000-000E-0000-0400-000005000000}">
            <xm:f>COLUMN(C6)-2=Setup!$B$7</xm:f>
            <x14:dxf>
              <fill>
                <patternFill patternType="solid">
                  <fgColor rgb="FFCCFBF1"/>
                </patternFill>
              </fill>
            </x14:dxf>
          </x14:cfRule>
          <xm:sqref>C6:N26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B8A6"/>
    <pageSetUpPr fitToPage="1"/>
  </sheetPr>
  <dimension ref="A1:N48"/>
  <sheetViews>
    <sheetView showGridLines="0" view="pageBreakPreview" zoomScale="90" zoomScaleNormal="100" zoomScaleSheetLayoutView="90" workbookViewId="0">
      <pane xSplit="2" ySplit="6" topLeftCell="C7" activePane="bottomRight" state="frozen"/>
      <selection pane="topRight"/>
      <selection pane="bottomLeft"/>
      <selection pane="bottomRight"/>
    </sheetView>
  </sheetViews>
  <sheetFormatPr defaultRowHeight="14.4" x14ac:dyDescent="0.3"/>
  <cols>
    <col min="1" max="1" width="8" style="2" customWidth="1"/>
    <col min="2" max="2" width="32" style="2" customWidth="1"/>
    <col min="3" max="4" width="15" style="2" customWidth="1"/>
    <col min="5" max="6" width="9" style="2" customWidth="1"/>
    <col min="7" max="7" width="8" style="2" customWidth="1"/>
    <col min="8" max="8" width="10" style="2" customWidth="1"/>
    <col min="9" max="9" width="9" style="2" customWidth="1"/>
    <col min="10" max="10" width="10" style="2" customWidth="1"/>
    <col min="11" max="11" width="11" style="2" customWidth="1"/>
    <col min="12" max="12" width="42" style="2" customWidth="1"/>
    <col min="13" max="13" width="46" style="2" customWidth="1"/>
    <col min="14" max="14" width="4" style="2" customWidth="1"/>
    <col min="15" max="16384" width="8.88671875" style="2"/>
  </cols>
  <sheetData>
    <row r="1" spans="1:14" ht="28.05" customHeight="1" x14ac:dyDescent="0.4">
      <c r="A1" s="58" t="s">
        <v>48</v>
      </c>
      <c r="M1" s="78" t="s">
        <v>62</v>
      </c>
    </row>
    <row r="2" spans="1:14" x14ac:dyDescent="0.3">
      <c r="A2" s="59" t="s">
        <v>291</v>
      </c>
    </row>
    <row r="3" spans="1:14" x14ac:dyDescent="0.3">
      <c r="A3" s="60" t="s">
        <v>292</v>
      </c>
    </row>
    <row r="4" spans="1:14" x14ac:dyDescent="0.3">
      <c r="A4" s="61"/>
      <c r="B4" s="61"/>
      <c r="C4" s="61"/>
      <c r="D4" s="61"/>
      <c r="E4" s="61"/>
      <c r="F4" s="61"/>
      <c r="G4" s="61"/>
      <c r="H4" s="61"/>
      <c r="I4" s="61"/>
      <c r="J4" s="61"/>
      <c r="K4" s="61"/>
      <c r="L4" s="61"/>
      <c r="M4" s="61"/>
      <c r="N4" s="61"/>
    </row>
    <row r="6" spans="1:14" ht="31.95" customHeight="1" x14ac:dyDescent="0.3">
      <c r="A6" s="64" t="s">
        <v>293</v>
      </c>
      <c r="B6" s="64" t="s">
        <v>78</v>
      </c>
      <c r="C6" s="65" t="s">
        <v>294</v>
      </c>
      <c r="D6" s="64" t="s">
        <v>295</v>
      </c>
      <c r="E6" s="65" t="s">
        <v>296</v>
      </c>
      <c r="F6" s="65" t="s">
        <v>297</v>
      </c>
      <c r="G6" s="64" t="s">
        <v>298</v>
      </c>
      <c r="H6" s="65" t="s">
        <v>299</v>
      </c>
      <c r="I6" s="65" t="s">
        <v>300</v>
      </c>
      <c r="J6" s="65" t="s">
        <v>301</v>
      </c>
      <c r="K6" s="65" t="s">
        <v>302</v>
      </c>
      <c r="L6" s="65" t="s">
        <v>303</v>
      </c>
      <c r="M6" s="64" t="s">
        <v>304</v>
      </c>
      <c r="N6" s="94" t="s">
        <v>305</v>
      </c>
    </row>
    <row r="7" spans="1:14" ht="28.05" customHeight="1" x14ac:dyDescent="0.3">
      <c r="A7" s="17" t="s">
        <v>270</v>
      </c>
      <c r="B7" s="75" t="s">
        <v>306</v>
      </c>
      <c r="C7" s="17" t="s">
        <v>112</v>
      </c>
      <c r="D7" s="17" t="s">
        <v>307</v>
      </c>
      <c r="E7" s="95">
        <v>0.3</v>
      </c>
      <c r="F7" s="95">
        <v>0.6</v>
      </c>
      <c r="G7" s="95">
        <v>0.9</v>
      </c>
      <c r="H7" s="80">
        <v>24</v>
      </c>
      <c r="I7" s="80">
        <v>4</v>
      </c>
      <c r="J7" s="82">
        <f>IF(OR(H7="",Setup!$B$16=""),"",MAX(0,H7-Setup!$B$16))</f>
        <v>2</v>
      </c>
      <c r="K7" s="83">
        <f>IF(OR(I7="",H7="",Setup!$B$16=""),"",IF(I7=0,"",I7-(H7-Setup!$B$16)))</f>
        <v>2</v>
      </c>
      <c r="L7" s="75" t="s">
        <v>308</v>
      </c>
      <c r="M7" s="77" t="str">
        <f t="shared" ref="M7:M46" si="0">IF(B7="","",IF(D7="","Write where the figure came from. ",IF(OR(D7="Phone call",D7="Memory"),"Not a site record: check it. ",""))&amp;IF(AND(ISNUMBER(E7),ISNUMBER(F7),ISNUMBER(G7),G7&gt;0,G7&lt;1,G7=F7,F7=E7),"Stuck at "&amp;TEXT(G7,"0%")&amp;" for three updates: describe the problem. ","")&amp;IF(AND(ISNUMBER(K7),K7&gt;0),"Finish moved "&amp;K7&amp;" working days later. ","")&amp;IF(AND(ISNUMBER(G7),G7&lt;1,I7=""),"No days-left figure: ask. ",""))</f>
        <v xml:space="preserve">Finish moved 2 working days later. </v>
      </c>
      <c r="N7" s="96" t="str">
        <f t="shared" ref="N7:N46" si="1">IF(B7="","",IF(M7="","✔",""))</f>
        <v/>
      </c>
    </row>
    <row r="8" spans="1:14" ht="28.05" customHeight="1" x14ac:dyDescent="0.3">
      <c r="A8" s="17" t="s">
        <v>262</v>
      </c>
      <c r="B8" s="75" t="s">
        <v>263</v>
      </c>
      <c r="C8" s="17" t="s">
        <v>309</v>
      </c>
      <c r="D8" s="17" t="s">
        <v>310</v>
      </c>
      <c r="E8" s="95">
        <v>0.3</v>
      </c>
      <c r="F8" s="95">
        <v>0.3</v>
      </c>
      <c r="G8" s="95">
        <v>0.3</v>
      </c>
      <c r="H8" s="80">
        <v>30</v>
      </c>
      <c r="I8" s="80">
        <v>13</v>
      </c>
      <c r="J8" s="82">
        <f>IF(OR(H8="",Setup!$B$16=""),"",MAX(0,H8-Setup!$B$16))</f>
        <v>8</v>
      </c>
      <c r="K8" s="83">
        <f>IF(OR(I8="",H8="",Setup!$B$16=""),"",IF(I8=0,"",I8-(H8-Setup!$B$16)))</f>
        <v>5</v>
      </c>
      <c r="L8" s="75" t="s">
        <v>311</v>
      </c>
      <c r="M8" s="77" t="str">
        <f t="shared" si="0"/>
        <v xml:space="preserve">Stuck at 30% for three updates: describe the problem. Finish moved 5 working days later. </v>
      </c>
      <c r="N8" s="96" t="str">
        <f t="shared" si="1"/>
        <v/>
      </c>
    </row>
    <row r="9" spans="1:14" ht="28.05" customHeight="1" x14ac:dyDescent="0.3">
      <c r="A9" s="17" t="s">
        <v>273</v>
      </c>
      <c r="B9" s="75" t="s">
        <v>274</v>
      </c>
      <c r="C9" s="17" t="s">
        <v>112</v>
      </c>
      <c r="D9" s="17" t="s">
        <v>312</v>
      </c>
      <c r="E9" s="95">
        <v>0.2</v>
      </c>
      <c r="F9" s="95">
        <v>0.4</v>
      </c>
      <c r="G9" s="95">
        <v>0.55000000000000004</v>
      </c>
      <c r="H9" s="80">
        <v>38</v>
      </c>
      <c r="I9" s="80">
        <v>18</v>
      </c>
      <c r="J9" s="82">
        <f>IF(OR(H9="",Setup!$B$16=""),"",MAX(0,H9-Setup!$B$16))</f>
        <v>16</v>
      </c>
      <c r="K9" s="83">
        <f>IF(OR(I9="",H9="",Setup!$B$16=""),"",IF(I9=0,"",I9-(H9-Setup!$B$16)))</f>
        <v>2</v>
      </c>
      <c r="L9" s="75"/>
      <c r="M9" s="77" t="str">
        <f t="shared" si="0"/>
        <v xml:space="preserve">Finish moved 2 working days later. </v>
      </c>
      <c r="N9" s="96" t="str">
        <f t="shared" si="1"/>
        <v/>
      </c>
    </row>
    <row r="10" spans="1:14" ht="28.05" customHeight="1" x14ac:dyDescent="0.3">
      <c r="A10" s="17" t="s">
        <v>280</v>
      </c>
      <c r="B10" s="75" t="s">
        <v>281</v>
      </c>
      <c r="C10" s="17" t="s">
        <v>313</v>
      </c>
      <c r="D10" s="17" t="s">
        <v>314</v>
      </c>
      <c r="E10" s="95">
        <v>0.5</v>
      </c>
      <c r="F10" s="95">
        <v>0.7</v>
      </c>
      <c r="G10" s="95">
        <v>0.8</v>
      </c>
      <c r="H10" s="80">
        <v>28</v>
      </c>
      <c r="I10" s="80">
        <v>8</v>
      </c>
      <c r="J10" s="82">
        <f>IF(OR(H10="",Setup!$B$16=""),"",MAX(0,H10-Setup!$B$16))</f>
        <v>6</v>
      </c>
      <c r="K10" s="83">
        <f>IF(OR(I10="",H10="",Setup!$B$16=""),"",IF(I10=0,"",I10-(H10-Setup!$B$16)))</f>
        <v>2</v>
      </c>
      <c r="L10" s="75" t="s">
        <v>315</v>
      </c>
      <c r="M10" s="77" t="str">
        <f t="shared" si="0"/>
        <v xml:space="preserve">Not a site record: check it. Finish moved 2 working days later. </v>
      </c>
      <c r="N10" s="96" t="str">
        <f t="shared" si="1"/>
        <v/>
      </c>
    </row>
    <row r="11" spans="1:14" ht="28.05" customHeight="1" x14ac:dyDescent="0.3">
      <c r="A11" s="17" t="s">
        <v>282</v>
      </c>
      <c r="B11" s="75" t="s">
        <v>283</v>
      </c>
      <c r="C11" s="17" t="s">
        <v>316</v>
      </c>
      <c r="D11" s="17" t="s">
        <v>307</v>
      </c>
      <c r="E11" s="95">
        <v>0.9</v>
      </c>
      <c r="F11" s="95">
        <v>0.9</v>
      </c>
      <c r="G11" s="95">
        <v>0.9</v>
      </c>
      <c r="H11" s="80">
        <v>8</v>
      </c>
      <c r="I11" s="80">
        <v>8</v>
      </c>
      <c r="J11" s="82">
        <f>IF(OR(H11="",Setup!$B$16=""),"",MAX(0,H11-Setup!$B$16))</f>
        <v>0</v>
      </c>
      <c r="K11" s="83">
        <f>IF(OR(I11="",H11="",Setup!$B$16=""),"",IF(I11=0,"",I11-(H11-Setup!$B$16)))</f>
        <v>22</v>
      </c>
      <c r="L11" s="75" t="s">
        <v>317</v>
      </c>
      <c r="M11" s="77" t="str">
        <f t="shared" si="0"/>
        <v xml:space="preserve">Stuck at 90% for three updates: describe the problem. Finish moved 22 working days later. </v>
      </c>
      <c r="N11" s="96" t="str">
        <f t="shared" si="1"/>
        <v/>
      </c>
    </row>
    <row r="12" spans="1:14" ht="28.05" customHeight="1" x14ac:dyDescent="0.3">
      <c r="A12" s="17" t="s">
        <v>318</v>
      </c>
      <c r="B12" s="75" t="s">
        <v>319</v>
      </c>
      <c r="C12" s="17" t="s">
        <v>112</v>
      </c>
      <c r="D12" s="17" t="s">
        <v>320</v>
      </c>
      <c r="E12" s="95">
        <v>0.7</v>
      </c>
      <c r="F12" s="95">
        <v>0.85</v>
      </c>
      <c r="G12" s="95">
        <v>1</v>
      </c>
      <c r="H12" s="80">
        <v>5</v>
      </c>
      <c r="I12" s="80">
        <v>0</v>
      </c>
      <c r="J12" s="82">
        <f>IF(OR(H12="",Setup!$B$16=""),"",MAX(0,H12-Setup!$B$16))</f>
        <v>0</v>
      </c>
      <c r="K12" s="83" t="str">
        <f>IF(OR(I12="",H12="",Setup!$B$16=""),"",IF(I12=0,"",I12-(H12-Setup!$B$16)))</f>
        <v/>
      </c>
      <c r="L12" s="75" t="s">
        <v>321</v>
      </c>
      <c r="M12" s="77" t="str">
        <f t="shared" si="0"/>
        <v/>
      </c>
      <c r="N12" s="96" t="str">
        <f t="shared" si="1"/>
        <v>✔</v>
      </c>
    </row>
    <row r="13" spans="1:14" ht="28.05" customHeight="1" x14ac:dyDescent="0.3">
      <c r="A13" s="17" t="s">
        <v>285</v>
      </c>
      <c r="B13" s="75" t="s">
        <v>286</v>
      </c>
      <c r="C13" s="17" t="s">
        <v>322</v>
      </c>
      <c r="D13" s="17" t="s">
        <v>307</v>
      </c>
      <c r="E13" s="95">
        <v>0.1</v>
      </c>
      <c r="F13" s="95">
        <v>0.25</v>
      </c>
      <c r="G13" s="95">
        <v>0.4</v>
      </c>
      <c r="H13" s="80">
        <v>40</v>
      </c>
      <c r="I13" s="80">
        <v>20</v>
      </c>
      <c r="J13" s="82">
        <f>IF(OR(H13="",Setup!$B$16=""),"",MAX(0,H13-Setup!$B$16))</f>
        <v>18</v>
      </c>
      <c r="K13" s="83">
        <f>IF(OR(I13="",H13="",Setup!$B$16=""),"",IF(I13=0,"",I13-(H13-Setup!$B$16)))</f>
        <v>2</v>
      </c>
      <c r="L13" s="75"/>
      <c r="M13" s="77" t="str">
        <f t="shared" si="0"/>
        <v xml:space="preserve">Finish moved 2 working days later. </v>
      </c>
      <c r="N13" s="96" t="str">
        <f t="shared" si="1"/>
        <v/>
      </c>
    </row>
    <row r="14" spans="1:14" ht="28.05" customHeight="1" x14ac:dyDescent="0.3">
      <c r="A14" s="17" t="s">
        <v>323</v>
      </c>
      <c r="B14" s="75" t="s">
        <v>324</v>
      </c>
      <c r="C14" s="17" t="s">
        <v>322</v>
      </c>
      <c r="D14" s="17" t="s">
        <v>310</v>
      </c>
      <c r="E14" s="95">
        <v>0</v>
      </c>
      <c r="F14" s="95">
        <v>0.3</v>
      </c>
      <c r="G14" s="95">
        <v>0.75</v>
      </c>
      <c r="H14" s="80">
        <v>26</v>
      </c>
      <c r="I14" s="80">
        <v>4</v>
      </c>
      <c r="J14" s="82">
        <f>IF(OR(H14="",Setup!$B$16=""),"",MAX(0,H14-Setup!$B$16))</f>
        <v>4</v>
      </c>
      <c r="K14" s="83">
        <f>IF(OR(I14="",H14="",Setup!$B$16=""),"",IF(I14=0,"",I14-(H14-Setup!$B$16)))</f>
        <v>0</v>
      </c>
      <c r="L14" s="75"/>
      <c r="M14" s="77" t="str">
        <f t="shared" si="0"/>
        <v/>
      </c>
      <c r="N14" s="96" t="str">
        <f t="shared" si="1"/>
        <v>✔</v>
      </c>
    </row>
    <row r="15" spans="1:14" ht="28.05" customHeight="1" x14ac:dyDescent="0.3">
      <c r="A15" s="17" t="s">
        <v>325</v>
      </c>
      <c r="B15" s="75" t="s">
        <v>326</v>
      </c>
      <c r="C15" s="17" t="s">
        <v>327</v>
      </c>
      <c r="D15" s="17" t="s">
        <v>312</v>
      </c>
      <c r="E15" s="95">
        <v>0</v>
      </c>
      <c r="F15" s="95">
        <v>0.2</v>
      </c>
      <c r="G15" s="95">
        <v>0.45</v>
      </c>
      <c r="H15" s="80">
        <v>32</v>
      </c>
      <c r="I15" s="80">
        <v>12</v>
      </c>
      <c r="J15" s="82">
        <f>IF(OR(H15="",Setup!$B$16=""),"",MAX(0,H15-Setup!$B$16))</f>
        <v>10</v>
      </c>
      <c r="K15" s="83">
        <f>IF(OR(I15="",H15="",Setup!$B$16=""),"",IF(I15=0,"",I15-(H15-Setup!$B$16)))</f>
        <v>2</v>
      </c>
      <c r="L15" s="75" t="s">
        <v>328</v>
      </c>
      <c r="M15" s="77" t="str">
        <f t="shared" si="0"/>
        <v xml:space="preserve">Finish moved 2 working days later. </v>
      </c>
      <c r="N15" s="96" t="str">
        <f t="shared" si="1"/>
        <v/>
      </c>
    </row>
    <row r="16" spans="1:14" ht="28.05" customHeight="1" x14ac:dyDescent="0.3">
      <c r="A16" s="17" t="s">
        <v>329</v>
      </c>
      <c r="B16" s="75" t="s">
        <v>330</v>
      </c>
      <c r="C16" s="17" t="s">
        <v>313</v>
      </c>
      <c r="D16" s="17" t="s">
        <v>331</v>
      </c>
      <c r="E16" s="95">
        <v>0</v>
      </c>
      <c r="F16" s="95">
        <v>0.1</v>
      </c>
      <c r="G16" s="95">
        <v>0.3</v>
      </c>
      <c r="H16" s="80">
        <v>48</v>
      </c>
      <c r="I16" s="80">
        <v>26</v>
      </c>
      <c r="J16" s="82">
        <f>IF(OR(H16="",Setup!$B$16=""),"",MAX(0,H16-Setup!$B$16))</f>
        <v>26</v>
      </c>
      <c r="K16" s="83">
        <f>IF(OR(I16="",H16="",Setup!$B$16=""),"",IF(I16=0,"",I16-(H16-Setup!$B$16)))</f>
        <v>0</v>
      </c>
      <c r="L16" s="75"/>
      <c r="M16" s="77" t="str">
        <f t="shared" si="0"/>
        <v/>
      </c>
      <c r="N16" s="96" t="str">
        <f t="shared" si="1"/>
        <v>✔</v>
      </c>
    </row>
    <row r="17" spans="1:14" ht="28.05" customHeight="1" x14ac:dyDescent="0.3">
      <c r="A17" s="17" t="s">
        <v>332</v>
      </c>
      <c r="B17" s="75" t="s">
        <v>267</v>
      </c>
      <c r="C17" s="17" t="s">
        <v>327</v>
      </c>
      <c r="D17" s="17" t="s">
        <v>307</v>
      </c>
      <c r="E17" s="95"/>
      <c r="F17" s="95"/>
      <c r="G17" s="95">
        <v>0.15</v>
      </c>
      <c r="H17" s="80"/>
      <c r="I17" s="80">
        <v>24</v>
      </c>
      <c r="J17" s="82" t="str">
        <f>IF(OR(H17="",Setup!$B$16=""),"",MAX(0,H17-Setup!$B$16))</f>
        <v/>
      </c>
      <c r="K17" s="83" t="str">
        <f>IF(OR(I17="",H17="",Setup!$B$16=""),"",IF(I17=0,"",I17-(H17-Setup!$B$16)))</f>
        <v/>
      </c>
      <c r="L17" s="75" t="s">
        <v>333</v>
      </c>
      <c r="M17" s="77" t="str">
        <f t="shared" si="0"/>
        <v/>
      </c>
      <c r="N17" s="96" t="str">
        <f t="shared" si="1"/>
        <v>✔</v>
      </c>
    </row>
    <row r="18" spans="1:14" ht="28.05" customHeight="1" x14ac:dyDescent="0.3">
      <c r="A18" s="17" t="s">
        <v>334</v>
      </c>
      <c r="B18" s="75" t="s">
        <v>335</v>
      </c>
      <c r="C18" s="17" t="s">
        <v>322</v>
      </c>
      <c r="D18" s="17" t="s">
        <v>307</v>
      </c>
      <c r="E18" s="95"/>
      <c r="F18" s="95"/>
      <c r="G18" s="95">
        <v>0.05</v>
      </c>
      <c r="H18" s="80"/>
      <c r="I18" s="80">
        <v>20</v>
      </c>
      <c r="J18" s="82" t="str">
        <f>IF(OR(H18="",Setup!$B$16=""),"",MAX(0,H18-Setup!$B$16))</f>
        <v/>
      </c>
      <c r="K18" s="83" t="str">
        <f>IF(OR(I18="",H18="",Setup!$B$16=""),"",IF(I18=0,"",I18-(H18-Setup!$B$16)))</f>
        <v/>
      </c>
      <c r="L18" s="75" t="s">
        <v>336</v>
      </c>
      <c r="M18" s="77" t="str">
        <f t="shared" si="0"/>
        <v/>
      </c>
      <c r="N18" s="96" t="str">
        <f t="shared" si="1"/>
        <v>✔</v>
      </c>
    </row>
    <row r="19" spans="1:14" ht="28.05" customHeight="1" x14ac:dyDescent="0.3">
      <c r="A19" s="17"/>
      <c r="B19" s="75"/>
      <c r="C19" s="17"/>
      <c r="D19" s="17"/>
      <c r="E19" s="95"/>
      <c r="F19" s="95"/>
      <c r="G19" s="95"/>
      <c r="H19" s="80"/>
      <c r="I19" s="80"/>
      <c r="J19" s="82" t="str">
        <f>IF(OR(H19="",Setup!$B$16=""),"",MAX(0,H19-Setup!$B$16))</f>
        <v/>
      </c>
      <c r="K19" s="83" t="str">
        <f>IF(OR(I19="",H19="",Setup!$B$16=""),"",IF(I19=0,"",I19-(H19-Setup!$B$16)))</f>
        <v/>
      </c>
      <c r="L19" s="75"/>
      <c r="M19" s="77" t="str">
        <f t="shared" si="0"/>
        <v/>
      </c>
      <c r="N19" s="96" t="str">
        <f t="shared" si="1"/>
        <v/>
      </c>
    </row>
    <row r="20" spans="1:14" ht="28.05" customHeight="1" x14ac:dyDescent="0.3">
      <c r="A20" s="17"/>
      <c r="B20" s="75"/>
      <c r="C20" s="17"/>
      <c r="D20" s="17"/>
      <c r="E20" s="95"/>
      <c r="F20" s="95"/>
      <c r="G20" s="95"/>
      <c r="H20" s="80"/>
      <c r="I20" s="80"/>
      <c r="J20" s="82" t="str">
        <f>IF(OR(H20="",Setup!$B$16=""),"",MAX(0,H20-Setup!$B$16))</f>
        <v/>
      </c>
      <c r="K20" s="83" t="str">
        <f>IF(OR(I20="",H20="",Setup!$B$16=""),"",IF(I20=0,"",I20-(H20-Setup!$B$16)))</f>
        <v/>
      </c>
      <c r="L20" s="75"/>
      <c r="M20" s="77" t="str">
        <f t="shared" si="0"/>
        <v/>
      </c>
      <c r="N20" s="96" t="str">
        <f t="shared" si="1"/>
        <v/>
      </c>
    </row>
    <row r="21" spans="1:14" ht="28.05" customHeight="1" x14ac:dyDescent="0.3">
      <c r="A21" s="17"/>
      <c r="B21" s="75"/>
      <c r="C21" s="17"/>
      <c r="D21" s="17"/>
      <c r="E21" s="95"/>
      <c r="F21" s="95"/>
      <c r="G21" s="95"/>
      <c r="H21" s="80"/>
      <c r="I21" s="80"/>
      <c r="J21" s="82" t="str">
        <f>IF(OR(H21="",Setup!$B$16=""),"",MAX(0,H21-Setup!$B$16))</f>
        <v/>
      </c>
      <c r="K21" s="83" t="str">
        <f>IF(OR(I21="",H21="",Setup!$B$16=""),"",IF(I21=0,"",I21-(H21-Setup!$B$16)))</f>
        <v/>
      </c>
      <c r="L21" s="75"/>
      <c r="M21" s="77" t="str">
        <f t="shared" si="0"/>
        <v/>
      </c>
      <c r="N21" s="96" t="str">
        <f t="shared" si="1"/>
        <v/>
      </c>
    </row>
    <row r="22" spans="1:14" ht="28.05" customHeight="1" x14ac:dyDescent="0.3">
      <c r="A22" s="17"/>
      <c r="B22" s="75"/>
      <c r="C22" s="17"/>
      <c r="D22" s="17"/>
      <c r="E22" s="95"/>
      <c r="F22" s="95"/>
      <c r="G22" s="95"/>
      <c r="H22" s="80"/>
      <c r="I22" s="80"/>
      <c r="J22" s="82" t="str">
        <f>IF(OR(H22="",Setup!$B$16=""),"",MAX(0,H22-Setup!$B$16))</f>
        <v/>
      </c>
      <c r="K22" s="83" t="str">
        <f>IF(OR(I22="",H22="",Setup!$B$16=""),"",IF(I22=0,"",I22-(H22-Setup!$B$16)))</f>
        <v/>
      </c>
      <c r="L22" s="75"/>
      <c r="M22" s="77" t="str">
        <f t="shared" si="0"/>
        <v/>
      </c>
      <c r="N22" s="96" t="str">
        <f t="shared" si="1"/>
        <v/>
      </c>
    </row>
    <row r="23" spans="1:14" ht="28.05" customHeight="1" x14ac:dyDescent="0.3">
      <c r="A23" s="17"/>
      <c r="B23" s="75"/>
      <c r="C23" s="17"/>
      <c r="D23" s="17"/>
      <c r="E23" s="95"/>
      <c r="F23" s="95"/>
      <c r="G23" s="95"/>
      <c r="H23" s="80"/>
      <c r="I23" s="80"/>
      <c r="J23" s="82" t="str">
        <f>IF(OR(H23="",Setup!$B$16=""),"",MAX(0,H23-Setup!$B$16))</f>
        <v/>
      </c>
      <c r="K23" s="83" t="str">
        <f>IF(OR(I23="",H23="",Setup!$B$16=""),"",IF(I23=0,"",I23-(H23-Setup!$B$16)))</f>
        <v/>
      </c>
      <c r="L23" s="75"/>
      <c r="M23" s="77" t="str">
        <f t="shared" si="0"/>
        <v/>
      </c>
      <c r="N23" s="96" t="str">
        <f t="shared" si="1"/>
        <v/>
      </c>
    </row>
    <row r="24" spans="1:14" ht="28.05" customHeight="1" x14ac:dyDescent="0.3">
      <c r="A24" s="17"/>
      <c r="B24" s="75"/>
      <c r="C24" s="17"/>
      <c r="D24" s="17"/>
      <c r="E24" s="95"/>
      <c r="F24" s="95"/>
      <c r="G24" s="95"/>
      <c r="H24" s="80"/>
      <c r="I24" s="80"/>
      <c r="J24" s="82" t="str">
        <f>IF(OR(H24="",Setup!$B$16=""),"",MAX(0,H24-Setup!$B$16))</f>
        <v/>
      </c>
      <c r="K24" s="83" t="str">
        <f>IF(OR(I24="",H24="",Setup!$B$16=""),"",IF(I24=0,"",I24-(H24-Setup!$B$16)))</f>
        <v/>
      </c>
      <c r="L24" s="75"/>
      <c r="M24" s="77" t="str">
        <f t="shared" si="0"/>
        <v/>
      </c>
      <c r="N24" s="96" t="str">
        <f t="shared" si="1"/>
        <v/>
      </c>
    </row>
    <row r="25" spans="1:14" ht="28.05" customHeight="1" x14ac:dyDescent="0.3">
      <c r="A25" s="17"/>
      <c r="B25" s="75"/>
      <c r="C25" s="17"/>
      <c r="D25" s="17"/>
      <c r="E25" s="95"/>
      <c r="F25" s="95"/>
      <c r="G25" s="95"/>
      <c r="H25" s="80"/>
      <c r="I25" s="80"/>
      <c r="J25" s="82" t="str">
        <f>IF(OR(H25="",Setup!$B$16=""),"",MAX(0,H25-Setup!$B$16))</f>
        <v/>
      </c>
      <c r="K25" s="83" t="str">
        <f>IF(OR(I25="",H25="",Setup!$B$16=""),"",IF(I25=0,"",I25-(H25-Setup!$B$16)))</f>
        <v/>
      </c>
      <c r="L25" s="75"/>
      <c r="M25" s="77" t="str">
        <f t="shared" si="0"/>
        <v/>
      </c>
      <c r="N25" s="96" t="str">
        <f t="shared" si="1"/>
        <v/>
      </c>
    </row>
    <row r="26" spans="1:14" ht="28.05" customHeight="1" x14ac:dyDescent="0.3">
      <c r="A26" s="17"/>
      <c r="B26" s="75"/>
      <c r="C26" s="17"/>
      <c r="D26" s="17"/>
      <c r="E26" s="95"/>
      <c r="F26" s="95"/>
      <c r="G26" s="95"/>
      <c r="H26" s="80"/>
      <c r="I26" s="80"/>
      <c r="J26" s="82" t="str">
        <f>IF(OR(H26="",Setup!$B$16=""),"",MAX(0,H26-Setup!$B$16))</f>
        <v/>
      </c>
      <c r="K26" s="83" t="str">
        <f>IF(OR(I26="",H26="",Setup!$B$16=""),"",IF(I26=0,"",I26-(H26-Setup!$B$16)))</f>
        <v/>
      </c>
      <c r="L26" s="75"/>
      <c r="M26" s="77" t="str">
        <f t="shared" si="0"/>
        <v/>
      </c>
      <c r="N26" s="96" t="str">
        <f t="shared" si="1"/>
        <v/>
      </c>
    </row>
    <row r="27" spans="1:14" ht="28.05" customHeight="1" x14ac:dyDescent="0.3">
      <c r="A27" s="17"/>
      <c r="B27" s="75"/>
      <c r="C27" s="17"/>
      <c r="D27" s="17"/>
      <c r="E27" s="95"/>
      <c r="F27" s="95"/>
      <c r="G27" s="95"/>
      <c r="H27" s="80"/>
      <c r="I27" s="80"/>
      <c r="J27" s="82" t="str">
        <f>IF(OR(H27="",Setup!$B$16=""),"",MAX(0,H27-Setup!$B$16))</f>
        <v/>
      </c>
      <c r="K27" s="83" t="str">
        <f>IF(OR(I27="",H27="",Setup!$B$16=""),"",IF(I27=0,"",I27-(H27-Setup!$B$16)))</f>
        <v/>
      </c>
      <c r="L27" s="75"/>
      <c r="M27" s="77" t="str">
        <f t="shared" si="0"/>
        <v/>
      </c>
      <c r="N27" s="96" t="str">
        <f t="shared" si="1"/>
        <v/>
      </c>
    </row>
    <row r="28" spans="1:14" ht="28.05" customHeight="1" x14ac:dyDescent="0.3">
      <c r="A28" s="17"/>
      <c r="B28" s="75"/>
      <c r="C28" s="17"/>
      <c r="D28" s="17"/>
      <c r="E28" s="95"/>
      <c r="F28" s="95"/>
      <c r="G28" s="95"/>
      <c r="H28" s="80"/>
      <c r="I28" s="80"/>
      <c r="J28" s="82" t="str">
        <f>IF(OR(H28="",Setup!$B$16=""),"",MAX(0,H28-Setup!$B$16))</f>
        <v/>
      </c>
      <c r="K28" s="83" t="str">
        <f>IF(OR(I28="",H28="",Setup!$B$16=""),"",IF(I28=0,"",I28-(H28-Setup!$B$16)))</f>
        <v/>
      </c>
      <c r="L28" s="75"/>
      <c r="M28" s="77" t="str">
        <f t="shared" si="0"/>
        <v/>
      </c>
      <c r="N28" s="96" t="str">
        <f t="shared" si="1"/>
        <v/>
      </c>
    </row>
    <row r="29" spans="1:14" ht="28.05" customHeight="1" x14ac:dyDescent="0.3">
      <c r="A29" s="17"/>
      <c r="B29" s="75"/>
      <c r="C29" s="17"/>
      <c r="D29" s="17"/>
      <c r="E29" s="95"/>
      <c r="F29" s="95"/>
      <c r="G29" s="95"/>
      <c r="H29" s="80"/>
      <c r="I29" s="80"/>
      <c r="J29" s="82" t="str">
        <f>IF(OR(H29="",Setup!$B$16=""),"",MAX(0,H29-Setup!$B$16))</f>
        <v/>
      </c>
      <c r="K29" s="83" t="str">
        <f>IF(OR(I29="",H29="",Setup!$B$16=""),"",IF(I29=0,"",I29-(H29-Setup!$B$16)))</f>
        <v/>
      </c>
      <c r="L29" s="75"/>
      <c r="M29" s="77" t="str">
        <f t="shared" si="0"/>
        <v/>
      </c>
      <c r="N29" s="96" t="str">
        <f t="shared" si="1"/>
        <v/>
      </c>
    </row>
    <row r="30" spans="1:14" ht="28.05" customHeight="1" x14ac:dyDescent="0.3">
      <c r="A30" s="17"/>
      <c r="B30" s="75"/>
      <c r="C30" s="17"/>
      <c r="D30" s="17"/>
      <c r="E30" s="95"/>
      <c r="F30" s="95"/>
      <c r="G30" s="95"/>
      <c r="H30" s="80"/>
      <c r="I30" s="80"/>
      <c r="J30" s="82" t="str">
        <f>IF(OR(H30="",Setup!$B$16=""),"",MAX(0,H30-Setup!$B$16))</f>
        <v/>
      </c>
      <c r="K30" s="83" t="str">
        <f>IF(OR(I30="",H30="",Setup!$B$16=""),"",IF(I30=0,"",I30-(H30-Setup!$B$16)))</f>
        <v/>
      </c>
      <c r="L30" s="75"/>
      <c r="M30" s="77" t="str">
        <f t="shared" si="0"/>
        <v/>
      </c>
      <c r="N30" s="96" t="str">
        <f t="shared" si="1"/>
        <v/>
      </c>
    </row>
    <row r="31" spans="1:14" ht="28.05" customHeight="1" x14ac:dyDescent="0.3">
      <c r="A31" s="17"/>
      <c r="B31" s="75"/>
      <c r="C31" s="17"/>
      <c r="D31" s="17"/>
      <c r="E31" s="95"/>
      <c r="F31" s="95"/>
      <c r="G31" s="95"/>
      <c r="H31" s="80"/>
      <c r="I31" s="80"/>
      <c r="J31" s="82" t="str">
        <f>IF(OR(H31="",Setup!$B$16=""),"",MAX(0,H31-Setup!$B$16))</f>
        <v/>
      </c>
      <c r="K31" s="83" t="str">
        <f>IF(OR(I31="",H31="",Setup!$B$16=""),"",IF(I31=0,"",I31-(H31-Setup!$B$16)))</f>
        <v/>
      </c>
      <c r="L31" s="75"/>
      <c r="M31" s="77" t="str">
        <f t="shared" si="0"/>
        <v/>
      </c>
      <c r="N31" s="96" t="str">
        <f t="shared" si="1"/>
        <v/>
      </c>
    </row>
    <row r="32" spans="1:14" ht="28.05" customHeight="1" x14ac:dyDescent="0.3">
      <c r="A32" s="17"/>
      <c r="B32" s="75"/>
      <c r="C32" s="17"/>
      <c r="D32" s="17"/>
      <c r="E32" s="95"/>
      <c r="F32" s="95"/>
      <c r="G32" s="95"/>
      <c r="H32" s="80"/>
      <c r="I32" s="80"/>
      <c r="J32" s="82" t="str">
        <f>IF(OR(H32="",Setup!$B$16=""),"",MAX(0,H32-Setup!$B$16))</f>
        <v/>
      </c>
      <c r="K32" s="83" t="str">
        <f>IF(OR(I32="",H32="",Setup!$B$16=""),"",IF(I32=0,"",I32-(H32-Setup!$B$16)))</f>
        <v/>
      </c>
      <c r="L32" s="75"/>
      <c r="M32" s="77" t="str">
        <f t="shared" si="0"/>
        <v/>
      </c>
      <c r="N32" s="96" t="str">
        <f t="shared" si="1"/>
        <v/>
      </c>
    </row>
    <row r="33" spans="1:14" ht="28.05" customHeight="1" x14ac:dyDescent="0.3">
      <c r="A33" s="17"/>
      <c r="B33" s="75"/>
      <c r="C33" s="17"/>
      <c r="D33" s="17"/>
      <c r="E33" s="95"/>
      <c r="F33" s="95"/>
      <c r="G33" s="95"/>
      <c r="H33" s="80"/>
      <c r="I33" s="80"/>
      <c r="J33" s="82" t="str">
        <f>IF(OR(H33="",Setup!$B$16=""),"",MAX(0,H33-Setup!$B$16))</f>
        <v/>
      </c>
      <c r="K33" s="83" t="str">
        <f>IF(OR(I33="",H33="",Setup!$B$16=""),"",IF(I33=0,"",I33-(H33-Setup!$B$16)))</f>
        <v/>
      </c>
      <c r="L33" s="75"/>
      <c r="M33" s="77" t="str">
        <f t="shared" si="0"/>
        <v/>
      </c>
      <c r="N33" s="96" t="str">
        <f t="shared" si="1"/>
        <v/>
      </c>
    </row>
    <row r="34" spans="1:14" ht="28.05" customHeight="1" x14ac:dyDescent="0.3">
      <c r="A34" s="17"/>
      <c r="B34" s="75"/>
      <c r="C34" s="17"/>
      <c r="D34" s="17"/>
      <c r="E34" s="95"/>
      <c r="F34" s="95"/>
      <c r="G34" s="95"/>
      <c r="H34" s="80"/>
      <c r="I34" s="80"/>
      <c r="J34" s="82" t="str">
        <f>IF(OR(H34="",Setup!$B$16=""),"",MAX(0,H34-Setup!$B$16))</f>
        <v/>
      </c>
      <c r="K34" s="83" t="str">
        <f>IF(OR(I34="",H34="",Setup!$B$16=""),"",IF(I34=0,"",I34-(H34-Setup!$B$16)))</f>
        <v/>
      </c>
      <c r="L34" s="75"/>
      <c r="M34" s="77" t="str">
        <f t="shared" si="0"/>
        <v/>
      </c>
      <c r="N34" s="96" t="str">
        <f t="shared" si="1"/>
        <v/>
      </c>
    </row>
    <row r="35" spans="1:14" ht="28.05" customHeight="1" x14ac:dyDescent="0.3">
      <c r="A35" s="17"/>
      <c r="B35" s="75"/>
      <c r="C35" s="17"/>
      <c r="D35" s="17"/>
      <c r="E35" s="95"/>
      <c r="F35" s="95"/>
      <c r="G35" s="95"/>
      <c r="H35" s="80"/>
      <c r="I35" s="80"/>
      <c r="J35" s="82" t="str">
        <f>IF(OR(H35="",Setup!$B$16=""),"",MAX(0,H35-Setup!$B$16))</f>
        <v/>
      </c>
      <c r="K35" s="83" t="str">
        <f>IF(OR(I35="",H35="",Setup!$B$16=""),"",IF(I35=0,"",I35-(H35-Setup!$B$16)))</f>
        <v/>
      </c>
      <c r="L35" s="75"/>
      <c r="M35" s="77" t="str">
        <f t="shared" si="0"/>
        <v/>
      </c>
      <c r="N35" s="96" t="str">
        <f t="shared" si="1"/>
        <v/>
      </c>
    </row>
    <row r="36" spans="1:14" ht="28.05" customHeight="1" x14ac:dyDescent="0.3">
      <c r="A36" s="17"/>
      <c r="B36" s="75"/>
      <c r="C36" s="17"/>
      <c r="D36" s="17"/>
      <c r="E36" s="95"/>
      <c r="F36" s="95"/>
      <c r="G36" s="95"/>
      <c r="H36" s="80"/>
      <c r="I36" s="80"/>
      <c r="J36" s="82" t="str">
        <f>IF(OR(H36="",Setup!$B$16=""),"",MAX(0,H36-Setup!$B$16))</f>
        <v/>
      </c>
      <c r="K36" s="83" t="str">
        <f>IF(OR(I36="",H36="",Setup!$B$16=""),"",IF(I36=0,"",I36-(H36-Setup!$B$16)))</f>
        <v/>
      </c>
      <c r="L36" s="75"/>
      <c r="M36" s="77" t="str">
        <f t="shared" si="0"/>
        <v/>
      </c>
      <c r="N36" s="96" t="str">
        <f t="shared" si="1"/>
        <v/>
      </c>
    </row>
    <row r="37" spans="1:14" ht="28.05" customHeight="1" x14ac:dyDescent="0.3">
      <c r="A37" s="17"/>
      <c r="B37" s="75"/>
      <c r="C37" s="17"/>
      <c r="D37" s="17"/>
      <c r="E37" s="95"/>
      <c r="F37" s="95"/>
      <c r="G37" s="95"/>
      <c r="H37" s="80"/>
      <c r="I37" s="80"/>
      <c r="J37" s="82" t="str">
        <f>IF(OR(H37="",Setup!$B$16=""),"",MAX(0,H37-Setup!$B$16))</f>
        <v/>
      </c>
      <c r="K37" s="83" t="str">
        <f>IF(OR(I37="",H37="",Setup!$B$16=""),"",IF(I37=0,"",I37-(H37-Setup!$B$16)))</f>
        <v/>
      </c>
      <c r="L37" s="75"/>
      <c r="M37" s="77" t="str">
        <f t="shared" si="0"/>
        <v/>
      </c>
      <c r="N37" s="96" t="str">
        <f t="shared" si="1"/>
        <v/>
      </c>
    </row>
    <row r="38" spans="1:14" ht="28.05" customHeight="1" x14ac:dyDescent="0.3">
      <c r="A38" s="17"/>
      <c r="B38" s="75"/>
      <c r="C38" s="17"/>
      <c r="D38" s="17"/>
      <c r="E38" s="95"/>
      <c r="F38" s="95"/>
      <c r="G38" s="95"/>
      <c r="H38" s="80"/>
      <c r="I38" s="80"/>
      <c r="J38" s="82" t="str">
        <f>IF(OR(H38="",Setup!$B$16=""),"",MAX(0,H38-Setup!$B$16))</f>
        <v/>
      </c>
      <c r="K38" s="83" t="str">
        <f>IF(OR(I38="",H38="",Setup!$B$16=""),"",IF(I38=0,"",I38-(H38-Setup!$B$16)))</f>
        <v/>
      </c>
      <c r="L38" s="75"/>
      <c r="M38" s="77" t="str">
        <f t="shared" si="0"/>
        <v/>
      </c>
      <c r="N38" s="96" t="str">
        <f t="shared" si="1"/>
        <v/>
      </c>
    </row>
    <row r="39" spans="1:14" ht="28.05" customHeight="1" x14ac:dyDescent="0.3">
      <c r="A39" s="17"/>
      <c r="B39" s="75"/>
      <c r="C39" s="17"/>
      <c r="D39" s="17"/>
      <c r="E39" s="95"/>
      <c r="F39" s="95"/>
      <c r="G39" s="95"/>
      <c r="H39" s="80"/>
      <c r="I39" s="80"/>
      <c r="J39" s="82" t="str">
        <f>IF(OR(H39="",Setup!$B$16=""),"",MAX(0,H39-Setup!$B$16))</f>
        <v/>
      </c>
      <c r="K39" s="83" t="str">
        <f>IF(OR(I39="",H39="",Setup!$B$16=""),"",IF(I39=0,"",I39-(H39-Setup!$B$16)))</f>
        <v/>
      </c>
      <c r="L39" s="75"/>
      <c r="M39" s="77" t="str">
        <f t="shared" si="0"/>
        <v/>
      </c>
      <c r="N39" s="96" t="str">
        <f t="shared" si="1"/>
        <v/>
      </c>
    </row>
    <row r="40" spans="1:14" ht="28.05" customHeight="1" x14ac:dyDescent="0.3">
      <c r="A40" s="17"/>
      <c r="B40" s="75"/>
      <c r="C40" s="17"/>
      <c r="D40" s="17"/>
      <c r="E40" s="95"/>
      <c r="F40" s="95"/>
      <c r="G40" s="95"/>
      <c r="H40" s="80"/>
      <c r="I40" s="80"/>
      <c r="J40" s="82" t="str">
        <f>IF(OR(H40="",Setup!$B$16=""),"",MAX(0,H40-Setup!$B$16))</f>
        <v/>
      </c>
      <c r="K40" s="83" t="str">
        <f>IF(OR(I40="",H40="",Setup!$B$16=""),"",IF(I40=0,"",I40-(H40-Setup!$B$16)))</f>
        <v/>
      </c>
      <c r="L40" s="75"/>
      <c r="M40" s="77" t="str">
        <f t="shared" si="0"/>
        <v/>
      </c>
      <c r="N40" s="96" t="str">
        <f t="shared" si="1"/>
        <v/>
      </c>
    </row>
    <row r="41" spans="1:14" ht="28.05" customHeight="1" x14ac:dyDescent="0.3">
      <c r="A41" s="17"/>
      <c r="B41" s="75"/>
      <c r="C41" s="17"/>
      <c r="D41" s="17"/>
      <c r="E41" s="95"/>
      <c r="F41" s="95"/>
      <c r="G41" s="95"/>
      <c r="H41" s="80"/>
      <c r="I41" s="80"/>
      <c r="J41" s="82" t="str">
        <f>IF(OR(H41="",Setup!$B$16=""),"",MAX(0,H41-Setup!$B$16))</f>
        <v/>
      </c>
      <c r="K41" s="83" t="str">
        <f>IF(OR(I41="",H41="",Setup!$B$16=""),"",IF(I41=0,"",I41-(H41-Setup!$B$16)))</f>
        <v/>
      </c>
      <c r="L41" s="75"/>
      <c r="M41" s="77" t="str">
        <f t="shared" si="0"/>
        <v/>
      </c>
      <c r="N41" s="96" t="str">
        <f t="shared" si="1"/>
        <v/>
      </c>
    </row>
    <row r="42" spans="1:14" ht="28.05" customHeight="1" x14ac:dyDescent="0.3">
      <c r="A42" s="17"/>
      <c r="B42" s="75"/>
      <c r="C42" s="17"/>
      <c r="D42" s="17"/>
      <c r="E42" s="95"/>
      <c r="F42" s="95"/>
      <c r="G42" s="95"/>
      <c r="H42" s="80"/>
      <c r="I42" s="80"/>
      <c r="J42" s="82" t="str">
        <f>IF(OR(H42="",Setup!$B$16=""),"",MAX(0,H42-Setup!$B$16))</f>
        <v/>
      </c>
      <c r="K42" s="83" t="str">
        <f>IF(OR(I42="",H42="",Setup!$B$16=""),"",IF(I42=0,"",I42-(H42-Setup!$B$16)))</f>
        <v/>
      </c>
      <c r="L42" s="75"/>
      <c r="M42" s="77" t="str">
        <f t="shared" si="0"/>
        <v/>
      </c>
      <c r="N42" s="96" t="str">
        <f t="shared" si="1"/>
        <v/>
      </c>
    </row>
    <row r="43" spans="1:14" ht="28.05" customHeight="1" x14ac:dyDescent="0.3">
      <c r="A43" s="17"/>
      <c r="B43" s="75"/>
      <c r="C43" s="17"/>
      <c r="D43" s="17"/>
      <c r="E43" s="95"/>
      <c r="F43" s="95"/>
      <c r="G43" s="95"/>
      <c r="H43" s="80"/>
      <c r="I43" s="80"/>
      <c r="J43" s="82" t="str">
        <f>IF(OR(H43="",Setup!$B$16=""),"",MAX(0,H43-Setup!$B$16))</f>
        <v/>
      </c>
      <c r="K43" s="83" t="str">
        <f>IF(OR(I43="",H43="",Setup!$B$16=""),"",IF(I43=0,"",I43-(H43-Setup!$B$16)))</f>
        <v/>
      </c>
      <c r="L43" s="75"/>
      <c r="M43" s="77" t="str">
        <f t="shared" si="0"/>
        <v/>
      </c>
      <c r="N43" s="96" t="str">
        <f t="shared" si="1"/>
        <v/>
      </c>
    </row>
    <row r="44" spans="1:14" ht="28.05" customHeight="1" x14ac:dyDescent="0.3">
      <c r="A44" s="17"/>
      <c r="B44" s="75"/>
      <c r="C44" s="17"/>
      <c r="D44" s="17"/>
      <c r="E44" s="95"/>
      <c r="F44" s="95"/>
      <c r="G44" s="95"/>
      <c r="H44" s="80"/>
      <c r="I44" s="80"/>
      <c r="J44" s="82" t="str">
        <f>IF(OR(H44="",Setup!$B$16=""),"",MAX(0,H44-Setup!$B$16))</f>
        <v/>
      </c>
      <c r="K44" s="83" t="str">
        <f>IF(OR(I44="",H44="",Setup!$B$16=""),"",IF(I44=0,"",I44-(H44-Setup!$B$16)))</f>
        <v/>
      </c>
      <c r="L44" s="75"/>
      <c r="M44" s="77" t="str">
        <f t="shared" si="0"/>
        <v/>
      </c>
      <c r="N44" s="96" t="str">
        <f t="shared" si="1"/>
        <v/>
      </c>
    </row>
    <row r="45" spans="1:14" ht="28.05" customHeight="1" x14ac:dyDescent="0.3">
      <c r="A45" s="17"/>
      <c r="B45" s="75"/>
      <c r="C45" s="17"/>
      <c r="D45" s="17"/>
      <c r="E45" s="95"/>
      <c r="F45" s="95"/>
      <c r="G45" s="95"/>
      <c r="H45" s="80"/>
      <c r="I45" s="80"/>
      <c r="J45" s="82" t="str">
        <f>IF(OR(H45="",Setup!$B$16=""),"",MAX(0,H45-Setup!$B$16))</f>
        <v/>
      </c>
      <c r="K45" s="83" t="str">
        <f>IF(OR(I45="",H45="",Setup!$B$16=""),"",IF(I45=0,"",I45-(H45-Setup!$B$16)))</f>
        <v/>
      </c>
      <c r="L45" s="75"/>
      <c r="M45" s="77" t="str">
        <f t="shared" si="0"/>
        <v/>
      </c>
      <c r="N45" s="96" t="str">
        <f t="shared" si="1"/>
        <v/>
      </c>
    </row>
    <row r="46" spans="1:14" ht="28.05" customHeight="1" x14ac:dyDescent="0.3">
      <c r="A46" s="17"/>
      <c r="B46" s="75"/>
      <c r="C46" s="17"/>
      <c r="D46" s="17"/>
      <c r="E46" s="95"/>
      <c r="F46" s="95"/>
      <c r="G46" s="95"/>
      <c r="H46" s="80"/>
      <c r="I46" s="80"/>
      <c r="J46" s="82" t="str">
        <f>IF(OR(H46="",Setup!$B$16=""),"",MAX(0,H46-Setup!$B$16))</f>
        <v/>
      </c>
      <c r="K46" s="83" t="str">
        <f>IF(OR(I46="",H46="",Setup!$B$16=""),"",IF(I46=0,"",I46-(H46-Setup!$B$16)))</f>
        <v/>
      </c>
      <c r="L46" s="75"/>
      <c r="M46" s="77" t="str">
        <f t="shared" si="0"/>
        <v/>
      </c>
      <c r="N46" s="96" t="str">
        <f t="shared" si="1"/>
        <v/>
      </c>
    </row>
    <row r="48" spans="1:14" x14ac:dyDescent="0.3">
      <c r="A48" s="53" t="s">
        <v>337</v>
      </c>
    </row>
  </sheetData>
  <sheetProtection sheet="1" formatCells="0" formatColumns="0" formatRows="0" insertColumns="0" insertRows="0" insertHyperlinks="0" deleteColumns="0" deleteRows="0" sort="0" autoFilter="0" pivotTables="0"/>
  <conditionalFormatting sqref="D7:D46">
    <cfRule type="expression" dxfId="11" priority="2">
      <formula>OR(D7="Phone call",D7="Memory")</formula>
    </cfRule>
  </conditionalFormatting>
  <conditionalFormatting sqref="K7:K46">
    <cfRule type="cellIs" dxfId="10" priority="3" operator="greaterThan">
      <formula>0</formula>
    </cfRule>
  </conditionalFormatting>
  <conditionalFormatting sqref="M7:M46">
    <cfRule type="expression" dxfId="9" priority="1">
      <formula>M7&lt;&gt;""</formula>
    </cfRule>
  </conditionalFormatting>
  <conditionalFormatting sqref="N7:N46">
    <cfRule type="cellIs" dxfId="8" priority="4" operator="equal">
      <formula>"✔"</formula>
    </cfRule>
  </conditionalFormatting>
  <printOptions horizontalCentered="1"/>
  <pageMargins left="0.4" right="0.4" top="0.5" bottom="0.5" header="0.5" footer="0.5"/>
  <pageSetup paperSize="9" scale="61" fitToHeight="0" orientation="landscape" r:id="rId1"/>
  <extLst>
    <ext xmlns:x14="http://schemas.microsoft.com/office/spreadsheetml/2009/9/main" uri="{CCE6A557-97BC-4b89-ADB6-D9C93CAAB3DF}">
      <x14:dataValidations xmlns:xm="http://schemas.microsoft.com/office/excel/2006/main" count="2">
        <x14:dataValidation type="list" allowBlank="1" xr:uid="{00000000-0002-0000-0500-000000000000}">
          <x14:formula1>
            <xm:f>Setup!$F$20:$F$39</xm:f>
          </x14:formula1>
          <xm:sqref>D7:D46</xm:sqref>
        </x14:dataValidation>
        <x14:dataValidation type="list" allowBlank="1" xr:uid="{00000000-0002-0000-0500-000001000000}">
          <x14:formula1>
            <xm:f>Setup!$G$20:$G$39</xm:f>
          </x14:formula1>
          <xm:sqref>C7:C46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4B8A6"/>
    <pageSetUpPr fitToPage="1"/>
  </sheetPr>
  <dimension ref="A1:I38"/>
  <sheetViews>
    <sheetView showGridLines="0" view="pageBreakPreview" zoomScale="60" zoomScaleNormal="100" workbookViewId="0">
      <pane xSplit="1" ySplit="6" topLeftCell="B7" activePane="bottomRight" state="frozen"/>
      <selection pane="topRight"/>
      <selection pane="bottomLeft"/>
      <selection pane="bottomRight"/>
    </sheetView>
  </sheetViews>
  <sheetFormatPr defaultRowHeight="14.4" x14ac:dyDescent="0.3"/>
  <cols>
    <col min="1" max="1" width="32" style="2" customWidth="1"/>
    <col min="2" max="2" width="22" style="2" customWidth="1"/>
    <col min="3" max="3" width="46" style="2" customWidth="1"/>
    <col min="4" max="4" width="16" style="2" customWidth="1"/>
    <col min="5" max="5" width="12" style="2" customWidth="1"/>
    <col min="6" max="6" width="10" style="2" customWidth="1"/>
    <col min="7" max="7" width="12" style="2" customWidth="1"/>
    <col min="8" max="8" width="10" style="2" customWidth="1"/>
    <col min="9" max="9" width="34" style="2" customWidth="1"/>
    <col min="10" max="16384" width="8.88671875" style="2"/>
  </cols>
  <sheetData>
    <row r="1" spans="1:9" ht="28.05" customHeight="1" x14ac:dyDescent="0.4">
      <c r="A1" s="58" t="s">
        <v>50</v>
      </c>
      <c r="I1" s="78" t="s">
        <v>62</v>
      </c>
    </row>
    <row r="2" spans="1:9" x14ac:dyDescent="0.3">
      <c r="A2" s="59" t="s">
        <v>338</v>
      </c>
    </row>
    <row r="3" spans="1:9" x14ac:dyDescent="0.3">
      <c r="A3" s="60" t="s">
        <v>339</v>
      </c>
    </row>
    <row r="4" spans="1:9" x14ac:dyDescent="0.3">
      <c r="A4" s="61"/>
      <c r="B4" s="61"/>
      <c r="C4" s="61"/>
      <c r="D4" s="61"/>
      <c r="E4" s="61"/>
      <c r="F4" s="61"/>
      <c r="G4" s="61"/>
      <c r="H4" s="61"/>
      <c r="I4" s="61"/>
    </row>
    <row r="6" spans="1:9" ht="31.95" customHeight="1" x14ac:dyDescent="0.3">
      <c r="A6" s="65" t="s">
        <v>340</v>
      </c>
      <c r="B6" s="64" t="s">
        <v>341</v>
      </c>
      <c r="C6" s="64" t="s">
        <v>342</v>
      </c>
      <c r="D6" s="64" t="s">
        <v>75</v>
      </c>
      <c r="E6" s="64" t="s">
        <v>343</v>
      </c>
      <c r="F6" s="64" t="s">
        <v>74</v>
      </c>
      <c r="G6" s="64" t="s">
        <v>344</v>
      </c>
      <c r="H6" s="65" t="s">
        <v>345</v>
      </c>
      <c r="I6" s="64" t="s">
        <v>304</v>
      </c>
    </row>
    <row r="7" spans="1:9" ht="30" customHeight="1" x14ac:dyDescent="0.3">
      <c r="A7" s="75" t="s">
        <v>263</v>
      </c>
      <c r="B7" s="75" t="s">
        <v>346</v>
      </c>
      <c r="C7" s="75" t="s">
        <v>347</v>
      </c>
      <c r="D7" s="17" t="s">
        <v>309</v>
      </c>
      <c r="E7" s="97">
        <v>46210</v>
      </c>
      <c r="F7" s="17" t="s">
        <v>110</v>
      </c>
      <c r="G7" s="97"/>
      <c r="H7" s="89">
        <f>IF(OR(E7="",F7="Done",Setup!$B$8=""),"",E7-Setup!$B$8)</f>
        <v>7</v>
      </c>
      <c r="I7" s="96" t="str">
        <f t="shared" ref="I7:I36" si="0">IF(A7="","",IF(F7="Done","✔ done",IF(D7="","No owner: nobody will do it",IF(E7="","No date: it will not happen",IF(AND(ISNUMBER(H7),H7&lt;0),"Overdue by "&amp;-H7&amp;" days","Open, on time")))))</f>
        <v>Open, on time</v>
      </c>
    </row>
    <row r="8" spans="1:9" ht="30" customHeight="1" x14ac:dyDescent="0.3">
      <c r="A8" s="75" t="s">
        <v>267</v>
      </c>
      <c r="B8" s="75" t="s">
        <v>348</v>
      </c>
      <c r="C8" s="75" t="s">
        <v>349</v>
      </c>
      <c r="D8" s="17" t="s">
        <v>350</v>
      </c>
      <c r="E8" s="97">
        <v>46206</v>
      </c>
      <c r="F8" s="17" t="s">
        <v>110</v>
      </c>
      <c r="G8" s="97"/>
      <c r="H8" s="89">
        <f>IF(OR(E8="",F8="Done",Setup!$B$8=""),"",E8-Setup!$B$8)</f>
        <v>3</v>
      </c>
      <c r="I8" s="96" t="str">
        <f t="shared" si="0"/>
        <v>Open, on time</v>
      </c>
    </row>
    <row r="9" spans="1:9" ht="30" customHeight="1" x14ac:dyDescent="0.3">
      <c r="A9" s="75" t="s">
        <v>276</v>
      </c>
      <c r="B9" s="75" t="s">
        <v>351</v>
      </c>
      <c r="C9" s="75" t="s">
        <v>352</v>
      </c>
      <c r="D9" s="17"/>
      <c r="E9" s="97">
        <v>46213</v>
      </c>
      <c r="F9" s="17" t="s">
        <v>110</v>
      </c>
      <c r="G9" s="97"/>
      <c r="H9" s="89">
        <f>IF(OR(E9="",F9="Done",Setup!$B$8=""),"",E9-Setup!$B$8)</f>
        <v>10</v>
      </c>
      <c r="I9" s="96" t="str">
        <f t="shared" si="0"/>
        <v>No owner: nobody will do it</v>
      </c>
    </row>
    <row r="10" spans="1:9" ht="30" customHeight="1" x14ac:dyDescent="0.3">
      <c r="A10" s="75" t="s">
        <v>271</v>
      </c>
      <c r="B10" s="75" t="s">
        <v>353</v>
      </c>
      <c r="C10" s="75" t="s">
        <v>354</v>
      </c>
      <c r="D10" s="17" t="s">
        <v>112</v>
      </c>
      <c r="E10" s="97">
        <v>46205</v>
      </c>
      <c r="F10" s="17" t="s">
        <v>96</v>
      </c>
      <c r="G10" s="97">
        <v>46204</v>
      </c>
      <c r="H10" s="89" t="str">
        <f>IF(OR(E10="",F10="Done",Setup!$B$8=""),"",E10-Setup!$B$8)</f>
        <v/>
      </c>
      <c r="I10" s="96" t="str">
        <f t="shared" si="0"/>
        <v>✔ done</v>
      </c>
    </row>
    <row r="11" spans="1:9" ht="30" customHeight="1" x14ac:dyDescent="0.3">
      <c r="A11" s="75" t="s">
        <v>278</v>
      </c>
      <c r="B11" s="75" t="s">
        <v>420</v>
      </c>
      <c r="C11" s="75" t="s">
        <v>355</v>
      </c>
      <c r="D11" s="17"/>
      <c r="E11" s="97">
        <v>46220</v>
      </c>
      <c r="F11" s="17" t="s">
        <v>110</v>
      </c>
      <c r="G11" s="97"/>
      <c r="H11" s="89">
        <f>IF(OR(E11="",F11="Done",Setup!$B$8=""),"",E11-Setup!$B$8)</f>
        <v>17</v>
      </c>
      <c r="I11" s="96" t="str">
        <f t="shared" si="0"/>
        <v>No owner: nobody will do it</v>
      </c>
    </row>
    <row r="12" spans="1:9" ht="30" customHeight="1" x14ac:dyDescent="0.3">
      <c r="A12" s="75" t="s">
        <v>283</v>
      </c>
      <c r="B12" s="75" t="s">
        <v>356</v>
      </c>
      <c r="C12" s="75" t="s">
        <v>357</v>
      </c>
      <c r="D12" s="17" t="s">
        <v>316</v>
      </c>
      <c r="E12" s="97">
        <v>46211</v>
      </c>
      <c r="F12" s="17" t="s">
        <v>110</v>
      </c>
      <c r="G12" s="97"/>
      <c r="H12" s="89">
        <f>IF(OR(E12="",F12="Done",Setup!$B$8=""),"",E12-Setup!$B$8)</f>
        <v>8</v>
      </c>
      <c r="I12" s="96" t="str">
        <f t="shared" si="0"/>
        <v>Open, on time</v>
      </c>
    </row>
    <row r="13" spans="1:9" ht="30" customHeight="1" x14ac:dyDescent="0.3">
      <c r="A13" s="75" t="s">
        <v>288</v>
      </c>
      <c r="B13" s="75" t="s">
        <v>358</v>
      </c>
      <c r="C13" s="75" t="s">
        <v>359</v>
      </c>
      <c r="D13" s="17" t="s">
        <v>98</v>
      </c>
      <c r="E13" s="97">
        <v>46206</v>
      </c>
      <c r="F13" s="17" t="s">
        <v>110</v>
      </c>
      <c r="G13" s="97"/>
      <c r="H13" s="89">
        <f>IF(OR(E13="",F13="Done",Setup!$B$8=""),"",E13-Setup!$B$8)</f>
        <v>3</v>
      </c>
      <c r="I13" s="96" t="str">
        <f t="shared" si="0"/>
        <v>Open, on time</v>
      </c>
    </row>
    <row r="14" spans="1:9" ht="30" customHeight="1" x14ac:dyDescent="0.3">
      <c r="A14" s="75"/>
      <c r="B14" s="75"/>
      <c r="C14" s="75"/>
      <c r="D14" s="17"/>
      <c r="E14" s="97"/>
      <c r="F14" s="17"/>
      <c r="G14" s="97"/>
      <c r="H14" s="89" t="str">
        <f>IF(OR(E14="",F14="Done",Setup!$B$8=""),"",E14-Setup!$B$8)</f>
        <v/>
      </c>
      <c r="I14" s="96" t="str">
        <f t="shared" si="0"/>
        <v/>
      </c>
    </row>
    <row r="15" spans="1:9" ht="30" customHeight="1" x14ac:dyDescent="0.3">
      <c r="A15" s="75"/>
      <c r="B15" s="75"/>
      <c r="C15" s="75"/>
      <c r="D15" s="17"/>
      <c r="E15" s="97"/>
      <c r="F15" s="17"/>
      <c r="G15" s="97"/>
      <c r="H15" s="89" t="str">
        <f>IF(OR(E15="",F15="Done",Setup!$B$8=""),"",E15-Setup!$B$8)</f>
        <v/>
      </c>
      <c r="I15" s="96" t="str">
        <f t="shared" si="0"/>
        <v/>
      </c>
    </row>
    <row r="16" spans="1:9" ht="30" customHeight="1" x14ac:dyDescent="0.3">
      <c r="A16" s="75"/>
      <c r="B16" s="75"/>
      <c r="C16" s="75"/>
      <c r="D16" s="17"/>
      <c r="E16" s="97"/>
      <c r="F16" s="17"/>
      <c r="G16" s="97"/>
      <c r="H16" s="89" t="str">
        <f>IF(OR(E16="",F16="Done",Setup!$B$8=""),"",E16-Setup!$B$8)</f>
        <v/>
      </c>
      <c r="I16" s="96" t="str">
        <f t="shared" si="0"/>
        <v/>
      </c>
    </row>
    <row r="17" spans="1:9" ht="30" customHeight="1" x14ac:dyDescent="0.3">
      <c r="A17" s="75"/>
      <c r="B17" s="75"/>
      <c r="C17" s="75"/>
      <c r="D17" s="17"/>
      <c r="E17" s="97"/>
      <c r="F17" s="17"/>
      <c r="G17" s="97"/>
      <c r="H17" s="89" t="str">
        <f>IF(OR(E17="",F17="Done",Setup!$B$8=""),"",E17-Setup!$B$8)</f>
        <v/>
      </c>
      <c r="I17" s="96" t="str">
        <f t="shared" si="0"/>
        <v/>
      </c>
    </row>
    <row r="18" spans="1:9" ht="30" customHeight="1" x14ac:dyDescent="0.3">
      <c r="A18" s="75"/>
      <c r="B18" s="75"/>
      <c r="C18" s="75"/>
      <c r="D18" s="17"/>
      <c r="E18" s="97"/>
      <c r="F18" s="17"/>
      <c r="G18" s="97"/>
      <c r="H18" s="89" t="str">
        <f>IF(OR(E18="",F18="Done",Setup!$B$8=""),"",E18-Setup!$B$8)</f>
        <v/>
      </c>
      <c r="I18" s="96" t="str">
        <f t="shared" si="0"/>
        <v/>
      </c>
    </row>
    <row r="19" spans="1:9" ht="30" customHeight="1" x14ac:dyDescent="0.3">
      <c r="A19" s="75"/>
      <c r="B19" s="75"/>
      <c r="C19" s="75"/>
      <c r="D19" s="17"/>
      <c r="E19" s="97"/>
      <c r="F19" s="17"/>
      <c r="G19" s="97"/>
      <c r="H19" s="89" t="str">
        <f>IF(OR(E19="",F19="Done",Setup!$B$8=""),"",E19-Setup!$B$8)</f>
        <v/>
      </c>
      <c r="I19" s="96" t="str">
        <f t="shared" si="0"/>
        <v/>
      </c>
    </row>
    <row r="20" spans="1:9" ht="30" customHeight="1" x14ac:dyDescent="0.3">
      <c r="A20" s="75"/>
      <c r="B20" s="75"/>
      <c r="C20" s="75"/>
      <c r="D20" s="17"/>
      <c r="E20" s="97"/>
      <c r="F20" s="17"/>
      <c r="G20" s="97"/>
      <c r="H20" s="89" t="str">
        <f>IF(OR(E20="",F20="Done",Setup!$B$8=""),"",E20-Setup!$B$8)</f>
        <v/>
      </c>
      <c r="I20" s="96" t="str">
        <f t="shared" si="0"/>
        <v/>
      </c>
    </row>
    <row r="21" spans="1:9" ht="30" customHeight="1" x14ac:dyDescent="0.3">
      <c r="A21" s="75"/>
      <c r="B21" s="75"/>
      <c r="C21" s="75"/>
      <c r="D21" s="17"/>
      <c r="E21" s="97"/>
      <c r="F21" s="17"/>
      <c r="G21" s="97"/>
      <c r="H21" s="89" t="str">
        <f>IF(OR(E21="",F21="Done",Setup!$B$8=""),"",E21-Setup!$B$8)</f>
        <v/>
      </c>
      <c r="I21" s="96" t="str">
        <f t="shared" si="0"/>
        <v/>
      </c>
    </row>
    <row r="22" spans="1:9" ht="30" customHeight="1" x14ac:dyDescent="0.3">
      <c r="A22" s="75"/>
      <c r="B22" s="75"/>
      <c r="C22" s="75"/>
      <c r="D22" s="17"/>
      <c r="E22" s="97"/>
      <c r="F22" s="17"/>
      <c r="G22" s="97"/>
      <c r="H22" s="89" t="str">
        <f>IF(OR(E22="",F22="Done",Setup!$B$8=""),"",E22-Setup!$B$8)</f>
        <v/>
      </c>
      <c r="I22" s="96" t="str">
        <f t="shared" si="0"/>
        <v/>
      </c>
    </row>
    <row r="23" spans="1:9" ht="30" customHeight="1" x14ac:dyDescent="0.3">
      <c r="A23" s="75"/>
      <c r="B23" s="75"/>
      <c r="C23" s="75"/>
      <c r="D23" s="17"/>
      <c r="E23" s="97"/>
      <c r="F23" s="17"/>
      <c r="G23" s="97"/>
      <c r="H23" s="89" t="str">
        <f>IF(OR(E23="",F23="Done",Setup!$B$8=""),"",E23-Setup!$B$8)</f>
        <v/>
      </c>
      <c r="I23" s="96" t="str">
        <f t="shared" si="0"/>
        <v/>
      </c>
    </row>
    <row r="24" spans="1:9" ht="30" customHeight="1" x14ac:dyDescent="0.3">
      <c r="A24" s="75"/>
      <c r="B24" s="75"/>
      <c r="C24" s="75"/>
      <c r="D24" s="17"/>
      <c r="E24" s="97"/>
      <c r="F24" s="17"/>
      <c r="G24" s="97"/>
      <c r="H24" s="89" t="str">
        <f>IF(OR(E24="",F24="Done",Setup!$B$8=""),"",E24-Setup!$B$8)</f>
        <v/>
      </c>
      <c r="I24" s="96" t="str">
        <f t="shared" si="0"/>
        <v/>
      </c>
    </row>
    <row r="25" spans="1:9" ht="30" customHeight="1" x14ac:dyDescent="0.3">
      <c r="A25" s="75"/>
      <c r="B25" s="75"/>
      <c r="C25" s="75"/>
      <c r="D25" s="17"/>
      <c r="E25" s="97"/>
      <c r="F25" s="17"/>
      <c r="G25" s="97"/>
      <c r="H25" s="89" t="str">
        <f>IF(OR(E25="",F25="Done",Setup!$B$8=""),"",E25-Setup!$B$8)</f>
        <v/>
      </c>
      <c r="I25" s="96" t="str">
        <f t="shared" si="0"/>
        <v/>
      </c>
    </row>
    <row r="26" spans="1:9" ht="30" customHeight="1" x14ac:dyDescent="0.3">
      <c r="A26" s="75"/>
      <c r="B26" s="75"/>
      <c r="C26" s="75"/>
      <c r="D26" s="17"/>
      <c r="E26" s="97"/>
      <c r="F26" s="17"/>
      <c r="G26" s="97"/>
      <c r="H26" s="89" t="str">
        <f>IF(OR(E26="",F26="Done",Setup!$B$8=""),"",E26-Setup!$B$8)</f>
        <v/>
      </c>
      <c r="I26" s="96" t="str">
        <f t="shared" si="0"/>
        <v/>
      </c>
    </row>
    <row r="27" spans="1:9" ht="30" customHeight="1" x14ac:dyDescent="0.3">
      <c r="A27" s="75"/>
      <c r="B27" s="75"/>
      <c r="C27" s="75"/>
      <c r="D27" s="17"/>
      <c r="E27" s="97"/>
      <c r="F27" s="17"/>
      <c r="G27" s="97"/>
      <c r="H27" s="89" t="str">
        <f>IF(OR(E27="",F27="Done",Setup!$B$8=""),"",E27-Setup!$B$8)</f>
        <v/>
      </c>
      <c r="I27" s="96" t="str">
        <f t="shared" si="0"/>
        <v/>
      </c>
    </row>
    <row r="28" spans="1:9" ht="30" customHeight="1" x14ac:dyDescent="0.3">
      <c r="A28" s="75"/>
      <c r="B28" s="75"/>
      <c r="C28" s="75"/>
      <c r="D28" s="17"/>
      <c r="E28" s="97"/>
      <c r="F28" s="17"/>
      <c r="G28" s="97"/>
      <c r="H28" s="89" t="str">
        <f>IF(OR(E28="",F28="Done",Setup!$B$8=""),"",E28-Setup!$B$8)</f>
        <v/>
      </c>
      <c r="I28" s="96" t="str">
        <f t="shared" si="0"/>
        <v/>
      </c>
    </row>
    <row r="29" spans="1:9" ht="30" customHeight="1" x14ac:dyDescent="0.3">
      <c r="A29" s="75"/>
      <c r="B29" s="75"/>
      <c r="C29" s="75"/>
      <c r="D29" s="17"/>
      <c r="E29" s="97"/>
      <c r="F29" s="17"/>
      <c r="G29" s="97"/>
      <c r="H29" s="89" t="str">
        <f>IF(OR(E29="",F29="Done",Setup!$B$8=""),"",E29-Setup!$B$8)</f>
        <v/>
      </c>
      <c r="I29" s="96" t="str">
        <f t="shared" si="0"/>
        <v/>
      </c>
    </row>
    <row r="30" spans="1:9" ht="30" customHeight="1" x14ac:dyDescent="0.3">
      <c r="A30" s="75"/>
      <c r="B30" s="75"/>
      <c r="C30" s="75"/>
      <c r="D30" s="17"/>
      <c r="E30" s="97"/>
      <c r="F30" s="17"/>
      <c r="G30" s="97"/>
      <c r="H30" s="89" t="str">
        <f>IF(OR(E30="",F30="Done",Setup!$B$8=""),"",E30-Setup!$B$8)</f>
        <v/>
      </c>
      <c r="I30" s="96" t="str">
        <f t="shared" si="0"/>
        <v/>
      </c>
    </row>
    <row r="31" spans="1:9" ht="30" customHeight="1" x14ac:dyDescent="0.3">
      <c r="A31" s="75"/>
      <c r="B31" s="75"/>
      <c r="C31" s="75"/>
      <c r="D31" s="17"/>
      <c r="E31" s="97"/>
      <c r="F31" s="17"/>
      <c r="G31" s="97"/>
      <c r="H31" s="89" t="str">
        <f>IF(OR(E31="",F31="Done",Setup!$B$8=""),"",E31-Setup!$B$8)</f>
        <v/>
      </c>
      <c r="I31" s="96" t="str">
        <f t="shared" si="0"/>
        <v/>
      </c>
    </row>
    <row r="32" spans="1:9" ht="30" customHeight="1" x14ac:dyDescent="0.3">
      <c r="A32" s="75"/>
      <c r="B32" s="75"/>
      <c r="C32" s="75"/>
      <c r="D32" s="17"/>
      <c r="E32" s="97"/>
      <c r="F32" s="17"/>
      <c r="G32" s="97"/>
      <c r="H32" s="89" t="str">
        <f>IF(OR(E32="",F32="Done",Setup!$B$8=""),"",E32-Setup!$B$8)</f>
        <v/>
      </c>
      <c r="I32" s="96" t="str">
        <f t="shared" si="0"/>
        <v/>
      </c>
    </row>
    <row r="33" spans="1:9" ht="30" customHeight="1" x14ac:dyDescent="0.3">
      <c r="A33" s="75"/>
      <c r="B33" s="75"/>
      <c r="C33" s="75"/>
      <c r="D33" s="17"/>
      <c r="E33" s="97"/>
      <c r="F33" s="17"/>
      <c r="G33" s="97"/>
      <c r="H33" s="89" t="str">
        <f>IF(OR(E33="",F33="Done",Setup!$B$8=""),"",E33-Setup!$B$8)</f>
        <v/>
      </c>
      <c r="I33" s="96" t="str">
        <f t="shared" si="0"/>
        <v/>
      </c>
    </row>
    <row r="34" spans="1:9" ht="30" customHeight="1" x14ac:dyDescent="0.3">
      <c r="A34" s="75"/>
      <c r="B34" s="75"/>
      <c r="C34" s="75"/>
      <c r="D34" s="17"/>
      <c r="E34" s="97"/>
      <c r="F34" s="17"/>
      <c r="G34" s="97"/>
      <c r="H34" s="89" t="str">
        <f>IF(OR(E34="",F34="Done",Setup!$B$8=""),"",E34-Setup!$B$8)</f>
        <v/>
      </c>
      <c r="I34" s="96" t="str">
        <f t="shared" si="0"/>
        <v/>
      </c>
    </row>
    <row r="35" spans="1:9" ht="30" customHeight="1" x14ac:dyDescent="0.3">
      <c r="A35" s="75"/>
      <c r="B35" s="75"/>
      <c r="C35" s="75"/>
      <c r="D35" s="17"/>
      <c r="E35" s="97"/>
      <c r="F35" s="17"/>
      <c r="G35" s="97"/>
      <c r="H35" s="89" t="str">
        <f>IF(OR(E35="",F35="Done",Setup!$B$8=""),"",E35-Setup!$B$8)</f>
        <v/>
      </c>
      <c r="I35" s="96" t="str">
        <f t="shared" si="0"/>
        <v/>
      </c>
    </row>
    <row r="36" spans="1:9" ht="30" customHeight="1" x14ac:dyDescent="0.3">
      <c r="A36" s="75"/>
      <c r="B36" s="75"/>
      <c r="C36" s="75"/>
      <c r="D36" s="17"/>
      <c r="E36" s="97"/>
      <c r="F36" s="17"/>
      <c r="G36" s="97"/>
      <c r="H36" s="89" t="str">
        <f>IF(OR(E36="",F36="Done",Setup!$B$8=""),"",E36-Setup!$B$8)</f>
        <v/>
      </c>
      <c r="I36" s="96" t="str">
        <f t="shared" si="0"/>
        <v/>
      </c>
    </row>
    <row r="38" spans="1:9" x14ac:dyDescent="0.3">
      <c r="A38" s="53" t="s">
        <v>360</v>
      </c>
    </row>
  </sheetData>
  <sheetProtection sheet="1" formatCells="0" formatColumns="0" formatRows="0" insertColumns="0" insertRows="0" insertHyperlinks="0" deleteColumns="0" deleteRows="0" sort="0" autoFilter="0" pivotTables="0"/>
  <conditionalFormatting sqref="D7:D36">
    <cfRule type="expression" dxfId="7" priority="3">
      <formula>AND(A7&lt;&gt;"",D7="")</formula>
    </cfRule>
  </conditionalFormatting>
  <conditionalFormatting sqref="I7:I36">
    <cfRule type="expression" dxfId="6" priority="1">
      <formula>OR(LEFT(I7,2)="No",LEFT(I7,7)="Overdue")</formula>
    </cfRule>
    <cfRule type="expression" dxfId="5" priority="2">
      <formula>LEFT(I7,1)="✔"</formula>
    </cfRule>
  </conditionalFormatting>
  <dataValidations count="1">
    <dataValidation type="list" allowBlank="1" sqref="F7:F36" xr:uid="{00000000-0002-0000-0600-000001000000}">
      <formula1>"Open,Done"</formula1>
    </dataValidation>
  </dataValidations>
  <printOptions horizontalCentered="1"/>
  <pageMargins left="0.4" right="0.4" top="0.5" bottom="0.5" header="0.5" footer="0.5"/>
  <pageSetup paperSize="9" scale="72" fitToHeight="0" orientation="landscape" r:id="rId1"/>
  <extLst>
    <ext xmlns:x14="http://schemas.microsoft.com/office/spreadsheetml/2009/9/main" uri="{CCE6A557-97BC-4b89-ADB6-D9C93CAAB3DF}">
      <x14:dataValidations xmlns:xm="http://schemas.microsoft.com/office/excel/2006/main" count="1">
        <x14:dataValidation type="list" allowBlank="1" xr:uid="{00000000-0002-0000-0600-000000000000}">
          <x14:formula1>
            <xm:f>Setup!$G$20:$G$39</xm:f>
          </x14:formula1>
          <xm:sqref>D7:D36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4B8A6"/>
    <pageSetUpPr fitToPage="1"/>
  </sheetPr>
  <dimension ref="A1:L20"/>
  <sheetViews>
    <sheetView showGridLines="0" view="pageBreakPreview" zoomScale="60" zoomScaleNormal="100" workbookViewId="0">
      <pane xSplit="2" ySplit="6" topLeftCell="C7" activePane="bottomRight" state="frozen"/>
      <selection pane="topRight"/>
      <selection pane="bottomLeft"/>
      <selection pane="bottomRight" activeCell="D10" sqref="D10"/>
    </sheetView>
  </sheetViews>
  <sheetFormatPr defaultRowHeight="14.4" x14ac:dyDescent="0.3"/>
  <cols>
    <col min="1" max="1" width="8" style="2" customWidth="1"/>
    <col min="2" max="2" width="13" style="2" customWidth="1"/>
    <col min="3" max="3" width="10" style="2" customWidth="1"/>
    <col min="4" max="4" width="18" style="2" customWidth="1"/>
    <col min="5" max="5" width="13" style="2" customWidth="1"/>
    <col min="6" max="6" width="11" style="2" customWidth="1"/>
    <col min="7" max="7" width="12" style="2" customWidth="1"/>
    <col min="8" max="8" width="10" style="2" customWidth="1"/>
    <col min="9" max="9" width="11" style="2" customWidth="1"/>
    <col min="10" max="10" width="13" style="2" customWidth="1"/>
    <col min="11" max="11" width="10" style="2" customWidth="1"/>
    <col min="12" max="12" width="60" style="2" customWidth="1"/>
    <col min="13" max="16384" width="8.88671875" style="2"/>
  </cols>
  <sheetData>
    <row r="1" spans="1:12" ht="28.05" customHeight="1" x14ac:dyDescent="0.4">
      <c r="A1" s="58" t="s">
        <v>52</v>
      </c>
      <c r="L1" s="78" t="s">
        <v>62</v>
      </c>
    </row>
    <row r="2" spans="1:12" x14ac:dyDescent="0.3">
      <c r="A2" s="59" t="s">
        <v>361</v>
      </c>
    </row>
    <row r="3" spans="1:12" x14ac:dyDescent="0.3">
      <c r="A3" s="60" t="s">
        <v>362</v>
      </c>
    </row>
    <row r="4" spans="1:12" x14ac:dyDescent="0.3">
      <c r="A4" s="61"/>
      <c r="B4" s="61"/>
      <c r="C4" s="61"/>
      <c r="D4" s="61"/>
      <c r="E4" s="61"/>
      <c r="F4" s="61"/>
      <c r="G4" s="61"/>
      <c r="H4" s="61"/>
      <c r="I4" s="61"/>
      <c r="J4" s="61"/>
      <c r="K4" s="61"/>
      <c r="L4" s="61"/>
    </row>
    <row r="6" spans="1:12" ht="31.95" customHeight="1" x14ac:dyDescent="0.3">
      <c r="A6" s="64" t="s">
        <v>363</v>
      </c>
      <c r="B6" s="65" t="s">
        <v>364</v>
      </c>
      <c r="C6" s="65" t="s">
        <v>365</v>
      </c>
      <c r="D6" s="65" t="s">
        <v>366</v>
      </c>
      <c r="E6" s="65" t="s">
        <v>367</v>
      </c>
      <c r="F6" s="65" t="s">
        <v>368</v>
      </c>
      <c r="G6" s="65" t="s">
        <v>369</v>
      </c>
      <c r="H6" s="65" t="s">
        <v>370</v>
      </c>
      <c r="I6" s="65" t="s">
        <v>241</v>
      </c>
      <c r="J6" s="65" t="s">
        <v>371</v>
      </c>
      <c r="K6" s="65" t="s">
        <v>372</v>
      </c>
      <c r="L6" s="65" t="s">
        <v>373</v>
      </c>
    </row>
    <row r="7" spans="1:12" ht="30" customHeight="1" x14ac:dyDescent="0.3">
      <c r="A7" s="98">
        <v>1</v>
      </c>
      <c r="B7" s="97">
        <v>46052</v>
      </c>
      <c r="C7" s="74" t="s">
        <v>374</v>
      </c>
      <c r="D7" s="17" t="s">
        <v>26</v>
      </c>
      <c r="E7" s="97">
        <v>46227</v>
      </c>
      <c r="F7" s="90">
        <f>IF(OR(E7="",Setup!$B$9=""),"",E7-Setup!$B$9)</f>
        <v>0</v>
      </c>
      <c r="G7" s="83" t="str">
        <f>""</f>
        <v/>
      </c>
      <c r="H7" s="82">
        <f>IF(B7="","",SUMPRODUCT(ISNUMBER('Health check'!C$7:C$14)*('Health check'!C$7:C$14&gt;'Health check'!$R$7:$R$14)))</f>
        <v>6</v>
      </c>
      <c r="I7" s="82">
        <f>IF(B7="","",COUNTIF('Float trend'!C$7:C$26,"&lt;0"))</f>
        <v>0</v>
      </c>
      <c r="J7" s="97">
        <v>46055</v>
      </c>
      <c r="K7" s="82">
        <f t="shared" ref="K7:K18" si="0">IF(OR(B7="",J7=""),"",NETWORKDAYS(B7,J7)-1)</f>
        <v>1</v>
      </c>
      <c r="L7" s="75" t="s">
        <v>375</v>
      </c>
    </row>
    <row r="8" spans="1:12" ht="30" customHeight="1" x14ac:dyDescent="0.3">
      <c r="A8" s="98">
        <v>2</v>
      </c>
      <c r="B8" s="97">
        <v>46080</v>
      </c>
      <c r="C8" s="74" t="s">
        <v>374</v>
      </c>
      <c r="D8" s="17" t="s">
        <v>26</v>
      </c>
      <c r="E8" s="97">
        <v>46227</v>
      </c>
      <c r="F8" s="90">
        <f>IF(OR(E8="",Setup!$B$9=""),"",E8-Setup!$B$9)</f>
        <v>0</v>
      </c>
      <c r="G8" s="83">
        <f t="shared" ref="G8:G18" si="1">IF(OR(E8="",E7=""),"",E8-E7)</f>
        <v>0</v>
      </c>
      <c r="H8" s="82">
        <f>IF(B8="","",SUMPRODUCT(ISNUMBER('Health check'!D$7:D$14)*('Health check'!D$7:D$14&gt;'Health check'!$R$7:$R$14)))</f>
        <v>6</v>
      </c>
      <c r="I8" s="82">
        <f>IF(B8="","",COUNTIF('Float trend'!D$7:D$26,"&lt;0"))</f>
        <v>0</v>
      </c>
      <c r="J8" s="97">
        <v>46083</v>
      </c>
      <c r="K8" s="82">
        <f t="shared" si="0"/>
        <v>1</v>
      </c>
      <c r="L8" s="75" t="s">
        <v>376</v>
      </c>
    </row>
    <row r="9" spans="1:12" ht="30" customHeight="1" x14ac:dyDescent="0.3">
      <c r="A9" s="98">
        <v>3</v>
      </c>
      <c r="B9" s="97">
        <v>46112</v>
      </c>
      <c r="C9" s="74" t="s">
        <v>374</v>
      </c>
      <c r="D9" s="17" t="s">
        <v>26</v>
      </c>
      <c r="E9" s="97">
        <v>46241</v>
      </c>
      <c r="F9" s="90">
        <f>IF(OR(E9="",Setup!$B$9=""),"",E9-Setup!$B$9)</f>
        <v>14</v>
      </c>
      <c r="G9" s="83">
        <f t="shared" si="1"/>
        <v>14</v>
      </c>
      <c r="H9" s="82">
        <f>IF(B9="","",SUMPRODUCT(ISNUMBER('Health check'!E$7:E$14)*('Health check'!E$7:E$14&gt;'Health check'!$R$7:$R$14)))</f>
        <v>6</v>
      </c>
      <c r="I9" s="82">
        <f>IF(B9="","",COUNTIF('Float trend'!E$7:E$26,"&lt;0"))</f>
        <v>0</v>
      </c>
      <c r="J9" s="97">
        <v>46114</v>
      </c>
      <c r="K9" s="82">
        <f t="shared" si="0"/>
        <v>2</v>
      </c>
      <c r="L9" s="75" t="s">
        <v>377</v>
      </c>
    </row>
    <row r="10" spans="1:12" ht="30" customHeight="1" x14ac:dyDescent="0.3">
      <c r="A10" s="98">
        <v>4</v>
      </c>
      <c r="B10" s="97">
        <v>46142</v>
      </c>
      <c r="C10" s="74" t="s">
        <v>378</v>
      </c>
      <c r="D10" s="17" t="s">
        <v>26</v>
      </c>
      <c r="E10" s="97">
        <v>46246</v>
      </c>
      <c r="F10" s="90">
        <f>IF(OR(E10="",Setup!$B$9=""),"",E10-Setup!$B$9)</f>
        <v>19</v>
      </c>
      <c r="G10" s="83">
        <f t="shared" si="1"/>
        <v>5</v>
      </c>
      <c r="H10" s="82">
        <f>IF(B10="","",SUMPRODUCT(ISNUMBER('Health check'!F$7:F$14)*('Health check'!F$7:F$14&gt;'Health check'!$R$7:$R$14)))</f>
        <v>6</v>
      </c>
      <c r="I10" s="82">
        <f>IF(B10="","",COUNTIF('Float trend'!F$7:F$26,"&lt;0"))</f>
        <v>0</v>
      </c>
      <c r="J10" s="97">
        <v>46150</v>
      </c>
      <c r="K10" s="82">
        <f t="shared" si="0"/>
        <v>6</v>
      </c>
      <c r="L10" s="75" t="s">
        <v>379</v>
      </c>
    </row>
    <row r="11" spans="1:12" ht="30" customHeight="1" x14ac:dyDescent="0.3">
      <c r="A11" s="98">
        <v>5</v>
      </c>
      <c r="B11" s="97">
        <v>46171</v>
      </c>
      <c r="C11" s="74" t="s">
        <v>374</v>
      </c>
      <c r="D11" s="17" t="s">
        <v>26</v>
      </c>
      <c r="E11" s="97">
        <v>46248</v>
      </c>
      <c r="F11" s="90">
        <f>IF(OR(E11="",Setup!$B$9=""),"",E11-Setup!$B$9)</f>
        <v>21</v>
      </c>
      <c r="G11" s="83">
        <f t="shared" si="1"/>
        <v>2</v>
      </c>
      <c r="H11" s="82">
        <f>IF(B11="","",SUMPRODUCT(ISNUMBER('Health check'!G$7:G$14)*('Health check'!G$7:G$14&gt;'Health check'!$R$7:$R$14)))</f>
        <v>6</v>
      </c>
      <c r="I11" s="82">
        <f>IF(B11="","",COUNTIF('Float trend'!G$7:G$26,"&lt;0"))</f>
        <v>0</v>
      </c>
      <c r="J11" s="97">
        <v>46175</v>
      </c>
      <c r="K11" s="82">
        <f t="shared" si="0"/>
        <v>2</v>
      </c>
      <c r="L11" s="75" t="s">
        <v>380</v>
      </c>
    </row>
    <row r="12" spans="1:12" ht="30" customHeight="1" x14ac:dyDescent="0.3">
      <c r="A12" s="98">
        <v>6</v>
      </c>
      <c r="B12" s="97">
        <v>46203</v>
      </c>
      <c r="C12" s="74" t="s">
        <v>374</v>
      </c>
      <c r="D12" s="17" t="s">
        <v>381</v>
      </c>
      <c r="E12" s="97">
        <v>46269</v>
      </c>
      <c r="F12" s="90">
        <f>IF(OR(E12="",Setup!$B$9=""),"",E12-Setup!$B$9)</f>
        <v>42</v>
      </c>
      <c r="G12" s="83">
        <f t="shared" si="1"/>
        <v>21</v>
      </c>
      <c r="H12" s="82">
        <f>IF(B12="","",SUMPRODUCT(ISNUMBER('Health check'!H$7:H$14)*('Health check'!H$7:H$14&gt;'Health check'!$R$7:$R$14)))</f>
        <v>6</v>
      </c>
      <c r="I12" s="82">
        <f>IF(B12="","",COUNTIF('Float trend'!H$7:H$26,"&lt;0"))</f>
        <v>2</v>
      </c>
      <c r="J12" s="97"/>
      <c r="K12" s="82" t="str">
        <f t="shared" si="0"/>
        <v/>
      </c>
      <c r="L12" s="75" t="s">
        <v>382</v>
      </c>
    </row>
    <row r="13" spans="1:12" ht="30" customHeight="1" x14ac:dyDescent="0.3">
      <c r="A13" s="98">
        <v>7</v>
      </c>
      <c r="B13" s="97"/>
      <c r="C13" s="74"/>
      <c r="D13" s="17"/>
      <c r="E13" s="97"/>
      <c r="F13" s="90" t="str">
        <f>IF(OR(E13="",Setup!$B$9=""),"",E13-Setup!$B$9)</f>
        <v/>
      </c>
      <c r="G13" s="83" t="str">
        <f t="shared" si="1"/>
        <v/>
      </c>
      <c r="H13" s="82" t="str">
        <f>IF(B13="","",SUMPRODUCT(ISNUMBER('Health check'!I$7:I$14)*('Health check'!I$7:I$14&gt;'Health check'!$R$7:$R$14)))</f>
        <v/>
      </c>
      <c r="I13" s="82" t="str">
        <f>IF(B13="","",COUNTIF('Float trend'!I$7:I$26,"&lt;0"))</f>
        <v/>
      </c>
      <c r="J13" s="97"/>
      <c r="K13" s="82" t="str">
        <f t="shared" si="0"/>
        <v/>
      </c>
      <c r="L13" s="75"/>
    </row>
    <row r="14" spans="1:12" ht="30" customHeight="1" x14ac:dyDescent="0.3">
      <c r="A14" s="98">
        <v>8</v>
      </c>
      <c r="B14" s="97"/>
      <c r="C14" s="74"/>
      <c r="D14" s="17"/>
      <c r="E14" s="97"/>
      <c r="F14" s="90" t="str">
        <f>IF(OR(E14="",Setup!$B$9=""),"",E14-Setup!$B$9)</f>
        <v/>
      </c>
      <c r="G14" s="83" t="str">
        <f t="shared" si="1"/>
        <v/>
      </c>
      <c r="H14" s="82" t="str">
        <f>IF(B14="","",SUMPRODUCT(ISNUMBER('Health check'!J$7:J$14)*('Health check'!J$7:J$14&gt;'Health check'!$R$7:$R$14)))</f>
        <v/>
      </c>
      <c r="I14" s="82" t="str">
        <f>IF(B14="","",COUNTIF('Float trend'!J$7:J$26,"&lt;0"))</f>
        <v/>
      </c>
      <c r="J14" s="97"/>
      <c r="K14" s="82" t="str">
        <f t="shared" si="0"/>
        <v/>
      </c>
      <c r="L14" s="75"/>
    </row>
    <row r="15" spans="1:12" ht="30" customHeight="1" x14ac:dyDescent="0.3">
      <c r="A15" s="98">
        <v>9</v>
      </c>
      <c r="B15" s="97"/>
      <c r="C15" s="74"/>
      <c r="D15" s="17"/>
      <c r="E15" s="97"/>
      <c r="F15" s="90" t="str">
        <f>IF(OR(E15="",Setup!$B$9=""),"",E15-Setup!$B$9)</f>
        <v/>
      </c>
      <c r="G15" s="83" t="str">
        <f t="shared" si="1"/>
        <v/>
      </c>
      <c r="H15" s="82" t="str">
        <f>IF(B15="","",SUMPRODUCT(ISNUMBER('Health check'!K$7:K$14)*('Health check'!K$7:K$14&gt;'Health check'!$R$7:$R$14)))</f>
        <v/>
      </c>
      <c r="I15" s="82" t="str">
        <f>IF(B15="","",COUNTIF('Float trend'!K$7:K$26,"&lt;0"))</f>
        <v/>
      </c>
      <c r="J15" s="97"/>
      <c r="K15" s="82" t="str">
        <f t="shared" si="0"/>
        <v/>
      </c>
      <c r="L15" s="75"/>
    </row>
    <row r="16" spans="1:12" ht="30" customHeight="1" x14ac:dyDescent="0.3">
      <c r="A16" s="98">
        <v>10</v>
      </c>
      <c r="B16" s="97"/>
      <c r="C16" s="74"/>
      <c r="D16" s="17"/>
      <c r="E16" s="97"/>
      <c r="F16" s="90" t="str">
        <f>IF(OR(E16="",Setup!$B$9=""),"",E16-Setup!$B$9)</f>
        <v/>
      </c>
      <c r="G16" s="83" t="str">
        <f t="shared" si="1"/>
        <v/>
      </c>
      <c r="H16" s="82" t="str">
        <f>IF(B16="","",SUMPRODUCT(ISNUMBER('Health check'!L$7:L$14)*('Health check'!L$7:L$14&gt;'Health check'!$R$7:$R$14)))</f>
        <v/>
      </c>
      <c r="I16" s="82" t="str">
        <f>IF(B16="","",COUNTIF('Float trend'!L$7:L$26,"&lt;0"))</f>
        <v/>
      </c>
      <c r="J16" s="97"/>
      <c r="K16" s="82" t="str">
        <f t="shared" si="0"/>
        <v/>
      </c>
      <c r="L16" s="75"/>
    </row>
    <row r="17" spans="1:12" ht="30" customHeight="1" x14ac:dyDescent="0.3">
      <c r="A17" s="98">
        <v>11</v>
      </c>
      <c r="B17" s="97"/>
      <c r="C17" s="74"/>
      <c r="D17" s="17"/>
      <c r="E17" s="97"/>
      <c r="F17" s="90" t="str">
        <f>IF(OR(E17="",Setup!$B$9=""),"",E17-Setup!$B$9)</f>
        <v/>
      </c>
      <c r="G17" s="83" t="str">
        <f t="shared" si="1"/>
        <v/>
      </c>
      <c r="H17" s="82" t="str">
        <f>IF(B17="","",SUMPRODUCT(ISNUMBER('Health check'!M$7:M$14)*('Health check'!M$7:M$14&gt;'Health check'!$R$7:$R$14)))</f>
        <v/>
      </c>
      <c r="I17" s="82" t="str">
        <f>IF(B17="","",COUNTIF('Float trend'!M$7:M$26,"&lt;0"))</f>
        <v/>
      </c>
      <c r="J17" s="97"/>
      <c r="K17" s="82" t="str">
        <f t="shared" si="0"/>
        <v/>
      </c>
      <c r="L17" s="75"/>
    </row>
    <row r="18" spans="1:12" ht="30" customHeight="1" x14ac:dyDescent="0.3">
      <c r="A18" s="98">
        <v>12</v>
      </c>
      <c r="B18" s="97"/>
      <c r="C18" s="74"/>
      <c r="D18" s="17"/>
      <c r="E18" s="97"/>
      <c r="F18" s="90" t="str">
        <f>IF(OR(E18="",Setup!$B$9=""),"",E18-Setup!$B$9)</f>
        <v/>
      </c>
      <c r="G18" s="83" t="str">
        <f t="shared" si="1"/>
        <v/>
      </c>
      <c r="H18" s="82" t="str">
        <f>IF(B18="","",SUMPRODUCT(ISNUMBER('Health check'!N$7:N$14)*('Health check'!N$7:N$14&gt;'Health check'!$R$7:$R$14)))</f>
        <v/>
      </c>
      <c r="I18" s="82" t="str">
        <f>IF(B18="","",COUNTIF('Float trend'!N$7:N$26,"&lt;0"))</f>
        <v/>
      </c>
      <c r="J18" s="97"/>
      <c r="K18" s="82" t="str">
        <f t="shared" si="0"/>
        <v/>
      </c>
      <c r="L18" s="75"/>
    </row>
    <row r="20" spans="1:12" x14ac:dyDescent="0.3">
      <c r="A20" s="53" t="s">
        <v>383</v>
      </c>
    </row>
  </sheetData>
  <sheetProtection sheet="1" formatCells="0" formatColumns="0" formatRows="0" insertColumns="0" insertRows="0" insertHyperlinks="0" deleteColumns="0" deleteRows="0" sort="0" autoFilter="0" pivotTables="0"/>
  <conditionalFormatting sqref="C7:C18">
    <cfRule type="cellIs" dxfId="3" priority="2" operator="equal">
      <formula>"N"</formula>
    </cfRule>
  </conditionalFormatting>
  <conditionalFormatting sqref="D7:D18">
    <cfRule type="cellIs" dxfId="2" priority="3" operator="equal">
      <formula>"Progress override"</formula>
    </cfRule>
  </conditionalFormatting>
  <dataValidations count="1">
    <dataValidation type="list" allowBlank="1" sqref="C7:C18" xr:uid="{00000000-0002-0000-0700-000000000000}">
      <formula1>"Y,N"</formula1>
    </dataValidation>
  </dataValidations>
  <printOptions horizontalCentered="1"/>
  <pageMargins left="0.4" right="0.4" top="0.5" bottom="0.5" header="0.5" footer="0.5"/>
  <pageSetup paperSize="9" scale="73" orientation="landscape" r:id="rId1"/>
  <extLst>
    <ext xmlns:x14="http://schemas.microsoft.com/office/spreadsheetml/2009/9/main" uri="{CCE6A557-97BC-4b89-ADB6-D9C93CAAB3DF}">
      <x14:dataValidations xmlns:xm="http://schemas.microsoft.com/office/excel/2006/main" count="1">
        <x14:dataValidation type="list" allowBlank="1" xr:uid="{00000000-0002-0000-0700-000001000000}">
          <x14:formula1>
            <xm:f>Setup!$H$20:$H$22</xm:f>
          </x14:formula1>
          <xm:sqref>D7:D18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F172A"/>
    <pageSetUpPr fitToPage="1"/>
  </sheetPr>
  <dimension ref="A1:H42"/>
  <sheetViews>
    <sheetView showGridLines="0" view="pageBreakPreview" zoomScale="60" zoomScaleNormal="100" workbookViewId="0"/>
  </sheetViews>
  <sheetFormatPr defaultRowHeight="14.4" x14ac:dyDescent="0.3"/>
  <cols>
    <col min="1" max="1" width="40" style="2" customWidth="1"/>
    <col min="2" max="2" width="22" style="2" customWidth="1"/>
    <col min="3" max="3" width="4" style="2" customWidth="1"/>
    <col min="4" max="4" width="60" style="2" customWidth="1"/>
    <col min="5" max="5" width="4" style="2" customWidth="1"/>
    <col min="6" max="8" width="20" style="2" customWidth="1"/>
    <col min="9" max="16384" width="8.88671875" style="2"/>
  </cols>
  <sheetData>
    <row r="1" spans="1:8" ht="28.05" customHeight="1" x14ac:dyDescent="0.4">
      <c r="A1" s="58" t="s">
        <v>54</v>
      </c>
      <c r="H1" s="78" t="s">
        <v>62</v>
      </c>
    </row>
    <row r="2" spans="1:8" x14ac:dyDescent="0.3">
      <c r="A2" s="59" t="s">
        <v>384</v>
      </c>
    </row>
    <row r="3" spans="1:8" x14ac:dyDescent="0.3">
      <c r="A3" s="60" t="s">
        <v>385</v>
      </c>
    </row>
    <row r="4" spans="1:8" x14ac:dyDescent="0.3">
      <c r="A4" s="99"/>
      <c r="B4" s="99"/>
      <c r="C4" s="99"/>
      <c r="D4" s="99"/>
      <c r="E4" s="99"/>
      <c r="F4" s="99"/>
      <c r="G4" s="99"/>
      <c r="H4" s="99"/>
    </row>
    <row r="6" spans="1:8" x14ac:dyDescent="0.3">
      <c r="A6" s="100" t="s">
        <v>386</v>
      </c>
      <c r="B6" s="17" t="s">
        <v>387</v>
      </c>
    </row>
    <row r="7" spans="1:8" x14ac:dyDescent="0.3">
      <c r="A7" s="100" t="s">
        <v>388</v>
      </c>
      <c r="B7" s="101">
        <v>6</v>
      </c>
      <c r="D7" s="24" t="s">
        <v>389</v>
      </c>
    </row>
    <row r="8" spans="1:8" x14ac:dyDescent="0.3">
      <c r="A8" s="100" t="s">
        <v>390</v>
      </c>
      <c r="B8" s="102">
        <f>IFERROR(IF(INDEX(Updates!$B$7:$B$18,B7)="","",INDEX(Updates!$B$7:$B$18,B7)),"")</f>
        <v>46203</v>
      </c>
      <c r="D8" s="24" t="s">
        <v>391</v>
      </c>
    </row>
    <row r="9" spans="1:8" x14ac:dyDescent="0.3">
      <c r="A9" s="100" t="s">
        <v>392</v>
      </c>
      <c r="B9" s="103">
        <v>46227</v>
      </c>
      <c r="D9" s="24" t="s">
        <v>393</v>
      </c>
    </row>
    <row r="10" spans="1:8" x14ac:dyDescent="0.3">
      <c r="A10" s="100" t="s">
        <v>394</v>
      </c>
      <c r="B10" s="17" t="s">
        <v>395</v>
      </c>
      <c r="D10" s="24" t="s">
        <v>396</v>
      </c>
    </row>
    <row r="11" spans="1:8" x14ac:dyDescent="0.3">
      <c r="A11" s="100" t="s">
        <v>397</v>
      </c>
      <c r="B11" s="101">
        <v>100</v>
      </c>
      <c r="D11" s="24" t="s">
        <v>398</v>
      </c>
    </row>
    <row r="12" spans="1:8" x14ac:dyDescent="0.3">
      <c r="A12" s="100" t="s">
        <v>399</v>
      </c>
      <c r="B12" s="101">
        <v>10</v>
      </c>
      <c r="D12" s="24" t="s">
        <v>400</v>
      </c>
    </row>
    <row r="13" spans="1:8" x14ac:dyDescent="0.3">
      <c r="A13" s="100" t="s">
        <v>401</v>
      </c>
      <c r="B13" s="101">
        <v>3</v>
      </c>
      <c r="D13" s="24" t="s">
        <v>402</v>
      </c>
    </row>
    <row r="14" spans="1:8" x14ac:dyDescent="0.3">
      <c r="A14" s="100" t="s">
        <v>403</v>
      </c>
      <c r="B14" s="101">
        <v>3</v>
      </c>
      <c r="D14" s="24" t="s">
        <v>404</v>
      </c>
    </row>
    <row r="15" spans="1:8" x14ac:dyDescent="0.3">
      <c r="A15" s="100" t="s">
        <v>405</v>
      </c>
      <c r="B15" s="17" t="s">
        <v>406</v>
      </c>
    </row>
    <row r="16" spans="1:8" x14ac:dyDescent="0.3">
      <c r="A16" s="100" t="s">
        <v>407</v>
      </c>
      <c r="B16" s="104">
        <f>IFERROR(IF(OR(B7&lt;2,B8="",INDEX(Updates!$B$7:$B$18,B7-1)=""),"",NETWORKDAYS(INDEX(Updates!$B$7:$B$18,B7-1)+1,B8)),"")</f>
        <v>22</v>
      </c>
      <c r="D16" s="24" t="s">
        <v>408</v>
      </c>
    </row>
    <row r="18" spans="1:8" x14ac:dyDescent="0.3">
      <c r="A18" s="47" t="s">
        <v>409</v>
      </c>
    </row>
    <row r="19" spans="1:8" x14ac:dyDescent="0.3">
      <c r="A19" s="94" t="s">
        <v>74</v>
      </c>
      <c r="F19" s="94" t="s">
        <v>410</v>
      </c>
      <c r="G19" s="94" t="s">
        <v>411</v>
      </c>
      <c r="H19" s="94" t="s">
        <v>366</v>
      </c>
    </row>
    <row r="20" spans="1:8" x14ac:dyDescent="0.3">
      <c r="A20" s="17" t="s">
        <v>96</v>
      </c>
      <c r="F20" s="17" t="s">
        <v>307</v>
      </c>
      <c r="G20" s="17" t="s">
        <v>98</v>
      </c>
      <c r="H20" s="17" t="s">
        <v>381</v>
      </c>
    </row>
    <row r="21" spans="1:8" x14ac:dyDescent="0.3">
      <c r="A21" s="17" t="s">
        <v>135</v>
      </c>
      <c r="F21" s="17" t="s">
        <v>312</v>
      </c>
      <c r="G21" s="17" t="s">
        <v>193</v>
      </c>
      <c r="H21" s="17" t="s">
        <v>26</v>
      </c>
    </row>
    <row r="22" spans="1:8" x14ac:dyDescent="0.3">
      <c r="A22" s="17" t="s">
        <v>110</v>
      </c>
      <c r="F22" s="17" t="s">
        <v>310</v>
      </c>
      <c r="G22" s="17" t="s">
        <v>350</v>
      </c>
      <c r="H22" s="17" t="s">
        <v>412</v>
      </c>
    </row>
    <row r="23" spans="1:8" x14ac:dyDescent="0.3">
      <c r="A23" s="17" t="s">
        <v>191</v>
      </c>
      <c r="F23" s="17" t="s">
        <v>320</v>
      </c>
      <c r="G23" s="17" t="s">
        <v>112</v>
      </c>
      <c r="H23" s="17"/>
    </row>
    <row r="24" spans="1:8" x14ac:dyDescent="0.3">
      <c r="A24" s="17" t="s">
        <v>201</v>
      </c>
      <c r="F24" s="17" t="s">
        <v>331</v>
      </c>
      <c r="G24" s="17" t="s">
        <v>316</v>
      </c>
      <c r="H24" s="17"/>
    </row>
    <row r="25" spans="1:8" x14ac:dyDescent="0.3">
      <c r="A25" s="17"/>
      <c r="F25" s="17" t="s">
        <v>413</v>
      </c>
      <c r="G25" s="17" t="s">
        <v>414</v>
      </c>
      <c r="H25" s="17"/>
    </row>
    <row r="26" spans="1:8" x14ac:dyDescent="0.3">
      <c r="A26" s="17"/>
      <c r="F26" s="17" t="s">
        <v>314</v>
      </c>
      <c r="G26" s="17" t="s">
        <v>309</v>
      </c>
      <c r="H26" s="17"/>
    </row>
    <row r="27" spans="1:8" x14ac:dyDescent="0.3">
      <c r="A27" s="17"/>
      <c r="F27" s="17" t="s">
        <v>415</v>
      </c>
      <c r="G27" s="17" t="s">
        <v>186</v>
      </c>
      <c r="H27" s="17"/>
    </row>
    <row r="28" spans="1:8" x14ac:dyDescent="0.3">
      <c r="A28" s="17"/>
      <c r="F28" s="17"/>
      <c r="G28" s="17" t="s">
        <v>416</v>
      </c>
      <c r="H28" s="17"/>
    </row>
    <row r="29" spans="1:8" x14ac:dyDescent="0.3">
      <c r="A29" s="17"/>
      <c r="F29" s="17"/>
      <c r="G29" s="17" t="s">
        <v>327</v>
      </c>
      <c r="H29" s="17"/>
    </row>
    <row r="30" spans="1:8" x14ac:dyDescent="0.3">
      <c r="A30" s="17"/>
      <c r="F30" s="17"/>
      <c r="G30" s="17" t="s">
        <v>417</v>
      </c>
      <c r="H30" s="17"/>
    </row>
    <row r="31" spans="1:8" x14ac:dyDescent="0.3">
      <c r="A31" s="17"/>
      <c r="F31" s="17"/>
      <c r="G31" s="17" t="s">
        <v>322</v>
      </c>
      <c r="H31" s="17"/>
    </row>
    <row r="32" spans="1:8" x14ac:dyDescent="0.3">
      <c r="A32" s="17"/>
      <c r="F32" s="17"/>
      <c r="G32" s="17" t="s">
        <v>313</v>
      </c>
      <c r="H32" s="17"/>
    </row>
    <row r="33" spans="1:8" x14ac:dyDescent="0.3">
      <c r="A33" s="17"/>
      <c r="F33" s="17"/>
      <c r="G33" s="17"/>
      <c r="H33" s="17"/>
    </row>
    <row r="34" spans="1:8" x14ac:dyDescent="0.3">
      <c r="A34" s="17"/>
      <c r="F34" s="17"/>
      <c r="G34" s="17"/>
      <c r="H34" s="17"/>
    </row>
    <row r="35" spans="1:8" x14ac:dyDescent="0.3">
      <c r="A35" s="17"/>
      <c r="F35" s="17"/>
      <c r="G35" s="17"/>
      <c r="H35" s="17"/>
    </row>
    <row r="36" spans="1:8" x14ac:dyDescent="0.3">
      <c r="A36" s="17"/>
      <c r="F36" s="17"/>
      <c r="G36" s="17"/>
      <c r="H36" s="17"/>
    </row>
    <row r="37" spans="1:8" x14ac:dyDescent="0.3">
      <c r="A37" s="17"/>
      <c r="F37" s="17"/>
      <c r="G37" s="17"/>
      <c r="H37" s="17"/>
    </row>
    <row r="38" spans="1:8" x14ac:dyDescent="0.3">
      <c r="A38" s="17"/>
      <c r="F38" s="17"/>
      <c r="G38" s="17"/>
      <c r="H38" s="17"/>
    </row>
    <row r="39" spans="1:8" x14ac:dyDescent="0.3">
      <c r="A39" s="17"/>
      <c r="F39" s="17"/>
      <c r="G39" s="17"/>
      <c r="H39" s="17"/>
    </row>
    <row r="41" spans="1:8" ht="24" customHeight="1" x14ac:dyDescent="0.3">
      <c r="A41" s="22" t="s">
        <v>418</v>
      </c>
      <c r="B41" s="23"/>
      <c r="C41" s="23"/>
      <c r="D41" s="23"/>
      <c r="E41" s="23"/>
      <c r="F41" s="23"/>
      <c r="G41" s="23"/>
      <c r="H41" s="23"/>
    </row>
    <row r="42" spans="1:8" x14ac:dyDescent="0.3">
      <c r="A42" s="23"/>
      <c r="B42" s="23"/>
      <c r="C42" s="23"/>
      <c r="D42" s="23"/>
      <c r="E42" s="23"/>
      <c r="F42" s="23"/>
      <c r="G42" s="23"/>
      <c r="H42" s="23"/>
    </row>
  </sheetData>
  <sheetProtection sheet="1" formatCells="0" formatColumns="0" formatRows="0" insertColumns="0" insertRows="0" insertHyperlinks="0" deleteColumns="0" deleteRows="0" sort="0" autoFilter="0" pivotTables="0"/>
  <mergeCells count="1">
    <mergeCell ref="A41:H42"/>
  </mergeCells>
  <printOptions horizontalCentered="1"/>
  <pageMargins left="0.4" right="0.4" top="0.5" bottom="0.5" header="0.5" footer="0.5"/>
  <pageSetup paperSize="9" scale="5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Start</vt:lpstr>
      <vt:lpstr>Dashboard</vt:lpstr>
      <vt:lpstr>Checklist</vt:lpstr>
      <vt:lpstr>Health check</vt:lpstr>
      <vt:lpstr>Float trend</vt:lpstr>
      <vt:lpstr>Remaining days</vt:lpstr>
      <vt:lpstr>Actions</vt:lpstr>
      <vt:lpstr>Updates</vt:lpstr>
      <vt:lpstr>Setup</vt:lpstr>
      <vt:lpstr>Actions!Print_Area</vt:lpstr>
      <vt:lpstr>Checklist!Print_Area</vt:lpstr>
      <vt:lpstr>Dashboard!Print_Area</vt:lpstr>
      <vt:lpstr>'Float trend'!Print_Area</vt:lpstr>
      <vt:lpstr>'Health check'!Print_Area</vt:lpstr>
      <vt:lpstr>'Remaining days'!Print_Area</vt:lpstr>
      <vt:lpstr>Setup!Print_Area</vt:lpstr>
      <vt:lpstr>Start!Print_Area</vt:lpstr>
      <vt:lpstr>Updates!Print_Area</vt:lpstr>
      <vt:lpstr>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Project Control Hub</dc:creator>
  <cp:lastModifiedBy>The Project Control Hub</cp:lastModifiedBy>
  <dcterms:created xsi:type="dcterms:W3CDTF">2026-10-13T09:30:39Z</dcterms:created>
  <dcterms:modified xsi:type="dcterms:W3CDTF">2026-10-13T14:12:19Z</dcterms:modified>
</cp:coreProperties>
</file>