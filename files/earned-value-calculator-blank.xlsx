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27F7CD9D-AD4B-4127-BE51-4E789ED7BA00}" xr6:coauthVersionLast="47" xr6:coauthVersionMax="47" xr10:uidLastSave="{00000000-0000-0000-0000-000000000000}"/>
  <workbookProtection lockStructure="1"/>
  <bookViews>
    <workbookView xWindow="-28920" yWindow="-45" windowWidth="29040" windowHeight="15720" xr2:uid="{00000000-000D-0000-FFFF-FFFF00000000}"/>
  </bookViews>
  <sheets>
    <sheet name="Start" sheetId="1" r:id="rId1"/>
    <sheet name="Dashboard" sheetId="2" r:id="rId2"/>
    <sheet name="Setup" sheetId="3" r:id="rId3"/>
    <sheet name="Monthly" sheetId="4" r:id="rId4"/>
    <sheet name="Results" sheetId="5" r:id="rId5"/>
    <sheet name="Work packages" sheetId="6" r:id="rId6"/>
  </sheets>
  <definedNames>
    <definedName name="_xlnm.Print_Area" localSheetId="1">Dashboard!$A$1:$N$65</definedName>
    <definedName name="_xlnm.Print_Area" localSheetId="3">Monthly!$A$1:$N$32</definedName>
    <definedName name="_xlnm.Print_Area" localSheetId="4">Results!$A$1:$D$45</definedName>
    <definedName name="_xlnm.Print_Area" localSheetId="2">Setup!$A$1:$D$12</definedName>
    <definedName name="_xlnm.Print_Area" localSheetId="0">Start!$A$1:$F$44</definedName>
    <definedName name="_xlnm.Print_Area" localSheetId="5">'Work packages'!$A$1:$N$38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O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Columns O to R only feed the charts. #N/A there is deliberate: it makes a gap instead of a drop to zero.</t>
        </r>
      </text>
    </comment>
  </commentList>
</comments>
</file>

<file path=xl/sharedStrings.xml><?xml version="1.0" encoding="utf-8"?>
<sst xmlns="http://schemas.openxmlformats.org/spreadsheetml/2006/main" count="239" uniqueCount="215">
  <si>
    <t>Earned value calculator</t>
  </si>
  <si>
    <t>Three numbers a month in; where the job ends, what recovery would take, and how late it is, out.</t>
  </si>
  <si>
    <t>The Project Control Hub · free template</t>
  </si>
  <si>
    <t>EVERY MONTH, IN FIVE STEPS</t>
  </si>
  <si>
    <t>Setup  →</t>
  </si>
  <si>
    <t>Once: BAC, duration, the date month 1 ends. Every month: change "This report: month".</t>
  </si>
  <si>
    <t>1 minute</t>
  </si>
  <si>
    <t>Monthly  →</t>
  </si>
  <si>
    <t>Once: the baseline PV, month by month. Every month: EV and AC for the new row.</t>
  </si>
  <si>
    <t>5 minutes</t>
  </si>
  <si>
    <t>Work packages  →</t>
  </si>
  <si>
    <t>EV and AC by package, each measured by a rule agreed in advance. The totals check against Monthly.</t>
  </si>
  <si>
    <t>20 minutes</t>
  </si>
  <si>
    <t>Results  →</t>
  </si>
  <si>
    <t>Read it. Every measure, with one line on what it means, and four ways to forecast the finish.</t>
  </si>
  <si>
    <t>Dashboard  →</t>
  </si>
  <si>
    <t>Take it to the meeting. Say the plain-English paragraph out loud.</t>
  </si>
  <si>
    <t>—</t>
  </si>
  <si>
    <t>THE THREE NUMBERS</t>
  </si>
  <si>
    <t>PV · the promise</t>
  </si>
  <si>
    <t>What the baseline said would be built by now. Comes from the schedule, once.</t>
  </si>
  <si>
    <t>EV · what is standing</t>
  </si>
  <si>
    <t>The budget of the work actually done, measured. Never "about eighty percent".</t>
  </si>
  <si>
    <t>AC · what was paid</t>
  </si>
  <si>
    <t>What has left the bank. Ask accounts.</t>
  </si>
  <si>
    <t>EV against AC tells you about cost. EV against PV tells you about time. PV against AC tells you nothing.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</si>
  <si>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</si>
  <si>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</si>
  <si>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</si>
  <si>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</si>
  <si>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</si>
  <si>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Teal row</t>
  </si>
  <si>
    <t>The reporting month.</t>
  </si>
  <si>
    <t>Amber</t>
  </si>
  <si>
    <t>An index between 0.90 and 1.00: watch it.</t>
  </si>
  <si>
    <t>Red</t>
  </si>
  <si>
    <t>An index under 0.90, a negative variance, or a TCPI the site has never achieved.</t>
  </si>
  <si>
    <t>WHAT IS IN THIS FILE</t>
  </si>
  <si>
    <t>Dashboard</t>
  </si>
  <si>
    <t>Six numbers, a paragraph in plain English, four charts and the work packages.</t>
  </si>
  <si>
    <t>Setup</t>
  </si>
  <si>
    <t>BAC, duration, the reporting month.</t>
  </si>
  <si>
    <t>Monthly</t>
  </si>
  <si>
    <t>PV, EV and AC month by month, with CPI, SPI, earned schedule and the forecast curve.</t>
  </si>
  <si>
    <t>Results</t>
  </si>
  <si>
    <t>Every measure for the month, explained, and four EAC methods side by side.</t>
  </si>
  <si>
    <t>Work packages</t>
  </si>
  <si>
    <t>EV and AC by package, so you can see where the money goes.</t>
  </si>
  <si>
    <t>EXPLAINED IN</t>
  </si>
  <si>
    <t>Schedule Topic 18 · EVM fundamentals</t>
  </si>
  <si>
    <t>Schedule Topic 19 · EVM analysis</t>
  </si>
  <si>
    <t>Schedule Topic 20 · Forecasting</t>
  </si>
  <si>
    <t>Cost &amp; Cash Topic 6 · Why CPI flatters a tender sum</t>
  </si>
  <si>
    <t>Blank: twenty-four months and twenty work packages ready to fill. The example file shows month six of the example project.</t>
  </si>
  <si>
    <t>Free to use and adapt on your own projects. https://theprojectcontrolhub.com/</t>
  </si>
  <si>
    <t>Earned value</t>
  </si>
  <si>
    <t>The Project Control Hub</t>
  </si>
  <si>
    <t>CPI · COST</t>
  </si>
  <si>
    <t>SPI(t) · TIME</t>
  </si>
  <si>
    <t>ESTIMATE AT COMPLETION</t>
  </si>
  <si>
    <t>OVERRUN AT COMPLETION</t>
  </si>
  <si>
    <t>TCPI · NEEDED FROM NOW</t>
  </si>
  <si>
    <t>STILL TO PAY OUT</t>
  </si>
  <si>
    <t>Chart data</t>
  </si>
  <si>
    <t>CPI achieved</t>
  </si>
  <si>
    <t>Best month</t>
  </si>
  <si>
    <t>TCPI needed</t>
  </si>
  <si>
    <t>THE THREE NUMBERS, AND WHERE THEY LEAD</t>
  </si>
  <si>
    <t>WHERE THE MONEY IS LOST, AND WHAT RECOVERY WOULD TAKE</t>
  </si>
  <si>
    <t>WORK PACKAGES</t>
  </si>
  <si>
    <t>Package</t>
  </si>
  <si>
    <t>Budget</t>
  </si>
  <si>
    <t>PV</t>
  </si>
  <si>
    <t>EV</t>
  </si>
  <si>
    <t>AC</t>
  </si>
  <si>
    <t>CV</t>
  </si>
  <si>
    <t>CPI</t>
  </si>
  <si>
    <t>SPI</t>
  </si>
  <si>
    <t>Flag</t>
  </si>
  <si>
    <t>Everything on this page reads from Monthly, Results and Work packages.</t>
  </si>
  <si>
    <t>The budget, the duration and the month you are reporting.</t>
  </si>
  <si>
    <t>Change "This report: month" every month. Everything else reads from here.</t>
  </si>
  <si>
    <t>Project</t>
  </si>
  <si>
    <t>Example project</t>
  </si>
  <si>
    <t>Budget at completion, BAC ($)</t>
  </si>
  <si>
    <t>The budget you control. A tender sum carries overhead, profit and reserve: dividing invoices by it flatters CPI (Cost &amp; Cash Topics 5 and 6).</t>
  </si>
  <si>
    <t>Planned duration (months)</t>
  </si>
  <si>
    <t>This report: month</t>
  </si>
  <si>
    <t>The row of the Monthly sheet the Dashboard and Results read.</t>
  </si>
  <si>
    <t>Month 1 ends on</t>
  </si>
  <si>
    <t>Optional. Dates the Monthly rows and the forecast finish.</t>
  </si>
  <si>
    <t>Prepared by</t>
  </si>
  <si>
    <t>Project controls</t>
  </si>
  <si>
    <t>The three numbers every month: the promise (PV), what is standing (EV), what has been paid (AC).</t>
  </si>
  <si>
    <t>PV comes from the baseline once. Each month add EV (measured, never "about eighty percent") and AC (ask accounts).</t>
  </si>
  <si>
    <t>Month</t>
  </si>
  <si>
    <t>Month end</t>
  </si>
  <si>
    <t>Planned value, PV (cumulative $)</t>
  </si>
  <si>
    <t>Earned value, EV (cumulative $)</t>
  </si>
  <si>
    <t>Actual cost, AC (cumulative $)</t>
  </si>
  <si>
    <t>Cost variance, CV ($)</t>
  </si>
  <si>
    <t>Schedule variance, SV ($)</t>
  </si>
  <si>
    <t>SPI ($)</t>
  </si>
  <si>
    <t>Earned schedule (months)</t>
  </si>
  <si>
    <t>SPI(t)</t>
  </si>
  <si>
    <t>Delay (months)</t>
  </si>
  <si>
    <t>CPI this month</t>
  </si>
  <si>
    <t>Forecast cost if nothing changes ($)</t>
  </si>
  <si>
    <t>Target 1.0</t>
  </si>
  <si>
    <t xml:space="preserve">CPI </t>
  </si>
  <si>
    <t xml:space="preserve">SPI(t) </t>
  </si>
  <si>
    <t>Forecast cost if nothing changes</t>
  </si>
  <si>
    <t>Earned schedule: the month the baseline said you would reach today’s EV. CPI this month: the efficiency of this month alone, so the best month can be found.</t>
  </si>
  <si>
    <t>Every measure for the reporting month, with what it means in one line.</t>
  </si>
  <si>
    <t>Nothing to fill in here. It reads the Monthly row for "This report: month".</t>
  </si>
  <si>
    <t>THIS MONTH</t>
  </si>
  <si>
    <t>Planned value, PV ($)</t>
  </si>
  <si>
    <t>The promise: what the baseline said would be built by now.</t>
  </si>
  <si>
    <t>Earned value, EV ($)</t>
  </si>
  <si>
    <t>What is standing: the budget of the work actually done.</t>
  </si>
  <si>
    <t>Actual cost, AC ($)</t>
  </si>
  <si>
    <t>What has left the bank. Invoices, not opinions.</t>
  </si>
  <si>
    <t>Cost performance index, CPI = EV ÷ AC</t>
  </si>
  <si>
    <t>Cents of work bought with every dollar spent.</t>
  </si>
  <si>
    <t>Schedule performance index, SPI = EV ÷ PV</t>
  </si>
  <si>
    <t>In money. Creeps back to 1.0 at the end, even on a late job.</t>
  </si>
  <si>
    <t>Cost variance, CV = EV − AC ($)</t>
  </si>
  <si>
    <t>Negative: the work cost more than it was worth.</t>
  </si>
  <si>
    <t>Schedule variance, SV = EV − PV ($)</t>
  </si>
  <si>
    <t>Negative: less built than promised, measured in money.</t>
  </si>
  <si>
    <t>AT COMPLETION</t>
  </si>
  <si>
    <t>From Setup.</t>
  </si>
  <si>
    <t>Estimate at completion, EAC = BAC ÷ CPI ($)</t>
  </si>
  <si>
    <t>Where this ends if nothing changes.</t>
  </si>
  <si>
    <t>Variance at completion, VAC = BAC − EAC ($)</t>
  </si>
  <si>
    <t>Negative: the overrun somebody has to find.</t>
  </si>
  <si>
    <t>Estimate to complete, ETC = EAC − AC ($)</t>
  </si>
  <si>
    <t>Still to be paid out. A cash-flow number.</t>
  </si>
  <si>
    <t>To-complete index, TCPI = (BAC − EV) ÷ (BAC − AC)</t>
  </si>
  <si>
    <t>The efficiency needed from tomorrow to still hit the budget.</t>
  </si>
  <si>
    <t>Improvement needed over the CPI achieved</t>
  </si>
  <si>
    <t>How much better than the proven rate the rest of the job must be.</t>
  </si>
  <si>
    <t>Best single month so far (CPI this month)</t>
  </si>
  <si>
    <t>The best the site has actually done.</t>
  </si>
  <si>
    <t>Verdict</t>
  </si>
  <si>
    <t>IN MONTHS, NOT MONEY</t>
  </si>
  <si>
    <t>Earned schedule, ES (months)</t>
  </si>
  <si>
    <t>The month the plan said you would reach today’s EV.</t>
  </si>
  <si>
    <t>Actual time, AT (months)</t>
  </si>
  <si>
    <t>Schedule performance in time, SPI(t) = ES ÷ AT</t>
  </si>
  <si>
    <t>Unlike SPI, it does not drift back to 1.0.</t>
  </si>
  <si>
    <t>Delay to date (months) = AT − ES</t>
  </si>
  <si>
    <t>One number a site manager understands.</t>
  </si>
  <si>
    <t>Forecast duration at this pace (months)</t>
  </si>
  <si>
    <t>Planned duration ÷ SPI(t). A trend, not a promise.</t>
  </si>
  <si>
    <t>Forecast finish</t>
  </si>
  <si>
    <t>The month that pace lands in.</t>
  </si>
  <si>
    <t>FOUR WAYS TO FORECAST THE FINISH COST</t>
  </si>
  <si>
    <t>Method</t>
  </si>
  <si>
    <t>EAC ($)</t>
  </si>
  <si>
    <t>When it fits</t>
  </si>
  <si>
    <t>1 · BAC ÷ CPI</t>
  </si>
  <si>
    <t>Performance so far continues. The default, and the one in the lessons.</t>
  </si>
  <si>
    <t>2 · AC + (BAC − EV)</t>
  </si>
  <si>
    <t>The overrun was a one-off and the rest goes to budget. Prove it before you use it.</t>
  </si>
  <si>
    <t>3 · AC + (BAC − EV) ÷ (CPI × SPI)</t>
  </si>
  <si>
    <t>Cost and schedule both drag: lateness costs money. Usually the most pessimistic.</t>
  </si>
  <si>
    <t>4 · AC + a bottom-up estimate of what is left</t>
  </si>
  <si>
    <t>Re-estimate the remaining work from scratch. Type it below.</t>
  </si>
  <si>
    <t>Bottom-up estimate of the remaining work ($)</t>
  </si>
  <si>
    <t>Optional. Leave empty if you have not re-estimated.</t>
  </si>
  <si>
    <t>IN PLAIN ENGLISH</t>
  </si>
  <si>
    <t>If the tender sum is your BAC, the CPI is flattered: overhead, profit and reserve sit inside it. Build the forecast on the budget you control.</t>
  </si>
  <si>
    <t>Where the money is being lost: EV and AC for each package, measured by a rule decided in advance.</t>
  </si>
  <si>
    <t>Pick the measuring rule before the work starts, never after. Units complete wherever there is something to count.</t>
  </si>
  <si>
    <t>Work package</t>
  </si>
  <si>
    <t>Budget ($)</t>
  </si>
  <si>
    <t>How EV is measured</t>
  </si>
  <si>
    <t>Planned % to date</t>
  </si>
  <si>
    <t>Measured % complete</t>
  </si>
  <si>
    <t>PV ($)</t>
  </si>
  <si>
    <t>EV ($)</t>
  </si>
  <si>
    <t>AC ($)</t>
  </si>
  <si>
    <t>CV ($)</t>
  </si>
  <si>
    <t>SV ($)</t>
  </si>
  <si>
    <t>The rule, in words</t>
  </si>
  <si>
    <t>Preliminaries and site set-up</t>
  </si>
  <si>
    <t>Level of effort</t>
  </si>
  <si>
    <t>Earns with time. It never tells you about progress.</t>
  </si>
  <si>
    <t>Piling</t>
  </si>
  <si>
    <t>Units complete</t>
  </si>
  <si>
    <t>Piles concreted ÷ piles in the package. Rock at P17 and P18.</t>
  </si>
  <si>
    <t>Pile caps and ground beams</t>
  </si>
  <si>
    <t>Caps and beams poured ÷ total.</t>
  </si>
  <si>
    <t>Raft</t>
  </si>
  <si>
    <t>Milestones</t>
  </si>
  <si>
    <t>Blinding 10%, waterproofing 25%, rebar 60%, pour 100%.</t>
  </si>
  <si>
    <t>Substation slab</t>
  </si>
  <si>
    <t>0/100</t>
  </si>
  <si>
    <t>Earns nothing until it is finished.</t>
  </si>
  <si>
    <t>Drainage and ducts</t>
  </si>
  <si>
    <t>Metres laid and tested ÷ metres in the package.</t>
  </si>
  <si>
    <t>Switchgear</t>
  </si>
  <si>
    <t>Order 5%, factory test 40%, delivery 80%, energised 100%.</t>
  </si>
  <si>
    <t>Access road</t>
  </si>
  <si>
    <t>50/50</t>
  </si>
  <si>
    <t>Half when it starts, half when it finishes.</t>
  </si>
  <si>
    <t>Total</t>
  </si>
  <si>
    <t>Check against the Monthly sheet</t>
  </si>
  <si>
    <t>MEASURING RULES</t>
  </si>
  <si>
    <t>Count something: piles, metres, tonnes. The most honest rule wherever there is something to count.</t>
  </si>
  <si>
    <t>Fixed weights for fixed steps, agreed in advance. Good for equipment and long single items.</t>
  </si>
  <si>
    <t>Nothing until it is finished. For short tasks, under one reporting period.</t>
  </si>
  <si>
    <t>Half when it starts, half when it finishes. For tasks spanning two periods.</t>
  </si>
  <si>
    <t>Earns with the calendar. Use only for support work; it hides progress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</si>
</sst>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;\-\$#,##0;&quot;-&quot;"/>
    <numFmt numFmtId="166" formatCode="d\ mmm\ yyyy"/>
    <numFmt numFmtId="167" formatCode="mmm\ yy"/>
    <numFmt numFmtId="168" formatCode="0.0"/>
    <numFmt numFmtId="169" formatCode="\+0%;\-0%"/>
    <numFmt numFmtId="170" formatCode="mmm\ yyyy"/>
    <numFmt numFmtId="171" formatCode="\$#,##0,&quot;k&quot;"/>
    <numFmt numFmtId="172" formatCode="\$#,##0,&quot;k&quot;;\-\$#,##0,&quot;k&quot;"/>
  </numFmts>
  <fonts count="44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"/>
      <color rgb="FF059669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11"/>
      <color rgb="FF0F172A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94A3B8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9.5"/>
      <color rgb="FF0F766E"/>
      <name val="Arial"/>
      <family val="2"/>
      <charset val="162"/>
    </font>
    <font>
      <b/>
      <sz val="11"/>
      <color rgb="FFBE123C"/>
      <name val="Arial"/>
      <family val="2"/>
      <charset val="162"/>
    </font>
    <font>
      <b/>
      <sz val="11"/>
      <color rgb="FFFFFFFF"/>
      <name val="Arial"/>
      <family val="2"/>
      <charset val="162"/>
    </font>
    <font>
      <sz val="11"/>
      <color rgb="FF0F172A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0F766E"/>
      <name val="Arial"/>
      <family val="2"/>
      <charset val="162"/>
    </font>
    <font>
      <b/>
      <sz val="24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0369A1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6D28D9"/>
      <name val="Arial"/>
      <family val="2"/>
      <charset val="162"/>
    </font>
    <font>
      <sz val="10.5"/>
      <color rgb="FF0F172A"/>
      <name val="Arial"/>
      <family val="2"/>
      <charset val="162"/>
    </font>
    <font>
      <b/>
      <sz val="10"/>
      <color rgb="FFBE123C"/>
      <name val="Arial"/>
      <family val="2"/>
      <charset val="162"/>
    </font>
    <font>
      <sz val="8.5"/>
      <color rgb="FF64748B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0F766E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0369A1"/>
      <name val="Arial"/>
      <family val="2"/>
      <charset val="162"/>
    </font>
    <font>
      <i/>
      <sz val="9.5"/>
      <color rgb="FF64748B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10"/>
      <color rgb="FFB45309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94A3B8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E0F2FE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0369A1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0F172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4B8A6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ck">
        <color rgb="FF0F766E"/>
      </top>
      <bottom/>
      <diagonal/>
    </border>
    <border>
      <left/>
      <right/>
      <top style="thick">
        <color rgb="FF0369A1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31" fillId="3" borderId="0" xfId="0" applyFont="1" applyFill="1" applyProtection="1">
      <protection locked="0"/>
    </xf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34" fillId="0" borderId="0" xfId="0" applyFont="1" applyAlignment="1" applyProtection="1">
      <alignment vertical="top"/>
      <protection locked="0"/>
    </xf>
    <xf numFmtId="0" fontId="35" fillId="3" borderId="12" xfId="0" applyFont="1" applyFill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vertical="center"/>
      <protection locked="0"/>
    </xf>
    <xf numFmtId="0" fontId="10" fillId="0" borderId="12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35" fillId="5" borderId="12" xfId="0" applyFont="1" applyFill="1" applyBorder="1" applyAlignment="1" applyProtection="1">
      <alignment horizontal="center" vertical="center"/>
      <protection locked="0"/>
    </xf>
    <xf numFmtId="0" fontId="35" fillId="12" borderId="12" xfId="0" applyFont="1" applyFill="1" applyBorder="1" applyAlignment="1" applyProtection="1">
      <alignment horizontal="center" vertical="center"/>
      <protection locked="0"/>
    </xf>
    <xf numFmtId="0" fontId="35" fillId="13" borderId="12" xfId="0" applyFont="1" applyFill="1" applyBorder="1" applyAlignment="1" applyProtection="1">
      <alignment horizontal="center" vertical="center"/>
      <protection locked="0"/>
    </xf>
    <xf numFmtId="0" fontId="35" fillId="14" borderId="12" xfId="0" applyFont="1" applyFill="1" applyBorder="1" applyAlignment="1" applyProtection="1">
      <alignment horizontal="center" vertical="center"/>
      <protection locked="0"/>
    </xf>
    <xf numFmtId="0" fontId="37" fillId="7" borderId="2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34" fillId="6" borderId="2" xfId="0" applyFont="1" applyFill="1" applyBorder="1" applyAlignment="1" applyProtection="1">
      <alignment vertical="center"/>
      <protection locked="0"/>
    </xf>
    <xf numFmtId="0" fontId="29" fillId="9" borderId="2" xfId="0" applyFont="1" applyFill="1" applyBorder="1" applyAlignment="1" applyProtection="1">
      <alignment vertical="center"/>
      <protection locked="0"/>
    </xf>
    <xf numFmtId="0" fontId="38" fillId="0" borderId="0" xfId="0" applyFont="1" applyAlignment="1" applyProtection="1">
      <alignment vertical="top"/>
      <protection locked="0"/>
    </xf>
    <xf numFmtId="0" fontId="39" fillId="2" borderId="2" xfId="0" applyFont="1" applyFill="1" applyBorder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4" fillId="15" borderId="2" xfId="0" applyFont="1" applyFill="1" applyBorder="1" applyProtection="1">
      <protection locked="0"/>
    </xf>
    <xf numFmtId="0" fontId="4" fillId="16" borderId="2" xfId="0" applyFont="1" applyFill="1" applyBorder="1" applyProtection="1">
      <protection locked="0"/>
    </xf>
    <xf numFmtId="0" fontId="40" fillId="10" borderId="2" xfId="0" applyFont="1" applyFill="1" applyBorder="1" applyProtection="1">
      <protection locked="0"/>
    </xf>
    <xf numFmtId="0" fontId="29" fillId="9" borderId="2" xfId="0" applyFont="1" applyFill="1" applyBorder="1" applyProtection="1">
      <protection locked="0"/>
    </xf>
    <xf numFmtId="0" fontId="36" fillId="0" borderId="0" xfId="0" applyFont="1" applyProtection="1">
      <protection locked="0"/>
    </xf>
    <xf numFmtId="0" fontId="41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9" fillId="17" borderId="0" xfId="0" applyFont="1" applyFill="1" applyAlignment="1" applyProtection="1">
      <alignment horizontal="right"/>
    </xf>
    <xf numFmtId="0" fontId="17" fillId="3" borderId="0" xfId="0" applyFont="1" applyFill="1" applyProtection="1">
      <protection locked="0"/>
    </xf>
    <xf numFmtId="0" fontId="18" fillId="3" borderId="0" xfId="0" applyFont="1" applyFill="1" applyProtection="1">
      <protection locked="0"/>
    </xf>
    <xf numFmtId="0" fontId="20" fillId="6" borderId="0" xfId="0" applyFont="1" applyFill="1" applyAlignment="1" applyProtection="1">
      <alignment horizontal="center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8" borderId="0" xfId="0" applyFont="1" applyFill="1" applyAlignment="1" applyProtection="1">
      <alignment horizontal="center"/>
      <protection locked="0"/>
    </xf>
    <xf numFmtId="0" fontId="25" fillId="9" borderId="0" xfId="0" applyFont="1" applyFill="1" applyAlignment="1" applyProtection="1">
      <alignment horizontal="center"/>
      <protection locked="0"/>
    </xf>
    <xf numFmtId="0" fontId="26" fillId="10" borderId="0" xfId="0" applyFont="1" applyFill="1" applyAlignment="1" applyProtection="1">
      <alignment horizontal="center"/>
      <protection locked="0"/>
    </xf>
    <xf numFmtId="0" fontId="27" fillId="11" borderId="0" xfId="0" applyFont="1" applyFill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2" fontId="21" fillId="6" borderId="0" xfId="0" applyNumberFormat="1" applyFont="1" applyFill="1" applyAlignment="1" applyProtection="1">
      <alignment horizontal="center" vertical="center"/>
      <protection locked="0"/>
    </xf>
    <xf numFmtId="2" fontId="21" fillId="7" borderId="0" xfId="0" applyNumberFormat="1" applyFont="1" applyFill="1" applyAlignment="1" applyProtection="1">
      <alignment horizontal="center" vertical="center"/>
      <protection locked="0"/>
    </xf>
    <xf numFmtId="171" fontId="21" fillId="8" borderId="0" xfId="0" applyNumberFormat="1" applyFont="1" applyFill="1" applyAlignment="1" applyProtection="1">
      <alignment horizontal="center" vertical="center"/>
      <protection locked="0"/>
    </xf>
    <xf numFmtId="172" fontId="21" fillId="9" borderId="0" xfId="0" applyNumberFormat="1" applyFont="1" applyFill="1" applyAlignment="1" applyProtection="1">
      <alignment horizontal="center" vertical="center"/>
      <protection locked="0"/>
    </xf>
    <xf numFmtId="2" fontId="21" fillId="10" borderId="0" xfId="0" applyNumberFormat="1" applyFont="1" applyFill="1" applyAlignment="1" applyProtection="1">
      <alignment horizontal="center" vertical="center"/>
      <protection locked="0"/>
    </xf>
    <xf numFmtId="171" fontId="21" fillId="11" borderId="0" xfId="0" applyNumberFormat="1" applyFont="1" applyFill="1" applyAlignment="1" applyProtection="1">
      <alignment horizontal="center" vertical="center"/>
      <protection locked="0"/>
    </xf>
    <xf numFmtId="2" fontId="30" fillId="0" borderId="0" xfId="0" applyNumberFormat="1" applyFont="1" applyProtection="1">
      <protection locked="0"/>
    </xf>
    <xf numFmtId="0" fontId="22" fillId="6" borderId="0" xfId="0" applyFont="1" applyFill="1" applyAlignment="1" applyProtection="1">
      <alignment horizontal="center" vertical="top" wrapText="1"/>
      <protection locked="0"/>
    </xf>
    <xf numFmtId="0" fontId="22" fillId="7" borderId="0" xfId="0" applyFont="1" applyFill="1" applyAlignment="1" applyProtection="1">
      <alignment horizontal="center" vertical="top" wrapText="1"/>
      <protection locked="0"/>
    </xf>
    <xf numFmtId="0" fontId="22" fillId="8" borderId="0" xfId="0" applyFont="1" applyFill="1" applyAlignment="1" applyProtection="1">
      <alignment horizontal="center" vertical="top" wrapText="1"/>
      <protection locked="0"/>
    </xf>
    <xf numFmtId="0" fontId="22" fillId="9" borderId="0" xfId="0" applyFont="1" applyFill="1" applyAlignment="1" applyProtection="1">
      <alignment horizontal="center" vertical="top" wrapText="1"/>
      <protection locked="0"/>
    </xf>
    <xf numFmtId="0" fontId="22" fillId="10" borderId="0" xfId="0" applyFont="1" applyFill="1" applyAlignment="1" applyProtection="1">
      <alignment horizontal="center" vertical="top" wrapText="1"/>
      <protection locked="0"/>
    </xf>
    <xf numFmtId="0" fontId="22" fillId="11" borderId="0" xfId="0" applyFont="1" applyFill="1" applyAlignment="1" applyProtection="1">
      <alignment horizontal="center" vertical="top" wrapText="1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8" fillId="6" borderId="0" xfId="0" applyFont="1" applyFill="1" applyAlignment="1" applyProtection="1">
      <alignment vertical="center" wrapText="1"/>
      <protection locked="0"/>
    </xf>
    <xf numFmtId="0" fontId="0" fillId="6" borderId="0" xfId="0" applyFill="1" applyProtection="1">
      <protection locked="0"/>
    </xf>
    <xf numFmtId="0" fontId="29" fillId="0" borderId="0" xfId="0" applyFont="1" applyProtection="1">
      <protection locked="0"/>
    </xf>
    <xf numFmtId="0" fontId="13" fillId="0" borderId="0" xfId="0" applyFont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left" vertical="center"/>
      <protection locked="0"/>
    </xf>
    <xf numFmtId="0" fontId="0" fillId="0" borderId="12" xfId="0" applyBorder="1" applyProtection="1">
      <protection locked="0"/>
    </xf>
    <xf numFmtId="171" fontId="10" fillId="0" borderId="12" xfId="0" applyNumberFormat="1" applyFont="1" applyBorder="1" applyAlignment="1" applyProtection="1">
      <alignment horizontal="center" vertical="center"/>
      <protection locked="0"/>
    </xf>
    <xf numFmtId="172" fontId="10" fillId="0" borderId="12" xfId="0" applyNumberFormat="1" applyFont="1" applyBorder="1" applyAlignment="1" applyProtection="1">
      <alignment horizontal="center" vertical="center"/>
      <protection locked="0"/>
    </xf>
    <xf numFmtId="2" fontId="10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top"/>
      <protection locked="0"/>
    </xf>
    <xf numFmtId="0" fontId="19" fillId="3" borderId="0" xfId="0" applyFont="1" applyFill="1" applyAlignment="1" applyProtection="1">
      <alignment horizontal="right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64" fontId="5" fillId="2" borderId="2" xfId="0" applyNumberFormat="1" applyFont="1" applyFill="1" applyBorder="1" applyAlignment="1" applyProtection="1">
      <alignment vertical="top"/>
      <protection locked="0"/>
    </xf>
    <xf numFmtId="0" fontId="6" fillId="0" borderId="0" xfId="0" applyFont="1" applyAlignment="1" applyProtection="1">
      <alignment vertical="top" wrapText="1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horizontal="right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center"/>
      <protection locked="0"/>
    </xf>
    <xf numFmtId="167" fontId="10" fillId="0" borderId="2" xfId="0" applyNumberFormat="1" applyFont="1" applyBorder="1" applyAlignment="1" applyProtection="1">
      <alignment vertical="top"/>
      <protection locked="0"/>
    </xf>
    <xf numFmtId="164" fontId="10" fillId="0" borderId="2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 applyProtection="1">
      <alignment horizontal="center"/>
      <protection locked="0"/>
    </xf>
    <xf numFmtId="168" fontId="10" fillId="0" borderId="2" xfId="0" applyNumberFormat="1" applyFont="1" applyBorder="1" applyAlignment="1" applyProtection="1">
      <alignment horizontal="center"/>
      <protection locked="0"/>
    </xf>
    <xf numFmtId="164" fontId="10" fillId="0" borderId="2" xfId="0" applyNumberFormat="1" applyFont="1" applyBorder="1" applyAlignment="1" applyProtection="1">
      <alignment vertical="top"/>
      <protection locked="0"/>
    </xf>
    <xf numFmtId="2" fontId="11" fillId="0" borderId="2" xfId="0" applyNumberFormat="1" applyFont="1" applyBorder="1" applyAlignment="1" applyProtection="1">
      <alignment vertical="top"/>
      <protection locked="0"/>
    </xf>
    <xf numFmtId="164" fontId="11" fillId="0" borderId="2" xfId="0" applyNumberFormat="1" applyFont="1" applyBorder="1" applyAlignment="1" applyProtection="1">
      <alignment vertical="top"/>
      <protection locked="0"/>
    </xf>
    <xf numFmtId="164" fontId="10" fillId="6" borderId="2" xfId="0" applyNumberFormat="1" applyFont="1" applyFill="1" applyBorder="1" applyAlignment="1" applyProtection="1">
      <alignment horizontal="right"/>
      <protection locked="0"/>
    </xf>
    <xf numFmtId="2" fontId="4" fillId="6" borderId="2" xfId="0" applyNumberFormat="1" applyFont="1" applyFill="1" applyBorder="1" applyAlignment="1" applyProtection="1">
      <alignment horizontal="right"/>
      <protection locked="0"/>
    </xf>
    <xf numFmtId="2" fontId="10" fillId="6" borderId="2" xfId="0" applyNumberFormat="1" applyFont="1" applyFill="1" applyBorder="1" applyAlignment="1" applyProtection="1">
      <alignment horizontal="right"/>
      <protection locked="0"/>
    </xf>
    <xf numFmtId="164" fontId="4" fillId="6" borderId="2" xfId="0" applyNumberFormat="1" applyFont="1" applyFill="1" applyBorder="1" applyAlignment="1" applyProtection="1">
      <alignment horizontal="right"/>
      <protection locked="0"/>
    </xf>
    <xf numFmtId="169" fontId="10" fillId="6" borderId="2" xfId="0" applyNumberFormat="1" applyFont="1" applyFill="1" applyBorder="1" applyAlignment="1" applyProtection="1">
      <alignment horizontal="right"/>
      <protection locked="0"/>
    </xf>
    <xf numFmtId="0" fontId="14" fillId="6" borderId="2" xfId="0" applyFont="1" applyFill="1" applyBorder="1" applyAlignment="1" applyProtection="1">
      <alignment horizontal="left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1" fontId="10" fillId="6" borderId="2" xfId="0" applyNumberFormat="1" applyFont="1" applyFill="1" applyBorder="1" applyAlignment="1" applyProtection="1">
      <alignment horizontal="right"/>
      <protection locked="0"/>
    </xf>
    <xf numFmtId="168" fontId="4" fillId="6" borderId="2" xfId="0" applyNumberFormat="1" applyFont="1" applyFill="1" applyBorder="1" applyAlignment="1" applyProtection="1">
      <alignment horizontal="right"/>
      <protection locked="0"/>
    </xf>
    <xf numFmtId="168" fontId="10" fillId="6" borderId="2" xfId="0" applyNumberFormat="1" applyFont="1" applyFill="1" applyBorder="1" applyAlignment="1" applyProtection="1">
      <alignment horizontal="right"/>
      <protection locked="0"/>
    </xf>
    <xf numFmtId="170" fontId="10" fillId="6" borderId="2" xfId="0" applyNumberFormat="1" applyFont="1" applyFill="1" applyBorder="1" applyAlignment="1" applyProtection="1">
      <alignment horizontal="right"/>
      <protection locked="0"/>
    </xf>
    <xf numFmtId="0" fontId="15" fillId="3" borderId="0" xfId="0" applyFont="1" applyFill="1" applyProtection="1">
      <protection locked="0"/>
    </xf>
    <xf numFmtId="164" fontId="4" fillId="6" borderId="2" xfId="0" applyNumberFormat="1" applyFont="1" applyFill="1" applyBorder="1" applyAlignment="1" applyProtection="1">
      <alignment vertical="top"/>
      <protection locked="0"/>
    </xf>
    <xf numFmtId="0" fontId="16" fillId="6" borderId="0" xfId="0" applyFont="1" applyFill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9" fontId="5" fillId="2" borderId="2" xfId="0" applyNumberFormat="1" applyFont="1" applyFill="1" applyBorder="1" applyAlignment="1" applyProtection="1">
      <alignment vertical="top"/>
      <protection locked="0"/>
    </xf>
    <xf numFmtId="0" fontId="10" fillId="0" borderId="2" xfId="0" applyFont="1" applyBorder="1" applyAlignment="1" applyProtection="1">
      <alignment horizontal="center"/>
      <protection locked="0"/>
    </xf>
    <xf numFmtId="164" fontId="4" fillId="0" borderId="2" xfId="0" applyNumberFormat="1" applyFont="1" applyBorder="1" applyAlignment="1" applyProtection="1">
      <alignment vertical="top"/>
      <protection locked="0"/>
    </xf>
    <xf numFmtId="2" fontId="4" fillId="0" borderId="2" xfId="0" applyNumberFormat="1" applyFont="1" applyBorder="1" applyAlignment="1" applyProtection="1">
      <alignment vertical="top"/>
      <protection locked="0"/>
    </xf>
    <xf numFmtId="0" fontId="10" fillId="0" borderId="2" xfId="0" applyFont="1" applyBorder="1" applyAlignment="1" applyProtection="1">
      <alignment vertical="top"/>
      <protection locked="0"/>
    </xf>
    <xf numFmtId="0" fontId="42" fillId="3" borderId="2" xfId="0" applyFont="1" applyFill="1" applyBorder="1" applyAlignment="1" applyProtection="1">
      <alignment horizontal="center" vertical="center" wrapText="1"/>
      <protection locked="0"/>
    </xf>
    <xf numFmtId="0" fontId="42" fillId="5" borderId="2" xfId="0" applyFont="1" applyFill="1" applyBorder="1" applyAlignment="1" applyProtection="1">
      <alignment horizontal="center" vertical="center" wrapText="1"/>
      <protection locked="0"/>
    </xf>
    <xf numFmtId="0" fontId="42" fillId="4" borderId="2" xfId="0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164" fontId="5" fillId="2" borderId="2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9" fontId="5" fillId="2" borderId="2" xfId="0" applyNumberFormat="1" applyFont="1" applyFill="1" applyBorder="1" applyAlignment="1" applyProtection="1">
      <alignment vertical="center"/>
      <protection locked="0"/>
    </xf>
    <xf numFmtId="164" fontId="10" fillId="0" borderId="2" xfId="0" applyNumberFormat="1" applyFont="1" applyBorder="1" applyAlignment="1" applyProtection="1">
      <alignment vertical="center"/>
      <protection locked="0"/>
    </xf>
    <xf numFmtId="2" fontId="10" fillId="0" borderId="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</cellXfs>
  <cellStyles count="1">
    <cellStyle name="Normal" xfId="0" builtinId="0"/>
  </cellStyles>
  <dxfs count="23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color rgb="FFBE123C"/>
        <name val="Arial"/>
      </font>
    </dxf>
    <dxf>
      <font>
        <b/>
        <color rgb="FFBE123C"/>
        <name val="Arial"/>
      </font>
    </dxf>
    <dxf>
      <font>
        <b/>
        <color rgb="FFBE123C"/>
        <name val="Arial"/>
      </font>
    </dxf>
    <dxf>
      <font>
        <color rgb="FFFFFFFF"/>
        <name val="Arial"/>
      </font>
    </dxf>
    <dxf>
      <font>
        <b/>
        <color rgb="FFB45309"/>
        <name val="Arial"/>
      </font>
    </dxf>
    <dxf>
      <font>
        <b/>
        <color rgb="FFBE123C"/>
        <name val="Arial"/>
      </font>
    </dxf>
    <dxf>
      <font>
        <b/>
        <color rgb="FFB45309"/>
        <name val="Arial"/>
      </font>
    </dxf>
    <dxf>
      <font>
        <b/>
        <color rgb="FFBE123C"/>
        <name val="Arial"/>
      </font>
    </dxf>
    <dxf>
      <font>
        <b/>
        <color rgb="FFB45309"/>
        <name val="Arial"/>
      </font>
    </dxf>
    <dxf>
      <font>
        <b/>
        <color rgb="FFBE123C"/>
        <name val="Arial"/>
      </font>
    </dxf>
    <dxf>
      <font>
        <color rgb="FFBE123C"/>
        <name val="Arial"/>
      </font>
    </dxf>
    <dxf>
      <font>
        <b/>
        <name val="Arial"/>
      </font>
      <fill>
        <patternFill patternType="solid">
          <fgColor rgb="FFCCFBF1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sz val="24"/>
        <color rgb="FFBE123C"/>
        <name val="Arial"/>
      </font>
    </dxf>
    <dxf>
      <font>
        <b/>
        <sz val="24"/>
        <color rgb="FFBE123C"/>
        <name val="Arial"/>
      </font>
    </dxf>
    <dxf>
      <font>
        <b/>
        <sz val="24"/>
        <color rgb="FFBE123C"/>
        <name val="Arial"/>
      </font>
    </dxf>
    <dxf>
      <font>
        <b/>
        <sz val="24"/>
        <color rgb="FFBE12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PV, EV, AC and the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Monthly!$C$6</c:f>
            </c:strRef>
          </c:tx>
          <c:spPr>
            <a:ln w="2600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Monthly!$C$7:$C$30</c:f>
            </c:numRef>
          </c:val>
          <c:smooth val="0"/>
          <c:extLst>
            <c:ext xmlns:c16="http://schemas.microsoft.com/office/drawing/2014/chart" uri="{C3380CC4-5D6E-409C-BE32-E72D297353CC}">
              <c16:uniqueId val="{00000000-83A2-43B9-B0D3-9B653D855318}"/>
            </c:ext>
          </c:extLst>
        </c:ser>
        <c:ser>
          <c:idx val="1"/>
          <c:order val="1"/>
          <c:tx>
            <c:strRef>
              <c:f>Monthly!$D$6</c:f>
            </c:strRef>
          </c:tx>
          <c:spPr>
            <a:ln w="2600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Monthly!$D$7:$D$30</c:f>
            </c:numRef>
          </c:val>
          <c:smooth val="0"/>
          <c:extLst>
            <c:ext xmlns:c16="http://schemas.microsoft.com/office/drawing/2014/chart" uri="{C3380CC4-5D6E-409C-BE32-E72D297353CC}">
              <c16:uniqueId val="{00000001-83A2-43B9-B0D3-9B653D855318}"/>
            </c:ext>
          </c:extLst>
        </c:ser>
        <c:ser>
          <c:idx val="2"/>
          <c:order val="2"/>
          <c:tx>
            <c:strRef>
              <c:f>Monthly!$E$6</c:f>
            </c:strRef>
          </c:tx>
          <c:spPr>
            <a:ln w="26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Monthly!$E$7:$E$30</c:f>
            </c:numRef>
          </c:val>
          <c:smooth val="0"/>
          <c:extLst>
            <c:ext xmlns:c16="http://schemas.microsoft.com/office/drawing/2014/chart" uri="{C3380CC4-5D6E-409C-BE32-E72D297353CC}">
              <c16:uniqueId val="{00000002-83A2-43B9-B0D3-9B653D855318}"/>
            </c:ext>
          </c:extLst>
        </c:ser>
        <c:ser>
          <c:idx val="3"/>
          <c:order val="3"/>
          <c:tx>
            <c:strRef>
              <c:f>Monthly!$R$6</c:f>
            </c:strRef>
          </c:tx>
          <c:spPr>
            <a:ln w="26000">
              <a:solidFill>
                <a:srgbClr val="BE123C"/>
              </a:solidFill>
              <a:prstDash val="sysDot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Monthly!$R$7:$R$30</c:f>
            </c:numRef>
          </c:val>
          <c:smooth val="0"/>
          <c:extLst>
            <c:ext xmlns:c16="http://schemas.microsoft.com/office/drawing/2014/chart" uri="{C3380CC4-5D6E-409C-BE32-E72D297353CC}">
              <c16:uniqueId val="{00000003-83A2-43B9-B0D3-9B653D85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CPI and SPI(t), month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Monthly!$P$6</c:f>
            </c:strRef>
          </c:tx>
          <c:spPr>
            <a:ln w="2600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Monthly!$P$7:$P$30</c:f>
            </c:numRef>
          </c:val>
          <c:smooth val="0"/>
          <c:extLst>
            <c:ext xmlns:c16="http://schemas.microsoft.com/office/drawing/2014/chart" uri="{C3380CC4-5D6E-409C-BE32-E72D297353CC}">
              <c16:uniqueId val="{00000000-73FB-45D7-9739-A2F09724A020}"/>
            </c:ext>
          </c:extLst>
        </c:ser>
        <c:ser>
          <c:idx val="1"/>
          <c:order val="1"/>
          <c:tx>
            <c:strRef>
              <c:f>Monthly!$Q$6</c:f>
            </c:strRef>
          </c:tx>
          <c:spPr>
            <a:ln w="26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Monthly!$Q$7:$Q$30</c:f>
            </c:numRef>
          </c:val>
          <c:smooth val="0"/>
          <c:extLst>
            <c:ext xmlns:c16="http://schemas.microsoft.com/office/drawing/2014/chart" uri="{C3380CC4-5D6E-409C-BE32-E72D297353CC}">
              <c16:uniqueId val="{00000001-73FB-45D7-9739-A2F09724A020}"/>
            </c:ext>
          </c:extLst>
        </c:ser>
        <c:ser>
          <c:idx val="2"/>
          <c:order val="2"/>
          <c:tx>
            <c:strRef>
              <c:f>Monthly!$O$6</c:f>
            </c:strRef>
          </c:tx>
          <c:spPr>
            <a:ln w="2600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Monthly!$A$7:$A$30</c:f>
            </c:numRef>
          </c:cat>
          <c:val>
            <c:numRef>
              <c:f>Monthly!$O$7:$O$30</c:f>
            </c:numRef>
          </c:val>
          <c:smooth val="0"/>
          <c:extLst>
            <c:ext xmlns:c16="http://schemas.microsoft.com/office/drawing/2014/chart" uri="{C3380CC4-5D6E-409C-BE32-E72D297353CC}">
              <c16:uniqueId val="{00000002-73FB-45D7-9739-A2F09724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2"/>
          <c:min val="0.5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CPI by work package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4B8A6"/>
            </a:solidFill>
            <a:ln>
              <a:solidFill>
                <a:srgbClr val="14B8A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'Work packages'!$A$7:$A$14</c:f>
            </c:strRef>
          </c:cat>
          <c:val>
            <c:numRef>
              <c:f>'Work packages'!$K$7:$K$14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4B8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82-49D2-AD27-8A19D7CA6E29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Proven, best, and needed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F766E"/>
            </a:solidFill>
            <a:ln>
              <a:solidFill>
                <a:srgbClr val="0F766E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01-428A-BF59-52BE7CB4593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Dashboard!$P$6:$P$8</c:f>
            </c:strRef>
          </c:cat>
          <c:val>
            <c:numRef>
              <c:f>Dashboard!$Q$6:$Q$8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F766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901-428A-BF59-52BE7CB4593A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50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57150</xdr:colOff>
      <xdr:row>15</xdr:row>
      <xdr:rowOff>0</xdr:rowOff>
    </xdr:from>
    <xdr:ext cx="508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508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57150</xdr:colOff>
      <xdr:row>33</xdr:row>
      <xdr:rowOff>0</xdr:rowOff>
    </xdr:from>
    <xdr:ext cx="508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week-20.html" TargetMode="External"/><Relationship Id="rId2" Type="http://schemas.openxmlformats.org/officeDocument/2006/relationships/hyperlink" Target="https://theprojectcontrolhub.com/week-19.html" TargetMode="External"/><Relationship Id="rId1" Type="http://schemas.openxmlformats.org/officeDocument/2006/relationships/hyperlink" Target="https://theprojectcontrolhub.com/week-18.html" TargetMode="External"/><Relationship Id="rId4" Type="http://schemas.openxmlformats.org/officeDocument/2006/relationships/hyperlink" Target="https://theprojectcontrolhub.com/cost-week-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4"/>
  <sheetViews>
    <sheetView showGridLines="0" tabSelected="1" workbookViewId="0">
      <selection activeCell="H19" sqref="H19"/>
    </sheetView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2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31" t="s">
        <v>56</v>
      </c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5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6" t="s">
        <v>3</v>
      </c>
    </row>
    <row r="8" spans="1:6" ht="34.049999999999997" customHeight="1" x14ac:dyDescent="0.3">
      <c r="B8" s="7">
        <v>1</v>
      </c>
      <c r="C8" s="8" t="s">
        <v>4</v>
      </c>
      <c r="D8" s="9" t="s">
        <v>5</v>
      </c>
      <c r="E8" s="10" t="s">
        <v>6</v>
      </c>
    </row>
    <row r="9" spans="1:6" ht="34.049999999999997" customHeight="1" x14ac:dyDescent="0.3">
      <c r="B9" s="11">
        <v>2</v>
      </c>
      <c r="C9" s="8" t="s">
        <v>7</v>
      </c>
      <c r="D9" s="9" t="s">
        <v>8</v>
      </c>
      <c r="E9" s="10" t="s">
        <v>9</v>
      </c>
    </row>
    <row r="10" spans="1:6" ht="34.049999999999997" customHeight="1" x14ac:dyDescent="0.3">
      <c r="B10" s="12">
        <v>3</v>
      </c>
      <c r="C10" s="8" t="s">
        <v>10</v>
      </c>
      <c r="D10" s="9" t="s">
        <v>11</v>
      </c>
      <c r="E10" s="10" t="s">
        <v>12</v>
      </c>
    </row>
    <row r="11" spans="1:6" ht="34.049999999999997" customHeight="1" x14ac:dyDescent="0.3">
      <c r="B11" s="13">
        <v>4</v>
      </c>
      <c r="C11" s="8" t="s">
        <v>13</v>
      </c>
      <c r="D11" s="9" t="s">
        <v>14</v>
      </c>
      <c r="E11" s="10" t="s">
        <v>9</v>
      </c>
    </row>
    <row r="12" spans="1:6" ht="34.049999999999997" customHeight="1" x14ac:dyDescent="0.3">
      <c r="B12" s="14">
        <v>5</v>
      </c>
      <c r="C12" s="8" t="s">
        <v>15</v>
      </c>
      <c r="D12" s="9" t="s">
        <v>16</v>
      </c>
      <c r="E12" s="10" t="s">
        <v>17</v>
      </c>
    </row>
    <row r="14" spans="1:6" x14ac:dyDescent="0.3">
      <c r="B14" s="6" t="s">
        <v>18</v>
      </c>
    </row>
    <row r="15" spans="1:6" ht="24" customHeight="1" x14ac:dyDescent="0.3">
      <c r="C15" s="15" t="s">
        <v>19</v>
      </c>
      <c r="D15" s="16" t="s">
        <v>20</v>
      </c>
    </row>
    <row r="16" spans="1:6" ht="24" customHeight="1" x14ac:dyDescent="0.3">
      <c r="C16" s="17" t="s">
        <v>21</v>
      </c>
      <c r="D16" s="16" t="s">
        <v>22</v>
      </c>
    </row>
    <row r="17" spans="2:4" ht="24" customHeight="1" x14ac:dyDescent="0.3">
      <c r="C17" s="18" t="s">
        <v>23</v>
      </c>
      <c r="D17" s="16" t="s">
        <v>24</v>
      </c>
    </row>
    <row r="18" spans="2:4" x14ac:dyDescent="0.3">
      <c r="C18" s="19" t="s">
        <v>25</v>
      </c>
    </row>
    <row r="20" spans="2:4" x14ac:dyDescent="0.3">
      <c r="B20" s="6" t="s">
        <v>26</v>
      </c>
    </row>
    <row r="21" spans="2:4" x14ac:dyDescent="0.3">
      <c r="C21" s="20" t="s">
        <v>27</v>
      </c>
      <c r="D21" s="21" t="s">
        <v>28</v>
      </c>
    </row>
    <row r="22" spans="2:4" x14ac:dyDescent="0.3">
      <c r="C22" s="22" t="s">
        <v>29</v>
      </c>
      <c r="D22" s="21" t="s">
        <v>30</v>
      </c>
    </row>
    <row r="23" spans="2:4" x14ac:dyDescent="0.3">
      <c r="C23" s="23" t="s">
        <v>31</v>
      </c>
      <c r="D23" s="21" t="s">
        <v>32</v>
      </c>
    </row>
    <row r="24" spans="2:4" x14ac:dyDescent="0.3">
      <c r="C24" s="24" t="s">
        <v>33</v>
      </c>
      <c r="D24" s="21" t="s">
        <v>34</v>
      </c>
    </row>
    <row r="25" spans="2:4" x14ac:dyDescent="0.3">
      <c r="C25" s="25" t="s">
        <v>35</v>
      </c>
      <c r="D25" s="21" t="s">
        <v>36</v>
      </c>
    </row>
    <row r="27" spans="2:4" x14ac:dyDescent="0.3">
      <c r="B27" s="6" t="s">
        <v>37</v>
      </c>
    </row>
    <row r="28" spans="2:4" x14ac:dyDescent="0.3">
      <c r="C28" s="26" t="s">
        <v>38</v>
      </c>
      <c r="D28" s="21" t="s">
        <v>39</v>
      </c>
    </row>
    <row r="29" spans="2:4" x14ac:dyDescent="0.3">
      <c r="C29" s="26" t="s">
        <v>40</v>
      </c>
      <c r="D29" s="21" t="s">
        <v>41</v>
      </c>
    </row>
    <row r="30" spans="2:4" x14ac:dyDescent="0.3">
      <c r="C30" s="26" t="s">
        <v>42</v>
      </c>
      <c r="D30" s="21" t="s">
        <v>43</v>
      </c>
    </row>
    <row r="31" spans="2:4" x14ac:dyDescent="0.3">
      <c r="C31" s="26" t="s">
        <v>44</v>
      </c>
      <c r="D31" s="21" t="s">
        <v>45</v>
      </c>
    </row>
    <row r="32" spans="2:4" x14ac:dyDescent="0.3">
      <c r="C32" s="26" t="s">
        <v>46</v>
      </c>
      <c r="D32" s="21" t="s">
        <v>47</v>
      </c>
    </row>
    <row r="34" spans="2:5" x14ac:dyDescent="0.3">
      <c r="B34" s="6" t="s">
        <v>48</v>
      </c>
    </row>
    <row r="35" spans="2:5" x14ac:dyDescent="0.3">
      <c r="C35" s="27" t="s">
        <v>49</v>
      </c>
    </row>
    <row r="36" spans="2:5" x14ac:dyDescent="0.3">
      <c r="C36" s="27" t="s">
        <v>50</v>
      </c>
    </row>
    <row r="37" spans="2:5" x14ac:dyDescent="0.3">
      <c r="C37" s="27" t="s">
        <v>51</v>
      </c>
    </row>
    <row r="38" spans="2:5" x14ac:dyDescent="0.3">
      <c r="C38" s="27" t="s">
        <v>52</v>
      </c>
    </row>
    <row r="40" spans="2:5" ht="25.95" customHeight="1" x14ac:dyDescent="0.3">
      <c r="B40" s="28" t="s">
        <v>53</v>
      </c>
      <c r="C40" s="29"/>
      <c r="D40" s="29"/>
      <c r="E40" s="29"/>
    </row>
    <row r="41" spans="2:5" x14ac:dyDescent="0.3">
      <c r="B41" s="29"/>
      <c r="C41" s="29"/>
      <c r="D41" s="29"/>
      <c r="E41" s="29"/>
    </row>
    <row r="42" spans="2:5" x14ac:dyDescent="0.3">
      <c r="B42" s="29"/>
      <c r="C42" s="29"/>
      <c r="D42" s="29"/>
      <c r="E42" s="29"/>
    </row>
    <row r="44" spans="2:5" x14ac:dyDescent="0.3">
      <c r="B44" s="30" t="s">
        <v>54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40:E42"/>
  </mergeCells>
  <hyperlinks>
    <hyperlink ref="C8" location="'Setup'!A1" display="Setup  →" xr:uid="{00000000-0004-0000-0000-000000000000}"/>
    <hyperlink ref="C9" location="'Monthly'!A1" display="Monthly  →" xr:uid="{00000000-0004-0000-0000-000001000000}"/>
    <hyperlink ref="C10" location="'Work packages'!A1" display="Work packages  →" xr:uid="{00000000-0004-0000-0000-000002000000}"/>
    <hyperlink ref="C11" location="'Results'!A1" display="Results  →" xr:uid="{00000000-0004-0000-0000-000003000000}"/>
    <hyperlink ref="C12" location="'Dashboard'!A1" display="Dashboard  →" xr:uid="{00000000-0004-0000-0000-000004000000}"/>
    <hyperlink ref="C28" location="'Dashboard'!A1" display="Dashboard" xr:uid="{00000000-0004-0000-0000-000005000000}"/>
    <hyperlink ref="C29" location="'Setup'!A1" display="Setup" xr:uid="{00000000-0004-0000-0000-000006000000}"/>
    <hyperlink ref="C30" location="'Monthly'!A1" display="Monthly" xr:uid="{00000000-0004-0000-0000-000007000000}"/>
    <hyperlink ref="C31" location="'Results'!A1" display="Results" xr:uid="{00000000-0004-0000-0000-000008000000}"/>
    <hyperlink ref="C32" location="'Work packages'!A1" display="Work packages" xr:uid="{00000000-0004-0000-0000-000009000000}"/>
    <hyperlink ref="C35" r:id="rId1" xr:uid="{00000000-0004-0000-0000-00000A000000}"/>
    <hyperlink ref="C36" r:id="rId2" xr:uid="{00000000-0004-0000-0000-00000B000000}"/>
    <hyperlink ref="C37" r:id="rId3" xr:uid="{00000000-0004-0000-0000-00000C000000}"/>
    <hyperlink ref="C38" r:id="rId4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Q65"/>
  <sheetViews>
    <sheetView showGridLines="0" workbookViewId="0">
      <pane ySplit="3" topLeftCell="A4" activePane="bottomLeft" state="frozen"/>
      <selection pane="bottomLeft" activeCell="B11" sqref="B11:M12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5" width="8.88671875" style="2"/>
    <col min="16" max="16" width="14" style="2" customWidth="1"/>
    <col min="17" max="16384" width="8.88671875" style="2"/>
  </cols>
  <sheetData>
    <row r="1" spans="1:17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ht="31.95" customHeight="1" x14ac:dyDescent="0.4">
      <c r="A2" s="1"/>
      <c r="B2" s="32" t="s">
        <v>55</v>
      </c>
      <c r="C2" s="1"/>
      <c r="D2" s="1"/>
      <c r="E2" s="1"/>
      <c r="F2" s="1"/>
      <c r="G2" s="1"/>
      <c r="H2" s="1"/>
      <c r="I2" s="1"/>
      <c r="J2" s="1"/>
      <c r="K2" s="72" t="s">
        <v>56</v>
      </c>
      <c r="L2" s="29"/>
      <c r="M2" s="29"/>
      <c r="N2" s="1"/>
    </row>
    <row r="3" spans="1:17" ht="22.05" customHeight="1" x14ac:dyDescent="0.3">
      <c r="A3" s="1"/>
      <c r="B3" s="33">
        <f>IF(OR(Setup!B6="",Setup!B9=""),"Fill in the Setup sheet first",Setup!B6&amp;"   ·   month "&amp;Setup!B9&amp;" of "&amp;Setup!B8&amp;IF(Setup!B10="","","   ·   "&amp;TEXT(EOMONTH(Setup!B10,Setup!B9-1),"mmm yyyy"))&amp;"   ·   BAC "&amp;TEXT(Setup!B7,"$#,##0"))</f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7" ht="19.95" customHeight="1" x14ac:dyDescent="0.3">
      <c r="B5" s="34" t="s">
        <v>57</v>
      </c>
      <c r="C5" s="29"/>
      <c r="D5" s="35" t="s">
        <v>58</v>
      </c>
      <c r="E5" s="29"/>
      <c r="F5" s="36" t="s">
        <v>59</v>
      </c>
      <c r="G5" s="29"/>
      <c r="H5" s="37" t="s">
        <v>60</v>
      </c>
      <c r="I5" s="29"/>
      <c r="J5" s="38" t="s">
        <v>61</v>
      </c>
      <c r="K5" s="29"/>
      <c r="L5" s="39" t="s">
        <v>62</v>
      </c>
      <c r="M5" s="29"/>
      <c r="P5" s="40" t="s">
        <v>63</v>
      </c>
    </row>
    <row r="6" spans="1:17" ht="22.05" customHeight="1" x14ac:dyDescent="0.3">
      <c r="B6" s="41">
        <f>Results!B9</f>
      </c>
      <c r="C6" s="29"/>
      <c r="D6" s="42">
        <f>Results!B25</f>
      </c>
      <c r="E6" s="29"/>
      <c r="F6" s="43">
        <f>Results!B15</f>
      </c>
      <c r="G6" s="29"/>
      <c r="H6" s="44">
        <f>Results!B16</f>
      </c>
      <c r="I6" s="29"/>
      <c r="J6" s="45">
        <f>Results!B18</f>
      </c>
      <c r="K6" s="29"/>
      <c r="L6" s="46">
        <f>Results!B17</f>
      </c>
      <c r="M6" s="29"/>
      <c r="P6" s="40" t="s">
        <v>64</v>
      </c>
      <c r="Q6" s="47">
        <f>Results!B9</f>
      </c>
    </row>
    <row r="7" spans="1:17" ht="22.05" customHeight="1" x14ac:dyDescent="0.3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P7" s="40" t="s">
        <v>65</v>
      </c>
      <c r="Q7" s="47">
        <f ca="1">Results!B20</f>
      </c>
    </row>
    <row r="8" spans="1:17" ht="22.05" customHeight="1" x14ac:dyDescent="0.3">
      <c r="B8" s="48">
        <f>IF(Results!B9="","",TEXT(Results!B9*100,"0")&amp;" cents of work per dollar")</f>
      </c>
      <c r="C8" s="29"/>
      <c r="D8" s="49">
        <f>IF(Results!B26="","",TEXT(Results!B26,"0.0")&amp;" month(s) behind  ·  SPI $ "&amp;TEXT(Results!B10,"0.00"))</f>
      </c>
      <c r="E8" s="29"/>
      <c r="F8" s="50">
        <f>IF(Results!B14="","","budget "&amp;TEXT(Results!B14/1000,"$#,##0")&amp;"k")</f>
      </c>
      <c r="G8" s="29"/>
      <c r="H8" s="51">
        <f>"BAC minus EAC"</f>
      </c>
      <c r="I8" s="29"/>
      <c r="J8" s="52">
        <f ca="1">IF(Results!B19="","",TEXT(Results!B19,"+0%")&amp;" on the proven rate  ·  best month "&amp;TEXT(Results!B20,"0.00"))</f>
      </c>
      <c r="K8" s="29"/>
      <c r="L8" s="53">
        <f>"estimate to complete"</f>
      </c>
      <c r="M8" s="29"/>
      <c r="P8" s="40" t="s">
        <v>66</v>
      </c>
      <c r="Q8" s="47">
        <f>Results!B18</f>
      </c>
    </row>
    <row r="9" spans="1:17" x14ac:dyDescent="0.3">
      <c r="B9" s="54"/>
      <c r="C9" s="54"/>
      <c r="D9" s="55"/>
      <c r="E9" s="55"/>
      <c r="F9" s="56"/>
      <c r="G9" s="56"/>
      <c r="H9" s="57"/>
      <c r="I9" s="57"/>
      <c r="J9" s="58"/>
      <c r="K9" s="58"/>
      <c r="L9" s="59"/>
      <c r="M9" s="59"/>
    </row>
    <row r="11" spans="1:17" ht="24" customHeight="1" x14ac:dyDescent="0.3">
      <c r="B11" s="60">
        <f ca="1">Results!A41</f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spans="1:17" ht="24" customHeight="1" x14ac:dyDescent="0.3"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</row>
    <row r="13" spans="1:17" x14ac:dyDescent="0.3">
      <c r="B13" s="62">
        <f ca="1">Results!B21</f>
      </c>
    </row>
    <row r="15" spans="1:17" x14ac:dyDescent="0.3">
      <c r="B15" s="63" t="s">
        <v>67</v>
      </c>
    </row>
    <row r="33" spans="2:2" x14ac:dyDescent="0.3">
      <c r="B33" s="63" t="s">
        <v>68</v>
      </c>
    </row>
    <row r="52" spans="2:13" x14ac:dyDescent="0.3">
      <c r="B52" s="63" t="s">
        <v>69</v>
      </c>
    </row>
    <row r="53" spans="2:13" x14ac:dyDescent="0.3">
      <c r="B53" s="64" t="s">
        <v>70</v>
      </c>
      <c r="C53" s="29"/>
      <c r="D53" s="29"/>
      <c r="E53" s="65" t="s">
        <v>71</v>
      </c>
      <c r="F53" s="65" t="s">
        <v>72</v>
      </c>
      <c r="G53" s="65" t="s">
        <v>73</v>
      </c>
      <c r="H53" s="65" t="s">
        <v>74</v>
      </c>
      <c r="I53" s="65" t="s">
        <v>75</v>
      </c>
      <c r="J53" s="65" t="s">
        <v>76</v>
      </c>
      <c r="K53" s="65" t="s">
        <v>77</v>
      </c>
      <c r="L53" s="64" t="s">
        <v>78</v>
      </c>
      <c r="M53" s="29"/>
    </row>
    <row r="54" spans="2:13" ht="19.05" customHeight="1" x14ac:dyDescent="0.3">
      <c r="B54" s="66">
        <f>IF('Work packages'!$A$7="","",'Work packages'!A7)</f>
      </c>
      <c r="C54" s="67"/>
      <c r="D54" s="67"/>
      <c r="E54" s="68">
        <f>IF('Work packages'!$A$7="","",'Work packages'!B7)</f>
      </c>
      <c r="F54" s="68">
        <f>IF('Work packages'!$A$7="","",'Work packages'!F7)</f>
      </c>
      <c r="G54" s="68">
        <f>IF('Work packages'!$A$7="","",'Work packages'!G7)</f>
      </c>
      <c r="H54" s="68">
        <f>IF('Work packages'!$A$7="","",'Work packages'!H7)</f>
      </c>
      <c r="I54" s="69">
        <f>IF('Work packages'!$A$7="","",'Work packages'!I7)</f>
      </c>
      <c r="J54" s="70">
        <f>IF('Work packages'!$A$7="","",'Work packages'!K7)</f>
      </c>
      <c r="K54" s="70">
        <f>IF('Work packages'!$A$7="","",'Work packages'!L7)</f>
      </c>
      <c r="L54" s="66">
        <f>IF('Work packages'!$A$7="","",'Work packages'!M7)</f>
      </c>
      <c r="M54" s="67"/>
    </row>
    <row r="55" spans="2:13" ht="19.05" customHeight="1" x14ac:dyDescent="0.3">
      <c r="B55" s="66">
        <f>IF('Work packages'!$A$8="","",'Work packages'!A8)</f>
      </c>
      <c r="C55" s="67"/>
      <c r="D55" s="67"/>
      <c r="E55" s="68">
        <f>IF('Work packages'!$A$8="","",'Work packages'!B8)</f>
      </c>
      <c r="F55" s="68">
        <f>IF('Work packages'!$A$8="","",'Work packages'!F8)</f>
      </c>
      <c r="G55" s="68">
        <f>IF('Work packages'!$A$8="","",'Work packages'!G8)</f>
      </c>
      <c r="H55" s="68">
        <f>IF('Work packages'!$A$8="","",'Work packages'!H8)</f>
      </c>
      <c r="I55" s="69">
        <f>IF('Work packages'!$A$8="","",'Work packages'!I8)</f>
      </c>
      <c r="J55" s="70">
        <f>IF('Work packages'!$A$8="","",'Work packages'!K8)</f>
      </c>
      <c r="K55" s="70">
        <f>IF('Work packages'!$A$8="","",'Work packages'!L8)</f>
      </c>
      <c r="L55" s="66">
        <f>IF('Work packages'!$A$8="","",'Work packages'!M8)</f>
      </c>
      <c r="M55" s="67"/>
    </row>
    <row r="56" spans="2:13" ht="19.05" customHeight="1" x14ac:dyDescent="0.3">
      <c r="B56" s="66">
        <f>IF('Work packages'!$A$9="","",'Work packages'!A9)</f>
      </c>
      <c r="C56" s="67"/>
      <c r="D56" s="67"/>
      <c r="E56" s="68">
        <f>IF('Work packages'!$A$9="","",'Work packages'!B9)</f>
      </c>
      <c r="F56" s="68">
        <f>IF('Work packages'!$A$9="","",'Work packages'!F9)</f>
      </c>
      <c r="G56" s="68">
        <f>IF('Work packages'!$A$9="","",'Work packages'!G9)</f>
      </c>
      <c r="H56" s="68">
        <f>IF('Work packages'!$A$9="","",'Work packages'!H9)</f>
      </c>
      <c r="I56" s="69">
        <f>IF('Work packages'!$A$9="","",'Work packages'!I9)</f>
      </c>
      <c r="J56" s="70">
        <f>IF('Work packages'!$A$9="","",'Work packages'!K9)</f>
      </c>
      <c r="K56" s="70">
        <f>IF('Work packages'!$A$9="","",'Work packages'!L9)</f>
      </c>
      <c r="L56" s="66">
        <f>IF('Work packages'!$A$9="","",'Work packages'!M9)</f>
      </c>
      <c r="M56" s="67"/>
    </row>
    <row r="57" spans="2:13" ht="19.05" customHeight="1" x14ac:dyDescent="0.3">
      <c r="B57" s="66">
        <f>IF('Work packages'!$A$10="","",'Work packages'!A10)</f>
      </c>
      <c r="C57" s="67"/>
      <c r="D57" s="67"/>
      <c r="E57" s="68">
        <f>IF('Work packages'!$A$10="","",'Work packages'!B10)</f>
      </c>
      <c r="F57" s="68">
        <f>IF('Work packages'!$A$10="","",'Work packages'!F10)</f>
      </c>
      <c r="G57" s="68">
        <f>IF('Work packages'!$A$10="","",'Work packages'!G10)</f>
      </c>
      <c r="H57" s="68">
        <f>IF('Work packages'!$A$10="","",'Work packages'!H10)</f>
      </c>
      <c r="I57" s="69">
        <f>IF('Work packages'!$A$10="","",'Work packages'!I10)</f>
      </c>
      <c r="J57" s="70">
        <f>IF('Work packages'!$A$10="","",'Work packages'!K10)</f>
      </c>
      <c r="K57" s="70">
        <f>IF('Work packages'!$A$10="","",'Work packages'!L10)</f>
      </c>
      <c r="L57" s="66">
        <f>IF('Work packages'!$A$10="","",'Work packages'!M10)</f>
      </c>
      <c r="M57" s="67"/>
    </row>
    <row r="58" spans="2:13" ht="19.05" customHeight="1" x14ac:dyDescent="0.3">
      <c r="B58" s="66">
        <f>IF('Work packages'!$A$11="","",'Work packages'!A11)</f>
      </c>
      <c r="C58" s="67"/>
      <c r="D58" s="67"/>
      <c r="E58" s="68">
        <f>IF('Work packages'!$A$11="","",'Work packages'!B11)</f>
      </c>
      <c r="F58" s="68">
        <f>IF('Work packages'!$A$11="","",'Work packages'!F11)</f>
      </c>
      <c r="G58" s="68">
        <f>IF('Work packages'!$A$11="","",'Work packages'!G11)</f>
      </c>
      <c r="H58" s="68">
        <f>IF('Work packages'!$A$11="","",'Work packages'!H11)</f>
      </c>
      <c r="I58" s="69">
        <f>IF('Work packages'!$A$11="","",'Work packages'!I11)</f>
      </c>
      <c r="J58" s="70">
        <f>IF('Work packages'!$A$11="","",'Work packages'!K11)</f>
      </c>
      <c r="K58" s="70">
        <f>IF('Work packages'!$A$11="","",'Work packages'!L11)</f>
      </c>
      <c r="L58" s="66">
        <f>IF('Work packages'!$A$11="","",'Work packages'!M11)</f>
      </c>
      <c r="M58" s="67"/>
    </row>
    <row r="59" spans="2:13" ht="19.05" customHeight="1" x14ac:dyDescent="0.3">
      <c r="B59" s="66">
        <f>IF('Work packages'!$A$12="","",'Work packages'!A12)</f>
      </c>
      <c r="C59" s="67"/>
      <c r="D59" s="67"/>
      <c r="E59" s="68">
        <f>IF('Work packages'!$A$12="","",'Work packages'!B12)</f>
      </c>
      <c r="F59" s="68">
        <f>IF('Work packages'!$A$12="","",'Work packages'!F12)</f>
      </c>
      <c r="G59" s="68">
        <f>IF('Work packages'!$A$12="","",'Work packages'!G12)</f>
      </c>
      <c r="H59" s="68">
        <f>IF('Work packages'!$A$12="","",'Work packages'!H12)</f>
      </c>
      <c r="I59" s="69">
        <f>IF('Work packages'!$A$12="","",'Work packages'!I12)</f>
      </c>
      <c r="J59" s="70">
        <f>IF('Work packages'!$A$12="","",'Work packages'!K12)</f>
      </c>
      <c r="K59" s="70">
        <f>IF('Work packages'!$A$12="","",'Work packages'!L12)</f>
      </c>
      <c r="L59" s="66">
        <f>IF('Work packages'!$A$12="","",'Work packages'!M12)</f>
      </c>
      <c r="M59" s="67"/>
    </row>
    <row r="60" spans="2:13" ht="19.05" customHeight="1" x14ac:dyDescent="0.3">
      <c r="B60" s="66">
        <f>IF('Work packages'!$A$13="","",'Work packages'!A13)</f>
      </c>
      <c r="C60" s="67"/>
      <c r="D60" s="67"/>
      <c r="E60" s="68">
        <f>IF('Work packages'!$A$13="","",'Work packages'!B13)</f>
      </c>
      <c r="F60" s="68">
        <f>IF('Work packages'!$A$13="","",'Work packages'!F13)</f>
      </c>
      <c r="G60" s="68">
        <f>IF('Work packages'!$A$13="","",'Work packages'!G13)</f>
      </c>
      <c r="H60" s="68">
        <f>IF('Work packages'!$A$13="","",'Work packages'!H13)</f>
      </c>
      <c r="I60" s="69">
        <f>IF('Work packages'!$A$13="","",'Work packages'!I13)</f>
      </c>
      <c r="J60" s="70">
        <f>IF('Work packages'!$A$13="","",'Work packages'!K13)</f>
      </c>
      <c r="K60" s="70">
        <f>IF('Work packages'!$A$13="","",'Work packages'!L13)</f>
      </c>
      <c r="L60" s="66">
        <f>IF('Work packages'!$A$13="","",'Work packages'!M13)</f>
      </c>
      <c r="M60" s="67"/>
    </row>
    <row r="61" spans="2:13" ht="19.05" customHeight="1" x14ac:dyDescent="0.3">
      <c r="B61" s="66">
        <f>IF('Work packages'!$A$14="","",'Work packages'!A14)</f>
      </c>
      <c r="C61" s="67"/>
      <c r="D61" s="67"/>
      <c r="E61" s="68">
        <f>IF('Work packages'!$A$14="","",'Work packages'!B14)</f>
      </c>
      <c r="F61" s="68">
        <f>IF('Work packages'!$A$14="","",'Work packages'!F14)</f>
      </c>
      <c r="G61" s="68">
        <f>IF('Work packages'!$A$14="","",'Work packages'!G14)</f>
      </c>
      <c r="H61" s="68">
        <f>IF('Work packages'!$A$14="","",'Work packages'!H14)</f>
      </c>
      <c r="I61" s="69">
        <f>IF('Work packages'!$A$14="","",'Work packages'!I14)</f>
      </c>
      <c r="J61" s="70">
        <f>IF('Work packages'!$A$14="","",'Work packages'!K14)</f>
      </c>
      <c r="K61" s="70">
        <f>IF('Work packages'!$A$14="","",'Work packages'!L14)</f>
      </c>
      <c r="L61" s="66">
        <f>IF('Work packages'!$A$14="","",'Work packages'!M14)</f>
      </c>
      <c r="M61" s="67"/>
    </row>
    <row r="62" spans="2:13" ht="19.05" customHeight="1" x14ac:dyDescent="0.3">
      <c r="B62" s="66">
        <f>IF('Work packages'!$A$15="","",'Work packages'!A15)</f>
      </c>
      <c r="C62" s="67"/>
      <c r="D62" s="67"/>
      <c r="E62" s="68">
        <f>IF('Work packages'!$A$15="","",'Work packages'!B15)</f>
      </c>
      <c r="F62" s="68">
        <f>IF('Work packages'!$A$15="","",'Work packages'!F15)</f>
      </c>
      <c r="G62" s="68">
        <f>IF('Work packages'!$A$15="","",'Work packages'!G15)</f>
      </c>
      <c r="H62" s="68">
        <f>IF('Work packages'!$A$15="","",'Work packages'!H15)</f>
      </c>
      <c r="I62" s="69">
        <f>IF('Work packages'!$A$15="","",'Work packages'!I15)</f>
      </c>
      <c r="J62" s="70">
        <f>IF('Work packages'!$A$15="","",'Work packages'!K15)</f>
      </c>
      <c r="K62" s="70">
        <f>IF('Work packages'!$A$15="","",'Work packages'!L15)</f>
      </c>
      <c r="L62" s="66">
        <f>IF('Work packages'!$A$15="","",'Work packages'!M15)</f>
      </c>
      <c r="M62" s="67"/>
    </row>
    <row r="63" spans="2:13" ht="19.05" customHeight="1" x14ac:dyDescent="0.3">
      <c r="B63" s="66">
        <f>IF('Work packages'!$A$16="","",'Work packages'!A16)</f>
      </c>
      <c r="C63" s="67"/>
      <c r="D63" s="67"/>
      <c r="E63" s="68">
        <f>IF('Work packages'!$A$16="","",'Work packages'!B16)</f>
      </c>
      <c r="F63" s="68">
        <f>IF('Work packages'!$A$16="","",'Work packages'!F16)</f>
      </c>
      <c r="G63" s="68">
        <f>IF('Work packages'!$A$16="","",'Work packages'!G16)</f>
      </c>
      <c r="H63" s="68">
        <f>IF('Work packages'!$A$16="","",'Work packages'!H16)</f>
      </c>
      <c r="I63" s="69">
        <f>IF('Work packages'!$A$16="","",'Work packages'!I16)</f>
      </c>
      <c r="J63" s="70">
        <f>IF('Work packages'!$A$16="","",'Work packages'!K16)</f>
      </c>
      <c r="K63" s="70">
        <f>IF('Work packages'!$A$16="","",'Work packages'!L16)</f>
      </c>
      <c r="L63" s="66">
        <f>IF('Work packages'!$A$16="","",'Work packages'!M16)</f>
      </c>
      <c r="M63" s="67"/>
    </row>
    <row r="65" spans="2:2" x14ac:dyDescent="0.3">
      <c r="B65" s="71" t="s">
        <v>79</v>
      </c>
    </row>
  </sheetData>
  <sheetProtection sheet="1" formatCells="0" formatColumns="0" formatRows="0" insertColumns="0" insertRows="0" insertHyperlinks="0" deleteColumns="0" deleteRows="0" sort="0" autoFilter="0" pivotTables="0"/>
  <mergeCells count="42">
    <mergeCell ref="B63:D63"/>
    <mergeCell ref="L54:M54"/>
    <mergeCell ref="D6:E7"/>
    <mergeCell ref="L63:M63"/>
    <mergeCell ref="F6:G7"/>
    <mergeCell ref="B62:D62"/>
    <mergeCell ref="L60:M60"/>
    <mergeCell ref="B54:D54"/>
    <mergeCell ref="D8:E8"/>
    <mergeCell ref="L56:M56"/>
    <mergeCell ref="B59:D59"/>
    <mergeCell ref="L59:M59"/>
    <mergeCell ref="H6:I7"/>
    <mergeCell ref="J6:K7"/>
    <mergeCell ref="B56:D56"/>
    <mergeCell ref="B58:D58"/>
    <mergeCell ref="L62:M62"/>
    <mergeCell ref="L5:M5"/>
    <mergeCell ref="L8:M8"/>
    <mergeCell ref="B8:C8"/>
    <mergeCell ref="B55:D55"/>
    <mergeCell ref="L55:M55"/>
    <mergeCell ref="F8:G8"/>
    <mergeCell ref="L58:M58"/>
    <mergeCell ref="B11:M12"/>
    <mergeCell ref="L61:M61"/>
    <mergeCell ref="B5:C5"/>
    <mergeCell ref="D5:E5"/>
    <mergeCell ref="H5:I5"/>
    <mergeCell ref="H8:I8"/>
    <mergeCell ref="J8:K8"/>
    <mergeCell ref="L57:M57"/>
    <mergeCell ref="L53:M53"/>
    <mergeCell ref="K2:M2"/>
    <mergeCell ref="L6:M7"/>
    <mergeCell ref="F5:G5"/>
    <mergeCell ref="B60:D60"/>
    <mergeCell ref="J5:K5"/>
    <mergeCell ref="B61:D61"/>
    <mergeCell ref="B57:D57"/>
    <mergeCell ref="B6:C7"/>
    <mergeCell ref="B53:D53"/>
  </mergeCells>
  <conditionalFormatting sqref="B6">
    <cfRule type="expression" dxfId="22" priority="1">
      <formula>AND(ISNUMBER(B6),B6&lt;0.9)</formula>
    </cfRule>
  </conditionalFormatting>
  <conditionalFormatting sqref="D6">
    <cfRule type="expression" dxfId="21" priority="2">
      <formula>AND(ISNUMBER(D6),D6&lt;0.9)</formula>
    </cfRule>
  </conditionalFormatting>
  <conditionalFormatting sqref="H6">
    <cfRule type="expression" dxfId="20" priority="3">
      <formula>AND(ISNUMBER(H6),H6&lt;0)</formula>
    </cfRule>
  </conditionalFormatting>
  <conditionalFormatting sqref="J54:K63">
    <cfRule type="cellIs" dxfId="18" priority="5" operator="lessThan">
      <formula>0.9</formula>
    </cfRule>
  </conditionalFormatting>
  <conditionalFormatting sqref="L54:L63">
    <cfRule type="cellIs" dxfId="17" priority="6" operator="equal">
      <formula>"Losing money"</formula>
    </cfRule>
    <cfRule type="cellIs" dxfId="16" priority="7" operator="equal">
      <formula>"Behind"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100-000004000000}">
            <xm:f>AND(ISNUMBER(J6),ISNUMBER(Results!B20),J6&gt;Results!B20)</xm:f>
            <x14:dxf>
              <font>
                <b/>
                <sz val="24"/>
                <color rgb="FFBE123C"/>
                <name val="Arial"/>
              </font>
            </x14:dxf>
          </x14:cfRule>
          <xm:sqref>J6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11"/>
  <sheetViews>
    <sheetView showGridLines="0" workbookViewId="0">
      <selection activeCell="D1" sqref="D1"/>
    </sheetView>
  </sheetViews>
  <sheetFormatPr defaultRowHeight="14.4" x14ac:dyDescent="0.3"/>
  <cols>
    <col min="1" max="1" width="32" style="2" customWidth="1"/>
    <col min="2" max="2" width="22" style="2" customWidth="1"/>
    <col min="3" max="3" width="4" style="2" customWidth="1"/>
    <col min="4" max="4" width="60" style="2" customWidth="1"/>
    <col min="5" max="16384" width="8.88671875" style="2"/>
  </cols>
  <sheetData>
    <row r="1" spans="1:4" ht="28.05" customHeight="1" x14ac:dyDescent="0.4">
      <c r="A1" s="73" t="s">
        <v>40</v>
      </c>
      <c r="D1" s="83" t="s">
        <v>56</v>
      </c>
    </row>
    <row r="2" spans="1:4" x14ac:dyDescent="0.3">
      <c r="A2" s="74" t="s">
        <v>80</v>
      </c>
    </row>
    <row r="3" spans="1:4" x14ac:dyDescent="0.3">
      <c r="A3" s="75" t="s">
        <v>81</v>
      </c>
    </row>
    <row r="4" spans="1:4" x14ac:dyDescent="0.3">
      <c r="A4" s="76"/>
      <c r="B4" s="76"/>
      <c r="C4" s="76"/>
      <c r="D4" s="76"/>
    </row>
    <row r="6" spans="1:4" x14ac:dyDescent="0.3">
      <c r="A6" s="77" t="s">
        <v>82</v>
      </c>
      <c r="B6" s="78"/>
    </row>
    <row r="7" spans="1:4" ht="25.95" customHeight="1" x14ac:dyDescent="0.3">
      <c r="A7" s="77" t="s">
        <v>84</v>
      </c>
      <c r="B7" s="79"/>
      <c r="D7" s="80" t="s">
        <v>85</v>
      </c>
    </row>
    <row r="8" spans="1:4" x14ac:dyDescent="0.3">
      <c r="A8" s="77" t="s">
        <v>86</v>
      </c>
      <c r="B8" s="81"/>
    </row>
    <row r="9" spans="1:4" x14ac:dyDescent="0.3">
      <c r="A9" s="77" t="s">
        <v>87</v>
      </c>
      <c r="B9" s="81"/>
      <c r="D9" s="80" t="s">
        <v>88</v>
      </c>
    </row>
    <row r="10" spans="1:4" x14ac:dyDescent="0.3">
      <c r="A10" s="77" t="s">
        <v>89</v>
      </c>
      <c r="B10" s="82"/>
      <c r="D10" s="80" t="s">
        <v>90</v>
      </c>
    </row>
    <row r="11" spans="1:4" x14ac:dyDescent="0.3">
      <c r="A11" s="77" t="s">
        <v>91</v>
      </c>
      <c r="B11" s="78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B8A6"/>
    <pageSetUpPr fitToPage="1"/>
  </sheetPr>
  <dimension ref="A1:R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N1" sqref="N1"/>
    </sheetView>
  </sheetViews>
  <sheetFormatPr defaultRowHeight="14.4" x14ac:dyDescent="0.3"/>
  <cols>
    <col min="1" max="1" width="8" style="2" customWidth="1"/>
    <col min="2" max="2" width="11" style="2" customWidth="1"/>
    <col min="3" max="5" width="16" style="2" customWidth="1"/>
    <col min="6" max="7" width="14" style="2" customWidth="1"/>
    <col min="8" max="9" width="9" style="2" customWidth="1"/>
    <col min="10" max="10" width="12" style="2" customWidth="1"/>
    <col min="11" max="11" width="9" style="2" customWidth="1"/>
    <col min="12" max="12" width="10" style="2" customWidth="1"/>
    <col min="13" max="13" width="11" style="2" customWidth="1"/>
    <col min="14" max="14" width="18" style="2" customWidth="1"/>
    <col min="15" max="17" width="8" style="2" customWidth="1"/>
    <col min="18" max="18" width="10" style="2" customWidth="1"/>
    <col min="19" max="16384" width="8.88671875" style="2"/>
  </cols>
  <sheetData>
    <row r="1" spans="1:18" ht="28.05" customHeight="1" x14ac:dyDescent="0.4">
      <c r="A1" s="73" t="s">
        <v>42</v>
      </c>
      <c r="N1" s="83" t="s">
        <v>56</v>
      </c>
    </row>
    <row r="2" spans="1:18" x14ac:dyDescent="0.3">
      <c r="A2" s="74" t="s">
        <v>93</v>
      </c>
    </row>
    <row r="3" spans="1:18" x14ac:dyDescent="0.3">
      <c r="A3" s="75" t="s">
        <v>94</v>
      </c>
    </row>
    <row r="4" spans="1:18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</row>
    <row r="6" spans="1:18" s="119" customFormat="1" ht="31.95" customHeight="1" x14ac:dyDescent="0.2">
      <c r="A6" s="116" t="s">
        <v>95</v>
      </c>
      <c r="B6" s="116" t="s">
        <v>96</v>
      </c>
      <c r="C6" s="117" t="s">
        <v>97</v>
      </c>
      <c r="D6" s="117" t="s">
        <v>98</v>
      </c>
      <c r="E6" s="117" t="s">
        <v>99</v>
      </c>
      <c r="F6" s="116" t="s">
        <v>100</v>
      </c>
      <c r="G6" s="116" t="s">
        <v>101</v>
      </c>
      <c r="H6" s="116" t="s">
        <v>76</v>
      </c>
      <c r="I6" s="116" t="s">
        <v>102</v>
      </c>
      <c r="J6" s="116" t="s">
        <v>103</v>
      </c>
      <c r="K6" s="116" t="s">
        <v>104</v>
      </c>
      <c r="L6" s="116" t="s">
        <v>105</v>
      </c>
      <c r="M6" s="116" t="s">
        <v>106</v>
      </c>
      <c r="N6" s="116" t="s">
        <v>107</v>
      </c>
      <c r="O6" s="118" t="s">
        <v>108</v>
      </c>
      <c r="P6" s="118" t="s">
        <v>109</v>
      </c>
      <c r="Q6" s="118" t="s">
        <v>110</v>
      </c>
      <c r="R6" s="118" t="s">
        <v>111</v>
      </c>
    </row>
    <row r="7" spans="1:18" x14ac:dyDescent="0.3">
      <c r="A7" s="87">
        <v>1</v>
      </c>
      <c r="B7" s="88">
        <f>IF(Setup!$B$10="","",EOMONTH(Setup!$B$10,A7-1))</f>
      </c>
      <c r="C7" s="79"/>
      <c r="D7" s="79"/>
      <c r="E7" s="79"/>
      <c r="F7" s="89">
        <f t="shared" ref="F7:F30" si="0">IF(OR(D7="",E7=""),"",D7-E7)</f>
      </c>
      <c r="G7" s="89">
        <f t="shared" ref="G7:G30" si="1">IF(OR(D7="",C7=""),"",D7-C7)</f>
      </c>
      <c r="H7" s="90">
        <f t="shared" ref="H7:H30" si="2">IF(OR(D7="",E7="",E7=0),"",D7/E7)</f>
      </c>
      <c r="I7" s="90">
        <f t="shared" ref="I7:I30" si="3">IF(OR(D7="",C7="",C7=0),"",D7/C7)</f>
      </c>
      <c r="J7" s="90">
        <f t="shared" ref="J7:J30" si="4">IF(OR(D7="",COUNT($C$7:$C$30)=0),"",IF(COUNTIF($C$7:$C$30,"&lt;="&amp;D7)=0,D7/$C$7,IF(COUNTIF($C$7:$C$30,"&lt;="&amp;D7)&gt;=COUNT($C$7:$C$30),COUNTIF($C$7:$C$30,"&lt;="&amp;D7),COUNTIF($C$7:$C$30,"&lt;="&amp;D7)+(D7-INDEX($C$7:$C$30,COUNTIF($C$7:$C$30,"&lt;="&amp;D7)))/(INDEX($C$7:$C$30,COUNTIF($C$7:$C$30,"&lt;="&amp;D7)+1)-INDEX($C$7:$C$30,COUNTIF($C$7:$C$30,"&lt;="&amp;D7))))))</f>
      </c>
      <c r="K7" s="90">
        <f t="shared" ref="K7:K30" si="5">IF(J7="","",J7/A7)</f>
      </c>
      <c r="L7" s="91">
        <f t="shared" ref="L7:L30" si="6">IF(J7="","",A7-J7)</f>
      </c>
      <c r="M7" s="90">
        <f>IF(OR(D7="",E7="",(E7)=0),"",(D7)/(E7))</f>
      </c>
      <c r="N7" s="92">
        <f>IF(OR(Setup!$B$9="",A7&lt;Setup!$B$9),"",IF(A7=Setup!$B$9,E7,IF(OR(C7="",Results!$B$9="",Results!$B$9=0),"",Results!$B$8+MAX(0,C7-Results!$B$7)/Results!$B$9)))</f>
      </c>
      <c r="O7" s="93">
        <f t="shared" ref="O7:O30" si="7">IF(D7="",NA(),1)</f>
      </c>
      <c r="P7" s="93">
        <f t="shared" ref="P7:P30" si="8">IF(H7="",NA(),H7)</f>
      </c>
      <c r="Q7" s="93">
        <f t="shared" ref="Q7:Q30" si="9">IF(K7="",NA(),K7)</f>
      </c>
      <c r="R7" s="94">
        <f t="shared" ref="R7:R30" si="10">IF(N7="",NA(),N7)</f>
      </c>
    </row>
    <row r="8" spans="1:18" x14ac:dyDescent="0.3">
      <c r="A8" s="87">
        <v>2</v>
      </c>
      <c r="B8" s="88">
        <f>IF(Setup!$B$10="","",EOMONTH(Setup!$B$10,A8-1))</f>
      </c>
      <c r="C8" s="79"/>
      <c r="D8" s="79"/>
      <c r="E8" s="79"/>
      <c r="F8" s="89">
        <f t="shared" si="0"/>
      </c>
      <c r="G8" s="89">
        <f t="shared" si="1"/>
      </c>
      <c r="H8" s="90">
        <f t="shared" si="2"/>
      </c>
      <c r="I8" s="90">
        <f t="shared" si="3"/>
      </c>
      <c r="J8" s="90">
        <f t="shared" si="4"/>
      </c>
      <c r="K8" s="90">
        <f t="shared" si="5"/>
      </c>
      <c r="L8" s="91">
        <f t="shared" si="6"/>
      </c>
      <c r="M8" s="90">
        <f t="shared" ref="M8:M30" si="11">IF(OR(D8="",E8="",(E8-E7)=0),"",(D8-D7)/(E8-E7))</f>
      </c>
      <c r="N8" s="92">
        <f>IF(OR(Setup!$B$9="",A8&lt;Setup!$B$9),"",IF(A8=Setup!$B$9,E8,IF(OR(C8="",Results!$B$9="",Results!$B$9=0),"",Results!$B$8+MAX(0,C8-Results!$B$7)/Results!$B$9)))</f>
      </c>
      <c r="O8" s="93">
        <f t="shared" si="7"/>
      </c>
      <c r="P8" s="93">
        <f t="shared" si="8"/>
      </c>
      <c r="Q8" s="93">
        <f t="shared" si="9"/>
      </c>
      <c r="R8" s="94">
        <f t="shared" si="10"/>
      </c>
    </row>
    <row r="9" spans="1:18" x14ac:dyDescent="0.3">
      <c r="A9" s="87">
        <v>3</v>
      </c>
      <c r="B9" s="88">
        <f>IF(Setup!$B$10="","",EOMONTH(Setup!$B$10,A9-1))</f>
      </c>
      <c r="C9" s="79"/>
      <c r="D9" s="79"/>
      <c r="E9" s="79"/>
      <c r="F9" s="89">
        <f t="shared" si="0"/>
      </c>
      <c r="G9" s="89">
        <f t="shared" si="1"/>
      </c>
      <c r="H9" s="90">
        <f t="shared" si="2"/>
      </c>
      <c r="I9" s="90">
        <f t="shared" si="3"/>
      </c>
      <c r="J9" s="90">
        <f t="shared" si="4"/>
      </c>
      <c r="K9" s="90">
        <f t="shared" si="5"/>
      </c>
      <c r="L9" s="91">
        <f t="shared" si="6"/>
      </c>
      <c r="M9" s="90">
        <f t="shared" si="11"/>
      </c>
      <c r="N9" s="92">
        <f>IF(OR(Setup!$B$9="",A9&lt;Setup!$B$9),"",IF(A9=Setup!$B$9,E9,IF(OR(C9="",Results!$B$9="",Results!$B$9=0),"",Results!$B$8+MAX(0,C9-Results!$B$7)/Results!$B$9)))</f>
      </c>
      <c r="O9" s="93">
        <f t="shared" si="7"/>
      </c>
      <c r="P9" s="93">
        <f t="shared" si="8"/>
      </c>
      <c r="Q9" s="93">
        <f t="shared" si="9"/>
      </c>
      <c r="R9" s="94">
        <f t="shared" si="10"/>
      </c>
    </row>
    <row r="10" spans="1:18" x14ac:dyDescent="0.3">
      <c r="A10" s="87">
        <v>4</v>
      </c>
      <c r="B10" s="88">
        <f>IF(Setup!$B$10="","",EOMONTH(Setup!$B$10,A10-1))</f>
      </c>
      <c r="C10" s="79"/>
      <c r="D10" s="79"/>
      <c r="E10" s="79"/>
      <c r="F10" s="89">
        <f t="shared" si="0"/>
      </c>
      <c r="G10" s="89">
        <f t="shared" si="1"/>
      </c>
      <c r="H10" s="90">
        <f t="shared" si="2"/>
      </c>
      <c r="I10" s="90">
        <f t="shared" si="3"/>
      </c>
      <c r="J10" s="90">
        <f t="shared" si="4"/>
      </c>
      <c r="K10" s="90">
        <f t="shared" si="5"/>
      </c>
      <c r="L10" s="91">
        <f t="shared" si="6"/>
      </c>
      <c r="M10" s="90">
        <f t="shared" si="11"/>
      </c>
      <c r="N10" s="92">
        <f>IF(OR(Setup!$B$9="",A10&lt;Setup!$B$9),"",IF(A10=Setup!$B$9,E10,IF(OR(C10="",Results!$B$9="",Results!$B$9=0),"",Results!$B$8+MAX(0,C10-Results!$B$7)/Results!$B$9)))</f>
      </c>
      <c r="O10" s="93">
        <f t="shared" si="7"/>
      </c>
      <c r="P10" s="93">
        <f t="shared" si="8"/>
      </c>
      <c r="Q10" s="93">
        <f t="shared" si="9"/>
      </c>
      <c r="R10" s="94">
        <f t="shared" si="10"/>
      </c>
    </row>
    <row r="11" spans="1:18" x14ac:dyDescent="0.3">
      <c r="A11" s="87">
        <v>5</v>
      </c>
      <c r="B11" s="88">
        <f>IF(Setup!$B$10="","",EOMONTH(Setup!$B$10,A11-1))</f>
      </c>
      <c r="C11" s="79"/>
      <c r="D11" s="79"/>
      <c r="E11" s="79"/>
      <c r="F11" s="89">
        <f t="shared" si="0"/>
      </c>
      <c r="G11" s="89">
        <f t="shared" si="1"/>
      </c>
      <c r="H11" s="90">
        <f t="shared" si="2"/>
      </c>
      <c r="I11" s="90">
        <f t="shared" si="3"/>
      </c>
      <c r="J11" s="90">
        <f t="shared" si="4"/>
      </c>
      <c r="K11" s="90">
        <f t="shared" si="5"/>
      </c>
      <c r="L11" s="91">
        <f t="shared" si="6"/>
      </c>
      <c r="M11" s="90">
        <f t="shared" si="11"/>
      </c>
      <c r="N11" s="92">
        <f>IF(OR(Setup!$B$9="",A11&lt;Setup!$B$9),"",IF(A11=Setup!$B$9,E11,IF(OR(C11="",Results!$B$9="",Results!$B$9=0),"",Results!$B$8+MAX(0,C11-Results!$B$7)/Results!$B$9)))</f>
      </c>
      <c r="O11" s="93">
        <f t="shared" si="7"/>
      </c>
      <c r="P11" s="93">
        <f t="shared" si="8"/>
      </c>
      <c r="Q11" s="93">
        <f t="shared" si="9"/>
      </c>
      <c r="R11" s="94">
        <f t="shared" si="10"/>
      </c>
    </row>
    <row r="12" spans="1:18" x14ac:dyDescent="0.3">
      <c r="A12" s="87">
        <v>6</v>
      </c>
      <c r="B12" s="88">
        <f>IF(Setup!$B$10="","",EOMONTH(Setup!$B$10,A12-1))</f>
      </c>
      <c r="C12" s="79"/>
      <c r="D12" s="79"/>
      <c r="E12" s="79"/>
      <c r="F12" s="89">
        <f t="shared" si="0"/>
      </c>
      <c r="G12" s="89">
        <f t="shared" si="1"/>
      </c>
      <c r="H12" s="90">
        <f t="shared" si="2"/>
      </c>
      <c r="I12" s="90">
        <f t="shared" si="3"/>
      </c>
      <c r="J12" s="90">
        <f t="shared" si="4"/>
      </c>
      <c r="K12" s="90">
        <f t="shared" si="5"/>
      </c>
      <c r="L12" s="91">
        <f t="shared" si="6"/>
      </c>
      <c r="M12" s="90">
        <f t="shared" si="11"/>
      </c>
      <c r="N12" s="92">
        <f>IF(OR(Setup!$B$9="",A12&lt;Setup!$B$9),"",IF(A12=Setup!$B$9,E12,IF(OR(C12="",Results!$B$9="",Results!$B$9=0),"",Results!$B$8+MAX(0,C12-Results!$B$7)/Results!$B$9)))</f>
      </c>
      <c r="O12" s="93">
        <f t="shared" si="7"/>
      </c>
      <c r="P12" s="93">
        <f t="shared" si="8"/>
      </c>
      <c r="Q12" s="93">
        <f t="shared" si="9"/>
      </c>
      <c r="R12" s="94">
        <f t="shared" si="10"/>
      </c>
    </row>
    <row r="13" spans="1:18" x14ac:dyDescent="0.3">
      <c r="A13" s="87">
        <v>7</v>
      </c>
      <c r="B13" s="88">
        <f>IF(Setup!$B$10="","",EOMONTH(Setup!$B$10,A13-1))</f>
      </c>
      <c r="C13" s="79"/>
      <c r="D13" s="79"/>
      <c r="E13" s="79"/>
      <c r="F13" s="89">
        <f t="shared" si="0"/>
      </c>
      <c r="G13" s="89">
        <f t="shared" si="1"/>
      </c>
      <c r="H13" s="90">
        <f t="shared" si="2"/>
      </c>
      <c r="I13" s="90">
        <f t="shared" si="3"/>
      </c>
      <c r="J13" s="90">
        <f t="shared" si="4"/>
      </c>
      <c r="K13" s="90">
        <f t="shared" si="5"/>
      </c>
      <c r="L13" s="91">
        <f t="shared" si="6"/>
      </c>
      <c r="M13" s="90">
        <f t="shared" si="11"/>
      </c>
      <c r="N13" s="92">
        <f>IF(OR(Setup!$B$9="",A13&lt;Setup!$B$9),"",IF(A13=Setup!$B$9,E13,IF(OR(C13="",Results!$B$9="",Results!$B$9=0),"",Results!$B$8+MAX(0,C13-Results!$B$7)/Results!$B$9)))</f>
      </c>
      <c r="O13" s="93">
        <f t="shared" si="7"/>
      </c>
      <c r="P13" s="93">
        <f t="shared" si="8"/>
      </c>
      <c r="Q13" s="93">
        <f t="shared" si="9"/>
      </c>
      <c r="R13" s="94">
        <f t="shared" si="10"/>
      </c>
    </row>
    <row r="14" spans="1:18" x14ac:dyDescent="0.3">
      <c r="A14" s="87">
        <v>8</v>
      </c>
      <c r="B14" s="88">
        <f>IF(Setup!$B$10="","",EOMONTH(Setup!$B$10,A14-1))</f>
      </c>
      <c r="C14" s="79"/>
      <c r="D14" s="79"/>
      <c r="E14" s="79"/>
      <c r="F14" s="89">
        <f t="shared" si="0"/>
      </c>
      <c r="G14" s="89">
        <f t="shared" si="1"/>
      </c>
      <c r="H14" s="90">
        <f t="shared" si="2"/>
      </c>
      <c r="I14" s="90">
        <f t="shared" si="3"/>
      </c>
      <c r="J14" s="90">
        <f t="shared" si="4"/>
      </c>
      <c r="K14" s="90">
        <f t="shared" si="5"/>
      </c>
      <c r="L14" s="91">
        <f t="shared" si="6"/>
      </c>
      <c r="M14" s="90">
        <f t="shared" si="11"/>
      </c>
      <c r="N14" s="92">
        <f>IF(OR(Setup!$B$9="",A14&lt;Setup!$B$9),"",IF(A14=Setup!$B$9,E14,IF(OR(C14="",Results!$B$9="",Results!$B$9=0),"",Results!$B$8+MAX(0,C14-Results!$B$7)/Results!$B$9)))</f>
      </c>
      <c r="O14" s="93">
        <f t="shared" si="7"/>
      </c>
      <c r="P14" s="93">
        <f t="shared" si="8"/>
      </c>
      <c r="Q14" s="93">
        <f t="shared" si="9"/>
      </c>
      <c r="R14" s="94">
        <f t="shared" si="10"/>
      </c>
    </row>
    <row r="15" spans="1:18" x14ac:dyDescent="0.3">
      <c r="A15" s="87">
        <v>9</v>
      </c>
      <c r="B15" s="88">
        <f>IF(Setup!$B$10="","",EOMONTH(Setup!$B$10,A15-1))</f>
      </c>
      <c r="C15" s="79"/>
      <c r="D15" s="79"/>
      <c r="E15" s="79"/>
      <c r="F15" s="89">
        <f t="shared" si="0"/>
      </c>
      <c r="G15" s="89">
        <f t="shared" si="1"/>
      </c>
      <c r="H15" s="90">
        <f t="shared" si="2"/>
      </c>
      <c r="I15" s="90">
        <f t="shared" si="3"/>
      </c>
      <c r="J15" s="90">
        <f t="shared" si="4"/>
      </c>
      <c r="K15" s="90">
        <f t="shared" si="5"/>
      </c>
      <c r="L15" s="91">
        <f t="shared" si="6"/>
      </c>
      <c r="M15" s="90">
        <f t="shared" si="11"/>
      </c>
      <c r="N15" s="92">
        <f>IF(OR(Setup!$B$9="",A15&lt;Setup!$B$9),"",IF(A15=Setup!$B$9,E15,IF(OR(C15="",Results!$B$9="",Results!$B$9=0),"",Results!$B$8+MAX(0,C15-Results!$B$7)/Results!$B$9)))</f>
      </c>
      <c r="O15" s="93">
        <f t="shared" si="7"/>
      </c>
      <c r="P15" s="93">
        <f t="shared" si="8"/>
      </c>
      <c r="Q15" s="93">
        <f t="shared" si="9"/>
      </c>
      <c r="R15" s="94">
        <f t="shared" si="10"/>
      </c>
    </row>
    <row r="16" spans="1:18" x14ac:dyDescent="0.3">
      <c r="A16" s="87">
        <v>10</v>
      </c>
      <c r="B16" s="88">
        <f>IF(Setup!$B$10="","",EOMONTH(Setup!$B$10,A16-1))</f>
      </c>
      <c r="C16" s="79"/>
      <c r="D16" s="79"/>
      <c r="E16" s="79"/>
      <c r="F16" s="89">
        <f t="shared" si="0"/>
      </c>
      <c r="G16" s="89">
        <f t="shared" si="1"/>
      </c>
      <c r="H16" s="90">
        <f t="shared" si="2"/>
      </c>
      <c r="I16" s="90">
        <f t="shared" si="3"/>
      </c>
      <c r="J16" s="90">
        <f t="shared" si="4"/>
      </c>
      <c r="K16" s="90">
        <f t="shared" si="5"/>
      </c>
      <c r="L16" s="91">
        <f t="shared" si="6"/>
      </c>
      <c r="M16" s="90">
        <f t="shared" si="11"/>
      </c>
      <c r="N16" s="92">
        <f>IF(OR(Setup!$B$9="",A16&lt;Setup!$B$9),"",IF(A16=Setup!$B$9,E16,IF(OR(C16="",Results!$B$9="",Results!$B$9=0),"",Results!$B$8+MAX(0,C16-Results!$B$7)/Results!$B$9)))</f>
      </c>
      <c r="O16" s="93">
        <f t="shared" si="7"/>
      </c>
      <c r="P16" s="93">
        <f t="shared" si="8"/>
      </c>
      <c r="Q16" s="93">
        <f t="shared" si="9"/>
      </c>
      <c r="R16" s="94">
        <f t="shared" si="10"/>
      </c>
    </row>
    <row r="17" spans="1:18" x14ac:dyDescent="0.3">
      <c r="A17" s="87">
        <v>11</v>
      </c>
      <c r="B17" s="88">
        <f>IF(Setup!$B$10="","",EOMONTH(Setup!$B$10,A17-1))</f>
      </c>
      <c r="C17" s="79"/>
      <c r="D17" s="79"/>
      <c r="E17" s="79"/>
      <c r="F17" s="89">
        <f t="shared" si="0"/>
      </c>
      <c r="G17" s="89">
        <f t="shared" si="1"/>
      </c>
      <c r="H17" s="90">
        <f t="shared" si="2"/>
      </c>
      <c r="I17" s="90">
        <f t="shared" si="3"/>
      </c>
      <c r="J17" s="90">
        <f t="shared" si="4"/>
      </c>
      <c r="K17" s="90">
        <f t="shared" si="5"/>
      </c>
      <c r="L17" s="91">
        <f t="shared" si="6"/>
      </c>
      <c r="M17" s="90">
        <f t="shared" si="11"/>
      </c>
      <c r="N17" s="92">
        <f>IF(OR(Setup!$B$9="",A17&lt;Setup!$B$9),"",IF(A17=Setup!$B$9,E17,IF(OR(C17="",Results!$B$9="",Results!$B$9=0),"",Results!$B$8+MAX(0,C17-Results!$B$7)/Results!$B$9)))</f>
      </c>
      <c r="O17" s="93">
        <f t="shared" si="7"/>
      </c>
      <c r="P17" s="93">
        <f t="shared" si="8"/>
      </c>
      <c r="Q17" s="93">
        <f t="shared" si="9"/>
      </c>
      <c r="R17" s="94">
        <f t="shared" si="10"/>
      </c>
    </row>
    <row r="18" spans="1:18" x14ac:dyDescent="0.3">
      <c r="A18" s="87">
        <v>12</v>
      </c>
      <c r="B18" s="88">
        <f>IF(Setup!$B$10="","",EOMONTH(Setup!$B$10,A18-1))</f>
      </c>
      <c r="C18" s="79"/>
      <c r="D18" s="79"/>
      <c r="E18" s="79"/>
      <c r="F18" s="89">
        <f t="shared" si="0"/>
      </c>
      <c r="G18" s="89">
        <f t="shared" si="1"/>
      </c>
      <c r="H18" s="90">
        <f t="shared" si="2"/>
      </c>
      <c r="I18" s="90">
        <f t="shared" si="3"/>
      </c>
      <c r="J18" s="90">
        <f t="shared" si="4"/>
      </c>
      <c r="K18" s="90">
        <f t="shared" si="5"/>
      </c>
      <c r="L18" s="91">
        <f t="shared" si="6"/>
      </c>
      <c r="M18" s="90">
        <f t="shared" si="11"/>
      </c>
      <c r="N18" s="92">
        <f>IF(OR(Setup!$B$9="",A18&lt;Setup!$B$9),"",IF(A18=Setup!$B$9,E18,IF(OR(C18="",Results!$B$9="",Results!$B$9=0),"",Results!$B$8+MAX(0,C18-Results!$B$7)/Results!$B$9)))</f>
      </c>
      <c r="O18" s="93">
        <f t="shared" si="7"/>
      </c>
      <c r="P18" s="93">
        <f t="shared" si="8"/>
      </c>
      <c r="Q18" s="93">
        <f t="shared" si="9"/>
      </c>
      <c r="R18" s="94">
        <f t="shared" si="10"/>
      </c>
    </row>
    <row r="19" spans="1:18" x14ac:dyDescent="0.3">
      <c r="A19" s="87">
        <v>13</v>
      </c>
      <c r="B19" s="88">
        <f>IF(Setup!$B$10="","",EOMONTH(Setup!$B$10,A19-1))</f>
      </c>
      <c r="C19" s="79"/>
      <c r="D19" s="79"/>
      <c r="E19" s="79"/>
      <c r="F19" s="89">
        <f t="shared" si="0"/>
      </c>
      <c r="G19" s="89">
        <f t="shared" si="1"/>
      </c>
      <c r="H19" s="90">
        <f t="shared" si="2"/>
      </c>
      <c r="I19" s="90">
        <f t="shared" si="3"/>
      </c>
      <c r="J19" s="90">
        <f t="shared" si="4"/>
      </c>
      <c r="K19" s="90">
        <f t="shared" si="5"/>
      </c>
      <c r="L19" s="91">
        <f t="shared" si="6"/>
      </c>
      <c r="M19" s="90">
        <f t="shared" si="11"/>
      </c>
      <c r="N19" s="92">
        <f>IF(OR(Setup!$B$9="",A19&lt;Setup!$B$9),"",IF(A19=Setup!$B$9,E19,IF(OR(C19="",Results!$B$9="",Results!$B$9=0),"",Results!$B$8+MAX(0,C19-Results!$B$7)/Results!$B$9)))</f>
      </c>
      <c r="O19" s="93">
        <f t="shared" si="7"/>
      </c>
      <c r="P19" s="93">
        <f t="shared" si="8"/>
      </c>
      <c r="Q19" s="93">
        <f t="shared" si="9"/>
      </c>
      <c r="R19" s="94">
        <f t="shared" si="10"/>
      </c>
    </row>
    <row r="20" spans="1:18" x14ac:dyDescent="0.3">
      <c r="A20" s="87">
        <v>14</v>
      </c>
      <c r="B20" s="88">
        <f>IF(Setup!$B$10="","",EOMONTH(Setup!$B$10,A20-1))</f>
      </c>
      <c r="C20" s="79"/>
      <c r="D20" s="79"/>
      <c r="E20" s="79"/>
      <c r="F20" s="89">
        <f t="shared" si="0"/>
      </c>
      <c r="G20" s="89">
        <f t="shared" si="1"/>
      </c>
      <c r="H20" s="90">
        <f t="shared" si="2"/>
      </c>
      <c r="I20" s="90">
        <f t="shared" si="3"/>
      </c>
      <c r="J20" s="90">
        <f t="shared" si="4"/>
      </c>
      <c r="K20" s="90">
        <f t="shared" si="5"/>
      </c>
      <c r="L20" s="91">
        <f t="shared" si="6"/>
      </c>
      <c r="M20" s="90">
        <f t="shared" si="11"/>
      </c>
      <c r="N20" s="92">
        <f>IF(OR(Setup!$B$9="",A20&lt;Setup!$B$9),"",IF(A20=Setup!$B$9,E20,IF(OR(C20="",Results!$B$9="",Results!$B$9=0),"",Results!$B$8+MAX(0,C20-Results!$B$7)/Results!$B$9)))</f>
      </c>
      <c r="O20" s="93">
        <f t="shared" si="7"/>
      </c>
      <c r="P20" s="93">
        <f t="shared" si="8"/>
      </c>
      <c r="Q20" s="93">
        <f t="shared" si="9"/>
      </c>
      <c r="R20" s="94">
        <f t="shared" si="10"/>
      </c>
    </row>
    <row r="21" spans="1:18" x14ac:dyDescent="0.3">
      <c r="A21" s="87">
        <v>15</v>
      </c>
      <c r="B21" s="88">
        <f>IF(Setup!$B$10="","",EOMONTH(Setup!$B$10,A21-1))</f>
      </c>
      <c r="C21" s="79"/>
      <c r="D21" s="79"/>
      <c r="E21" s="79"/>
      <c r="F21" s="89">
        <f t="shared" si="0"/>
      </c>
      <c r="G21" s="89">
        <f t="shared" si="1"/>
      </c>
      <c r="H21" s="90">
        <f t="shared" si="2"/>
      </c>
      <c r="I21" s="90">
        <f t="shared" si="3"/>
      </c>
      <c r="J21" s="90">
        <f t="shared" si="4"/>
      </c>
      <c r="K21" s="90">
        <f t="shared" si="5"/>
      </c>
      <c r="L21" s="91">
        <f t="shared" si="6"/>
      </c>
      <c r="M21" s="90">
        <f t="shared" si="11"/>
      </c>
      <c r="N21" s="92">
        <f>IF(OR(Setup!$B$9="",A21&lt;Setup!$B$9),"",IF(A21=Setup!$B$9,E21,IF(OR(C21="",Results!$B$9="",Results!$B$9=0),"",Results!$B$8+MAX(0,C21-Results!$B$7)/Results!$B$9)))</f>
      </c>
      <c r="O21" s="93">
        <f t="shared" si="7"/>
      </c>
      <c r="P21" s="93">
        <f t="shared" si="8"/>
      </c>
      <c r="Q21" s="93">
        <f t="shared" si="9"/>
      </c>
      <c r="R21" s="94">
        <f t="shared" si="10"/>
      </c>
    </row>
    <row r="22" spans="1:18" x14ac:dyDescent="0.3">
      <c r="A22" s="87">
        <v>16</v>
      </c>
      <c r="B22" s="88">
        <f>IF(Setup!$B$10="","",EOMONTH(Setup!$B$10,A22-1))</f>
      </c>
      <c r="C22" s="79"/>
      <c r="D22" s="79"/>
      <c r="E22" s="79"/>
      <c r="F22" s="89">
        <f t="shared" si="0"/>
      </c>
      <c r="G22" s="89">
        <f t="shared" si="1"/>
      </c>
      <c r="H22" s="90">
        <f t="shared" si="2"/>
      </c>
      <c r="I22" s="90">
        <f t="shared" si="3"/>
      </c>
      <c r="J22" s="90">
        <f t="shared" si="4"/>
      </c>
      <c r="K22" s="90">
        <f t="shared" si="5"/>
      </c>
      <c r="L22" s="91">
        <f t="shared" si="6"/>
      </c>
      <c r="M22" s="90">
        <f t="shared" si="11"/>
      </c>
      <c r="N22" s="92">
        <f>IF(OR(Setup!$B$9="",A22&lt;Setup!$B$9),"",IF(A22=Setup!$B$9,E22,IF(OR(C22="",Results!$B$9="",Results!$B$9=0),"",Results!$B$8+MAX(0,C22-Results!$B$7)/Results!$B$9)))</f>
      </c>
      <c r="O22" s="93">
        <f t="shared" si="7"/>
      </c>
      <c r="P22" s="93">
        <f t="shared" si="8"/>
      </c>
      <c r="Q22" s="93">
        <f t="shared" si="9"/>
      </c>
      <c r="R22" s="94">
        <f t="shared" si="10"/>
      </c>
    </row>
    <row r="23" spans="1:18" x14ac:dyDescent="0.3">
      <c r="A23" s="87">
        <v>17</v>
      </c>
      <c r="B23" s="88">
        <f>IF(Setup!$B$10="","",EOMONTH(Setup!$B$10,A23-1))</f>
      </c>
      <c r="C23" s="79"/>
      <c r="D23" s="79"/>
      <c r="E23" s="79"/>
      <c r="F23" s="89">
        <f t="shared" si="0"/>
      </c>
      <c r="G23" s="89">
        <f t="shared" si="1"/>
      </c>
      <c r="H23" s="90">
        <f t="shared" si="2"/>
      </c>
      <c r="I23" s="90">
        <f t="shared" si="3"/>
      </c>
      <c r="J23" s="90">
        <f t="shared" si="4"/>
      </c>
      <c r="K23" s="90">
        <f t="shared" si="5"/>
      </c>
      <c r="L23" s="91">
        <f t="shared" si="6"/>
      </c>
      <c r="M23" s="90">
        <f t="shared" si="11"/>
      </c>
      <c r="N23" s="92">
        <f>IF(OR(Setup!$B$9="",A23&lt;Setup!$B$9),"",IF(A23=Setup!$B$9,E23,IF(OR(C23="",Results!$B$9="",Results!$B$9=0),"",Results!$B$8+MAX(0,C23-Results!$B$7)/Results!$B$9)))</f>
      </c>
      <c r="O23" s="93">
        <f t="shared" si="7"/>
      </c>
      <c r="P23" s="93">
        <f t="shared" si="8"/>
      </c>
      <c r="Q23" s="93">
        <f t="shared" si="9"/>
      </c>
      <c r="R23" s="94">
        <f t="shared" si="10"/>
      </c>
    </row>
    <row r="24" spans="1:18" x14ac:dyDescent="0.3">
      <c r="A24" s="87">
        <v>18</v>
      </c>
      <c r="B24" s="88">
        <f>IF(Setup!$B$10="","",EOMONTH(Setup!$B$10,A24-1))</f>
      </c>
      <c r="C24" s="79"/>
      <c r="D24" s="79"/>
      <c r="E24" s="79"/>
      <c r="F24" s="89">
        <f t="shared" si="0"/>
      </c>
      <c r="G24" s="89">
        <f t="shared" si="1"/>
      </c>
      <c r="H24" s="90">
        <f t="shared" si="2"/>
      </c>
      <c r="I24" s="90">
        <f t="shared" si="3"/>
      </c>
      <c r="J24" s="90">
        <f t="shared" si="4"/>
      </c>
      <c r="K24" s="90">
        <f t="shared" si="5"/>
      </c>
      <c r="L24" s="91">
        <f t="shared" si="6"/>
      </c>
      <c r="M24" s="90">
        <f t="shared" si="11"/>
      </c>
      <c r="N24" s="92">
        <f>IF(OR(Setup!$B$9="",A24&lt;Setup!$B$9),"",IF(A24=Setup!$B$9,E24,IF(OR(C24="",Results!$B$9="",Results!$B$9=0),"",Results!$B$8+MAX(0,C24-Results!$B$7)/Results!$B$9)))</f>
      </c>
      <c r="O24" s="93">
        <f t="shared" si="7"/>
      </c>
      <c r="P24" s="93">
        <f t="shared" si="8"/>
      </c>
      <c r="Q24" s="93">
        <f t="shared" si="9"/>
      </c>
      <c r="R24" s="94">
        <f t="shared" si="10"/>
      </c>
    </row>
    <row r="25" spans="1:18" x14ac:dyDescent="0.3">
      <c r="A25" s="87">
        <v>19</v>
      </c>
      <c r="B25" s="88">
        <f>IF(Setup!$B$10="","",EOMONTH(Setup!$B$10,A25-1))</f>
      </c>
      <c r="C25" s="79"/>
      <c r="D25" s="79"/>
      <c r="E25" s="79"/>
      <c r="F25" s="89">
        <f t="shared" si="0"/>
      </c>
      <c r="G25" s="89">
        <f t="shared" si="1"/>
      </c>
      <c r="H25" s="90">
        <f t="shared" si="2"/>
      </c>
      <c r="I25" s="90">
        <f t="shared" si="3"/>
      </c>
      <c r="J25" s="90">
        <f t="shared" si="4"/>
      </c>
      <c r="K25" s="90">
        <f t="shared" si="5"/>
      </c>
      <c r="L25" s="91">
        <f t="shared" si="6"/>
      </c>
      <c r="M25" s="90">
        <f t="shared" si="11"/>
      </c>
      <c r="N25" s="92">
        <f>IF(OR(Setup!$B$9="",A25&lt;Setup!$B$9),"",IF(A25=Setup!$B$9,E25,IF(OR(C25="",Results!$B$9="",Results!$B$9=0),"",Results!$B$8+MAX(0,C25-Results!$B$7)/Results!$B$9)))</f>
      </c>
      <c r="O25" s="93">
        <f t="shared" si="7"/>
      </c>
      <c r="P25" s="93">
        <f t="shared" si="8"/>
      </c>
      <c r="Q25" s="93">
        <f t="shared" si="9"/>
      </c>
      <c r="R25" s="94">
        <f t="shared" si="10"/>
      </c>
    </row>
    <row r="26" spans="1:18" x14ac:dyDescent="0.3">
      <c r="A26" s="87">
        <v>20</v>
      </c>
      <c r="B26" s="88">
        <f>IF(Setup!$B$10="","",EOMONTH(Setup!$B$10,A26-1))</f>
      </c>
      <c r="C26" s="79"/>
      <c r="D26" s="79"/>
      <c r="E26" s="79"/>
      <c r="F26" s="89">
        <f t="shared" si="0"/>
      </c>
      <c r="G26" s="89">
        <f t="shared" si="1"/>
      </c>
      <c r="H26" s="90">
        <f t="shared" si="2"/>
      </c>
      <c r="I26" s="90">
        <f t="shared" si="3"/>
      </c>
      <c r="J26" s="90">
        <f t="shared" si="4"/>
      </c>
      <c r="K26" s="90">
        <f t="shared" si="5"/>
      </c>
      <c r="L26" s="91">
        <f t="shared" si="6"/>
      </c>
      <c r="M26" s="90">
        <f t="shared" si="11"/>
      </c>
      <c r="N26" s="92">
        <f>IF(OR(Setup!$B$9="",A26&lt;Setup!$B$9),"",IF(A26=Setup!$B$9,E26,IF(OR(C26="",Results!$B$9="",Results!$B$9=0),"",Results!$B$8+MAX(0,C26-Results!$B$7)/Results!$B$9)))</f>
      </c>
      <c r="O26" s="93">
        <f t="shared" si="7"/>
      </c>
      <c r="P26" s="93">
        <f t="shared" si="8"/>
      </c>
      <c r="Q26" s="93">
        <f t="shared" si="9"/>
      </c>
      <c r="R26" s="94">
        <f t="shared" si="10"/>
      </c>
    </row>
    <row r="27" spans="1:18" x14ac:dyDescent="0.3">
      <c r="A27" s="87">
        <v>21</v>
      </c>
      <c r="B27" s="88">
        <f>IF(Setup!$B$10="","",EOMONTH(Setup!$B$10,A27-1))</f>
      </c>
      <c r="C27" s="79"/>
      <c r="D27" s="79"/>
      <c r="E27" s="79"/>
      <c r="F27" s="89">
        <f t="shared" si="0"/>
      </c>
      <c r="G27" s="89">
        <f t="shared" si="1"/>
      </c>
      <c r="H27" s="90">
        <f t="shared" si="2"/>
      </c>
      <c r="I27" s="90">
        <f t="shared" si="3"/>
      </c>
      <c r="J27" s="90">
        <f t="shared" si="4"/>
      </c>
      <c r="K27" s="90">
        <f t="shared" si="5"/>
      </c>
      <c r="L27" s="91">
        <f t="shared" si="6"/>
      </c>
      <c r="M27" s="90">
        <f t="shared" si="11"/>
      </c>
      <c r="N27" s="92">
        <f>IF(OR(Setup!$B$9="",A27&lt;Setup!$B$9),"",IF(A27=Setup!$B$9,E27,IF(OR(C27="",Results!$B$9="",Results!$B$9=0),"",Results!$B$8+MAX(0,C27-Results!$B$7)/Results!$B$9)))</f>
      </c>
      <c r="O27" s="93">
        <f t="shared" si="7"/>
      </c>
      <c r="P27" s="93">
        <f t="shared" si="8"/>
      </c>
      <c r="Q27" s="93">
        <f t="shared" si="9"/>
      </c>
      <c r="R27" s="94">
        <f t="shared" si="10"/>
      </c>
    </row>
    <row r="28" spans="1:18" x14ac:dyDescent="0.3">
      <c r="A28" s="87">
        <v>22</v>
      </c>
      <c r="B28" s="88">
        <f>IF(Setup!$B$10="","",EOMONTH(Setup!$B$10,A28-1))</f>
      </c>
      <c r="C28" s="79"/>
      <c r="D28" s="79"/>
      <c r="E28" s="79"/>
      <c r="F28" s="89">
        <f t="shared" si="0"/>
      </c>
      <c r="G28" s="89">
        <f t="shared" si="1"/>
      </c>
      <c r="H28" s="90">
        <f t="shared" si="2"/>
      </c>
      <c r="I28" s="90">
        <f t="shared" si="3"/>
      </c>
      <c r="J28" s="90">
        <f t="shared" si="4"/>
      </c>
      <c r="K28" s="90">
        <f t="shared" si="5"/>
      </c>
      <c r="L28" s="91">
        <f t="shared" si="6"/>
      </c>
      <c r="M28" s="90">
        <f t="shared" si="11"/>
      </c>
      <c r="N28" s="92">
        <f>IF(OR(Setup!$B$9="",A28&lt;Setup!$B$9),"",IF(A28=Setup!$B$9,E28,IF(OR(C28="",Results!$B$9="",Results!$B$9=0),"",Results!$B$8+MAX(0,C28-Results!$B$7)/Results!$B$9)))</f>
      </c>
      <c r="O28" s="93">
        <f t="shared" si="7"/>
      </c>
      <c r="P28" s="93">
        <f t="shared" si="8"/>
      </c>
      <c r="Q28" s="93">
        <f t="shared" si="9"/>
      </c>
      <c r="R28" s="94">
        <f t="shared" si="10"/>
      </c>
    </row>
    <row r="29" spans="1:18" x14ac:dyDescent="0.3">
      <c r="A29" s="87">
        <v>23</v>
      </c>
      <c r="B29" s="88">
        <f>IF(Setup!$B$10="","",EOMONTH(Setup!$B$10,A29-1))</f>
      </c>
      <c r="C29" s="79"/>
      <c r="D29" s="79"/>
      <c r="E29" s="79"/>
      <c r="F29" s="89">
        <f t="shared" si="0"/>
      </c>
      <c r="G29" s="89">
        <f t="shared" si="1"/>
      </c>
      <c r="H29" s="90">
        <f t="shared" si="2"/>
      </c>
      <c r="I29" s="90">
        <f t="shared" si="3"/>
      </c>
      <c r="J29" s="90">
        <f t="shared" si="4"/>
      </c>
      <c r="K29" s="90">
        <f t="shared" si="5"/>
      </c>
      <c r="L29" s="91">
        <f t="shared" si="6"/>
      </c>
      <c r="M29" s="90">
        <f t="shared" si="11"/>
      </c>
      <c r="N29" s="92">
        <f>IF(OR(Setup!$B$9="",A29&lt;Setup!$B$9),"",IF(A29=Setup!$B$9,E29,IF(OR(C29="",Results!$B$9="",Results!$B$9=0),"",Results!$B$8+MAX(0,C29-Results!$B$7)/Results!$B$9)))</f>
      </c>
      <c r="O29" s="93">
        <f t="shared" si="7"/>
      </c>
      <c r="P29" s="93">
        <f t="shared" si="8"/>
      </c>
      <c r="Q29" s="93">
        <f t="shared" si="9"/>
      </c>
      <c r="R29" s="94">
        <f t="shared" si="10"/>
      </c>
    </row>
    <row r="30" spans="1:18" x14ac:dyDescent="0.3">
      <c r="A30" s="87">
        <v>24</v>
      </c>
      <c r="B30" s="88">
        <f>IF(Setup!$B$10="","",EOMONTH(Setup!$B$10,A30-1))</f>
      </c>
      <c r="C30" s="79"/>
      <c r="D30" s="79"/>
      <c r="E30" s="79"/>
      <c r="F30" s="89">
        <f t="shared" si="0"/>
      </c>
      <c r="G30" s="89">
        <f t="shared" si="1"/>
      </c>
      <c r="H30" s="90">
        <f t="shared" si="2"/>
      </c>
      <c r="I30" s="90">
        <f t="shared" si="3"/>
      </c>
      <c r="J30" s="90">
        <f t="shared" si="4"/>
      </c>
      <c r="K30" s="90">
        <f t="shared" si="5"/>
      </c>
      <c r="L30" s="91">
        <f t="shared" si="6"/>
      </c>
      <c r="M30" s="90">
        <f t="shared" si="11"/>
      </c>
      <c r="N30" s="92">
        <f>IF(OR(Setup!$B$9="",A30&lt;Setup!$B$9),"",IF(A30=Setup!$B$9,E30,IF(OR(C30="",Results!$B$9="",Results!$B$9=0),"",Results!$B$8+MAX(0,C30-Results!$B$7)/Results!$B$9)))</f>
      </c>
      <c r="O30" s="93">
        <f t="shared" si="7"/>
      </c>
      <c r="P30" s="93">
        <f t="shared" si="8"/>
      </c>
      <c r="Q30" s="93">
        <f t="shared" si="9"/>
      </c>
      <c r="R30" s="94">
        <f t="shared" si="10"/>
      </c>
    </row>
    <row r="32" spans="1:18" x14ac:dyDescent="0.3">
      <c r="A32" s="71" t="s">
        <v>112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F7:G30">
    <cfRule type="cellIs" dxfId="14" priority="10" operator="lessThan">
      <formula>0</formula>
    </cfRule>
  </conditionalFormatting>
  <conditionalFormatting sqref="H7:I30">
    <cfRule type="cellIs" dxfId="13" priority="2" operator="lessThan">
      <formula>0.9</formula>
    </cfRule>
    <cfRule type="cellIs" dxfId="12" priority="3" operator="between">
      <formula>0.9</formula>
      <formula>0.999</formula>
    </cfRule>
  </conditionalFormatting>
  <conditionalFormatting sqref="K7:K30">
    <cfRule type="cellIs" dxfId="11" priority="6" operator="lessThan">
      <formula>0.9</formula>
    </cfRule>
    <cfRule type="cellIs" dxfId="10" priority="7" operator="between">
      <formula>0.9</formula>
      <formula>0.999</formula>
    </cfRule>
  </conditionalFormatting>
  <conditionalFormatting sqref="M7:M30">
    <cfRule type="cellIs" dxfId="9" priority="8" operator="lessThan">
      <formula>0.9</formula>
    </cfRule>
    <cfRule type="cellIs" dxfId="8" priority="9" operator="between">
      <formula>0.9</formula>
      <formula>0.999</formula>
    </cfRule>
  </conditionalFormatting>
  <conditionalFormatting sqref="O7:R30">
    <cfRule type="expression" dxfId="7" priority="12">
      <formula>ISNA(O7)</formula>
    </cfRule>
  </conditionalFormatting>
  <printOptions horizontalCentered="1"/>
  <pageMargins left="0.4" right="0.4" top="0.5" bottom="0.5" header="0.5" footer="0.5"/>
  <pageSetup paperSize="9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$A7=Setup!$B$9</xm:f>
            <x14:dxf>
              <font>
                <b/>
                <name val="Arial"/>
              </font>
              <fill>
                <patternFill patternType="solid">
                  <fgColor rgb="FFCCFBF1"/>
                </patternFill>
              </fill>
            </x14:dxf>
          </x14:cfRule>
          <xm:sqref>A7:N30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  <pageSetUpPr fitToPage="1"/>
  </sheetPr>
  <dimension ref="A1:D45"/>
  <sheetViews>
    <sheetView showGridLines="0" workbookViewId="0"/>
  </sheetViews>
  <sheetFormatPr defaultRowHeight="14.4" x14ac:dyDescent="0.3"/>
  <cols>
    <col min="1" max="1" width="50" style="2" customWidth="1"/>
    <col min="2" max="2" width="18" style="2" customWidth="1"/>
    <col min="3" max="3" width="4" style="2" customWidth="1"/>
    <col min="4" max="4" width="70" style="2" customWidth="1"/>
    <col min="5" max="16384" width="8.88671875" style="2"/>
  </cols>
  <sheetData>
    <row r="1" spans="1:4" ht="28.05" customHeight="1" x14ac:dyDescent="0.4">
      <c r="A1" s="73" t="s">
        <v>44</v>
      </c>
      <c r="D1" s="83" t="s">
        <v>56</v>
      </c>
    </row>
    <row r="2" spans="1:4" x14ac:dyDescent="0.3">
      <c r="A2" s="74" t="s">
        <v>113</v>
      </c>
    </row>
    <row r="3" spans="1:4" x14ac:dyDescent="0.3">
      <c r="A3" s="75" t="s">
        <v>114</v>
      </c>
    </row>
    <row r="4" spans="1:4" x14ac:dyDescent="0.3">
      <c r="A4" s="84"/>
      <c r="B4" s="84"/>
      <c r="C4" s="84"/>
      <c r="D4" s="84"/>
    </row>
    <row r="5" spans="1:4" x14ac:dyDescent="0.3">
      <c r="A5" s="63" t="s">
        <v>115</v>
      </c>
    </row>
    <row r="6" spans="1:4" x14ac:dyDescent="0.3">
      <c r="A6" s="21" t="s">
        <v>116</v>
      </c>
      <c r="B6" s="95">
        <f>IF(NOT(AND(Setup!$B$9&lt;&gt;"",ISNUMBER(INDEX(Monthly!$D$7:$D$30,Setup!$B$9)),ISNUMBER(INDEX(Monthly!$E$7:$E$30,Setup!$B$9)),ISNUMBER(INDEX(Monthly!$C$7:$C$30,Setup!$B$9)))),"",INDEX(Monthly!$C$7:$C$30,Setup!$B$9))</f>
      </c>
      <c r="D6" s="30" t="s">
        <v>117</v>
      </c>
    </row>
    <row r="7" spans="1:4" x14ac:dyDescent="0.3">
      <c r="A7" s="21" t="s">
        <v>118</v>
      </c>
      <c r="B7" s="95">
        <f>IF(NOT(AND(Setup!$B$9&lt;&gt;"",ISNUMBER(INDEX(Monthly!$D$7:$D$30,Setup!$B$9)),ISNUMBER(INDEX(Monthly!$E$7:$E$30,Setup!$B$9)),ISNUMBER(INDEX(Monthly!$C$7:$C$30,Setup!$B$9)))),"",INDEX(Monthly!$D$7:$D$30,Setup!$B$9))</f>
      </c>
      <c r="D7" s="30" t="s">
        <v>119</v>
      </c>
    </row>
    <row r="8" spans="1:4" x14ac:dyDescent="0.3">
      <c r="A8" s="21" t="s">
        <v>120</v>
      </c>
      <c r="B8" s="95">
        <f>IF(NOT(AND(Setup!$B$9&lt;&gt;"",ISNUMBER(INDEX(Monthly!$D$7:$D$30,Setup!$B$9)),ISNUMBER(INDEX(Monthly!$E$7:$E$30,Setup!$B$9)),ISNUMBER(INDEX(Monthly!$C$7:$C$30,Setup!$B$9)))),"",INDEX(Monthly!$E$7:$E$30,Setup!$B$9))</f>
      </c>
      <c r="D8" s="30" t="s">
        <v>121</v>
      </c>
    </row>
    <row r="9" spans="1:4" x14ac:dyDescent="0.3">
      <c r="A9" s="77" t="s">
        <v>122</v>
      </c>
      <c r="B9" s="96">
        <f>IF(NOT(AND(Setup!$B$9&lt;&gt;"",ISNUMBER(INDEX(Monthly!$D$7:$D$30,Setup!$B$9)),ISNUMBER(INDEX(Monthly!$E$7:$E$30,Setup!$B$9)),ISNUMBER(INDEX(Monthly!$C$7:$C$30,Setup!$B$9)))),"",B7/B8)</f>
      </c>
      <c r="D9" s="30" t="s">
        <v>123</v>
      </c>
    </row>
    <row r="10" spans="1:4" x14ac:dyDescent="0.3">
      <c r="A10" s="21" t="s">
        <v>124</v>
      </c>
      <c r="B10" s="97">
        <f>IF(NOT(AND(Setup!$B$9&lt;&gt;"",ISNUMBER(INDEX(Monthly!$D$7:$D$30,Setup!$B$9)),ISNUMBER(INDEX(Monthly!$E$7:$E$30,Setup!$B$9)),ISNUMBER(INDEX(Monthly!$C$7:$C$30,Setup!$B$9)))),"",B7/B6)</f>
      </c>
      <c r="D10" s="30" t="s">
        <v>125</v>
      </c>
    </row>
    <row r="11" spans="1:4" x14ac:dyDescent="0.3">
      <c r="A11" s="21" t="s">
        <v>126</v>
      </c>
      <c r="B11" s="95">
        <f>IF(NOT(AND(Setup!$B$9&lt;&gt;"",ISNUMBER(INDEX(Monthly!$D$7:$D$30,Setup!$B$9)),ISNUMBER(INDEX(Monthly!$E$7:$E$30,Setup!$B$9)),ISNUMBER(INDEX(Monthly!$C$7:$C$30,Setup!$B$9)))),"",B7-B8)</f>
      </c>
      <c r="D11" s="30" t="s">
        <v>127</v>
      </c>
    </row>
    <row r="12" spans="1:4" x14ac:dyDescent="0.3">
      <c r="A12" s="21" t="s">
        <v>128</v>
      </c>
      <c r="B12" s="95">
        <f>IF(NOT(AND(Setup!$B$9&lt;&gt;"",ISNUMBER(INDEX(Monthly!$D$7:$D$30,Setup!$B$9)),ISNUMBER(INDEX(Monthly!$E$7:$E$30,Setup!$B$9)),ISNUMBER(INDEX(Monthly!$C$7:$C$30,Setup!$B$9)))),"",B7-B6)</f>
      </c>
      <c r="D12" s="30" t="s">
        <v>129</v>
      </c>
    </row>
    <row r="13" spans="1:4" x14ac:dyDescent="0.3">
      <c r="A13" s="63" t="s">
        <v>130</v>
      </c>
    </row>
    <row r="14" spans="1:4" x14ac:dyDescent="0.3">
      <c r="A14" s="21" t="s">
        <v>84</v>
      </c>
      <c r="B14" s="95">
        <f>Setup!B7</f>
      </c>
      <c r="D14" s="30" t="s">
        <v>131</v>
      </c>
    </row>
    <row r="15" spans="1:4" x14ac:dyDescent="0.3">
      <c r="A15" s="77" t="s">
        <v>132</v>
      </c>
      <c r="B15" s="98">
        <f>IF(NOT(AND(Setup!$B$9&lt;&gt;"",ISNUMBER(INDEX(Monthly!$D$7:$D$30,Setup!$B$9)),ISNUMBER(INDEX(Monthly!$E$7:$E$30,Setup!$B$9)),ISNUMBER(INDEX(Monthly!$C$7:$C$30,Setup!$B$9)))),"",IF(B9=0,"",B14/B9))</f>
      </c>
      <c r="D15" s="30" t="s">
        <v>133</v>
      </c>
    </row>
    <row r="16" spans="1:4" x14ac:dyDescent="0.3">
      <c r="A16" s="77" t="s">
        <v>134</v>
      </c>
      <c r="B16" s="98">
        <f>IF(NOT(AND(Setup!$B$9&lt;&gt;"",ISNUMBER(INDEX(Monthly!$D$7:$D$30,Setup!$B$9)),ISNUMBER(INDEX(Monthly!$E$7:$E$30,Setup!$B$9)),ISNUMBER(INDEX(Monthly!$C$7:$C$30,Setup!$B$9)))),"",IF(B15="","",B14-B15))</f>
      </c>
      <c r="D16" s="30" t="s">
        <v>135</v>
      </c>
    </row>
    <row r="17" spans="1:4" x14ac:dyDescent="0.3">
      <c r="A17" s="21" t="s">
        <v>136</v>
      </c>
      <c r="B17" s="95">
        <f>IF(NOT(AND(Setup!$B$9&lt;&gt;"",ISNUMBER(INDEX(Monthly!$D$7:$D$30,Setup!$B$9)),ISNUMBER(INDEX(Monthly!$E$7:$E$30,Setup!$B$9)),ISNUMBER(INDEX(Monthly!$C$7:$C$30,Setup!$B$9)))),"",IF(B15="","",B15-B8))</f>
      </c>
      <c r="D17" s="30" t="s">
        <v>137</v>
      </c>
    </row>
    <row r="18" spans="1:4" x14ac:dyDescent="0.3">
      <c r="A18" s="77" t="s">
        <v>138</v>
      </c>
      <c r="B18" s="96">
        <f>IF(NOT(AND(Setup!$B$9&lt;&gt;"",ISNUMBER(INDEX(Monthly!$D$7:$D$30,Setup!$B$9)),ISNUMBER(INDEX(Monthly!$E$7:$E$30,Setup!$B$9)),ISNUMBER(INDEX(Monthly!$C$7:$C$30,Setup!$B$9)))),"",IF(B14=B8,"",(B14-B7)/(B14-B8)))</f>
      </c>
      <c r="D18" s="30" t="s">
        <v>139</v>
      </c>
    </row>
    <row r="19" spans="1:4" x14ac:dyDescent="0.3">
      <c r="A19" s="21" t="s">
        <v>140</v>
      </c>
      <c r="B19" s="99">
        <f>IF(NOT(AND(Setup!$B$9&lt;&gt;"",ISNUMBER(INDEX(Monthly!$D$7:$D$30,Setup!$B$9)),ISNUMBER(INDEX(Monthly!$E$7:$E$30,Setup!$B$9)),ISNUMBER(INDEX(Monthly!$C$7:$C$30,Setup!$B$9)))),"",IF(OR(B18="",B9=""),"",B18/B9-1))</f>
      </c>
      <c r="D19" s="30" t="s">
        <v>141</v>
      </c>
    </row>
    <row r="20" spans="1:4" x14ac:dyDescent="0.3">
      <c r="A20" s="21" t="s">
        <v>142</v>
      </c>
      <c r="B20" s="97">
        <f ca="1">IF(Setup!$B$9="","",MAX(OFFSET(Monthly!$M$7,0,0,Setup!$B$9,1)))</f>
      </c>
      <c r="D20" s="30" t="s">
        <v>143</v>
      </c>
    </row>
    <row r="21" spans="1:4" x14ac:dyDescent="0.3">
      <c r="A21" s="77" t="s">
        <v>144</v>
      </c>
      <c r="B21" s="100">
        <f ca="1">IF(NOT(AND(Setup!$B$9&lt;&gt;"",ISNUMBER(INDEX(Monthly!$D$7:$D$30,Setup!$B$9)),ISNUMBER(INDEX(Monthly!$E$7:$E$30,Setup!$B$9)),ISNUMBER(INDEX(Monthly!$C$7:$C$30,Setup!$B$9)))),"",IF(B18&gt;B20,"TCPI beats the best month ever: a hope, not a recovery plan.",IF(B18&gt;1,"Recovery needs better than budget performance. Test it.","The budget is still within reach.")))</f>
      </c>
      <c r="C21" s="101"/>
      <c r="D21" s="102"/>
    </row>
    <row r="22" spans="1:4" x14ac:dyDescent="0.3">
      <c r="A22" s="63" t="s">
        <v>145</v>
      </c>
    </row>
    <row r="23" spans="1:4" x14ac:dyDescent="0.3">
      <c r="A23" s="77" t="s">
        <v>146</v>
      </c>
      <c r="B23" s="96">
        <f>IF(NOT(AND(Setup!$B$9&lt;&gt;"",ISNUMBER(INDEX(Monthly!$D$7:$D$30,Setup!$B$9)),ISNUMBER(INDEX(Monthly!$E$7:$E$30,Setup!$B$9)),ISNUMBER(INDEX(Monthly!$C$7:$C$30,Setup!$B$9)))),"",INDEX(Monthly!$J$7:$J$30,Setup!$B$9))</f>
      </c>
      <c r="D23" s="30" t="s">
        <v>147</v>
      </c>
    </row>
    <row r="24" spans="1:4" x14ac:dyDescent="0.3">
      <c r="A24" s="21" t="s">
        <v>148</v>
      </c>
      <c r="B24" s="103">
        <f>Setup!B9</f>
      </c>
      <c r="D24" s="30" t="s">
        <v>32</v>
      </c>
    </row>
    <row r="25" spans="1:4" x14ac:dyDescent="0.3">
      <c r="A25" s="77" t="s">
        <v>149</v>
      </c>
      <c r="B25" s="96">
        <f>IF(NOT(AND(Setup!$B$9&lt;&gt;"",ISNUMBER(INDEX(Monthly!$D$7:$D$30,Setup!$B$9)),ISNUMBER(INDEX(Monthly!$E$7:$E$30,Setup!$B$9)),ISNUMBER(INDEX(Monthly!$C$7:$C$30,Setup!$B$9)))),"",IF(B24=0,"",B23/B24))</f>
      </c>
      <c r="D25" s="30" t="s">
        <v>150</v>
      </c>
    </row>
    <row r="26" spans="1:4" x14ac:dyDescent="0.3">
      <c r="A26" s="77" t="s">
        <v>151</v>
      </c>
      <c r="B26" s="104">
        <f>IF(NOT(AND(Setup!$B$9&lt;&gt;"",ISNUMBER(INDEX(Monthly!$D$7:$D$30,Setup!$B$9)),ISNUMBER(INDEX(Monthly!$E$7:$E$30,Setup!$B$9)),ISNUMBER(INDEX(Monthly!$C$7:$C$30,Setup!$B$9)))),"",B24-B23)</f>
      </c>
      <c r="D26" s="30" t="s">
        <v>152</v>
      </c>
    </row>
    <row r="27" spans="1:4" x14ac:dyDescent="0.3">
      <c r="A27" s="21" t="s">
        <v>153</v>
      </c>
      <c r="B27" s="105">
        <f>IF(NOT(AND(Setup!$B$9&lt;&gt;"",ISNUMBER(INDEX(Monthly!$D$7:$D$30,Setup!$B$9)),ISNUMBER(INDEX(Monthly!$E$7:$E$30,Setup!$B$9)),ISNUMBER(INDEX(Monthly!$C$7:$C$30,Setup!$B$9)))),"",IF(OR(B25="",B25=0,Setup!B8=""),"",Setup!B8/B25))</f>
      </c>
      <c r="D27" s="30" t="s">
        <v>154</v>
      </c>
    </row>
    <row r="28" spans="1:4" x14ac:dyDescent="0.3">
      <c r="A28" s="21" t="s">
        <v>155</v>
      </c>
      <c r="B28" s="106">
        <f>IF(NOT(AND(Setup!$B$9&lt;&gt;"",ISNUMBER(INDEX(Monthly!$D$7:$D$30,Setup!$B$9)),ISNUMBER(INDEX(Monthly!$E$7:$E$30,Setup!$B$9)),ISNUMBER(INDEX(Monthly!$C$7:$C$30,Setup!$B$9)))),"",IF(OR(B27="",Setup!B10=""),"",EOMONTH(Setup!B10,ROUNDUP(B27,0)-1)))</f>
      </c>
      <c r="D28" s="30" t="s">
        <v>156</v>
      </c>
    </row>
    <row r="31" spans="1:4" x14ac:dyDescent="0.3">
      <c r="A31" s="63" t="s">
        <v>157</v>
      </c>
    </row>
    <row r="32" spans="1:4" x14ac:dyDescent="0.3">
      <c r="A32" s="107" t="s">
        <v>158</v>
      </c>
      <c r="B32" s="107" t="s">
        <v>159</v>
      </c>
      <c r="C32" s="107"/>
      <c r="D32" s="107" t="s">
        <v>160</v>
      </c>
    </row>
    <row r="33" spans="1:4" x14ac:dyDescent="0.3">
      <c r="A33" s="77" t="s">
        <v>161</v>
      </c>
      <c r="B33" s="108">
        <f>IF(NOT(AND(Setup!$B$9&lt;&gt;"",ISNUMBER(INDEX(Monthly!$D$7:$D$30,Setup!$B$9)),ISNUMBER(INDEX(Monthly!$E$7:$E$30,Setup!$B$9)),ISNUMBER(INDEX(Monthly!$C$7:$C$30,Setup!$B$9)))),"",B15)</f>
      </c>
      <c r="D33" s="30" t="s">
        <v>162</v>
      </c>
    </row>
    <row r="34" spans="1:4" x14ac:dyDescent="0.3">
      <c r="A34" s="77" t="s">
        <v>163</v>
      </c>
      <c r="B34" s="108">
        <f>IF(NOT(AND(Setup!$B$9&lt;&gt;"",ISNUMBER(INDEX(Monthly!$D$7:$D$30,Setup!$B$9)),ISNUMBER(INDEX(Monthly!$E$7:$E$30,Setup!$B$9)),ISNUMBER(INDEX(Monthly!$C$7:$C$30,Setup!$B$9)))),"",B8+(B14-B7))</f>
      </c>
      <c r="D34" s="30" t="s">
        <v>164</v>
      </c>
    </row>
    <row r="35" spans="1:4" x14ac:dyDescent="0.3">
      <c r="A35" s="77" t="s">
        <v>165</v>
      </c>
      <c r="B35" s="108">
        <f>IF(NOT(AND(Setup!$B$9&lt;&gt;"",ISNUMBER(INDEX(Monthly!$D$7:$D$30,Setup!$B$9)),ISNUMBER(INDEX(Monthly!$E$7:$E$30,Setup!$B$9)),ISNUMBER(INDEX(Monthly!$C$7:$C$30,Setup!$B$9)))),"",IF(B9*B10=0,"",B8+(B14-B7)/(B9*B10)))</f>
      </c>
      <c r="D35" s="30" t="s">
        <v>166</v>
      </c>
    </row>
    <row r="36" spans="1:4" x14ac:dyDescent="0.3">
      <c r="A36" s="77" t="s">
        <v>167</v>
      </c>
      <c r="B36" s="108">
        <f>IF(OR(B8="",B37=""),"",B8+B37)</f>
      </c>
      <c r="D36" s="30" t="s">
        <v>168</v>
      </c>
    </row>
    <row r="37" spans="1:4" x14ac:dyDescent="0.3">
      <c r="A37" s="21" t="s">
        <v>169</v>
      </c>
      <c r="B37" s="79"/>
      <c r="D37" s="30" t="s">
        <v>170</v>
      </c>
    </row>
    <row r="40" spans="1:4" x14ac:dyDescent="0.3">
      <c r="A40" s="63" t="s">
        <v>171</v>
      </c>
    </row>
    <row r="41" spans="1:4" ht="22.05" customHeight="1" x14ac:dyDescent="0.3">
      <c r="A41" s="109">
        <f ca="1">IF(NOT(AND(Setup!$B$9&lt;&gt;"",ISNUMBER(INDEX(Monthly!$D$7:$D$30,Setup!$B$9)),ISNUMBER(INDEX(Monthly!$E$7:$E$30,Setup!$B$9)),ISNUMBER(INDEX(Monthly!$C$7:$C$30,Setup!$B$9)))),"","Every dollar spent so far bought "&amp;TEXT(B9*100,"0")&amp;" cents of work. If nothing changes, the job finishes at "&amp;TEXT(B15,"$#,##0")&amp;", "&amp;TEXT(-B16,"$#,##0")&amp;" over budget, with "&amp;TEXT(B17,"$#,##0")&amp;" still to pay. To hit the budget, every remaining dollar must buy "&amp;TEXT(B18,"0.00")&amp;" of work; the best month so far bought "&amp;TEXT(B20,"0.00")&amp;". The job is "&amp;TEXT(B26,"0.0")&amp;" month(s) behind: "&amp;TEXT(B23,"0.0")&amp;" months of plan earned in "&amp;B24&amp;" months of calendar.")</f>
      </c>
      <c r="B41" s="29"/>
      <c r="C41" s="29"/>
      <c r="D41" s="29"/>
    </row>
    <row r="42" spans="1:4" ht="22.05" customHeight="1" x14ac:dyDescent="0.3">
      <c r="A42" s="29"/>
      <c r="B42" s="29"/>
      <c r="C42" s="29"/>
      <c r="D42" s="29"/>
    </row>
    <row r="43" spans="1:4" ht="22.05" customHeight="1" x14ac:dyDescent="0.3">
      <c r="A43" s="29"/>
      <c r="B43" s="29"/>
      <c r="C43" s="29"/>
      <c r="D43" s="29"/>
    </row>
    <row r="45" spans="1:4" x14ac:dyDescent="0.3">
      <c r="A45" s="71" t="s">
        <v>172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41:D43"/>
    <mergeCell ref="B21:D21"/>
  </mergeCells>
  <conditionalFormatting sqref="B9">
    <cfRule type="cellIs" dxfId="6" priority="1" operator="lessThan">
      <formula>0.9</formula>
    </cfRule>
  </conditionalFormatting>
  <conditionalFormatting sqref="B16">
    <cfRule type="cellIs" dxfId="5" priority="3" operator="lessThan">
      <formula>0</formula>
    </cfRule>
  </conditionalFormatting>
  <conditionalFormatting sqref="B25">
    <cfRule type="cellIs" dxfId="4" priority="2" operator="lessThan">
      <formula>0.9</formula>
    </cfRule>
  </conditionalFormatting>
  <printOptions horizontalCentered="1"/>
  <pageMargins left="0.4" right="0.4" top="0.5" bottom="0.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B8A6"/>
    <pageSetUpPr fitToPage="1"/>
  </sheetPr>
  <dimension ref="A1:N3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E13" sqref="E13"/>
    </sheetView>
  </sheetViews>
  <sheetFormatPr defaultRowHeight="14.4" x14ac:dyDescent="0.3"/>
  <cols>
    <col min="1" max="1" width="30" style="2" customWidth="1"/>
    <col min="2" max="2" width="13" style="2" customWidth="1"/>
    <col min="3" max="3" width="16" style="2" customWidth="1"/>
    <col min="4" max="4" width="11" style="2" customWidth="1"/>
    <col min="5" max="5" width="12" style="2" customWidth="1"/>
    <col min="6" max="8" width="13" style="2" customWidth="1"/>
    <col min="9" max="10" width="12" style="2" customWidth="1"/>
    <col min="11" max="12" width="8" style="2" customWidth="1"/>
    <col min="13" max="13" width="16" style="2" customWidth="1"/>
    <col min="14" max="14" width="46" style="2" customWidth="1"/>
    <col min="15" max="16384" width="8.88671875" style="2"/>
  </cols>
  <sheetData>
    <row r="1" spans="1:14" ht="28.05" customHeight="1" x14ac:dyDescent="0.4">
      <c r="A1" s="73" t="s">
        <v>46</v>
      </c>
      <c r="N1" s="83" t="s">
        <v>56</v>
      </c>
    </row>
    <row r="2" spans="1:14" x14ac:dyDescent="0.3">
      <c r="A2" s="74" t="s">
        <v>173</v>
      </c>
    </row>
    <row r="3" spans="1:14" x14ac:dyDescent="0.3">
      <c r="A3" s="75" t="s">
        <v>174</v>
      </c>
    </row>
    <row r="4" spans="1:14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6" spans="1:14" ht="31.95" customHeight="1" x14ac:dyDescent="0.3">
      <c r="A6" s="86" t="s">
        <v>175</v>
      </c>
      <c r="B6" s="86" t="s">
        <v>176</v>
      </c>
      <c r="C6" s="86" t="s">
        <v>177</v>
      </c>
      <c r="D6" s="86" t="s">
        <v>178</v>
      </c>
      <c r="E6" s="86" t="s">
        <v>179</v>
      </c>
      <c r="F6" s="85" t="s">
        <v>180</v>
      </c>
      <c r="G6" s="85" t="s">
        <v>181</v>
      </c>
      <c r="H6" s="85" t="s">
        <v>182</v>
      </c>
      <c r="I6" s="85" t="s">
        <v>183</v>
      </c>
      <c r="J6" s="85" t="s">
        <v>184</v>
      </c>
      <c r="K6" s="85" t="s">
        <v>76</v>
      </c>
      <c r="L6" s="85" t="s">
        <v>77</v>
      </c>
      <c r="M6" s="85" t="s">
        <v>78</v>
      </c>
      <c r="N6" s="86" t="s">
        <v>185</v>
      </c>
    </row>
    <row r="7" spans="1:14" s="127" customFormat="1" x14ac:dyDescent="0.3">
      <c r="A7" s="120"/>
      <c r="B7" s="121"/>
      <c r="C7" s="122"/>
      <c r="D7" s="123"/>
      <c r="E7" s="123"/>
      <c r="F7" s="124">
        <f t="shared" ref="F7:F26" si="0">IF(OR(B7="",D7=""),"",B7*D7)</f>
      </c>
      <c r="G7" s="124">
        <f t="shared" ref="G7:G26" si="1">IF(OR(B7="",E7=""),"",B7*E7)</f>
      </c>
      <c r="H7" s="121"/>
      <c r="I7" s="124">
        <f t="shared" ref="I7:I26" si="2">IF(OR(G7="",H7=""),"",G7-H7)</f>
      </c>
      <c r="J7" s="124">
        <f t="shared" ref="J7:J26" si="3">IF(OR(G7="",F7=""),"",G7-F7)</f>
      </c>
      <c r="K7" s="125">
        <f t="shared" ref="K7:K26" si="4">IF(OR(G7="",H7="",H7=0),"",G7/H7)</f>
      </c>
      <c r="L7" s="125">
        <f t="shared" ref="L7:L26" si="5">IF(OR(G7="",F7="",F7=0),"",G7/F7)</f>
      </c>
      <c r="M7" s="126">
        <f t="shared" ref="M7:M26" si="6">IF(A7="","",IF(AND(K7&lt;&gt;"",K7&lt;0.9),"Losing money",IF(AND(L7&lt;&gt;"",L7&lt;0.9),"Behind",IF(AND(K7="",H7&gt;0),"Cost, no progress","—"))))</f>
      </c>
      <c r="N7" s="120"/>
    </row>
    <row r="8" spans="1:14" s="127" customFormat="1" ht="26.4" x14ac:dyDescent="0.3">
      <c r="A8" s="120"/>
      <c r="B8" s="121"/>
      <c r="C8" s="122"/>
      <c r="D8" s="123"/>
      <c r="E8" s="123"/>
      <c r="F8" s="124">
        <f t="shared" si="0"/>
      </c>
      <c r="G8" s="124">
        <f t="shared" si="1"/>
      </c>
      <c r="H8" s="121"/>
      <c r="I8" s="124">
        <f t="shared" si="2"/>
      </c>
      <c r="J8" s="124">
        <f t="shared" si="3"/>
      </c>
      <c r="K8" s="125">
        <f t="shared" si="4"/>
      </c>
      <c r="L8" s="125">
        <f t="shared" si="5"/>
      </c>
      <c r="M8" s="126">
        <f t="shared" si="6"/>
      </c>
      <c r="N8" s="120"/>
    </row>
    <row r="9" spans="1:14" s="127" customFormat="1" x14ac:dyDescent="0.3">
      <c r="A9" s="120"/>
      <c r="B9" s="121"/>
      <c r="C9" s="122"/>
      <c r="D9" s="123"/>
      <c r="E9" s="123"/>
      <c r="F9" s="124">
        <f t="shared" si="0"/>
      </c>
      <c r="G9" s="124">
        <f t="shared" si="1"/>
      </c>
      <c r="H9" s="121"/>
      <c r="I9" s="124">
        <f t="shared" si="2"/>
      </c>
      <c r="J9" s="124">
        <f t="shared" si="3"/>
      </c>
      <c r="K9" s="125">
        <f t="shared" si="4"/>
      </c>
      <c r="L9" s="125">
        <f t="shared" si="5"/>
      </c>
      <c r="M9" s="126">
        <f t="shared" si="6"/>
      </c>
      <c r="N9" s="120"/>
    </row>
    <row r="10" spans="1:14" s="127" customFormat="1" ht="26.4" x14ac:dyDescent="0.3">
      <c r="A10" s="120"/>
      <c r="B10" s="121"/>
      <c r="C10" s="122"/>
      <c r="D10" s="123"/>
      <c r="E10" s="123"/>
      <c r="F10" s="124">
        <f t="shared" si="0"/>
      </c>
      <c r="G10" s="124">
        <f t="shared" si="1"/>
      </c>
      <c r="H10" s="121"/>
      <c r="I10" s="124">
        <f t="shared" si="2"/>
      </c>
      <c r="J10" s="124">
        <f t="shared" si="3"/>
      </c>
      <c r="K10" s="125">
        <f t="shared" si="4"/>
      </c>
      <c r="L10" s="125">
        <f t="shared" si="5"/>
      </c>
      <c r="M10" s="126">
        <f t="shared" si="6"/>
      </c>
      <c r="N10" s="120"/>
    </row>
    <row r="11" spans="1:14" s="127" customFormat="1" x14ac:dyDescent="0.3">
      <c r="A11" s="120"/>
      <c r="B11" s="121"/>
      <c r="C11" s="122"/>
      <c r="D11" s="123"/>
      <c r="E11" s="123"/>
      <c r="F11" s="124">
        <f t="shared" si="0"/>
      </c>
      <c r="G11" s="124">
        <f t="shared" si="1"/>
      </c>
      <c r="H11" s="121"/>
      <c r="I11" s="124">
        <f t="shared" si="2"/>
      </c>
      <c r="J11" s="124">
        <f t="shared" si="3"/>
      </c>
      <c r="K11" s="125">
        <f t="shared" si="4"/>
      </c>
      <c r="L11" s="125">
        <f t="shared" si="5"/>
      </c>
      <c r="M11" s="126">
        <f t="shared" si="6"/>
      </c>
      <c r="N11" s="120"/>
    </row>
    <row r="12" spans="1:14" s="127" customFormat="1" x14ac:dyDescent="0.3">
      <c r="A12" s="120"/>
      <c r="B12" s="121"/>
      <c r="C12" s="122"/>
      <c r="D12" s="123"/>
      <c r="E12" s="123"/>
      <c r="F12" s="124">
        <f t="shared" si="0"/>
      </c>
      <c r="G12" s="124">
        <f t="shared" si="1"/>
      </c>
      <c r="H12" s="121"/>
      <c r="I12" s="124">
        <f t="shared" si="2"/>
      </c>
      <c r="J12" s="124">
        <f t="shared" si="3"/>
      </c>
      <c r="K12" s="125">
        <f t="shared" si="4"/>
      </c>
      <c r="L12" s="125">
        <f t="shared" si="5"/>
      </c>
      <c r="M12" s="126">
        <f t="shared" si="6"/>
      </c>
      <c r="N12" s="120"/>
    </row>
    <row r="13" spans="1:14" s="127" customFormat="1" ht="26.4" x14ac:dyDescent="0.3">
      <c r="A13" s="120"/>
      <c r="B13" s="121"/>
      <c r="C13" s="122"/>
      <c r="D13" s="123"/>
      <c r="E13" s="123"/>
      <c r="F13" s="124">
        <f t="shared" si="0"/>
      </c>
      <c r="G13" s="124">
        <f t="shared" si="1"/>
      </c>
      <c r="H13" s="121"/>
      <c r="I13" s="124">
        <f t="shared" si="2"/>
      </c>
      <c r="J13" s="124">
        <f t="shared" si="3"/>
      </c>
      <c r="K13" s="125">
        <f t="shared" si="4"/>
      </c>
      <c r="L13" s="125">
        <f t="shared" si="5"/>
      </c>
      <c r="M13" s="126">
        <f t="shared" si="6"/>
      </c>
      <c r="N13" s="120"/>
    </row>
    <row r="14" spans="1:14" s="127" customFormat="1" x14ac:dyDescent="0.3">
      <c r="A14" s="120"/>
      <c r="B14" s="121"/>
      <c r="C14" s="122"/>
      <c r="D14" s="123"/>
      <c r="E14" s="123"/>
      <c r="F14" s="124">
        <f t="shared" si="0"/>
      </c>
      <c r="G14" s="124">
        <f t="shared" si="1"/>
      </c>
      <c r="H14" s="121"/>
      <c r="I14" s="124">
        <f t="shared" si="2"/>
      </c>
      <c r="J14" s="124">
        <f t="shared" si="3"/>
      </c>
      <c r="K14" s="125">
        <f t="shared" si="4"/>
      </c>
      <c r="L14" s="125">
        <f t="shared" si="5"/>
      </c>
      <c r="M14" s="126">
        <f t="shared" si="6"/>
      </c>
      <c r="N14" s="120"/>
    </row>
    <row r="15" spans="1:14" x14ac:dyDescent="0.3">
      <c r="A15" s="110"/>
      <c r="B15" s="79"/>
      <c r="C15" s="78"/>
      <c r="D15" s="111"/>
      <c r="E15" s="111"/>
      <c r="F15" s="92">
        <f t="shared" si="0"/>
      </c>
      <c r="G15" s="92">
        <f t="shared" si="1"/>
      </c>
      <c r="H15" s="79"/>
      <c r="I15" s="92">
        <f t="shared" si="2"/>
      </c>
      <c r="J15" s="92">
        <f t="shared" si="3"/>
      </c>
      <c r="K15" s="90">
        <f t="shared" si="4"/>
      </c>
      <c r="L15" s="90">
        <f t="shared" si="5"/>
      </c>
      <c r="M15" s="112">
        <f t="shared" si="6"/>
      </c>
      <c r="N15" s="110"/>
    </row>
    <row r="16" spans="1:14" x14ac:dyDescent="0.3">
      <c r="A16" s="110"/>
      <c r="B16" s="79"/>
      <c r="C16" s="78"/>
      <c r="D16" s="111"/>
      <c r="E16" s="111"/>
      <c r="F16" s="92">
        <f t="shared" si="0"/>
      </c>
      <c r="G16" s="92">
        <f t="shared" si="1"/>
      </c>
      <c r="H16" s="79"/>
      <c r="I16" s="92">
        <f t="shared" si="2"/>
      </c>
      <c r="J16" s="92">
        <f t="shared" si="3"/>
      </c>
      <c r="K16" s="90">
        <f t="shared" si="4"/>
      </c>
      <c r="L16" s="90">
        <f t="shared" si="5"/>
      </c>
      <c r="M16" s="112">
        <f t="shared" si="6"/>
      </c>
      <c r="N16" s="110"/>
    </row>
    <row r="17" spans="1:14" x14ac:dyDescent="0.3">
      <c r="A17" s="110"/>
      <c r="B17" s="79"/>
      <c r="C17" s="78"/>
      <c r="D17" s="111"/>
      <c r="E17" s="111"/>
      <c r="F17" s="92">
        <f t="shared" si="0"/>
      </c>
      <c r="G17" s="92">
        <f t="shared" si="1"/>
      </c>
      <c r="H17" s="79"/>
      <c r="I17" s="92">
        <f t="shared" si="2"/>
      </c>
      <c r="J17" s="92">
        <f t="shared" si="3"/>
      </c>
      <c r="K17" s="90">
        <f t="shared" si="4"/>
      </c>
      <c r="L17" s="90">
        <f t="shared" si="5"/>
      </c>
      <c r="M17" s="112">
        <f t="shared" si="6"/>
      </c>
      <c r="N17" s="110"/>
    </row>
    <row r="18" spans="1:14" x14ac:dyDescent="0.3">
      <c r="A18" s="110"/>
      <c r="B18" s="79"/>
      <c r="C18" s="78"/>
      <c r="D18" s="111"/>
      <c r="E18" s="111"/>
      <c r="F18" s="92">
        <f t="shared" si="0"/>
      </c>
      <c r="G18" s="92">
        <f t="shared" si="1"/>
      </c>
      <c r="H18" s="79"/>
      <c r="I18" s="92">
        <f t="shared" si="2"/>
      </c>
      <c r="J18" s="92">
        <f t="shared" si="3"/>
      </c>
      <c r="K18" s="90">
        <f t="shared" si="4"/>
      </c>
      <c r="L18" s="90">
        <f t="shared" si="5"/>
      </c>
      <c r="M18" s="112">
        <f t="shared" si="6"/>
      </c>
      <c r="N18" s="110"/>
    </row>
    <row r="19" spans="1:14" x14ac:dyDescent="0.3">
      <c r="A19" s="110"/>
      <c r="B19" s="79"/>
      <c r="C19" s="78"/>
      <c r="D19" s="111"/>
      <c r="E19" s="111"/>
      <c r="F19" s="92">
        <f t="shared" si="0"/>
      </c>
      <c r="G19" s="92">
        <f t="shared" si="1"/>
      </c>
      <c r="H19" s="79"/>
      <c r="I19" s="92">
        <f t="shared" si="2"/>
      </c>
      <c r="J19" s="92">
        <f t="shared" si="3"/>
      </c>
      <c r="K19" s="90">
        <f t="shared" si="4"/>
      </c>
      <c r="L19" s="90">
        <f t="shared" si="5"/>
      </c>
      <c r="M19" s="112">
        <f t="shared" si="6"/>
      </c>
      <c r="N19" s="110"/>
    </row>
    <row r="20" spans="1:14" x14ac:dyDescent="0.3">
      <c r="A20" s="110"/>
      <c r="B20" s="79"/>
      <c r="C20" s="78"/>
      <c r="D20" s="111"/>
      <c r="E20" s="111"/>
      <c r="F20" s="92">
        <f t="shared" si="0"/>
      </c>
      <c r="G20" s="92">
        <f t="shared" si="1"/>
      </c>
      <c r="H20" s="79"/>
      <c r="I20" s="92">
        <f t="shared" si="2"/>
      </c>
      <c r="J20" s="92">
        <f t="shared" si="3"/>
      </c>
      <c r="K20" s="90">
        <f t="shared" si="4"/>
      </c>
      <c r="L20" s="90">
        <f t="shared" si="5"/>
      </c>
      <c r="M20" s="112">
        <f t="shared" si="6"/>
      </c>
      <c r="N20" s="110"/>
    </row>
    <row r="21" spans="1:14" x14ac:dyDescent="0.3">
      <c r="A21" s="110"/>
      <c r="B21" s="79"/>
      <c r="C21" s="78"/>
      <c r="D21" s="111"/>
      <c r="E21" s="111"/>
      <c r="F21" s="92">
        <f t="shared" si="0"/>
      </c>
      <c r="G21" s="92">
        <f t="shared" si="1"/>
      </c>
      <c r="H21" s="79"/>
      <c r="I21" s="92">
        <f t="shared" si="2"/>
      </c>
      <c r="J21" s="92">
        <f t="shared" si="3"/>
      </c>
      <c r="K21" s="90">
        <f t="shared" si="4"/>
      </c>
      <c r="L21" s="90">
        <f t="shared" si="5"/>
      </c>
      <c r="M21" s="112">
        <f t="shared" si="6"/>
      </c>
      <c r="N21" s="110"/>
    </row>
    <row r="22" spans="1:14" x14ac:dyDescent="0.3">
      <c r="A22" s="110"/>
      <c r="B22" s="79"/>
      <c r="C22" s="78"/>
      <c r="D22" s="111"/>
      <c r="E22" s="111"/>
      <c r="F22" s="92">
        <f t="shared" si="0"/>
      </c>
      <c r="G22" s="92">
        <f t="shared" si="1"/>
      </c>
      <c r="H22" s="79"/>
      <c r="I22" s="92">
        <f t="shared" si="2"/>
      </c>
      <c r="J22" s="92">
        <f t="shared" si="3"/>
      </c>
      <c r="K22" s="90">
        <f t="shared" si="4"/>
      </c>
      <c r="L22" s="90">
        <f t="shared" si="5"/>
      </c>
      <c r="M22" s="112">
        <f t="shared" si="6"/>
      </c>
      <c r="N22" s="110"/>
    </row>
    <row r="23" spans="1:14" x14ac:dyDescent="0.3">
      <c r="A23" s="110"/>
      <c r="B23" s="79"/>
      <c r="C23" s="78"/>
      <c r="D23" s="111"/>
      <c r="E23" s="111"/>
      <c r="F23" s="92">
        <f t="shared" si="0"/>
      </c>
      <c r="G23" s="92">
        <f t="shared" si="1"/>
      </c>
      <c r="H23" s="79"/>
      <c r="I23" s="92">
        <f t="shared" si="2"/>
      </c>
      <c r="J23" s="92">
        <f t="shared" si="3"/>
      </c>
      <c r="K23" s="90">
        <f t="shared" si="4"/>
      </c>
      <c r="L23" s="90">
        <f t="shared" si="5"/>
      </c>
      <c r="M23" s="112">
        <f t="shared" si="6"/>
      </c>
      <c r="N23" s="110"/>
    </row>
    <row r="24" spans="1:14" x14ac:dyDescent="0.3">
      <c r="A24" s="110"/>
      <c r="B24" s="79"/>
      <c r="C24" s="78"/>
      <c r="D24" s="111"/>
      <c r="E24" s="111"/>
      <c r="F24" s="92">
        <f t="shared" si="0"/>
      </c>
      <c r="G24" s="92">
        <f t="shared" si="1"/>
      </c>
      <c r="H24" s="79"/>
      <c r="I24" s="92">
        <f t="shared" si="2"/>
      </c>
      <c r="J24" s="92">
        <f t="shared" si="3"/>
      </c>
      <c r="K24" s="90">
        <f t="shared" si="4"/>
      </c>
      <c r="L24" s="90">
        <f t="shared" si="5"/>
      </c>
      <c r="M24" s="112">
        <f t="shared" si="6"/>
      </c>
      <c r="N24" s="110"/>
    </row>
    <row r="25" spans="1:14" x14ac:dyDescent="0.3">
      <c r="A25" s="110"/>
      <c r="B25" s="79"/>
      <c r="C25" s="78"/>
      <c r="D25" s="111"/>
      <c r="E25" s="111"/>
      <c r="F25" s="92">
        <f t="shared" si="0"/>
      </c>
      <c r="G25" s="92">
        <f t="shared" si="1"/>
      </c>
      <c r="H25" s="79"/>
      <c r="I25" s="92">
        <f t="shared" si="2"/>
      </c>
      <c r="J25" s="92">
        <f t="shared" si="3"/>
      </c>
      <c r="K25" s="90">
        <f t="shared" si="4"/>
      </c>
      <c r="L25" s="90">
        <f t="shared" si="5"/>
      </c>
      <c r="M25" s="112">
        <f t="shared" si="6"/>
      </c>
      <c r="N25" s="110"/>
    </row>
    <row r="26" spans="1:14" x14ac:dyDescent="0.3">
      <c r="A26" s="110"/>
      <c r="B26" s="79"/>
      <c r="C26" s="78"/>
      <c r="D26" s="111"/>
      <c r="E26" s="111"/>
      <c r="F26" s="92">
        <f t="shared" si="0"/>
      </c>
      <c r="G26" s="92">
        <f t="shared" si="1"/>
      </c>
      <c r="H26" s="79"/>
      <c r="I26" s="92">
        <f t="shared" si="2"/>
      </c>
      <c r="J26" s="92">
        <f t="shared" si="3"/>
      </c>
      <c r="K26" s="90">
        <f t="shared" si="4"/>
      </c>
      <c r="L26" s="90">
        <f t="shared" si="5"/>
      </c>
      <c r="M26" s="112">
        <f t="shared" si="6"/>
      </c>
      <c r="N26" s="110"/>
    </row>
    <row r="28" spans="1:14" x14ac:dyDescent="0.3">
      <c r="A28" s="77" t="s">
        <v>207</v>
      </c>
      <c r="B28" s="113">
        <f>SUM(B7:B26)</f>
      </c>
      <c r="F28" s="113">
        <f>SUM(F7:F26)</f>
      </c>
      <c r="G28" s="113">
        <f>SUM(G7:G26)</f>
      </c>
      <c r="H28" s="113">
        <f>SUM(H7:H26)</f>
      </c>
      <c r="I28" s="113">
        <f>SUM(I7:I26)</f>
      </c>
      <c r="J28" s="113">
        <f>SUM(J7:J26)</f>
      </c>
      <c r="K28" s="114">
        <f>IF(H28=0,"",G28/H28)</f>
      </c>
      <c r="L28" s="114">
        <f>IF(F28=0,"",G28/F28)</f>
      </c>
    </row>
    <row r="29" spans="1:14" x14ac:dyDescent="0.3">
      <c r="A29" s="21" t="s">
        <v>208</v>
      </c>
      <c r="B29" s="115">
        <f>IF(Setup!B7="","",IF(ROUND(B28-Setup!B7,0)=0,"✔ BAC matches","BAC differs"))</f>
      </c>
      <c r="G29" s="115">
        <f>IF(Results!B7="","",IF(ROUND(G28-Results!B7,0)=0,"✔ EV matches","EV differs by "&amp;TEXT(G28-Results!B7,"$#,##0")))</f>
      </c>
      <c r="H29" s="115">
        <f>IF(Results!B8="","",IF(ROUND(H28-Results!B8,0)=0,"✔ AC matches","AC differs by "&amp;TEXT(H28-Results!B8,"$#,##0")))</f>
      </c>
    </row>
    <row r="31" spans="1:14" x14ac:dyDescent="0.3">
      <c r="A31" s="63" t="s">
        <v>209</v>
      </c>
    </row>
    <row r="32" spans="1:14" x14ac:dyDescent="0.3">
      <c r="A32" s="77" t="s">
        <v>190</v>
      </c>
      <c r="B32" s="30" t="s">
        <v>210</v>
      </c>
    </row>
    <row r="33" spans="1:2" x14ac:dyDescent="0.3">
      <c r="A33" s="77" t="s">
        <v>195</v>
      </c>
      <c r="B33" s="30" t="s">
        <v>211</v>
      </c>
    </row>
    <row r="34" spans="1:2" x14ac:dyDescent="0.3">
      <c r="A34" s="77" t="s">
        <v>198</v>
      </c>
      <c r="B34" s="30" t="s">
        <v>212</v>
      </c>
    </row>
    <row r="35" spans="1:2" x14ac:dyDescent="0.3">
      <c r="A35" s="77" t="s">
        <v>205</v>
      </c>
      <c r="B35" s="30" t="s">
        <v>213</v>
      </c>
    </row>
    <row r="36" spans="1:2" x14ac:dyDescent="0.3">
      <c r="A36" s="77" t="s">
        <v>187</v>
      </c>
      <c r="B36" s="30" t="s">
        <v>214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E7:E26">
    <cfRule type="dataBar" priority="6">
      <dataBar>
        <cfvo type="num" val="0"/>
        <cfvo type="num" val="1"/>
        <color rgb="FF14B8A6"/>
      </dataBar>
    </cfRule>
  </conditionalFormatting>
  <conditionalFormatting sqref="K7:L26">
    <cfRule type="cellIs" dxfId="3" priority="4" operator="lessThan">
      <formula>0.9</formula>
    </cfRule>
  </conditionalFormatting>
  <conditionalFormatting sqref="M7:M26">
    <cfRule type="cellIs" dxfId="2" priority="1" operator="equal">
      <formula>"Losing money"</formula>
    </cfRule>
    <cfRule type="cellIs" dxfId="1" priority="2" operator="equal">
      <formula>"Behind"</formula>
    </cfRule>
    <cfRule type="cellIs" dxfId="0" priority="3" operator="equal">
      <formula>"Cost, no progress"</formula>
    </cfRule>
  </conditionalFormatting>
  <dataValidations count="1">
    <dataValidation type="list" allowBlank="1" sqref="C7:C26" xr:uid="{00000000-0002-0000-0500-000000000000}">
      <formula1>"Units complete,Milestones,0/100,50/50,Level of effort"</formula1>
    </dataValidation>
  </dataValidations>
  <printOptions horizontalCentered="1"/>
  <pageMargins left="0.4" right="0.4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Start</vt:lpstr>
      <vt:lpstr>Dashboard</vt:lpstr>
      <vt:lpstr>Setup</vt:lpstr>
      <vt:lpstr>Monthly</vt:lpstr>
      <vt:lpstr>Results</vt:lpstr>
      <vt:lpstr>Work packages</vt:lpstr>
      <vt:lpstr>Dashboard!Print_Area</vt:lpstr>
      <vt:lpstr>Monthly!Print_Area</vt:lpstr>
      <vt:lpstr>Results!Print_Area</vt:lpstr>
      <vt:lpstr>Setup!Print_Area</vt:lpstr>
      <vt:lpstr>Start!Print_Area</vt:lpstr>
      <vt:lpstr>'Work packages'!Print_Area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2026-10-12T08:27:06Z</dcterms:created>
  <dcterms:modified xsi:type="dcterms:W3CDTF">2026-10-12T08:36:53Z</dcterms:modified>
</cp:coreProperties>
</file>