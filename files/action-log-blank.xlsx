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ctions" sheetId="2" state="visible" r:id="rId4"/>
    <sheet name="Decis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<sst xmlns="http://schemas.openxmlformats.org/spreadsheetml/2006/main" count="48" uniqueCount="47">
  <si>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Action log</t>
  </si>
  <si>
    <t xml:space="preserve">The Project Control Hub · free template</t>
  </si>
  <si>
    <t xml:space="preserve">What it is</t>
  </si>
  <si>
    <t xml:space="preserve">Minutes that end in an owner and a date. Every action has a person, a due date, what done looks like, and a record of who closed it and on what evidence.</t>
  </si>
  <si>
    <t xml:space="preserve">How to use it</t>
  </si>
  <si>
    <t xml:space="preserve">1. One action per row, written as a verb: "Ahmet to issue the wayleave letter by 14 March".</t>
  </si>
  <si>
    <t xml:space="preserve">2. Owner is a person, never a department.</t>
  </si>
  <si>
    <t xml:space="preserve">3. "What done looks like" decides whether it can ever be closed.</t>
  </si>
  <si>
    <t xml:space="preserve">4. Close it with a name, a date and the evidence. Then count what you cannot categorise.</t>
  </si>
  <si>
    <t xml:space="preserve">Cells</t>
  </si>
  <si>
    <t xml:space="preserve">Yellow cells with blue text are yours to fill in.</t>
  </si>
  <si>
    <t xml:space="preserve">White cells with black text are formulas. Leave them alone and they keep working.</t>
  </si>
  <si>
    <t xml:space="preserve">Explained in</t>
  </si>
  <si>
    <t xml:space="preserve">Reporting Topic 23 · Minutes, actions and closure</t>
  </si>
  <si>
    <t xml:space="preserve">Risk Topic 13 · Response strategies</t>
  </si>
  <si>
    <t xml:space="preserve">This file</t>
  </si>
  <si>
    <t xml:space="preserve">Blank: forty action rows and a decision log. "As at" is today unless you type a date.</t>
  </si>
  <si>
    <t xml:space="preserve">Use</t>
  </si>
  <si>
    <t xml:space="preserve">Free to use and adapt on your own projects. https://theprojectcontrolhub.com/</t>
  </si>
  <si>
    <t xml:space="preserve">Your project</t>
  </si>
  <si>
    <t xml:space="preserve">As at</t>
  </si>
  <si>
    <t xml:space="preserve">No.</t>
  </si>
  <si>
    <t xml:space="preserve">Raised in</t>
  </si>
  <si>
    <t xml:space="preserve">Action</t>
  </si>
  <si>
    <t xml:space="preserve">Owner (a person)</t>
  </si>
  <si>
    <t xml:space="preserve">Due</t>
  </si>
  <si>
    <t xml:space="preserve">What done looks like</t>
  </si>
  <si>
    <t xml:space="preserve">If not done</t>
  </si>
  <si>
    <t xml:space="preserve">Status</t>
  </si>
  <si>
    <t xml:space="preserve">Overdue?</t>
  </si>
  <si>
    <t xml:space="preserve">Closed by</t>
  </si>
  <si>
    <t xml:space="preserve">Closed on</t>
  </si>
  <si>
    <t xml:space="preserve">Evidence of closure</t>
  </si>
  <si>
    <t xml:space="preserve">Open</t>
  </si>
  <si>
    <t xml:space="preserve">Closed</t>
  </si>
  <si>
    <t xml:space="preserve">Overdue</t>
  </si>
  <si>
    <t xml:space="preserve">Can’t tell (no status)</t>
  </si>
  <si>
    <t xml:space="preserve">Closed with no evidence</t>
  </si>
  <si>
    <t xml:space="preserve">The third and fifth numbers are the ones that matter: an action nobody can categorise was never really an action.</t>
  </si>
  <si>
    <t xml:space="preserve">Decision log</t>
  </si>
  <si>
    <t xml:space="preserve">What was decided, by whom, and on what record</t>
  </si>
  <si>
    <t xml:space="preserve">Date</t>
  </si>
  <si>
    <t xml:space="preserve">Decision</t>
  </si>
  <si>
    <t xml:space="preserve">Decided by</t>
  </si>
  <si>
    <t xml:space="preserve">Recorded in</t>
  </si>
  <si>
    <t xml:space="preserve">Replaces</t>
  </si>
  <si>
    <t xml:space="preserve">Note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</si>
</sst>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 mmm\ yyyy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72A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1D4ED8"/>
      <name val="Arial"/>
      <family val="0"/>
      <charset val="1"/>
    </font>
    <font>
      <u val="single"/>
      <sz val="10"/>
      <color rgb="FF1D4ED8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64748B"/>
      <name val="Arial"/>
      <family val="0"/>
      <charset val="1"/>
    </font>
    <font>
      <i val="true"/>
      <sz val="10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CFD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0B98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7D6"/>
      <rgbColor rgb="FFECFDF5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0B981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projectcontrolhub.com/reporting-week-23.html" TargetMode="External"/><Relationship Id="rId2" Type="http://schemas.openxmlformats.org/officeDocument/2006/relationships/hyperlink" Target="https://theprojectcontrolhub.com/risk-week-1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  <c r="C7" s="4" t="s">
        <v>5</v>
      </c>
    </row>
    <row r="8" customFormat="false" ht="15" hidden="false" customHeight="false" outlineLevel="0" collapsed="false">
      <c r="C8" s="4" t="s">
        <v>6</v>
      </c>
    </row>
    <row r="9" customFormat="false" ht="15" hidden="false" customHeight="false" outlineLevel="0" collapsed="false">
      <c r="C9" s="4" t="s">
        <v>7</v>
      </c>
    </row>
    <row r="10" customFormat="false" ht="15" hidden="false" customHeight="false" outlineLevel="0" collapsed="false">
      <c r="C10" s="4" t="s">
        <v>8</v>
      </c>
    </row>
    <row r="12" customFormat="false" ht="15" hidden="false" customHeight="false" outlineLevel="0" collapsed="false">
      <c r="B12" s="3" t="s">
        <v>9</v>
      </c>
      <c r="C12" s="5" t="s">
        <v>10</v>
      </c>
    </row>
    <row r="13" customFormat="false" ht="15" hidden="false" customHeight="false" outlineLevel="0" collapsed="false">
      <c r="C13" s="6" t="s">
        <v>11</v>
      </c>
    </row>
    <row r="15" customFormat="false" ht="15" hidden="false" customHeight="false" outlineLevel="0" collapsed="false">
      <c r="B15" s="3" t="s">
        <v>12</v>
      </c>
      <c r="C15" s="7" t="s">
        <v>13</v>
      </c>
    </row>
    <row r="16" customFormat="false" ht="15" hidden="false" customHeight="false" outlineLevel="0" collapsed="false">
      <c r="C16" s="7" t="s">
        <v>14</v>
      </c>
    </row>
    <row r="18" customFormat="false" ht="15" hidden="false" customHeight="false" outlineLevel="0" collapsed="false">
      <c r="B18" s="3" t="s">
        <v>15</v>
      </c>
      <c r="C18" s="4" t="s">
        <v>16</v>
      </c>
    </row>
    <row r="20" customFormat="false" ht="15" hidden="false" customHeight="false" outlineLevel="0" collapsed="false">
      <c r="B20" s="3" t="s">
        <v>17</v>
      </c>
      <c r="C20" s="8" t="s">
        <v>18</v>
      </c>
    </row>
  </sheetData>
  <hyperlinks>
    <hyperlink ref="C15" r:id="rId1" display="Reporting Topic 23 · Minutes, actions and closure"/>
    <hyperlink ref="C16" r:id="rId2" display="Risk Topic 13 · Response strategie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9" t="s">
        <v>0</v>
      </c>
    </row>
    <row r="2" customFormat="false" ht="15" hidden="false" customHeight="false" outlineLevel="0" collapsed="false">
      <c r="A2" s="10" t="s">
        <v>19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15" hidden="false" customHeight="false" outlineLevel="0" collapsed="false">
      <c r="A4" s="6" t="s">
        <v>20</v>
      </c>
      <c r="B4" s="12" t="n">
        <f aca="true">TODAY()</f>
        <v>46305</v>
      </c>
    </row>
    <row r="6" customFormat="false" ht="30" hidden="false" customHeight="true" outlineLevel="0" collapsed="false">
      <c r="A6" s="13" t="s">
        <v>21</v>
      </c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3" t="s">
        <v>28</v>
      </c>
      <c r="I6" s="13" t="s">
        <v>29</v>
      </c>
      <c r="J6" s="13" t="s">
        <v>30</v>
      </c>
      <c r="K6" s="13" t="s">
        <v>31</v>
      </c>
      <c r="L6" s="13" t="s">
        <v>32</v>
      </c>
    </row>
    <row r="7" customFormat="false" ht="15" hidden="false" customHeight="false" outlineLevel="0" collapsed="false">
      <c r="A7" s="14" t="n">
        <v>1</v>
      </c>
      <c r="B7" s="15"/>
      <c r="C7" s="16"/>
      <c r="D7" s="15"/>
      <c r="E7" s="12"/>
      <c r="F7" s="16"/>
      <c r="G7" s="16"/>
      <c r="H7" s="15"/>
      <c r="I7" s="17" t="str">
        <f aca="false">IF(OR(C7="",E7="",H7="Closed"),"",IF($B$4&gt;E7,"Overdue",""))</f>
        <v/>
      </c>
      <c r="J7" s="15"/>
      <c r="K7" s="12"/>
      <c r="L7" s="16"/>
    </row>
    <row r="8" customFormat="false" ht="15" hidden="false" customHeight="false" outlineLevel="0" collapsed="false">
      <c r="A8" s="14" t="n">
        <v>2</v>
      </c>
      <c r="B8" s="15"/>
      <c r="C8" s="16"/>
      <c r="D8" s="15"/>
      <c r="E8" s="12"/>
      <c r="F8" s="16"/>
      <c r="G8" s="16"/>
      <c r="H8" s="15"/>
      <c r="I8" s="17" t="str">
        <f aca="false">IF(OR(C8="",E8="",H8="Closed"),"",IF($B$4&gt;E8,"Overdue",""))</f>
        <v/>
      </c>
      <c r="J8" s="15"/>
      <c r="K8" s="12"/>
      <c r="L8" s="16"/>
    </row>
    <row r="9" customFormat="false" ht="15" hidden="false" customHeight="false" outlineLevel="0" collapsed="false">
      <c r="A9" s="14" t="n">
        <v>3</v>
      </c>
      <c r="B9" s="15"/>
      <c r="C9" s="16"/>
      <c r="D9" s="15"/>
      <c r="E9" s="12"/>
      <c r="F9" s="16"/>
      <c r="G9" s="16"/>
      <c r="H9" s="15"/>
      <c r="I9" s="17" t="str">
        <f aca="false">IF(OR(C9="",E9="",H9="Closed"),"",IF($B$4&gt;E9,"Overdue",""))</f>
        <v/>
      </c>
      <c r="J9" s="15"/>
      <c r="K9" s="12"/>
      <c r="L9" s="16"/>
    </row>
    <row r="10" customFormat="false" ht="15" hidden="false" customHeight="false" outlineLevel="0" collapsed="false">
      <c r="A10" s="14" t="n">
        <v>4</v>
      </c>
      <c r="B10" s="15"/>
      <c r="C10" s="16"/>
      <c r="D10" s="15"/>
      <c r="E10" s="12"/>
      <c r="F10" s="16"/>
      <c r="G10" s="16"/>
      <c r="H10" s="15"/>
      <c r="I10" s="17" t="str">
        <f aca="false">IF(OR(C10="",E10="",H10="Closed"),"",IF($B$4&gt;E10,"Overdue",""))</f>
        <v/>
      </c>
      <c r="J10" s="15"/>
      <c r="K10" s="12"/>
      <c r="L10" s="16"/>
    </row>
    <row r="11" customFormat="false" ht="15" hidden="false" customHeight="false" outlineLevel="0" collapsed="false">
      <c r="A11" s="14" t="n">
        <v>5</v>
      </c>
      <c r="B11" s="15"/>
      <c r="C11" s="16"/>
      <c r="D11" s="15"/>
      <c r="E11" s="12"/>
      <c r="F11" s="16"/>
      <c r="G11" s="16"/>
      <c r="H11" s="15"/>
      <c r="I11" s="17" t="str">
        <f aca="false">IF(OR(C11="",E11="",H11="Closed"),"",IF($B$4&gt;E11,"Overdue",""))</f>
        <v/>
      </c>
      <c r="J11" s="15"/>
      <c r="K11" s="12"/>
      <c r="L11" s="16"/>
    </row>
    <row r="12" customFormat="false" ht="15" hidden="false" customHeight="false" outlineLevel="0" collapsed="false">
      <c r="A12" s="14" t="n">
        <v>6</v>
      </c>
      <c r="B12" s="15"/>
      <c r="C12" s="16"/>
      <c r="D12" s="15"/>
      <c r="E12" s="12"/>
      <c r="F12" s="16"/>
      <c r="G12" s="16"/>
      <c r="H12" s="15"/>
      <c r="I12" s="17" t="str">
        <f aca="false">IF(OR(C12="",E12="",H12="Closed"),"",IF($B$4&gt;E12,"Overdue",""))</f>
        <v/>
      </c>
      <c r="J12" s="15"/>
      <c r="K12" s="12"/>
      <c r="L12" s="16"/>
    </row>
    <row r="13" customFormat="false" ht="15" hidden="false" customHeight="false" outlineLevel="0" collapsed="false">
      <c r="A13" s="14" t="n">
        <v>7</v>
      </c>
      <c r="B13" s="15"/>
      <c r="C13" s="16"/>
      <c r="D13" s="15"/>
      <c r="E13" s="12"/>
      <c r="F13" s="16"/>
      <c r="G13" s="16"/>
      <c r="H13" s="15"/>
      <c r="I13" s="17" t="str">
        <f aca="false">IF(OR(C13="",E13="",H13="Closed"),"",IF($B$4&gt;E13,"Overdue",""))</f>
        <v/>
      </c>
      <c r="J13" s="15"/>
      <c r="K13" s="12"/>
      <c r="L13" s="16"/>
    </row>
    <row r="14" customFormat="false" ht="15" hidden="false" customHeight="false" outlineLevel="0" collapsed="false">
      <c r="A14" s="14" t="n">
        <v>8</v>
      </c>
      <c r="B14" s="15"/>
      <c r="C14" s="16"/>
      <c r="D14" s="15"/>
      <c r="E14" s="12"/>
      <c r="F14" s="16"/>
      <c r="G14" s="16"/>
      <c r="H14" s="15"/>
      <c r="I14" s="17" t="str">
        <f aca="false">IF(OR(C14="",E14="",H14="Closed"),"",IF($B$4&gt;E14,"Overdue",""))</f>
        <v/>
      </c>
      <c r="J14" s="15"/>
      <c r="K14" s="12"/>
      <c r="L14" s="16"/>
    </row>
    <row r="15" customFormat="false" ht="15" hidden="false" customHeight="false" outlineLevel="0" collapsed="false">
      <c r="A15" s="14" t="n">
        <v>9</v>
      </c>
      <c r="B15" s="15"/>
      <c r="C15" s="16"/>
      <c r="D15" s="15"/>
      <c r="E15" s="12"/>
      <c r="F15" s="16"/>
      <c r="G15" s="16"/>
      <c r="H15" s="15"/>
      <c r="I15" s="17" t="str">
        <f aca="false">IF(OR(C15="",E15="",H15="Closed"),"",IF($B$4&gt;E15,"Overdue",""))</f>
        <v/>
      </c>
      <c r="J15" s="15"/>
      <c r="K15" s="12"/>
      <c r="L15" s="16"/>
    </row>
    <row r="16" customFormat="false" ht="15" hidden="false" customHeight="false" outlineLevel="0" collapsed="false">
      <c r="A16" s="14" t="n">
        <v>10</v>
      </c>
      <c r="B16" s="15"/>
      <c r="C16" s="16"/>
      <c r="D16" s="15"/>
      <c r="E16" s="12"/>
      <c r="F16" s="16"/>
      <c r="G16" s="16"/>
      <c r="H16" s="15"/>
      <c r="I16" s="17" t="str">
        <f aca="false">IF(OR(C16="",E16="",H16="Closed"),"",IF($B$4&gt;E16,"Overdue",""))</f>
        <v/>
      </c>
      <c r="J16" s="15"/>
      <c r="K16" s="12"/>
      <c r="L16" s="16"/>
    </row>
    <row r="17" customFormat="false" ht="15" hidden="false" customHeight="false" outlineLevel="0" collapsed="false">
      <c r="A17" s="14" t="n">
        <v>11</v>
      </c>
      <c r="B17" s="15"/>
      <c r="C17" s="16"/>
      <c r="D17" s="15"/>
      <c r="E17" s="12"/>
      <c r="F17" s="16"/>
      <c r="G17" s="16"/>
      <c r="H17" s="15"/>
      <c r="I17" s="17" t="str">
        <f aca="false">IF(OR(C17="",E17="",H17="Closed"),"",IF($B$4&gt;E17,"Overdue",""))</f>
        <v/>
      </c>
      <c r="J17" s="15"/>
      <c r="K17" s="12"/>
      <c r="L17" s="16"/>
    </row>
    <row r="18" customFormat="false" ht="15" hidden="false" customHeight="false" outlineLevel="0" collapsed="false">
      <c r="A18" s="14" t="n">
        <v>12</v>
      </c>
      <c r="B18" s="15"/>
      <c r="C18" s="16"/>
      <c r="D18" s="15"/>
      <c r="E18" s="12"/>
      <c r="F18" s="16"/>
      <c r="G18" s="16"/>
      <c r="H18" s="15"/>
      <c r="I18" s="17" t="str">
        <f aca="false">IF(OR(C18="",E18="",H18="Closed"),"",IF($B$4&gt;E18,"Overdue",""))</f>
        <v/>
      </c>
      <c r="J18" s="15"/>
      <c r="K18" s="12"/>
      <c r="L18" s="16"/>
    </row>
    <row r="19" customFormat="false" ht="15" hidden="false" customHeight="false" outlineLevel="0" collapsed="false">
      <c r="A19" s="14" t="n">
        <v>13</v>
      </c>
      <c r="B19" s="15"/>
      <c r="C19" s="16"/>
      <c r="D19" s="15"/>
      <c r="E19" s="12"/>
      <c r="F19" s="16"/>
      <c r="G19" s="16"/>
      <c r="H19" s="15"/>
      <c r="I19" s="17" t="str">
        <f aca="false">IF(OR(C19="",E19="",H19="Closed"),"",IF($B$4&gt;E19,"Overdue",""))</f>
        <v/>
      </c>
      <c r="J19" s="15"/>
      <c r="K19" s="12"/>
      <c r="L19" s="16"/>
    </row>
    <row r="20" customFormat="false" ht="15" hidden="false" customHeight="false" outlineLevel="0" collapsed="false">
      <c r="A20" s="14" t="n">
        <v>14</v>
      </c>
      <c r="B20" s="15"/>
      <c r="C20" s="16"/>
      <c r="D20" s="15"/>
      <c r="E20" s="12"/>
      <c r="F20" s="16"/>
      <c r="G20" s="16"/>
      <c r="H20" s="15"/>
      <c r="I20" s="17" t="str">
        <f aca="false">IF(OR(C20="",E20="",H20="Closed"),"",IF($B$4&gt;E20,"Overdue",""))</f>
        <v/>
      </c>
      <c r="J20" s="15"/>
      <c r="K20" s="12"/>
      <c r="L20" s="16"/>
    </row>
    <row r="21" customFormat="false" ht="15" hidden="false" customHeight="false" outlineLevel="0" collapsed="false">
      <c r="A21" s="14" t="n">
        <v>15</v>
      </c>
      <c r="B21" s="15"/>
      <c r="C21" s="16"/>
      <c r="D21" s="15"/>
      <c r="E21" s="12"/>
      <c r="F21" s="16"/>
      <c r="G21" s="16"/>
      <c r="H21" s="15"/>
      <c r="I21" s="17" t="str">
        <f aca="false">IF(OR(C21="",E21="",H21="Closed"),"",IF($B$4&gt;E21,"Overdue",""))</f>
        <v/>
      </c>
      <c r="J21" s="15"/>
      <c r="K21" s="12"/>
      <c r="L21" s="16"/>
    </row>
    <row r="22" customFormat="false" ht="15" hidden="false" customHeight="false" outlineLevel="0" collapsed="false">
      <c r="A22" s="14" t="n">
        <v>16</v>
      </c>
      <c r="B22" s="15"/>
      <c r="C22" s="16"/>
      <c r="D22" s="15"/>
      <c r="E22" s="12"/>
      <c r="F22" s="16"/>
      <c r="G22" s="16"/>
      <c r="H22" s="15"/>
      <c r="I22" s="17" t="str">
        <f aca="false">IF(OR(C22="",E22="",H22="Closed"),"",IF($B$4&gt;E22,"Overdue",""))</f>
        <v/>
      </c>
      <c r="J22" s="15"/>
      <c r="K22" s="12"/>
      <c r="L22" s="16"/>
    </row>
    <row r="23" customFormat="false" ht="15" hidden="false" customHeight="false" outlineLevel="0" collapsed="false">
      <c r="A23" s="14" t="n">
        <v>17</v>
      </c>
      <c r="B23" s="15"/>
      <c r="C23" s="16"/>
      <c r="D23" s="15"/>
      <c r="E23" s="12"/>
      <c r="F23" s="16"/>
      <c r="G23" s="16"/>
      <c r="H23" s="15"/>
      <c r="I23" s="17" t="str">
        <f aca="false">IF(OR(C23="",E23="",H23="Closed"),"",IF($B$4&gt;E23,"Overdue",""))</f>
        <v/>
      </c>
      <c r="J23" s="15"/>
      <c r="K23" s="12"/>
      <c r="L23" s="16"/>
    </row>
    <row r="24" customFormat="false" ht="15" hidden="false" customHeight="false" outlineLevel="0" collapsed="false">
      <c r="A24" s="14" t="n">
        <v>18</v>
      </c>
      <c r="B24" s="15"/>
      <c r="C24" s="16"/>
      <c r="D24" s="15"/>
      <c r="E24" s="12"/>
      <c r="F24" s="16"/>
      <c r="G24" s="16"/>
      <c r="H24" s="15"/>
      <c r="I24" s="17" t="str">
        <f aca="false">IF(OR(C24="",E24="",H24="Closed"),"",IF($B$4&gt;E24,"Overdue",""))</f>
        <v/>
      </c>
      <c r="J24" s="15"/>
      <c r="K24" s="12"/>
      <c r="L24" s="16"/>
    </row>
    <row r="25" customFormat="false" ht="15" hidden="false" customHeight="false" outlineLevel="0" collapsed="false">
      <c r="A25" s="14" t="n">
        <v>19</v>
      </c>
      <c r="B25" s="15"/>
      <c r="C25" s="16"/>
      <c r="D25" s="15"/>
      <c r="E25" s="12"/>
      <c r="F25" s="16"/>
      <c r="G25" s="16"/>
      <c r="H25" s="15"/>
      <c r="I25" s="17" t="str">
        <f aca="false">IF(OR(C25="",E25="",H25="Closed"),"",IF($B$4&gt;E25,"Overdue",""))</f>
        <v/>
      </c>
      <c r="J25" s="15"/>
      <c r="K25" s="12"/>
      <c r="L25" s="16"/>
    </row>
    <row r="26" customFormat="false" ht="15" hidden="false" customHeight="false" outlineLevel="0" collapsed="false">
      <c r="A26" s="14" t="n">
        <v>20</v>
      </c>
      <c r="B26" s="15"/>
      <c r="C26" s="16"/>
      <c r="D26" s="15"/>
      <c r="E26" s="12"/>
      <c r="F26" s="16"/>
      <c r="G26" s="16"/>
      <c r="H26" s="15"/>
      <c r="I26" s="17" t="str">
        <f aca="false">IF(OR(C26="",E26="",H26="Closed"),"",IF($B$4&gt;E26,"Overdue",""))</f>
        <v/>
      </c>
      <c r="J26" s="15"/>
      <c r="K26" s="12"/>
      <c r="L26" s="16"/>
    </row>
    <row r="27" customFormat="false" ht="15" hidden="false" customHeight="false" outlineLevel="0" collapsed="false">
      <c r="A27" s="14" t="n">
        <v>21</v>
      </c>
      <c r="B27" s="15"/>
      <c r="C27" s="16"/>
      <c r="D27" s="15"/>
      <c r="E27" s="12"/>
      <c r="F27" s="16"/>
      <c r="G27" s="16"/>
      <c r="H27" s="15"/>
      <c r="I27" s="17" t="str">
        <f aca="false">IF(OR(C27="",E27="",H27="Closed"),"",IF($B$4&gt;E27,"Overdue",""))</f>
        <v/>
      </c>
      <c r="J27" s="15"/>
      <c r="K27" s="12"/>
      <c r="L27" s="16"/>
    </row>
    <row r="28" customFormat="false" ht="15" hidden="false" customHeight="false" outlineLevel="0" collapsed="false">
      <c r="A28" s="14" t="n">
        <v>22</v>
      </c>
      <c r="B28" s="15"/>
      <c r="C28" s="16"/>
      <c r="D28" s="15"/>
      <c r="E28" s="12"/>
      <c r="F28" s="16"/>
      <c r="G28" s="16"/>
      <c r="H28" s="15"/>
      <c r="I28" s="17" t="str">
        <f aca="false">IF(OR(C28="",E28="",H28="Closed"),"",IF($B$4&gt;E28,"Overdue",""))</f>
        <v/>
      </c>
      <c r="J28" s="15"/>
      <c r="K28" s="12"/>
      <c r="L28" s="16"/>
    </row>
    <row r="29" customFormat="false" ht="15" hidden="false" customHeight="false" outlineLevel="0" collapsed="false">
      <c r="A29" s="14" t="n">
        <v>23</v>
      </c>
      <c r="B29" s="15"/>
      <c r="C29" s="16"/>
      <c r="D29" s="15"/>
      <c r="E29" s="12"/>
      <c r="F29" s="16"/>
      <c r="G29" s="16"/>
      <c r="H29" s="15"/>
      <c r="I29" s="17" t="str">
        <f aca="false">IF(OR(C29="",E29="",H29="Closed"),"",IF($B$4&gt;E29,"Overdue",""))</f>
        <v/>
      </c>
      <c r="J29" s="15"/>
      <c r="K29" s="12"/>
      <c r="L29" s="16"/>
    </row>
    <row r="30" customFormat="false" ht="15" hidden="false" customHeight="false" outlineLevel="0" collapsed="false">
      <c r="A30" s="14" t="n">
        <v>24</v>
      </c>
      <c r="B30" s="15"/>
      <c r="C30" s="16"/>
      <c r="D30" s="15"/>
      <c r="E30" s="12"/>
      <c r="F30" s="16"/>
      <c r="G30" s="16"/>
      <c r="H30" s="15"/>
      <c r="I30" s="17" t="str">
        <f aca="false">IF(OR(C30="",E30="",H30="Closed"),"",IF($B$4&gt;E30,"Overdue",""))</f>
        <v/>
      </c>
      <c r="J30" s="15"/>
      <c r="K30" s="12"/>
      <c r="L30" s="16"/>
    </row>
    <row r="31" customFormat="false" ht="15" hidden="false" customHeight="false" outlineLevel="0" collapsed="false">
      <c r="A31" s="14" t="n">
        <v>25</v>
      </c>
      <c r="B31" s="15"/>
      <c r="C31" s="16"/>
      <c r="D31" s="15"/>
      <c r="E31" s="12"/>
      <c r="F31" s="16"/>
      <c r="G31" s="16"/>
      <c r="H31" s="15"/>
      <c r="I31" s="17" t="str">
        <f aca="false">IF(OR(C31="",E31="",H31="Closed"),"",IF($B$4&gt;E31,"Overdue",""))</f>
        <v/>
      </c>
      <c r="J31" s="15"/>
      <c r="K31" s="12"/>
      <c r="L31" s="16"/>
    </row>
    <row r="32" customFormat="false" ht="15" hidden="false" customHeight="false" outlineLevel="0" collapsed="false">
      <c r="A32" s="14" t="n">
        <v>26</v>
      </c>
      <c r="B32" s="15"/>
      <c r="C32" s="16"/>
      <c r="D32" s="15"/>
      <c r="E32" s="12"/>
      <c r="F32" s="16"/>
      <c r="G32" s="16"/>
      <c r="H32" s="15"/>
      <c r="I32" s="17" t="str">
        <f aca="false">IF(OR(C32="",E32="",H32="Closed"),"",IF($B$4&gt;E32,"Overdue",""))</f>
        <v/>
      </c>
      <c r="J32" s="15"/>
      <c r="K32" s="12"/>
      <c r="L32" s="16"/>
    </row>
    <row r="33" customFormat="false" ht="15" hidden="false" customHeight="false" outlineLevel="0" collapsed="false">
      <c r="A33" s="14" t="n">
        <v>27</v>
      </c>
      <c r="B33" s="15"/>
      <c r="C33" s="16"/>
      <c r="D33" s="15"/>
      <c r="E33" s="12"/>
      <c r="F33" s="16"/>
      <c r="G33" s="16"/>
      <c r="H33" s="15"/>
      <c r="I33" s="17" t="str">
        <f aca="false">IF(OR(C33="",E33="",H33="Closed"),"",IF($B$4&gt;E33,"Overdue",""))</f>
        <v/>
      </c>
      <c r="J33" s="15"/>
      <c r="K33" s="12"/>
      <c r="L33" s="16"/>
    </row>
    <row r="34" customFormat="false" ht="15" hidden="false" customHeight="false" outlineLevel="0" collapsed="false">
      <c r="A34" s="14" t="n">
        <v>28</v>
      </c>
      <c r="B34" s="15"/>
      <c r="C34" s="16"/>
      <c r="D34" s="15"/>
      <c r="E34" s="12"/>
      <c r="F34" s="16"/>
      <c r="G34" s="16"/>
      <c r="H34" s="15"/>
      <c r="I34" s="17" t="str">
        <f aca="false">IF(OR(C34="",E34="",H34="Closed"),"",IF($B$4&gt;E34,"Overdue",""))</f>
        <v/>
      </c>
      <c r="J34" s="15"/>
      <c r="K34" s="12"/>
      <c r="L34" s="16"/>
    </row>
    <row r="35" customFormat="false" ht="15" hidden="false" customHeight="false" outlineLevel="0" collapsed="false">
      <c r="A35" s="14" t="n">
        <v>29</v>
      </c>
      <c r="B35" s="15"/>
      <c r="C35" s="16"/>
      <c r="D35" s="15"/>
      <c r="E35" s="12"/>
      <c r="F35" s="16"/>
      <c r="G35" s="16"/>
      <c r="H35" s="15"/>
      <c r="I35" s="17" t="str">
        <f aca="false">IF(OR(C35="",E35="",H35="Closed"),"",IF($B$4&gt;E35,"Overdue",""))</f>
        <v/>
      </c>
      <c r="J35" s="15"/>
      <c r="K35" s="12"/>
      <c r="L35" s="16"/>
    </row>
    <row r="36" customFormat="false" ht="15" hidden="false" customHeight="false" outlineLevel="0" collapsed="false">
      <c r="A36" s="14" t="n">
        <v>30</v>
      </c>
      <c r="B36" s="15"/>
      <c r="C36" s="16"/>
      <c r="D36" s="15"/>
      <c r="E36" s="12"/>
      <c r="F36" s="16"/>
      <c r="G36" s="16"/>
      <c r="H36" s="15"/>
      <c r="I36" s="17" t="str">
        <f aca="false">IF(OR(C36="",E36="",H36="Closed"),"",IF($B$4&gt;E36,"Overdue",""))</f>
        <v/>
      </c>
      <c r="J36" s="15"/>
      <c r="K36" s="12"/>
      <c r="L36" s="16"/>
    </row>
    <row r="37" customFormat="false" ht="15" hidden="false" customHeight="false" outlineLevel="0" collapsed="false">
      <c r="A37" s="14" t="n">
        <v>31</v>
      </c>
      <c r="B37" s="15"/>
      <c r="C37" s="16"/>
      <c r="D37" s="15"/>
      <c r="E37" s="12"/>
      <c r="F37" s="16"/>
      <c r="G37" s="16"/>
      <c r="H37" s="15"/>
      <c r="I37" s="17" t="str">
        <f aca="false">IF(OR(C37="",E37="",H37="Closed"),"",IF($B$4&gt;E37,"Overdue",""))</f>
        <v/>
      </c>
      <c r="J37" s="15"/>
      <c r="K37" s="12"/>
      <c r="L37" s="16"/>
    </row>
    <row r="38" customFormat="false" ht="15" hidden="false" customHeight="false" outlineLevel="0" collapsed="false">
      <c r="A38" s="14" t="n">
        <v>32</v>
      </c>
      <c r="B38" s="15"/>
      <c r="C38" s="16"/>
      <c r="D38" s="15"/>
      <c r="E38" s="12"/>
      <c r="F38" s="16"/>
      <c r="G38" s="16"/>
      <c r="H38" s="15"/>
      <c r="I38" s="17" t="str">
        <f aca="false">IF(OR(C38="",E38="",H38="Closed"),"",IF($B$4&gt;E38,"Overdue",""))</f>
        <v/>
      </c>
      <c r="J38" s="15"/>
      <c r="K38" s="12"/>
      <c r="L38" s="16"/>
    </row>
    <row r="39" customFormat="false" ht="15" hidden="false" customHeight="false" outlineLevel="0" collapsed="false">
      <c r="A39" s="14" t="n">
        <v>33</v>
      </c>
      <c r="B39" s="15"/>
      <c r="C39" s="16"/>
      <c r="D39" s="15"/>
      <c r="E39" s="12"/>
      <c r="F39" s="16"/>
      <c r="G39" s="16"/>
      <c r="H39" s="15"/>
      <c r="I39" s="17" t="str">
        <f aca="false">IF(OR(C39="",E39="",H39="Closed"),"",IF($B$4&gt;E39,"Overdue",""))</f>
        <v/>
      </c>
      <c r="J39" s="15"/>
      <c r="K39" s="12"/>
      <c r="L39" s="16"/>
    </row>
    <row r="40" customFormat="false" ht="15" hidden="false" customHeight="false" outlineLevel="0" collapsed="false">
      <c r="A40" s="14" t="n">
        <v>34</v>
      </c>
      <c r="B40" s="15"/>
      <c r="C40" s="16"/>
      <c r="D40" s="15"/>
      <c r="E40" s="12"/>
      <c r="F40" s="16"/>
      <c r="G40" s="16"/>
      <c r="H40" s="15"/>
      <c r="I40" s="17" t="str">
        <f aca="false">IF(OR(C40="",E40="",H40="Closed"),"",IF($B$4&gt;E40,"Overdue",""))</f>
        <v/>
      </c>
      <c r="J40" s="15"/>
      <c r="K40" s="12"/>
      <c r="L40" s="16"/>
    </row>
    <row r="41" customFormat="false" ht="15" hidden="false" customHeight="false" outlineLevel="0" collapsed="false">
      <c r="A41" s="14" t="n">
        <v>35</v>
      </c>
      <c r="B41" s="15"/>
      <c r="C41" s="16"/>
      <c r="D41" s="15"/>
      <c r="E41" s="12"/>
      <c r="F41" s="16"/>
      <c r="G41" s="16"/>
      <c r="H41" s="15"/>
      <c r="I41" s="17" t="str">
        <f aca="false">IF(OR(C41="",E41="",H41="Closed"),"",IF($B$4&gt;E41,"Overdue",""))</f>
        <v/>
      </c>
      <c r="J41" s="15"/>
      <c r="K41" s="12"/>
      <c r="L41" s="16"/>
    </row>
    <row r="42" customFormat="false" ht="15" hidden="false" customHeight="false" outlineLevel="0" collapsed="false">
      <c r="A42" s="14" t="n">
        <v>36</v>
      </c>
      <c r="B42" s="15"/>
      <c r="C42" s="16"/>
      <c r="D42" s="15"/>
      <c r="E42" s="12"/>
      <c r="F42" s="16"/>
      <c r="G42" s="16"/>
      <c r="H42" s="15"/>
      <c r="I42" s="17" t="str">
        <f aca="false">IF(OR(C42="",E42="",H42="Closed"),"",IF($B$4&gt;E42,"Overdue",""))</f>
        <v/>
      </c>
      <c r="J42" s="15"/>
      <c r="K42" s="12"/>
      <c r="L42" s="16"/>
    </row>
    <row r="43" customFormat="false" ht="15" hidden="false" customHeight="false" outlineLevel="0" collapsed="false">
      <c r="A43" s="14" t="n">
        <v>37</v>
      </c>
      <c r="B43" s="15"/>
      <c r="C43" s="16"/>
      <c r="D43" s="15"/>
      <c r="E43" s="12"/>
      <c r="F43" s="16"/>
      <c r="G43" s="16"/>
      <c r="H43" s="15"/>
      <c r="I43" s="17" t="str">
        <f aca="false">IF(OR(C43="",E43="",H43="Closed"),"",IF($B$4&gt;E43,"Overdue",""))</f>
        <v/>
      </c>
      <c r="J43" s="15"/>
      <c r="K43" s="12"/>
      <c r="L43" s="16"/>
    </row>
    <row r="44" customFormat="false" ht="15" hidden="false" customHeight="false" outlineLevel="0" collapsed="false">
      <c r="A44" s="14" t="n">
        <v>38</v>
      </c>
      <c r="B44" s="15"/>
      <c r="C44" s="16"/>
      <c r="D44" s="15"/>
      <c r="E44" s="12"/>
      <c r="F44" s="16"/>
      <c r="G44" s="16"/>
      <c r="H44" s="15"/>
      <c r="I44" s="17" t="str">
        <f aca="false">IF(OR(C44="",E44="",H44="Closed"),"",IF($B$4&gt;E44,"Overdue",""))</f>
        <v/>
      </c>
      <c r="J44" s="15"/>
      <c r="K44" s="12"/>
      <c r="L44" s="16"/>
    </row>
    <row r="45" customFormat="false" ht="15" hidden="false" customHeight="false" outlineLevel="0" collapsed="false">
      <c r="A45" s="14" t="n">
        <v>39</v>
      </c>
      <c r="B45" s="15"/>
      <c r="C45" s="16"/>
      <c r="D45" s="15"/>
      <c r="E45" s="12"/>
      <c r="F45" s="16"/>
      <c r="G45" s="16"/>
      <c r="H45" s="15"/>
      <c r="I45" s="17" t="str">
        <f aca="false">IF(OR(C45="",E45="",H45="Closed"),"",IF($B$4&gt;E45,"Overdue",""))</f>
        <v/>
      </c>
      <c r="J45" s="15"/>
      <c r="K45" s="12"/>
      <c r="L45" s="16"/>
    </row>
    <row r="46" customFormat="false" ht="15" hidden="false" customHeight="false" outlineLevel="0" collapsed="false">
      <c r="A46" s="14" t="n">
        <v>40</v>
      </c>
      <c r="B46" s="15"/>
      <c r="C46" s="16"/>
      <c r="D46" s="15"/>
      <c r="E46" s="12"/>
      <c r="F46" s="16"/>
      <c r="G46" s="16"/>
      <c r="H46" s="15"/>
      <c r="I46" s="17" t="str">
        <f aca="false">IF(OR(C46="",E46="",H46="Closed"),"",IF($B$4&gt;E46,"Overdue",""))</f>
        <v/>
      </c>
      <c r="J46" s="15"/>
      <c r="K46" s="12"/>
      <c r="L46" s="16"/>
    </row>
    <row r="48" customFormat="false" ht="15" hidden="false" customHeight="false" outlineLevel="0" collapsed="false">
      <c r="B48" s="3" t="s">
        <v>33</v>
      </c>
      <c r="C48" s="18" t="n">
        <f aca="false">COUNTIFS(C7:C46,"&lt;&gt;",H7:H46,"Open")</f>
        <v>0</v>
      </c>
    </row>
    <row r="49" customFormat="false" ht="15" hidden="false" customHeight="false" outlineLevel="0" collapsed="false">
      <c r="B49" s="3" t="s">
        <v>34</v>
      </c>
      <c r="C49" s="18" t="n">
        <f aca="false">COUNTIF(H7:H46,"Closed")</f>
        <v>0</v>
      </c>
    </row>
    <row r="50" customFormat="false" ht="15" hidden="false" customHeight="false" outlineLevel="0" collapsed="false">
      <c r="B50" s="3" t="s">
        <v>35</v>
      </c>
      <c r="C50" s="18" t="n">
        <f aca="false">COUNTIF(I7:I46,"Overdue")</f>
        <v>0</v>
      </c>
    </row>
    <row r="51" customFormat="false" ht="15" hidden="false" customHeight="false" outlineLevel="0" collapsed="false">
      <c r="B51" s="3" t="s">
        <v>36</v>
      </c>
      <c r="C51" s="18" t="n">
        <f aca="false">COUNTIFS(C7:C46,"&lt;&gt;",H7:H46,"")</f>
        <v>0</v>
      </c>
    </row>
    <row r="52" customFormat="false" ht="15" hidden="false" customHeight="false" outlineLevel="0" collapsed="false">
      <c r="B52" s="3" t="s">
        <v>37</v>
      </c>
      <c r="C52" s="18" t="n">
        <f aca="false">COUNTIFS(H7:H46,"Closed",L7:L46,"")</f>
        <v>0</v>
      </c>
    </row>
    <row r="54" customFormat="false" ht="15" hidden="false" customHeight="false" outlineLevel="0" collapsed="false">
      <c r="B54" s="19" t="s">
        <v>38</v>
      </c>
    </row>
  </sheetData>
  <dataValidations count="1">
    <dataValidation allowBlank="true" errorStyle="stop" operator="between" showDropDown="false" showErrorMessage="false" showInputMessage="false" sqref="H7:H46" type="list">
      <formula1>"Open,Closed"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24" hidden="false" customHeight="true" outlineLevel="0" collapsed="false">
      <c r="A1" s="9" t="s">
        <v>39</v>
      </c>
    </row>
    <row r="2" customFormat="false" ht="15" hidden="false" customHeight="false" outlineLevel="0" collapsed="false">
      <c r="A2" s="10" t="s">
        <v>40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5" customFormat="false" ht="30" hidden="false" customHeight="true" outlineLevel="0" collapsed="false">
      <c r="A5" s="13" t="s">
        <v>41</v>
      </c>
      <c r="B5" s="13" t="s">
        <v>42</v>
      </c>
      <c r="C5" s="13" t="s">
        <v>43</v>
      </c>
      <c r="D5" s="13" t="s">
        <v>44</v>
      </c>
      <c r="E5" s="13" t="s">
        <v>45</v>
      </c>
      <c r="F5" s="13" t="s">
        <v>46</v>
      </c>
    </row>
    <row r="6" customFormat="false" ht="15" hidden="false" customHeight="false" outlineLevel="0" collapsed="false">
      <c r="A6" s="12"/>
      <c r="B6" s="16"/>
      <c r="C6" s="15"/>
      <c r="D6" s="15"/>
      <c r="E6" s="15"/>
      <c r="F6" s="16"/>
    </row>
    <row r="7" customFormat="false" ht="15" hidden="false" customHeight="false" outlineLevel="0" collapsed="false">
      <c r="A7" s="12"/>
      <c r="B7" s="16"/>
      <c r="C7" s="15"/>
      <c r="D7" s="15"/>
      <c r="E7" s="15"/>
      <c r="F7" s="16"/>
    </row>
    <row r="8" customFormat="false" ht="15" hidden="false" customHeight="false" outlineLevel="0" collapsed="false">
      <c r="A8" s="12"/>
      <c r="B8" s="16"/>
      <c r="C8" s="15"/>
      <c r="D8" s="15"/>
      <c r="E8" s="15"/>
      <c r="F8" s="16"/>
    </row>
    <row r="9" customFormat="false" ht="15" hidden="false" customHeight="false" outlineLevel="0" collapsed="false">
      <c r="A9" s="12"/>
      <c r="B9" s="16"/>
      <c r="C9" s="15"/>
      <c r="D9" s="15"/>
      <c r="E9" s="15"/>
      <c r="F9" s="16"/>
    </row>
    <row r="10" customFormat="false" ht="15" hidden="false" customHeight="false" outlineLevel="0" collapsed="false">
      <c r="A10" s="12"/>
      <c r="B10" s="16"/>
      <c r="C10" s="15"/>
      <c r="D10" s="15"/>
      <c r="E10" s="15"/>
      <c r="F10" s="16"/>
    </row>
    <row r="11" customFormat="false" ht="15" hidden="false" customHeight="false" outlineLevel="0" collapsed="false">
      <c r="A11" s="12"/>
      <c r="B11" s="16"/>
      <c r="C11" s="15"/>
      <c r="D11" s="15"/>
      <c r="E11" s="15"/>
      <c r="F11" s="16"/>
    </row>
    <row r="12" customFormat="false" ht="15" hidden="false" customHeight="false" outlineLevel="0" collapsed="false">
      <c r="A12" s="12"/>
      <c r="B12" s="16"/>
      <c r="C12" s="15"/>
      <c r="D12" s="15"/>
      <c r="E12" s="15"/>
      <c r="F12" s="16"/>
    </row>
    <row r="13" customFormat="false" ht="15" hidden="false" customHeight="false" outlineLevel="0" collapsed="false">
      <c r="A13" s="12"/>
      <c r="B13" s="16"/>
      <c r="C13" s="15"/>
      <c r="D13" s="15"/>
      <c r="E13" s="15"/>
      <c r="F13" s="16"/>
    </row>
    <row r="14" customFormat="false" ht="15" hidden="false" customHeight="false" outlineLevel="0" collapsed="false">
      <c r="A14" s="12"/>
      <c r="B14" s="16"/>
      <c r="C14" s="15"/>
      <c r="D14" s="15"/>
      <c r="E14" s="15"/>
      <c r="F14" s="16"/>
    </row>
    <row r="15" customFormat="false" ht="15" hidden="false" customHeight="false" outlineLevel="0" collapsed="false">
      <c r="A15" s="12"/>
      <c r="B15" s="16"/>
      <c r="C15" s="15"/>
      <c r="D15" s="15"/>
      <c r="E15" s="15"/>
      <c r="F15" s="16"/>
    </row>
    <row r="16" customFormat="false" ht="15" hidden="false" customHeight="false" outlineLevel="0" collapsed="false">
      <c r="A16" s="12"/>
      <c r="B16" s="16"/>
      <c r="C16" s="15"/>
      <c r="D16" s="15"/>
      <c r="E16" s="15"/>
      <c r="F16" s="16"/>
    </row>
    <row r="17" customFormat="false" ht="15" hidden="false" customHeight="false" outlineLevel="0" collapsed="false">
      <c r="A17" s="12"/>
      <c r="B17" s="16"/>
      <c r="C17" s="15"/>
      <c r="D17" s="15"/>
      <c r="E17" s="15"/>
      <c r="F17" s="16"/>
    </row>
    <row r="18" customFormat="false" ht="15" hidden="false" customHeight="false" outlineLevel="0" collapsed="false">
      <c r="A18" s="12"/>
      <c r="B18" s="16"/>
      <c r="C18" s="15"/>
      <c r="D18" s="15"/>
      <c r="E18" s="15"/>
      <c r="F18" s="16"/>
    </row>
    <row r="19" customFormat="false" ht="15" hidden="false" customHeight="false" outlineLevel="0" collapsed="false">
      <c r="A19" s="12"/>
      <c r="B19" s="16"/>
      <c r="C19" s="15"/>
      <c r="D19" s="15"/>
      <c r="E19" s="15"/>
      <c r="F19" s="16"/>
    </row>
    <row r="20" customFormat="false" ht="15" hidden="false" customHeight="false" outlineLevel="0" collapsed="false">
      <c r="A20" s="12"/>
      <c r="B20" s="16"/>
      <c r="C20" s="15"/>
      <c r="D20" s="15"/>
      <c r="E20" s="15"/>
      <c r="F20" s="16"/>
    </row>
    <row r="21" customFormat="false" ht="15" hidden="false" customHeight="false" outlineLevel="0" collapsed="false">
      <c r="A21" s="12"/>
      <c r="B21" s="16"/>
      <c r="C21" s="15"/>
      <c r="D21" s="15"/>
      <c r="E21" s="15"/>
      <c r="F21" s="16"/>
    </row>
    <row r="22" customFormat="false" ht="15" hidden="false" customHeight="false" outlineLevel="0" collapsed="false">
      <c r="A22" s="12"/>
      <c r="B22" s="16"/>
      <c r="C22" s="15"/>
      <c r="D22" s="15"/>
      <c r="E22" s="15"/>
      <c r="F22" s="16"/>
    </row>
    <row r="23" customFormat="false" ht="15" hidden="false" customHeight="false" outlineLevel="0" collapsed="false">
      <c r="A23" s="12"/>
      <c r="B23" s="16"/>
      <c r="C23" s="15"/>
      <c r="D23" s="15"/>
      <c r="E23" s="15"/>
      <c r="F23" s="16"/>
    </row>
    <row r="24" customFormat="false" ht="15" hidden="false" customHeight="false" outlineLevel="0" collapsed="false">
      <c r="A24" s="12"/>
      <c r="B24" s="16"/>
      <c r="C24" s="15"/>
      <c r="D24" s="15"/>
      <c r="E24" s="15"/>
      <c r="F24" s="16"/>
    </row>
    <row r="25" customFormat="false" ht="15" hidden="false" customHeight="false" outlineLevel="0" collapsed="false">
      <c r="A25" s="12"/>
      <c r="B25" s="16"/>
      <c r="C25" s="15"/>
      <c r="D25" s="15"/>
      <c r="E25" s="15"/>
      <c r="F25" s="16"/>
    </row>
    <row r="26" customFormat="false" ht="15" hidden="false" customHeight="false" outlineLevel="0" collapsed="false">
      <c r="A26" s="12"/>
      <c r="B26" s="16"/>
      <c r="C26" s="15"/>
      <c r="D26" s="15"/>
      <c r="E26" s="15"/>
      <c r="F26" s="16"/>
    </row>
    <row r="27" customFormat="false" ht="15" hidden="false" customHeight="false" outlineLevel="0" collapsed="false">
      <c r="A27" s="12"/>
      <c r="B27" s="16"/>
      <c r="C27" s="15"/>
      <c r="D27" s="15"/>
      <c r="E27" s="15"/>
      <c r="F27" s="16"/>
    </row>
    <row r="28" customFormat="false" ht="15" hidden="false" customHeight="false" outlineLevel="0" collapsed="false">
      <c r="A28" s="12"/>
      <c r="B28" s="16"/>
      <c r="C28" s="15"/>
      <c r="D28" s="15"/>
      <c r="E28" s="15"/>
      <c r="F28" s="16"/>
    </row>
    <row r="29" customFormat="false" ht="15" hidden="false" customHeight="false" outlineLevel="0" collapsed="false">
      <c r="A29" s="12"/>
      <c r="B29" s="16"/>
      <c r="C29" s="15"/>
      <c r="D29" s="15"/>
      <c r="E29" s="15"/>
      <c r="F29" s="16"/>
    </row>
    <row r="30" customFormat="false" ht="15" hidden="false" customHeight="false" outlineLevel="0" collapsed="false">
      <c r="A30" s="12"/>
      <c r="B30" s="16"/>
      <c r="C30" s="15"/>
      <c r="D30" s="15"/>
      <c r="E30" s="15"/>
      <c r="F30" s="16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2026-10-10T17:59:48Z</dcterms:created>
  <dc:creator>openpyxl</dc:creator>
  <dc:description/>
  <dc:language>en-US</dc:language>
  <cp:lastModifiedBy/>
  <dcterms:modified xsi:type="dcterms:W3CDTF">2026-10-10T17:59:48Z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