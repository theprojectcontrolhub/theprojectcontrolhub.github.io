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51EAB63E-507B-48A6-A510-E9B8C4837EF3}" xr6:coauthVersionLast="47" xr6:coauthVersionMax="47" xr10:uidLastSave="{00000000-0000-0000-0000-000000000000}"/>
  <bookViews>
    <workbookView xWindow="-28920" yWindow="-45" windowWidth="29040" windowHeight="15720" tabRatio="776" activeTab="1" xr2:uid="{00000000-000D-0000-FFFF-FFFF00000000}"/>
  </bookViews>
  <sheets>
    <sheet name="Start" sheetId="1" r:id="rId1"/>
    <sheet name="Dashboard" sheetId="2" r:id="rId2"/>
    <sheet name="Checklist" sheetId="3" r:id="rId3"/>
    <sheet name="Health check" sheetId="4" r:id="rId4"/>
    <sheet name="Float trend" sheetId="5" r:id="rId5"/>
    <sheet name="Remaining days" sheetId="6" r:id="rId6"/>
    <sheet name="Actions" sheetId="7" r:id="rId7"/>
    <sheet name="Updates" sheetId="8" r:id="rId8"/>
    <sheet name="Setup" sheetId="9" r:id="rId9"/>
  </sheets>
  <definedNames>
    <definedName name="_xlnm.Print_Area" localSheetId="6">Actions!$A$1:$I$38</definedName>
    <definedName name="_xlnm.Print_Area" localSheetId="2">Checklist!$A$1:$J$44</definedName>
    <definedName name="_xlnm.Print_Area" localSheetId="1">Dashboard!$A$1:$P$84</definedName>
    <definedName name="_xlnm.Print_Area" localSheetId="4">'Float trend'!$A$1:$W$29</definedName>
    <definedName name="_xlnm.Print_Area" localSheetId="3">'Health check'!$A$1:$S$18</definedName>
    <definedName name="_xlnm.Print_Area" localSheetId="5">'Remaining days'!$A$1:$N$48</definedName>
    <definedName name="_xlnm.Print_Area" localSheetId="8">Setup!$A$1:$H$42</definedName>
    <definedName name="_xlnm.Print_Area" localSheetId="0">Start!$A$1:$F$49</definedName>
    <definedName name="_xlnm.Print_Area" localSheetId="7">Updates!$A$1:$L$20</definedName>
    <definedName name="_xlnm.Print_Titles" localSheetId="2">Checklist!$6:$6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<sst xmlns="http://schemas.openxmlformats.org/spreadsheetml/2006/main" count="640" uniqueCount="421">
  <si>
    <t>Schedule update checklist</t>
  </si>
  <si>
    <t>Keep the model honest while ten thousand things try to make it lie. Then report.</t>
  </si>
  <si>
    <t>The Project Control Hub · free template</t>
  </si>
  <si>
    <t>EVERY PERIOD, SAME DAY, SAME RULES · analyse, then act, then report</t>
  </si>
  <si>
    <t>Updates  →</t>
  </si>
  <si>
    <t>Add this update’s line: data date, the scheduling option, the forecast finish. Set its number in Setup.</t>
  </si>
  <si>
    <t>2 minutes</t>
  </si>
  <si>
    <t>Remaining days  →</t>
  </si>
  <si>
    <t>Every started activity: "how many days do you still need?" Write who said it and from which record.</t>
  </si>
  <si>
    <t>15 minutes</t>
  </si>
  <si>
    <t>Health check  →</t>
  </si>
  <si>
    <t>The ten-minute check: count open ends, hard constraints, negative and huge float, long lags, out-of-sequence work.</t>
  </si>
  <si>
    <t>10 minutes</t>
  </si>
  <si>
    <t>Float trend  →</t>
  </si>
  <si>
    <t>The float of your top ten activities. The sheet reads the slope and says when each one runs out.</t>
  </si>
  <si>
    <t>5 minutes</t>
  </si>
  <si>
    <t>Actions  →</t>
  </si>
  <si>
    <t>Every slipping path: an action, a person and a date.</t>
  </si>
  <si>
    <t>Checklist  →</t>
  </si>
  <si>
    <t>Work down the list. The verdict turns green when every must-do line is done. Then write the report.</t>
  </si>
  <si>
    <t>ASK THE OTHER QUESTION</t>
  </si>
  <si>
    <t>"How far along are you?"</t>
  </si>
  <si>
    <t>"About ninety percent." He said that last month too. Percent complete looks backwards.</t>
  </si>
  <si>
    <t>"How many days left?"</t>
  </si>
  <si>
    <t>"Eight. We are waiting on the glass." Now you have a forecast, and a reason you can go and fix.</t>
  </si>
  <si>
    <t>THREE PLACES THE ROT HIDES · Topic 17</t>
  </si>
  <si>
    <t>Progress override</t>
  </si>
  <si>
    <t>The default in most tools. Drops the logic when the site builds out of order. The finish is early, and fiction. Use retained logic.</t>
  </si>
  <si>
    <t>A hard constraint</t>
  </si>
  <si>
    <t>Does not protect the date. It protects you from hearing about it: the delay arrives and the float still says zero.</t>
  </si>
  <si>
    <t>An open end</t>
  </si>
  <si>
    <t>Nothing to push against, so the software hands out 180 days of imaginary float. Huge float is a broken gauge.</t>
  </si>
  <si>
    <t>HOW TO READ THE CELLS</t>
  </si>
  <si>
    <t>Yellow, blue text</t>
  </si>
  <si>
    <t>Yours to fill in: Setup, Updates, Remaining days, Health check, Float trend, Actions, and Status in the Checklist.</t>
  </si>
  <si>
    <t>White, black text</t>
  </si>
  <si>
    <t>A formula. Leave it alone and it keeps working. The Dashboard is all formulas.</t>
  </si>
  <si>
    <t>Red</t>
  </si>
  <si>
    <t>A must-do line still open, negative float, a finish that moved, a path without an owner.</t>
  </si>
  <si>
    <t>WHAT IS IN THIS FILE</t>
  </si>
  <si>
    <t>Dashboard</t>
  </si>
  <si>
    <t>The verdict, seven numbers, a paragraph, what is open, the float radar and three charts.</t>
  </si>
  <si>
    <t>Checklist</t>
  </si>
  <si>
    <t>29 lines in seven steps, each with why it matters and what the file shows.</t>
  </si>
  <si>
    <t>Health check</t>
  </si>
  <si>
    <t>Eight counts per update, against a target, with the action for each.</t>
  </si>
  <si>
    <t>Float trend</t>
  </si>
  <si>
    <t>Twenty activities, twelve updates: change, burn per update, when it runs out.</t>
  </si>
  <si>
    <t>Remaining days</t>
  </si>
  <si>
    <t>Days left from site, with the source, stuck percentages and finishes that moved.</t>
  </si>
  <si>
    <t>Actions</t>
  </si>
  <si>
    <t>Every slipping path: action, owner, date, and what is missing.</t>
  </si>
  <si>
    <t>Updates</t>
  </si>
  <si>
    <t>One line per update: data date, scheduling option, forecast finish, why it moved.</t>
  </si>
  <si>
    <t>Setup</t>
  </si>
  <si>
    <t>This update’s number, the contract date, the limits and the drop-down lists.</t>
  </si>
  <si>
    <t>EXPLAINED IN</t>
  </si>
  <si>
    <t>Schedule Topic 16 · Keeping the model honest</t>
  </si>
  <si>
    <t>Schedule Topic 17 · Updated perfectly, completely wrong</t>
  </si>
  <si>
    <t>Blank: twelve updates, twenty activities on the float trend, forty in Remaining days and thirty actions ready to fill. Start with update 1 in Updates. The example file shows update six of the example project.</t>
  </si>
  <si>
    <t>Free to use and adapt on your own projects. https://theprojectcontrolhub.com/</t>
  </si>
  <si>
    <t>Schedule update</t>
  </si>
  <si>
    <t>The Project Control Hub</t>
  </si>
  <si>
    <t>CHECKLIST</t>
  </si>
  <si>
    <t>HEALTH CHECKS FAILING</t>
  </si>
  <si>
    <t>FORECAST FINISH</t>
  </si>
  <si>
    <t>LATE AGAINST CONTRACT</t>
  </si>
  <si>
    <t>ALREADY LATE</t>
  </si>
  <si>
    <t>PATHS WITHOUT AN OWNER</t>
  </si>
  <si>
    <t>REMAINING-DAYS FLAGS</t>
  </si>
  <si>
    <t>BEFORE YOU ISSUE · open lines, must-do first</t>
  </si>
  <si>
    <t>No.</t>
  </si>
  <si>
    <t>Check</t>
  </si>
  <si>
    <t>Must</t>
  </si>
  <si>
    <t>Status</t>
  </si>
  <si>
    <t>Owner</t>
  </si>
  <si>
    <t>Evidence / note</t>
  </si>
  <si>
    <t>THE FLOAT RADAR · lowest float first</t>
  </si>
  <si>
    <t>Activity</t>
  </si>
  <si>
    <t>Float now</t>
  </si>
  <si>
    <t>Change</t>
  </si>
  <si>
    <t>Burn / upd.</t>
  </si>
  <si>
    <t>Reading</t>
  </si>
  <si>
    <t>THE SLOPE, NOT THE VALUE</t>
  </si>
  <si>
    <t>Lines above 60 days are cut off: anything that high belongs in the Health check, not on this chart. The finish chart shows the forecast finish minus the contract date in Setup.</t>
  </si>
  <si>
    <t>Everything on this page reads from Setup, Updates, Checklist, Health check, Float trend, Remaining days and Actions.</t>
  </si>
  <si>
    <t>Collect, enter, recalculate, check, analyse, act: then report. Same day, same rules, every period.</t>
  </si>
  <si>
    <t>Set the Status of each line. "What the file shows" reads the other sheets so you are not ticking from memory.</t>
  </si>
  <si>
    <t>Why it matters</t>
  </si>
  <si>
    <t>What the file shows</t>
  </si>
  <si>
    <t>Lesson</t>
  </si>
  <si>
    <t>Sort key</t>
  </si>
  <si>
    <t>1 · COLLECT · before you open the software</t>
  </si>
  <si>
    <t>1.1</t>
  </si>
  <si>
    <t>Same cut-off day and the same rules as every update</t>
  </si>
  <si>
    <t>A schedule updated when someone remembers is not a control system.</t>
  </si>
  <si>
    <t>Done</t>
  </si>
  <si>
    <t>Last working day of June, as every month</t>
  </si>
  <si>
    <t>Planner</t>
  </si>
  <si>
    <t>Topic 16</t>
  </si>
  <si>
    <t>1.2</t>
  </si>
  <si>
    <t>Actual dates from site records: diary, inspection sheets, delivery notes</t>
  </si>
  <si>
    <t>An actual invented in a car anchors every forecast downstream of it.</t>
  </si>
  <si>
    <t>1.3</t>
  </si>
  <si>
    <t>Every started activity asked "how many days do you still need?"</t>
  </si>
  <si>
    <t>Percent complete looks backwards. Remaining duration is the only number that can move a date.</t>
  </si>
  <si>
    <t>Twelve activities asked, in the Remaining days sheet</t>
  </si>
  <si>
    <t>1.4</t>
  </si>
  <si>
    <t>No percentage taken from a phone call; stuck percentages challenged</t>
  </si>
  <si>
    <t>Ninety percent for three months is not ninety percent complete. It is a problem nobody has described.</t>
  </si>
  <si>
    <t>Open</t>
  </si>
  <si>
    <t>Earthing came by phone. Switchgear and the outfall stuck: causes written down</t>
  </si>
  <si>
    <t>Site engineer</t>
  </si>
  <si>
    <t>1.5</t>
  </si>
  <si>
    <t>Subcontractor programmes received, and their scheduling option checked</t>
  </si>
  <si>
    <t>If they run progress override, they have been sending you optimistic fiction.</t>
  </si>
  <si>
    <t>Piling and electrical programmes in; both on retained logic</t>
  </si>
  <si>
    <t>2 · ENTER</t>
  </si>
  <si>
    <t>2.1</t>
  </si>
  <si>
    <t>Data date moved to the cut-off</t>
  </si>
  <si>
    <t>Everything before it is history, everything after it is forecast.</t>
  </si>
  <si>
    <t>2.2</t>
  </si>
  <si>
    <t>Actual starts and finishes entered for everything that moved</t>
  </si>
  <si>
    <t>An activity that finished on site but not in the model keeps pushing its successors.</t>
  </si>
  <si>
    <t>2.3</t>
  </si>
  <si>
    <t>No actual date later than the data date</t>
  </si>
  <si>
    <t>An actual in the future is a typing error, never progress.</t>
  </si>
  <si>
    <t>None found</t>
  </si>
  <si>
    <t>2.4</t>
  </si>
  <si>
    <t>Remaining durations entered, not only percent complete</t>
  </si>
  <si>
    <t>The software forecasts from remaining duration.</t>
  </si>
  <si>
    <t>3 · RECALCULATE</t>
  </si>
  <si>
    <t>3.1</t>
  </si>
  <si>
    <t>Scheduling option set to retained logic, not progress override</t>
  </si>
  <si>
    <t>Override deletes real dependencies and returns a date that is not real.</t>
  </si>
  <si>
    <t>Fixed</t>
  </si>
  <si>
    <t>Was progress override since update 1. Switched: the finish moved 21 days</t>
  </si>
  <si>
    <t>Topic 17</t>
  </si>
  <si>
    <t>3.2</t>
  </si>
  <si>
    <t>Recalculated and saved as a new version; last update kept to compare</t>
  </si>
  <si>
    <t>Without last month’s file there is no trend.</t>
  </si>
  <si>
    <t>Saved as update 6; update 5 kept</t>
  </si>
  <si>
    <t>3.3</t>
  </si>
  <si>
    <t>Baseline untouched</t>
  </si>
  <si>
    <t>Re-baselining without an approved change hides the slip you are meant to report.</t>
  </si>
  <si>
    <t>4 · HEALTH CHECK · ten minutes, before a word of the report</t>
  </si>
  <si>
    <t>4.1</t>
  </si>
  <si>
    <t>No open ends, apart from the first and the last activity</t>
  </si>
  <si>
    <t>An open end has nothing to push against, so it hands out imaginary float.</t>
  </si>
  <si>
    <t>Two found and linked. The compound removal: see 4.4</t>
  </si>
  <si>
    <t>4.2</t>
  </si>
  <si>
    <t>Every hard constraint justified in writing; none absorbing a delay</t>
  </si>
  <si>
    <t>A hard constraint does not protect the date. It protects you from hearing about it.</t>
  </si>
  <si>
    <t>Must-finish-on taken off the substation slab: float -10</t>
  </si>
  <si>
    <t>4.3</t>
  </si>
  <si>
    <t>Out-of-sequence progress reviewed, logic corrected where the site changed the order</t>
  </si>
  <si>
    <t>The default setting throws away the logic you spent weeks building.</t>
  </si>
  <si>
    <t>Three found; logic corrected by hand on all three</t>
  </si>
  <si>
    <t>4.4</t>
  </si>
  <si>
    <t>Unusually large float investigated, not reported as good news</t>
  </si>
  <si>
    <t>Treat it like a pressure gauge reading zero: a broken instrument.</t>
  </si>
  <si>
    <t>Temporary compound removal, 180 days: linked only to the finish</t>
  </si>
  <si>
    <t>4.5</t>
  </si>
  <si>
    <t>Long lags turned into activities with an owner</t>
  </si>
  <si>
    <t>Waiting that belongs to a person should have their name on it.</t>
  </si>
  <si>
    <t>Three over 10 days. Two are curing; one is an approval</t>
  </si>
  <si>
    <t>5 · ANALYSE</t>
  </si>
  <si>
    <t>5.1</t>
  </si>
  <si>
    <t>Float on the top ten compared with last update: the change, not the value</t>
  </si>
  <si>
    <t>Today’s float says where you stand. The slope says where you are going.</t>
  </si>
  <si>
    <t>Ten compared in the Float trend sheet</t>
  </si>
  <si>
    <t>5.2</t>
  </si>
  <si>
    <t>Every activity burning float named, with when it runs out</t>
  </si>
  <si>
    <t>The facade burns five days a month. In January it looked green; the trend already knew.</t>
  </si>
  <si>
    <t>Raft pours, commissioning, handover and the outfall named</t>
  </si>
  <si>
    <t>5.3</t>
  </si>
  <si>
    <t>Every activity with negative float listed as already late</t>
  </si>
  <si>
    <t>Negative float is not a warning that you might be late. You are.</t>
  </si>
  <si>
    <t>Switchgear 4 days, substation slab 10 days</t>
  </si>
  <si>
    <t>5.4</t>
  </si>
  <si>
    <t>Forecast finish compared with last update and with the contract; every move explained</t>
  </si>
  <si>
    <t>A finish that moves without a reason is a finish nobody understands.</t>
  </si>
  <si>
    <t>Retained logic and the slab constraint: 21 days</t>
  </si>
  <si>
    <t>5.5</t>
  </si>
  <si>
    <t>Delay stated in time as well as money</t>
  </si>
  <si>
    <t>Earned schedule turns the cost report into months behind (Earned value calculator).</t>
  </si>
  <si>
    <t>Commercial</t>
  </si>
  <si>
    <t>6 · ACT</t>
  </si>
  <si>
    <t>6.1</t>
  </si>
  <si>
    <t>Every slipping path has an action, a person and a date</t>
  </si>
  <si>
    <t>Analysis that ends without an owner is project journalism.</t>
  </si>
  <si>
    <t>Not done</t>
  </si>
  <si>
    <t>Two paths still without an owner</t>
  </si>
  <si>
    <t>Project manager</t>
  </si>
  <si>
    <t>6.2</t>
  </si>
  <si>
    <t>Recovery options tested in a copy, not in the live update</t>
  </si>
  <si>
    <t>The update records what is true; the copy tests what could be.</t>
  </si>
  <si>
    <t>Two-gang slab option tested in a copy: 6 of the 10 days back</t>
  </si>
  <si>
    <t>6.3</t>
  </si>
  <si>
    <t>Decisions needed from the client written as requests, with a date</t>
  </si>
  <si>
    <t>A decision nobody asked for in writing is a decision nobody owes you.</t>
  </si>
  <si>
    <t>N/A</t>
  </si>
  <si>
    <t>None needed this month</t>
  </si>
  <si>
    <t>7 · REPORT · last, not instead</t>
  </si>
  <si>
    <t>7.1</t>
  </si>
  <si>
    <t>Report written after the analysis, not instead of it</t>
  </si>
  <si>
    <t>Reporting without analysis is describing the accident instead of steering away from it.</t>
  </si>
  <si>
    <t>Draft written after the float review; not issued</t>
  </si>
  <si>
    <t>7.2</t>
  </si>
  <si>
    <t>First paragraph: how far the finish moved, why, and what is being done</t>
  </si>
  <si>
    <t>Most readers stop after the first paragraph.</t>
  </si>
  <si>
    <t>7.3</t>
  </si>
  <si>
    <t>Issued on the same working day after the cut-off as every period</t>
  </si>
  <si>
    <t>A late report is read as a hidden problem.</t>
  </si>
  <si>
    <t>7.4</t>
  </si>
  <si>
    <t>Schedule file, this checklist and the report archived together</t>
  </si>
  <si>
    <t>Next month’s comparison starts here.</t>
  </si>
  <si>
    <t>Done: checked, nothing wrong · Fixed: found and corrected · Open: found, not corrected · Not done: not checked yet · N/A. Must-do lines need Done or Fixed.</t>
  </si>
  <si>
    <t>The ten-minute check, every update, before a word of the report. Count what you find.</t>
  </si>
  <si>
    <t>Type the count for each update in its column. Nobody has ever run this list on a live project and found nothing.</t>
  </si>
  <si>
    <t>How to find it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</si>
  <si>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</si>
  <si>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</si>
  <si>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</si>
  <si>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</si>
  <si>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</si>
  <si>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</si>
  <si>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</si>
  <si>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</si>
  <si>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</si>
  <si>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</si>
  <si>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</si>
  <si>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</si>
  <si>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This update</t>
  </si>
  <si>
    <t>Last update</t>
  </si>
  <si>
    <t>Target</t>
  </si>
  <si>
    <t>Result</t>
  </si>
  <si>
    <t>Open ends</t>
  </si>
  <si>
    <t>Activities with no predecessor or no successor, apart from the first and the last. In P6: filter on predecessors / successors empty.</t>
  </si>
  <si>
    <t>Hard constraints without a written reason</t>
  </si>
  <si>
    <t>"Must finish on", "mandatory start / finish" and the like, with no note saying why. Each one stops a delay from travelling.</t>
  </si>
  <si>
    <t>Activities with negative float</t>
  </si>
  <si>
    <t>Total float below zero. The deadline has already passed the work.</t>
  </si>
  <si>
    <t>Float above the Setup limit</t>
  </si>
  <si>
    <t>Total float above the "suspicious" value in Setup. Usually a missing link, not good news.</t>
  </si>
  <si>
    <t>Lags longer than the Setup limit</t>
  </si>
  <si>
    <t>Long lags hide work that belongs to somebody: curing, approvals, deliveries.</t>
  </si>
  <si>
    <t>Out-of-sequence progress</t>
  </si>
  <si>
    <t>Started before its predecessor finished. Override drops the logic; retained logic keeps it.</t>
  </si>
  <si>
    <t>Actual dates after the data date</t>
  </si>
  <si>
    <t>An actual start or finish in the future. Always a typing error, never progress.</t>
  </si>
  <si>
    <t>Started activities with no remaining duration from site</t>
  </si>
  <si>
    <t>Anything in progress where nobody was asked "how many days do you still need?"</t>
  </si>
  <si>
    <t>FOUND THIS UPDATE</t>
  </si>
  <si>
    <t>The limits for "suspicious float" and "long lags" are in Setup. The highlighted column is the update in Setup. Retained logic or progress override is recorded per update in Updates.</t>
  </si>
  <si>
    <t>Float is a radar, not a number: the change since last update, and the update it runs out.</t>
  </si>
  <si>
    <t>Type the total float of your ten (or twenty) most important activities at every update. Read the slope, not the value.</t>
  </si>
  <si>
    <t>ID</t>
  </si>
  <si>
    <t>Path</t>
  </si>
  <si>
    <t>Burn per update</t>
  </si>
  <si>
    <t>Runs out in (updates)</t>
  </si>
  <si>
    <t>Note</t>
  </si>
  <si>
    <t>A13</t>
  </si>
  <si>
    <t>Switchgear delivery and installation</t>
  </si>
  <si>
    <t>Procurement</t>
  </si>
  <si>
    <t>Five days an update, every update. In February it looked fine; the slope already knew.</t>
  </si>
  <si>
    <t>A11</t>
  </si>
  <si>
    <t>Substation slab</t>
  </si>
  <si>
    <t>Substation</t>
  </si>
  <si>
    <t>Pinned by a must-finish-on from update 3 to 5. Taken off in update 6: the ten days were there all along.</t>
  </si>
  <si>
    <t>A10</t>
  </si>
  <si>
    <t>Raft concrete pours</t>
  </si>
  <si>
    <t>Follows the raft rebar.</t>
  </si>
  <si>
    <t>A15</t>
  </si>
  <si>
    <t>Cable pulling and terminations</t>
  </si>
  <si>
    <t>A16</t>
  </si>
  <si>
    <t>Testing and commissioning</t>
  </si>
  <si>
    <t>A17</t>
  </si>
  <si>
    <t>Handover documents</t>
  </si>
  <si>
    <t>Site</t>
  </si>
  <si>
    <t>A18</t>
  </si>
  <si>
    <t>Earthing and lightning protection</t>
  </si>
  <si>
    <t>A19</t>
  </si>
  <si>
    <t>Drainage connection to the outfall</t>
  </si>
  <si>
    <t>Stuck at 90% for three updates, waiting for the discharge consent. This update the days left were asked for: -22.</t>
  </si>
  <si>
    <t>A20</t>
  </si>
  <si>
    <t>Boundary fence and gates</t>
  </si>
  <si>
    <t>A21</t>
  </si>
  <si>
    <t>Temporary compound removal</t>
  </si>
  <si>
    <t>Linked only to the finish milestone: 180 days of float nobody can use.</t>
  </si>
  <si>
    <t>Burn per update = the float lost per update over the window in Setup. "Runs out in" divides the float left by that burn. The highlighted column is the update in Setup.</t>
  </si>
  <si>
    <t>Ask "how many days do you still need?", not "how far along are you?".</t>
  </si>
  <si>
    <t>One line per started activity. Write who gave the figure and from which record. The flags fill themselves.</t>
  </si>
  <si>
    <t>P6 ID</t>
  </si>
  <si>
    <t>Who gave the figure</t>
  </si>
  <si>
    <t>Source</t>
  </si>
  <si>
    <t>% two updates ago</t>
  </si>
  <si>
    <t>% last update</t>
  </si>
  <si>
    <t>% now</t>
  </si>
  <si>
    <t>Days left, last update</t>
  </si>
  <si>
    <t>Days left, now</t>
  </si>
  <si>
    <t>Should be left now</t>
  </si>
  <si>
    <t>Finish moved (working days)</t>
  </si>
  <si>
    <t>Cause: what are they waiting for?</t>
  </si>
  <si>
    <t>Flag</t>
  </si>
  <si>
    <t>✔</t>
  </si>
  <si>
    <t>Raft concrete pours, bay 3</t>
  </si>
  <si>
    <t>Site diary</t>
  </si>
  <si>
    <t>Two pours left; cube results on the last.</t>
  </si>
  <si>
    <t>Buyer</t>
  </si>
  <si>
    <t>Delivery note</t>
  </si>
  <si>
    <t>"Eight more days of testing. We are waiting on the factory test certificate."</t>
  </si>
  <si>
    <t>Inspection sheet</t>
  </si>
  <si>
    <t>Electrical sub</t>
  </si>
  <si>
    <t>Phone call</t>
  </si>
  <si>
    <t>"About eighty percent." Not yet checked against the inspection sheets.</t>
  </si>
  <si>
    <t>Engineer</t>
  </si>
  <si>
    <t>"Eight days, once we have the consent." Ninety percent for three updates.</t>
  </si>
  <si>
    <t>A12</t>
  </si>
  <si>
    <t>Drainage and ducts</t>
  </si>
  <si>
    <t>Survey</t>
  </si>
  <si>
    <t>Finished 24 June.</t>
  </si>
  <si>
    <t>Groundworks</t>
  </si>
  <si>
    <t>A22</t>
  </si>
  <si>
    <t>Access road surfacing</t>
  </si>
  <si>
    <t>A23</t>
  </si>
  <si>
    <t>Transformer bund walls</t>
  </si>
  <si>
    <t>Concrete sub</t>
  </si>
  <si>
    <t>One wall re-poured after a failed cube.</t>
  </si>
  <si>
    <t>A24</t>
  </si>
  <si>
    <t>Control building fit-out</t>
  </si>
  <si>
    <t>Timesheet</t>
  </si>
  <si>
    <t>A25</t>
  </si>
  <si>
    <t>Started 22 June after the raft bay 2 pour.</t>
  </si>
  <si>
    <t>A26</t>
  </si>
  <si>
    <t>Landscaping</t>
  </si>
  <si>
    <t>Started 29 June.</t>
  </si>
  <si>
    <t>"Should be left now" takes the working days since the last update (Setup) off last update’s figure. Finish moved = days left now minus that (it can be more than the period when work stood still).</t>
  </si>
  <si>
    <t>Every slipping path ends in a person and a date. Analysis without an owner is project journalism.</t>
  </si>
  <si>
    <t>One line per slipping path. The flag says what is missing.</t>
  </si>
  <si>
    <t>Slipping path / activity</t>
  </si>
  <si>
    <t>How bad</t>
  </si>
  <si>
    <t>Action</t>
  </si>
  <si>
    <t>Due</t>
  </si>
  <si>
    <t>Done on</t>
  </si>
  <si>
    <t>Days to due</t>
  </si>
  <si>
    <t>4 days late</t>
  </si>
  <si>
    <t>Get the factory test date in writing; ask for a part delivery of the two incomers</t>
  </si>
  <si>
    <t>10 days late</t>
  </si>
  <si>
    <t>Second concrete gang for the slab; pour in two halves</t>
  </si>
  <si>
    <t>Site manager</t>
  </si>
  <si>
    <t>2 days float, burning 2 an update</t>
  </si>
  <si>
    <t>Commission in two stages: incomers first</t>
  </si>
  <si>
    <t>2 days float</t>
  </si>
  <si>
    <t>Book the pump for both remaining pours this week</t>
  </si>
  <si>
    <t>Start the O&amp;M manuals now, not after commissioning</t>
  </si>
  <si>
    <t>3 days float, lost 22 this update</t>
  </si>
  <si>
    <t>Chase the discharge consent; ask for a conditional consent for the connection</t>
  </si>
  <si>
    <t>180 days float: linked only to the finish</t>
  </si>
  <si>
    <t>Link it to the final account and the handover</t>
  </si>
  <si>
    <t>Days to due count from the data date of the update in Setup.</t>
  </si>
  <si>
    <t>One line per update: the data date, the setting, the forecast finish and why it moved.</t>
  </si>
  <si>
    <t>Add the line before you start the checklist. The finish movement and the health counts work themselves out.</t>
  </si>
  <si>
    <t>Update</t>
  </si>
  <si>
    <t>Data date</t>
  </si>
  <si>
    <t>Same cut-off rule?</t>
  </si>
  <si>
    <t>Scheduling option</t>
  </si>
  <si>
    <t>Forecast finish</t>
  </si>
  <si>
    <t>Days late vs contract</t>
  </si>
  <si>
    <t>Moved since last update (days)</t>
  </si>
  <si>
    <t>Health checks failing</t>
  </si>
  <si>
    <t>Issued on</t>
  </si>
  <si>
    <t>Working days to issue</t>
  </si>
  <si>
    <t>Why the finish moved</t>
  </si>
  <si>
    <t>Y</t>
  </si>
  <si>
    <t>First update. On programme.</t>
  </si>
  <si>
    <t>South piling two days late; float absorbed it.</t>
  </si>
  <si>
    <t>Rock at P17 and P18; the raft rebar at about 16 hours a tonne. Must-finish-on put on the substation slab.</t>
  </si>
  <si>
    <t>N</t>
  </si>
  <si>
    <t>Cut-off moved to 6 May to "include the pour". Issued late.</t>
  </si>
  <si>
    <t>Switchgear lead time still not confirmed in writing.</t>
  </si>
  <si>
    <t>Retained logic</t>
  </si>
  <si>
    <t>Switched to retained logic and took the must-finish-on off the substation slab: 21 days later. It stopped hiding.</t>
  </si>
  <si>
    <t>The row with the teal border is the update in Setup. Days are calendar days; working days to issue count from the data date.</t>
  </si>
  <si>
    <t>Which update this is, the contract date, and the limits the health check uses.</t>
  </si>
  <si>
    <t>Change the update number every period, after you add its line in Updates. Everything else reads from here.</t>
  </si>
  <si>
    <t>Project</t>
  </si>
  <si>
    <t>Example project</t>
  </si>
  <si>
    <t>This update (number)</t>
  </si>
  <si>
    <t>The row in Updates that this checklist is for.</t>
  </si>
  <si>
    <t>Data date (from Updates)</t>
  </si>
  <si>
    <t>Type it in Updates, on the row of this update.</t>
  </si>
  <si>
    <t>Contract completion date</t>
  </si>
  <si>
    <t>The date the forecast finish is measured against.</t>
  </si>
  <si>
    <t>Cut-off rule</t>
  </si>
  <si>
    <t>Last working day of the month</t>
  </si>
  <si>
    <t>Same day, same rules, every period (Topic 16).</t>
  </si>
  <si>
    <t>Float this high is suspicious (days)</t>
  </si>
  <si>
    <t>Pick a value well above any honest float on your job. Topic 17: 180 days on temporary works is a missing link.</t>
  </si>
  <si>
    <t>Lags longer than this need an owner (days)</t>
  </si>
  <si>
    <t>Curing can be a lag. An approval cannot.</t>
  </si>
  <si>
    <t>Measure the float burn over (updates)</t>
  </si>
  <si>
    <t>The slope is the average loss per update over this many updates.</t>
  </si>
  <si>
    <t>Warn when float runs out within (updates)</t>
  </si>
  <si>
    <t>Turns the Float trend amber before it turns red.</t>
  </si>
  <si>
    <t>Scheduling software</t>
  </si>
  <si>
    <t>Primavera P6</t>
  </si>
  <si>
    <t>Working days since the last update</t>
  </si>
  <si>
    <t>The Remaining days sheet uses it to see whether a finish moved.</t>
  </si>
  <si>
    <t>LISTS · the drop-downs read from here</t>
  </si>
  <si>
    <t>Source of the figure</t>
  </si>
  <si>
    <t>Owners (roles)</t>
  </si>
  <si>
    <t>Actual dates</t>
  </si>
  <si>
    <t>Test certificate</t>
  </si>
  <si>
    <t>Design manager</t>
  </si>
  <si>
    <t>Memory</t>
  </si>
  <si>
    <t>Piling sub</t>
  </si>
  <si>
    <t>Rebar sub</t>
  </si>
  <si>
    <t>Status: Done = checked, nothing wrong. Fixed = something was wrong and is now corrected. Open = found, not yet corrected. Not done = not checked yet. Must-do items need Done or Fixed before the update goes out.</t>
  </si>
  <si>
    <t>All actual dates from the daily reports. The one phone-call figure (earthing) is a percentage, not an actual date: see 1.4</t>
  </si>
  <si>
    <t>6 days float, burning 2 an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</si>
</sst>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d\ mmm\ yyyy"/>
    <numFmt numFmtId="166" formatCode="d\ mmm\ yy"/>
    <numFmt numFmtId="167" formatCode="\+0;[Red]\-0;0"/>
    <numFmt numFmtId="168" formatCode="\+0;\-0;0"/>
    <numFmt numFmtId="169" formatCode="0;[Red]\-0"/>
    <numFmt numFmtId="170" formatCode="0.0;[Green]\-0.0;0"/>
    <numFmt numFmtId="171" formatCode="0.0"/>
    <numFmt numFmtId="172" formatCode="0.000"/>
    <numFmt numFmtId="173" formatCode="0.0;\-0.0;0"/>
  </numFmts>
  <fonts count="41" x14ac:knownFonts="1">
    <font>
      <sz val="11"/>
      <color theme="1"/>
      <name val="Calibri"/>
      <family val="2"/>
      <scheme val="minor"/>
    </font>
    <font>
      <b/>
      <sz val="18"/>
      <color rgb="FF0F172A"/>
      <name val="Arial"/>
    </font>
    <font>
      <sz val="10"/>
      <color rgb="FF64748B"/>
      <name val="Arial"/>
    </font>
    <font>
      <i/>
      <sz val="9.5"/>
      <color rgb="FF1D4ED8"/>
      <name val="Arial"/>
    </font>
    <font>
      <b/>
      <sz val="10"/>
      <color rgb="FF0F172A"/>
      <name val="Arial"/>
    </font>
    <font>
      <sz val="10"/>
      <color rgb="FF1D4ED8"/>
      <name val="Arial"/>
    </font>
    <font>
      <sz val="9"/>
      <color rgb="FF64748B"/>
      <name val="Arial"/>
    </font>
    <font>
      <sz val="10"/>
      <color rgb="FF0F172A"/>
      <name val="Arial"/>
    </font>
    <font>
      <b/>
      <sz val="9.5"/>
      <color rgb="FF0F766E"/>
      <name val="Arial"/>
    </font>
    <font>
      <b/>
      <sz val="9.5"/>
      <color rgb="FFFFFFFF"/>
      <name val="Arial"/>
    </font>
    <font>
      <b/>
      <sz val="9"/>
      <color rgb="FF0F766E"/>
      <name val="Arial"/>
    </font>
    <font>
      <b/>
      <sz val="10"/>
      <color rgb="FF0F766E"/>
      <name val="Arial"/>
    </font>
    <font>
      <i/>
      <sz val="9"/>
      <color rgb="FF64748B"/>
      <name val="Arial"/>
    </font>
    <font>
      <sz val="8"/>
      <color rgb="FF94A3B8"/>
      <name val="Arial"/>
    </font>
    <font>
      <b/>
      <sz val="13"/>
      <color rgb="FFFFFFFF"/>
      <name val="Arial"/>
    </font>
    <font>
      <b/>
      <sz val="10.5"/>
      <color rgb="FF0F766E"/>
      <name val="Arial"/>
    </font>
    <font>
      <b/>
      <sz val="9"/>
      <color rgb="FFBE123C"/>
      <name val="Arial"/>
    </font>
    <font>
      <sz val="9"/>
      <color rgb="FF1D4ED8"/>
      <name val="Arial"/>
    </font>
    <font>
      <u/>
      <sz val="9"/>
      <color rgb="FF1D4ED8"/>
      <name val="Arial"/>
    </font>
    <font>
      <b/>
      <sz val="20"/>
      <color rgb="FFFFFFFF"/>
      <name val="Arial"/>
    </font>
    <font>
      <sz val="10.5"/>
      <color rgb="FF94A3B8"/>
      <name val="Arial"/>
    </font>
    <font>
      <b/>
      <sz val="9"/>
      <color rgb="FF5EEAD4"/>
      <name val="Arial"/>
    </font>
    <font>
      <b/>
      <sz val="15"/>
      <color rgb="FFFFFFFF"/>
      <name val="Arial"/>
    </font>
    <font>
      <b/>
      <sz val="8"/>
      <color rgb="FF0F766E"/>
      <name val="Arial"/>
    </font>
    <font>
      <b/>
      <sz val="22"/>
      <color rgb="FF0F172A"/>
      <name val="Arial"/>
    </font>
    <font>
      <sz val="8"/>
      <color rgb="FF475569"/>
      <name val="Arial"/>
    </font>
    <font>
      <b/>
      <sz val="8"/>
      <color rgb="FFB45309"/>
      <name val="Arial"/>
    </font>
    <font>
      <b/>
      <sz val="8"/>
      <color rgb="FF334155"/>
      <name val="Arial"/>
    </font>
    <font>
      <b/>
      <sz val="15"/>
      <color rgb="FF0F172A"/>
      <name val="Arial"/>
    </font>
    <font>
      <b/>
      <sz val="8"/>
      <color rgb="FFBE123C"/>
      <name val="Arial"/>
    </font>
    <font>
      <sz val="10.5"/>
      <color rgb="FF0F172A"/>
      <name val="Arial"/>
    </font>
    <font>
      <sz val="9.5"/>
      <color rgb="FF0F172A"/>
      <name val="Arial"/>
    </font>
    <font>
      <b/>
      <sz val="24"/>
      <color rgb="FFFFFFFF"/>
      <name val="Arial"/>
    </font>
    <font>
      <sz val="11"/>
      <color rgb="FFCBD5E1"/>
      <name val="Arial"/>
    </font>
    <font>
      <b/>
      <sz val="9.5"/>
      <color rgb="FF5EEAD4"/>
      <name val="Arial"/>
    </font>
    <font>
      <b/>
      <sz val="16"/>
      <color rgb="FFFFFFFF"/>
      <name val="Arial"/>
    </font>
    <font>
      <b/>
      <u/>
      <sz val="10"/>
      <color rgb="FF1D4ED8"/>
      <name val="Arial"/>
    </font>
    <font>
      <b/>
      <sz val="10"/>
      <color rgb="FFBE123C"/>
      <name val="Arial"/>
    </font>
    <font>
      <b/>
      <sz val="10"/>
      <color rgb="FF047857"/>
      <name val="Arial"/>
    </font>
    <font>
      <sz val="10"/>
      <name val="Arial"/>
    </font>
    <font>
      <u/>
      <sz val="10"/>
      <color rgb="FF1D4ED8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CCFBF1"/>
      </patternFill>
    </fill>
    <fill>
      <patternFill patternType="solid">
        <fgColor rgb="FFF0FDFA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FFE4E6"/>
      </patternFill>
    </fill>
    <fill>
      <patternFill patternType="solid">
        <fgColor rgb="FF0F766E"/>
      </patternFill>
    </fill>
    <fill>
      <patternFill patternType="solid">
        <fgColor rgb="FFB45309"/>
      </patternFill>
    </fill>
    <fill>
      <patternFill patternType="solid">
        <fgColor rgb="FF047857"/>
      </patternFill>
    </fill>
    <fill>
      <patternFill patternType="solid">
        <fgColor rgb="FFD1FAE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14B8A6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ck">
        <color rgb="FF0F766E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334155"/>
      </top>
      <bottom/>
      <diagonal/>
    </border>
    <border>
      <left/>
      <right/>
      <top style="thick">
        <color rgb="FFBE123C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32" fillId="3" borderId="0" xfId="0" applyFont="1" applyFill="1" applyProtection="1">
      <protection locked="0"/>
    </xf>
    <xf numFmtId="0" fontId="33" fillId="3" borderId="0" xfId="0" applyFont="1" applyFill="1" applyProtection="1">
      <protection locked="0"/>
    </xf>
    <xf numFmtId="0" fontId="11" fillId="0" borderId="0" xfId="0" applyFont="1" applyAlignment="1" applyProtection="1">
      <alignment vertical="top"/>
      <protection locked="0"/>
    </xf>
    <xf numFmtId="0" fontId="35" fillId="3" borderId="10" xfId="0" applyFont="1" applyFill="1" applyBorder="1" applyAlignment="1" applyProtection="1">
      <alignment horizontal="center" vertical="center"/>
      <protection locked="0"/>
    </xf>
    <xf numFmtId="0" fontId="36" fillId="0" borderId="10" xfId="0" applyFont="1" applyBorder="1" applyAlignment="1" applyProtection="1">
      <alignment vertical="center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35" fillId="9" borderId="10" xfId="0" applyFont="1" applyFill="1" applyBorder="1" applyAlignment="1" applyProtection="1">
      <alignment horizontal="center" vertical="center"/>
      <protection locked="0"/>
    </xf>
    <xf numFmtId="0" fontId="35" fillId="10" borderId="10" xfId="0" applyFont="1" applyFill="1" applyBorder="1" applyAlignment="1" applyProtection="1">
      <alignment horizontal="center" vertical="center"/>
      <protection locked="0"/>
    </xf>
    <xf numFmtId="0" fontId="35" fillId="11" borderId="10" xfId="0" applyFont="1" applyFill="1" applyBorder="1" applyAlignment="1" applyProtection="1">
      <alignment horizontal="center" vertical="center"/>
      <protection locked="0"/>
    </xf>
    <xf numFmtId="0" fontId="37" fillId="8" borderId="2" xfId="0" applyFont="1" applyFill="1" applyBorder="1" applyProtection="1">
      <protection locked="0"/>
    </xf>
    <xf numFmtId="0" fontId="7" fillId="0" borderId="0" xfId="0" applyFont="1" applyAlignment="1" applyProtection="1">
      <alignment vertical="top" wrapText="1"/>
      <protection locked="0"/>
    </xf>
    <xf numFmtId="0" fontId="38" fillId="12" borderId="2" xfId="0" applyFont="1" applyFill="1" applyBorder="1" applyProtection="1">
      <protection locked="0"/>
    </xf>
    <xf numFmtId="0" fontId="11" fillId="5" borderId="2" xfId="0" applyFont="1" applyFill="1" applyBorder="1" applyProtection="1"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39" fillId="0" borderId="2" xfId="0" applyFont="1" applyBorder="1" applyProtection="1">
      <protection locked="0"/>
    </xf>
    <xf numFmtId="0" fontId="36" fillId="0" borderId="0" xfId="0" applyFont="1" applyProtection="1">
      <protection locked="0"/>
    </xf>
    <xf numFmtId="0" fontId="40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34" fillId="3" borderId="0" xfId="0" applyFont="1" applyFill="1" applyProtection="1"/>
    <xf numFmtId="0" fontId="19" fillId="3" borderId="0" xfId="0" applyFont="1" applyFill="1" applyProtection="1">
      <protection locked="0"/>
    </xf>
    <xf numFmtId="0" fontId="20" fillId="3" borderId="0" xfId="0" applyFont="1" applyFill="1" applyProtection="1">
      <protection locked="0"/>
    </xf>
    <xf numFmtId="0" fontId="23" fillId="5" borderId="0" xfId="0" applyFont="1" applyFill="1" applyAlignment="1" applyProtection="1">
      <alignment horizontal="center" wrapText="1"/>
      <protection locked="0"/>
    </xf>
    <xf numFmtId="0" fontId="26" fillId="6" borderId="0" xfId="0" applyFont="1" applyFill="1" applyAlignment="1" applyProtection="1">
      <alignment horizontal="center" wrapText="1"/>
      <protection locked="0"/>
    </xf>
    <xf numFmtId="0" fontId="27" fillId="7" borderId="0" xfId="0" applyFont="1" applyFill="1" applyAlignment="1" applyProtection="1">
      <alignment horizontal="center" wrapText="1"/>
      <protection locked="0"/>
    </xf>
    <xf numFmtId="0" fontId="29" fillId="8" borderId="0" xfId="0" applyFont="1" applyFill="1" applyAlignment="1" applyProtection="1">
      <alignment horizontal="center" wrapText="1"/>
      <protection locked="0"/>
    </xf>
    <xf numFmtId="1" fontId="24" fillId="5" borderId="0" xfId="0" applyNumberFormat="1" applyFont="1" applyFill="1" applyAlignment="1" applyProtection="1">
      <alignment horizontal="center" vertical="center"/>
      <protection locked="0"/>
    </xf>
    <xf numFmtId="1" fontId="24" fillId="6" borderId="0" xfId="0" applyNumberFormat="1" applyFont="1" applyFill="1" applyAlignment="1" applyProtection="1">
      <alignment horizontal="center" vertical="center"/>
      <protection locked="0"/>
    </xf>
    <xf numFmtId="166" fontId="28" fillId="7" borderId="0" xfId="0" applyNumberFormat="1" applyFont="1" applyFill="1" applyAlignment="1" applyProtection="1">
      <alignment horizontal="center" vertical="center"/>
      <protection locked="0"/>
    </xf>
    <xf numFmtId="168" fontId="24" fillId="8" borderId="0" xfId="0" applyNumberFormat="1" applyFont="1" applyFill="1" applyAlignment="1" applyProtection="1">
      <alignment horizontal="center" vertical="center"/>
      <protection locked="0"/>
    </xf>
    <xf numFmtId="1" fontId="24" fillId="8" borderId="0" xfId="0" applyNumberFormat="1" applyFont="1" applyFill="1" applyAlignment="1" applyProtection="1">
      <alignment horizontal="center" vertical="center"/>
      <protection locked="0"/>
    </xf>
    <xf numFmtId="0" fontId="25" fillId="5" borderId="0" xfId="0" applyFont="1" applyFill="1" applyAlignment="1" applyProtection="1">
      <alignment horizontal="center" vertical="top" wrapText="1"/>
      <protection locked="0"/>
    </xf>
    <xf numFmtId="0" fontId="25" fillId="6" borderId="0" xfId="0" applyFont="1" applyFill="1" applyAlignment="1" applyProtection="1">
      <alignment horizontal="center" vertical="top" wrapText="1"/>
      <protection locked="0"/>
    </xf>
    <xf numFmtId="0" fontId="25" fillId="7" borderId="0" xfId="0" applyFont="1" applyFill="1" applyAlignment="1" applyProtection="1">
      <alignment horizontal="center" vertical="top" wrapText="1"/>
      <protection locked="0"/>
    </xf>
    <xf numFmtId="0" fontId="25" fillId="8" borderId="0" xfId="0" applyFont="1" applyFill="1" applyAlignment="1" applyProtection="1">
      <alignment horizontal="center" vertical="top" wrapText="1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30" fillId="5" borderId="0" xfId="0" applyFont="1" applyFill="1" applyAlignment="1" applyProtection="1">
      <alignment vertical="center" wrapText="1"/>
      <protection locked="0"/>
    </xf>
    <xf numFmtId="0" fontId="0" fillId="5" borderId="0" xfId="0" applyFill="1" applyProtection="1">
      <protection locked="0"/>
    </xf>
    <xf numFmtId="0" fontId="8" fillId="0" borderId="0" xfId="0" applyFont="1" applyAlignment="1" applyProtection="1">
      <alignment vertical="top"/>
      <protection locked="0"/>
    </xf>
    <xf numFmtId="0" fontId="9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 vertical="center" wrapText="1"/>
      <protection locked="0"/>
    </xf>
    <xf numFmtId="0" fontId="0" fillId="0" borderId="10" xfId="0" applyBorder="1" applyProtection="1">
      <protection locked="0"/>
    </xf>
    <xf numFmtId="0" fontId="12" fillId="0" borderId="0" xfId="0" applyFont="1" applyAlignment="1" applyProtection="1">
      <alignment vertical="top"/>
      <protection locked="0"/>
    </xf>
    <xf numFmtId="169" fontId="31" fillId="0" borderId="10" xfId="0" applyNumberFormat="1" applyFont="1" applyBorder="1" applyAlignment="1" applyProtection="1">
      <alignment horizontal="center" vertical="center"/>
      <protection locked="0"/>
    </xf>
    <xf numFmtId="167" fontId="31" fillId="0" borderId="10" xfId="0" applyNumberFormat="1" applyFont="1" applyBorder="1" applyAlignment="1" applyProtection="1">
      <alignment horizontal="center" vertical="center"/>
      <protection locked="0"/>
    </xf>
    <xf numFmtId="173" fontId="31" fillId="0" borderId="10" xfId="0" applyNumberFormat="1" applyFont="1" applyBorder="1" applyAlignment="1" applyProtection="1">
      <alignment horizontal="center" vertical="center"/>
      <protection locked="0"/>
    </xf>
    <xf numFmtId="0" fontId="21" fillId="3" borderId="0" xfId="0" applyFont="1" applyFill="1" applyAlignment="1" applyProtection="1">
      <alignment horizontal="right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3" xfId="0" applyBorder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" fontId="13" fillId="0" borderId="2" xfId="0" applyNumberFormat="1" applyFont="1" applyBorder="1" applyAlignment="1" applyProtection="1">
      <alignment vertical="top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Protection="1">
      <protection locked="0"/>
    </xf>
    <xf numFmtId="0" fontId="15" fillId="4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0" fontId="4" fillId="0" borderId="2" xfId="0" applyFont="1" applyBorder="1" applyAlignment="1" applyProtection="1">
      <alignment vertical="top" wrapText="1"/>
      <protection locked="0"/>
    </xf>
    <xf numFmtId="0" fontId="6" fillId="0" borderId="2" xfId="0" applyFont="1" applyBorder="1" applyAlignment="1" applyProtection="1">
      <alignment vertical="top" wrapText="1"/>
      <protection locked="0"/>
    </xf>
    <xf numFmtId="0" fontId="16" fillId="0" borderId="2" xfId="0" applyFont="1" applyBorder="1" applyAlignment="1" applyProtection="1">
      <alignment horizontal="center" vertical="top"/>
      <protection locked="0"/>
    </xf>
    <xf numFmtId="0" fontId="17" fillId="0" borderId="2" xfId="0" applyFont="1" applyBorder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horizontal="center" vertical="top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/>
      <protection locked="0"/>
    </xf>
    <xf numFmtId="0" fontId="7" fillId="0" borderId="2" xfId="0" applyFont="1" applyBorder="1" applyAlignment="1" applyProtection="1">
      <alignment vertical="top" wrapText="1"/>
      <protection locked="0"/>
    </xf>
    <xf numFmtId="0" fontId="10" fillId="0" borderId="0" xfId="0" applyFont="1" applyAlignment="1" applyProtection="1">
      <alignment horizontal="right"/>
    </xf>
    <xf numFmtId="0" fontId="9" fillId="3" borderId="2" xfId="0" applyFont="1" applyFill="1" applyBorder="1" applyAlignment="1" applyProtection="1">
      <alignment horizontal="center" vertical="center"/>
      <protection locked="0"/>
    </xf>
    <xf numFmtId="1" fontId="5" fillId="2" borderId="2" xfId="0" applyNumberFormat="1" applyFont="1" applyFill="1" applyBorder="1" applyAlignment="1" applyProtection="1">
      <alignment horizontal="center" vertical="top"/>
      <protection locked="0"/>
    </xf>
    <xf numFmtId="1" fontId="4" fillId="0" borderId="2" xfId="0" applyNumberFormat="1" applyFont="1" applyBorder="1" applyAlignment="1" applyProtection="1">
      <alignment horizontal="center" vertical="top"/>
      <protection locked="0"/>
    </xf>
    <xf numFmtId="1" fontId="7" fillId="0" borderId="2" xfId="0" applyNumberFormat="1" applyFont="1" applyBorder="1" applyAlignment="1" applyProtection="1">
      <alignment horizontal="center" vertical="top"/>
      <protection locked="0"/>
    </xf>
    <xf numFmtId="168" fontId="7" fillId="0" borderId="2" xfId="0" applyNumberFormat="1" applyFont="1" applyBorder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vertical="top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169" fontId="5" fillId="2" borderId="2" xfId="0" applyNumberFormat="1" applyFont="1" applyFill="1" applyBorder="1" applyAlignment="1" applyProtection="1">
      <alignment horizontal="center" vertical="top"/>
      <protection locked="0"/>
    </xf>
    <xf numFmtId="169" fontId="4" fillId="0" borderId="2" xfId="0" applyNumberFormat="1" applyFont="1" applyBorder="1" applyAlignment="1" applyProtection="1">
      <alignment horizontal="center" vertical="top"/>
      <protection locked="0"/>
    </xf>
    <xf numFmtId="169" fontId="7" fillId="0" borderId="2" xfId="0" applyNumberFormat="1" applyFont="1" applyBorder="1" applyAlignment="1" applyProtection="1">
      <alignment horizontal="center" vertical="top"/>
      <protection locked="0"/>
    </xf>
    <xf numFmtId="167" fontId="7" fillId="0" borderId="2" xfId="0" applyNumberFormat="1" applyFont="1" applyBorder="1" applyAlignment="1" applyProtection="1">
      <alignment horizontal="center" vertical="top"/>
      <protection locked="0"/>
    </xf>
    <xf numFmtId="170" fontId="7" fillId="0" borderId="2" xfId="0" applyNumberFormat="1" applyFont="1" applyBorder="1" applyAlignment="1" applyProtection="1">
      <alignment horizontal="center" vertical="top"/>
      <protection locked="0"/>
    </xf>
    <xf numFmtId="171" fontId="7" fillId="0" borderId="2" xfId="0" applyNumberFormat="1" applyFont="1" applyBorder="1" applyAlignment="1" applyProtection="1">
      <alignment horizontal="center" vertical="top"/>
      <protection locked="0"/>
    </xf>
    <xf numFmtId="172" fontId="13" fillId="0" borderId="2" xfId="0" applyNumberFormat="1" applyFont="1" applyBorder="1" applyAlignment="1" applyProtection="1">
      <alignment vertical="top"/>
      <protection locked="0"/>
    </xf>
    <xf numFmtId="0" fontId="9" fillId="3" borderId="0" xfId="0" applyFont="1" applyFill="1" applyProtection="1">
      <protection locked="0"/>
    </xf>
    <xf numFmtId="9" fontId="5" fillId="2" borderId="2" xfId="0" applyNumberFormat="1" applyFont="1" applyFill="1" applyBorder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vertical="top"/>
      <protection locked="0"/>
    </xf>
    <xf numFmtId="166" fontId="5" fillId="2" borderId="2" xfId="0" applyNumberFormat="1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horizontal="center" vertical="top"/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5" fontId="7" fillId="0" borderId="2" xfId="0" applyNumberFormat="1" applyFont="1" applyBorder="1" applyAlignment="1" applyProtection="1">
      <alignment vertical="top"/>
      <protection locked="0"/>
    </xf>
    <xf numFmtId="165" fontId="5" fillId="2" borderId="2" xfId="0" applyNumberFormat="1" applyFont="1" applyFill="1" applyBorder="1" applyAlignment="1" applyProtection="1">
      <alignment vertical="top"/>
      <protection locked="0"/>
    </xf>
    <xf numFmtId="1" fontId="7" fillId="0" borderId="2" xfId="0" applyNumberFormat="1" applyFont="1" applyBorder="1" applyAlignment="1" applyProtection="1">
      <alignment vertical="top"/>
      <protection locked="0"/>
    </xf>
    <xf numFmtId="0" fontId="22" fillId="13" borderId="0" xfId="0" applyFont="1" applyFill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</cellXfs>
  <cellStyles count="1">
    <cellStyle name="Normal" xfId="0" builtinId="0"/>
  </cellStyles>
  <dxfs count="44">
    <dxf>
      <font>
        <color rgb="FFFFFFFF"/>
      </font>
    </dxf>
    <dxf>
      <font>
        <b/>
        <color rgb="FFBE123C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border>
        <top style="medium">
          <color rgb="FF0F766E"/>
        </top>
        <bottom style="medium">
          <color rgb="FF0F766E"/>
        </bottom>
      </border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ill>
        <patternFill patternType="solid">
          <fgColor rgb="FFFFE4E6"/>
        </patternFill>
      </fill>
    </dxf>
    <dxf>
      <font>
        <b/>
        <color rgb="FF047857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ill>
        <patternFill patternType="solid">
          <fgColor rgb="FFCCFBF1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color rgb="FFBE123C"/>
        <name val="Arial"/>
      </font>
    </dxf>
    <dxf>
      <font>
        <color rgb="FF047857"/>
        <name val="Arial"/>
      </font>
    </dxf>
    <dxf>
      <font>
        <b/>
        <color rgb="FFBE123C"/>
        <name val="Arial"/>
      </font>
    </dxf>
    <dxf>
      <fill>
        <patternFill patternType="solid">
          <fgColor rgb="FFCCFBF1"/>
        </patternFill>
      </fill>
    </dxf>
    <dxf>
      <font>
        <b/>
        <color rgb="FF475569"/>
        <name val="Arial"/>
      </font>
      <fill>
        <patternFill patternType="solid">
          <fgColor rgb="FFF1F5F9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ill>
        <patternFill patternType="solid">
          <fgColor rgb="FFFFE4E6"/>
        </patternFill>
      </fill>
    </dxf>
    <dxf>
      <fill>
        <patternFill patternType="solid">
          <fgColor rgb="FF0F766E"/>
        </patternFill>
      </fill>
    </dxf>
    <dxf>
      <fill>
        <patternFill patternType="solid">
          <fgColor rgb="FFBE123C"/>
        </patternFill>
      </fill>
    </dxf>
    <dxf>
      <fill>
        <patternFill patternType="solid">
          <fgColor rgb="FF047857"/>
        </patternFill>
      </fill>
    </dxf>
    <dxf>
      <font>
        <b/>
        <sz val="22"/>
        <color rgb="FFBE123C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sz val="22"/>
        <color rgb="FFBE123C"/>
        <name val="Arial"/>
      </font>
    </dxf>
    <dxf>
      <font>
        <b/>
        <sz val="22"/>
        <color rgb="FFBE123C"/>
        <name val="Arial"/>
      </font>
    </dxf>
    <dxf>
      <font>
        <b/>
        <color rgb="FFBE123C"/>
        <name val="Arial"/>
      </font>
    </dxf>
    <dxf>
      <font>
        <b/>
        <sz val="22"/>
        <color rgb="FFBE123C"/>
        <name val="Arial"/>
      </font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ill>
        <patternFill patternType="solid">
          <fgColor rgb="FF0F766E"/>
        </patternFill>
      </fill>
    </dxf>
    <dxf>
      <fill>
        <patternFill patternType="solid">
          <fgColor rgb="FFBE123C"/>
        </patternFill>
      </fill>
    </dxf>
    <dxf>
      <fill>
        <patternFill patternType="solid">
          <fgColor rgb="FF0478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Total float by update (days)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'Float trend'!$B$7</c:f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trend'!$C$7:$N$7</c:f>
            </c:numRef>
          </c:val>
          <c:smooth val="0"/>
          <c:extLst>
            <c:ext xmlns:c16="http://schemas.microsoft.com/office/drawing/2014/chart" uri="{C3380CC4-5D6E-409C-BE32-E72D297353CC}">
              <c16:uniqueId val="{00000000-5C48-4996-81A4-D800CDB7F8F7}"/>
            </c:ext>
          </c:extLst>
        </c:ser>
        <c:ser>
          <c:idx val="1"/>
          <c:order val="1"/>
          <c:tx>
            <c:strRef>
              <c:f>'Float trend'!$B$8</c:f>
            </c:strRef>
          </c:tx>
          <c:spPr>
            <a:ln w="22000">
              <a:solidFill>
                <a:srgbClr val="ED7D3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trend'!$C$8:$N$8</c:f>
            </c:numRef>
          </c:val>
          <c:smooth val="0"/>
          <c:extLst>
            <c:ext xmlns:c16="http://schemas.microsoft.com/office/drawing/2014/chart" uri="{C3380CC4-5D6E-409C-BE32-E72D297353CC}">
              <c16:uniqueId val="{00000001-5C48-4996-81A4-D800CDB7F8F7}"/>
            </c:ext>
          </c:extLst>
        </c:ser>
        <c:ser>
          <c:idx val="2"/>
          <c:order val="2"/>
          <c:tx>
            <c:strRef>
              <c:f>'Float trend'!$B$9</c:f>
            </c:strRef>
          </c:tx>
          <c:spPr>
            <a:ln w="22000">
              <a:solidFill>
                <a:srgbClr val="FFC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trend'!$C$9:$N$9</c:f>
            </c:numRef>
          </c:val>
          <c:smooth val="0"/>
          <c:extLst>
            <c:ext xmlns:c16="http://schemas.microsoft.com/office/drawing/2014/chart" uri="{C3380CC4-5D6E-409C-BE32-E72D297353CC}">
              <c16:uniqueId val="{00000002-5C48-4996-81A4-D800CDB7F8F7}"/>
            </c:ext>
          </c:extLst>
        </c:ser>
        <c:ser>
          <c:idx val="3"/>
          <c:order val="3"/>
          <c:tx>
            <c:strRef>
              <c:f>'Float trend'!$B$10</c:f>
            </c:strRef>
          </c:tx>
          <c:spPr>
            <a:ln w="22000">
              <a:solidFill>
                <a:srgbClr val="70AD47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trend'!$C$10:$N$10</c:f>
            </c:numRef>
          </c:val>
          <c:smooth val="0"/>
          <c:extLst>
            <c:ext xmlns:c16="http://schemas.microsoft.com/office/drawing/2014/chart" uri="{C3380CC4-5D6E-409C-BE32-E72D297353CC}">
              <c16:uniqueId val="{00000003-5C48-4996-81A4-D800CDB7F8F7}"/>
            </c:ext>
          </c:extLst>
        </c:ser>
        <c:ser>
          <c:idx val="4"/>
          <c:order val="4"/>
          <c:tx>
            <c:strRef>
              <c:f>'Float trend'!$B$11</c:f>
            </c:strRef>
          </c:tx>
          <c:spPr>
            <a:ln w="22000">
              <a:solidFill>
                <a:srgbClr val="00B0F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solidFill>
                  <a:srgbClr val="00B0F0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trend'!$C$11:$N$11</c:f>
            </c:numRef>
          </c:val>
          <c:smooth val="0"/>
          <c:extLst>
            <c:ext xmlns:c16="http://schemas.microsoft.com/office/drawing/2014/chart" uri="{C3380CC4-5D6E-409C-BE32-E72D297353CC}">
              <c16:uniqueId val="{00000004-5C48-4996-81A4-D800CDB7F8F7}"/>
            </c:ext>
          </c:extLst>
        </c:ser>
        <c:ser>
          <c:idx val="5"/>
          <c:order val="5"/>
          <c:tx>
            <c:strRef>
              <c:f>'Float trend'!$B$12</c:f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trend'!$C$12:$N$12</c:f>
            </c:numRef>
          </c:val>
          <c:smooth val="0"/>
          <c:extLst>
            <c:ext xmlns:c16="http://schemas.microsoft.com/office/drawing/2014/chart" uri="{C3380CC4-5D6E-409C-BE32-E72D297353CC}">
              <c16:uniqueId val="{00000005-5C48-4996-81A4-D800CDB7F8F7}"/>
            </c:ext>
          </c:extLst>
        </c:ser>
        <c:ser>
          <c:idx val="6"/>
          <c:order val="6"/>
          <c:tx>
            <c:strRef>
              <c:f>'Float trend'!$B$13</c:f>
            </c:strRef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trend'!$C$13:$N$13</c:f>
            </c:numRef>
          </c:val>
          <c:smooth val="0"/>
          <c:extLst>
            <c:ext xmlns:c16="http://schemas.microsoft.com/office/drawing/2014/chart" uri="{C3380CC4-5D6E-409C-BE32-E72D297353CC}">
              <c16:uniqueId val="{00000006-5C48-4996-81A4-D800CDB7F8F7}"/>
            </c:ext>
          </c:extLst>
        </c:ser>
        <c:ser>
          <c:idx val="7"/>
          <c:order val="7"/>
          <c:tx>
            <c:strRef>
              <c:f>'Float trend'!$B$14</c:f>
            </c:strRef>
          </c:tx>
          <c:spPr>
            <a:ln w="22000">
              <a:solidFill>
                <a:srgbClr val="FF66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solidFill>
                  <a:srgbClr val="FF66CC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trend'!$C$14:$N$14</c:f>
            </c:numRef>
          </c:val>
          <c:smooth val="0"/>
          <c:extLst>
            <c:ext xmlns:c16="http://schemas.microsoft.com/office/drawing/2014/chart" uri="{C3380CC4-5D6E-409C-BE32-E72D297353CC}">
              <c16:uniqueId val="{00000007-5C48-4996-81A4-D800CDB7F8F7}"/>
            </c:ext>
          </c:extLst>
        </c:ser>
        <c:ser>
          <c:idx val="8"/>
          <c:order val="8"/>
          <c:tx>
            <c:strRef>
              <c:f>'Float trend'!$B$15</c:f>
            </c:strRef>
          </c:tx>
          <c:spPr>
            <a:ln w="22000">
              <a:solidFill>
                <a:srgbClr val="7F7F7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trend'!$C$15:$N$15</c:f>
            </c:numRef>
          </c:val>
          <c:smooth val="0"/>
          <c:extLst>
            <c:ext xmlns:c16="http://schemas.microsoft.com/office/drawing/2014/chart" uri="{C3380CC4-5D6E-409C-BE32-E72D297353CC}">
              <c16:uniqueId val="{00000008-5C48-4996-81A4-D800CDB7F8F7}"/>
            </c:ext>
          </c:extLst>
        </c:ser>
        <c:ser>
          <c:idx val="9"/>
          <c:order val="9"/>
          <c:tx>
            <c:strRef>
              <c:f>'Float trend'!$B$16</c:f>
            </c:strRef>
          </c:tx>
          <c:spPr>
            <a:ln w="22000">
              <a:solidFill>
                <a:srgbClr val="00897B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897B"/>
              </a:solidFill>
              <a:ln>
                <a:solidFill>
                  <a:srgbClr val="00897B"/>
                </a:solidFill>
                <a:prstDash val="solid"/>
              </a:ln>
            </c:spPr>
          </c:marker>
          <c:cat>
            <c:strRef>
              <c:f>'Float trend'!$C$6:$N$6</c:f>
            </c:strRef>
          </c:cat>
          <c:val>
            <c:numRef>
              <c:f>'Float trend'!$C$16:$N$16</c:f>
            </c:numRef>
          </c:val>
          <c:smooth val="0"/>
          <c:extLst>
            <c:ext xmlns:c16="http://schemas.microsoft.com/office/drawing/2014/chart" uri="{C3380CC4-5D6E-409C-BE32-E72D297353CC}">
              <c16:uniqueId val="{00000009-5C48-4996-81A4-D800CDB7F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60"/>
          <c:min val="-20"/>
        </c:scaling>
        <c:delete val="0"/>
        <c:axPos val="l"/>
        <c:majorGridlines/>
        <c:numFmt formatCode="0;[Red]\-0" sourceLinked="1"/>
        <c:majorTickMark val="none"/>
        <c:minorTickMark val="none"/>
        <c:tickLblPos val="nextTo"/>
        <c:crossAx val="10"/>
        <c:crosses val="autoZero"/>
        <c:crossBetween val="between"/>
        <c:majorUnit val="10"/>
      </c:valAx>
    </c:plotArea>
    <c:legend>
      <c:legendPos val="r"/>
      <c:overlay val="0"/>
      <c:txPr>
        <a:bodyPr/>
        <a:lstStyle/>
        <a:p>
          <a:pPr>
            <a:defRPr sz="800"/>
          </a:pPr>
          <a:endParaRPr lang="tr-T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Days late against the contract, by update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Updates!$F$6</c:f>
            </c:strRef>
          </c:tx>
          <c:spPr>
            <a:solidFill>
              <a:srgbClr val="BE123C"/>
            </a:solidFill>
            <a:ln>
              <a:solidFill>
                <a:srgbClr val="BE123C"/>
              </a:solidFill>
              <a:prstDash val="solid"/>
            </a:ln>
          </c:spPr>
          <c:invertIfNegative val="1"/>
          <c:dLbls>
            <c:numFmt formatCode="\+0;[Red]\-0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Updates!$A$7:$A$18</c:f>
            </c:numRef>
          </c:cat>
          <c:val>
            <c:numRef>
              <c:f>Updates!$F$7:$F$18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E123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6E-4E70-B8AB-74C96D0A4665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&quot;U&quot;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\+0;[Red]\-0;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Health check: this update and the last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'Health check'!$O$6</c:f>
            </c:strRef>
          </c:tx>
          <c:spPr>
            <a:solidFill>
              <a:srgbClr val="0F766E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'Health check'!$A$7:$A$14</c:f>
            </c:strRef>
          </c:cat>
          <c:val>
            <c:numRef>
              <c:f>'Health check'!$O$7:$O$14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70-4800-9F51-885D986DDF9A}"/>
            </c:ext>
          </c:extLst>
        </c:ser>
        <c:ser>
          <c:idx val="1"/>
          <c:order val="1"/>
          <c:tx>
            <c:strRef>
              <c:f>'Health check'!$P$6</c:f>
            </c:strRef>
          </c:tx>
          <c:spPr>
            <a:solidFill>
              <a:srgbClr val="CBD5E1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'Health check'!$A$7:$A$14</c:f>
            </c:strRef>
          </c:cat>
          <c:val>
            <c:numRef>
              <c:f>'Health check'!$P$7:$P$14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70-4800-9F51-885D986DDF9A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t"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44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44</xdr:row>
      <xdr:rowOff>0</xdr:rowOff>
    </xdr:from>
    <xdr:ext cx="41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64</xdr:row>
      <xdr:rowOff>0</xdr:rowOff>
    </xdr:from>
    <xdr:ext cx="1026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heprojectcontrolhub.com/week-17.html" TargetMode="External"/><Relationship Id="rId1" Type="http://schemas.openxmlformats.org/officeDocument/2006/relationships/hyperlink" Target="https://theprojectcontrolhub.com/week-16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heprojectcontrolhub.com/week-16.html" TargetMode="External"/><Relationship Id="rId13" Type="http://schemas.openxmlformats.org/officeDocument/2006/relationships/hyperlink" Target="https://theprojectcontrolhub.com/week-17.html" TargetMode="External"/><Relationship Id="rId18" Type="http://schemas.openxmlformats.org/officeDocument/2006/relationships/hyperlink" Target="https://theprojectcontrolhub.com/week-16.html" TargetMode="External"/><Relationship Id="rId26" Type="http://schemas.openxmlformats.org/officeDocument/2006/relationships/hyperlink" Target="https://theprojectcontrolhub.com/week-16.html" TargetMode="External"/><Relationship Id="rId3" Type="http://schemas.openxmlformats.org/officeDocument/2006/relationships/hyperlink" Target="https://theprojectcontrolhub.com/week-16.html" TargetMode="External"/><Relationship Id="rId21" Type="http://schemas.openxmlformats.org/officeDocument/2006/relationships/hyperlink" Target="https://theprojectcontrolhub.com/week-16.html" TargetMode="External"/><Relationship Id="rId7" Type="http://schemas.openxmlformats.org/officeDocument/2006/relationships/hyperlink" Target="https://theprojectcontrolhub.com/week-16.html" TargetMode="External"/><Relationship Id="rId12" Type="http://schemas.openxmlformats.org/officeDocument/2006/relationships/hyperlink" Target="https://theprojectcontrolhub.com/week-17.html" TargetMode="External"/><Relationship Id="rId17" Type="http://schemas.openxmlformats.org/officeDocument/2006/relationships/hyperlink" Target="https://theprojectcontrolhub.com/week-17.html" TargetMode="External"/><Relationship Id="rId25" Type="http://schemas.openxmlformats.org/officeDocument/2006/relationships/hyperlink" Target="https://theprojectcontrolhub.com/week-16.html" TargetMode="External"/><Relationship Id="rId2" Type="http://schemas.openxmlformats.org/officeDocument/2006/relationships/hyperlink" Target="https://theprojectcontrolhub.com/week-16.html" TargetMode="External"/><Relationship Id="rId16" Type="http://schemas.openxmlformats.org/officeDocument/2006/relationships/hyperlink" Target="https://theprojectcontrolhub.com/week-17.html" TargetMode="External"/><Relationship Id="rId20" Type="http://schemas.openxmlformats.org/officeDocument/2006/relationships/hyperlink" Target="https://theprojectcontrolhub.com/week-16.html" TargetMode="External"/><Relationship Id="rId29" Type="http://schemas.openxmlformats.org/officeDocument/2006/relationships/hyperlink" Target="https://theprojectcontrolhub.com/week-16.html" TargetMode="External"/><Relationship Id="rId1" Type="http://schemas.openxmlformats.org/officeDocument/2006/relationships/hyperlink" Target="https://theprojectcontrolhub.com/week-16.html" TargetMode="External"/><Relationship Id="rId6" Type="http://schemas.openxmlformats.org/officeDocument/2006/relationships/hyperlink" Target="https://theprojectcontrolhub.com/week-16.html" TargetMode="External"/><Relationship Id="rId11" Type="http://schemas.openxmlformats.org/officeDocument/2006/relationships/hyperlink" Target="https://theprojectcontrolhub.com/week-17.html" TargetMode="External"/><Relationship Id="rId24" Type="http://schemas.openxmlformats.org/officeDocument/2006/relationships/hyperlink" Target="https://theprojectcontrolhub.com/week-16.html" TargetMode="External"/><Relationship Id="rId5" Type="http://schemas.openxmlformats.org/officeDocument/2006/relationships/hyperlink" Target="https://theprojectcontrolhub.com/week-16.html" TargetMode="External"/><Relationship Id="rId15" Type="http://schemas.openxmlformats.org/officeDocument/2006/relationships/hyperlink" Target="https://theprojectcontrolhub.com/week-17.html" TargetMode="External"/><Relationship Id="rId23" Type="http://schemas.openxmlformats.org/officeDocument/2006/relationships/hyperlink" Target="https://theprojectcontrolhub.com/week-16.html" TargetMode="External"/><Relationship Id="rId28" Type="http://schemas.openxmlformats.org/officeDocument/2006/relationships/hyperlink" Target="https://theprojectcontrolhub.com/week-16.html" TargetMode="External"/><Relationship Id="rId10" Type="http://schemas.openxmlformats.org/officeDocument/2006/relationships/hyperlink" Target="https://theprojectcontrolhub.com/week-17.html" TargetMode="External"/><Relationship Id="rId19" Type="http://schemas.openxmlformats.org/officeDocument/2006/relationships/hyperlink" Target="https://theprojectcontrolhub.com/week-16.html" TargetMode="External"/><Relationship Id="rId4" Type="http://schemas.openxmlformats.org/officeDocument/2006/relationships/hyperlink" Target="https://theprojectcontrolhub.com/week-16.html" TargetMode="External"/><Relationship Id="rId9" Type="http://schemas.openxmlformats.org/officeDocument/2006/relationships/hyperlink" Target="https://theprojectcontrolhub.com/week-16.html" TargetMode="External"/><Relationship Id="rId14" Type="http://schemas.openxmlformats.org/officeDocument/2006/relationships/hyperlink" Target="https://theprojectcontrolhub.com/week-17.html" TargetMode="External"/><Relationship Id="rId22" Type="http://schemas.openxmlformats.org/officeDocument/2006/relationships/hyperlink" Target="https://theprojectcontrolhub.com/week-16.html" TargetMode="External"/><Relationship Id="rId27" Type="http://schemas.openxmlformats.org/officeDocument/2006/relationships/hyperlink" Target="https://theprojectcontrolhub.com/week-16.html" TargetMode="External"/><Relationship Id="rId30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B8A6"/>
    <pageSetUpPr fitToPage="1"/>
  </sheetPr>
  <dimension ref="A1:F48"/>
  <sheetViews>
    <sheetView showGridLines="0" view="pageBreakPreview" zoomScale="60" zoomScaleNormal="100" workbookViewId="0"/>
  </sheetViews>
  <sheetFormatPr defaultRowHeight="14.4" x14ac:dyDescent="0.3"/>
  <cols>
    <col min="1" max="1" width="3" style="2" customWidth="1"/>
    <col min="2" max="2" width="7" style="2" customWidth="1"/>
    <col min="3" max="3" width="30" style="2" customWidth="1"/>
    <col min="4" max="4" width="74" style="2" customWidth="1"/>
    <col min="5" max="5" width="16" style="2" customWidth="1"/>
    <col min="6" max="6" width="3" style="2" customWidth="1"/>
    <col min="7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1"/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25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5" t="s">
        <v>3</v>
      </c>
    </row>
    <row r="8" spans="1:6" ht="34.049999999999997" customHeight="1" x14ac:dyDescent="0.3">
      <c r="B8" s="6">
        <v>1</v>
      </c>
      <c r="C8" s="7" t="s">
        <v>4</v>
      </c>
      <c r="D8" s="8" t="s">
        <v>5</v>
      </c>
      <c r="E8" s="9" t="s">
        <v>6</v>
      </c>
    </row>
    <row r="9" spans="1:6" ht="34.049999999999997" customHeight="1" x14ac:dyDescent="0.3">
      <c r="B9" s="10">
        <v>2</v>
      </c>
      <c r="C9" s="7" t="s">
        <v>7</v>
      </c>
      <c r="D9" s="8" t="s">
        <v>8</v>
      </c>
      <c r="E9" s="9" t="s">
        <v>9</v>
      </c>
    </row>
    <row r="10" spans="1:6" ht="34.049999999999997" customHeight="1" x14ac:dyDescent="0.3">
      <c r="B10" s="10">
        <v>3</v>
      </c>
      <c r="C10" s="7" t="s">
        <v>10</v>
      </c>
      <c r="D10" s="8" t="s">
        <v>11</v>
      </c>
      <c r="E10" s="9" t="s">
        <v>12</v>
      </c>
    </row>
    <row r="11" spans="1:6" ht="34.049999999999997" customHeight="1" x14ac:dyDescent="0.3">
      <c r="B11" s="10">
        <v>4</v>
      </c>
      <c r="C11" s="7" t="s">
        <v>13</v>
      </c>
      <c r="D11" s="8" t="s">
        <v>14</v>
      </c>
      <c r="E11" s="9" t="s">
        <v>15</v>
      </c>
    </row>
    <row r="12" spans="1:6" ht="34.049999999999997" customHeight="1" x14ac:dyDescent="0.3">
      <c r="B12" s="11">
        <v>5</v>
      </c>
      <c r="C12" s="7" t="s">
        <v>16</v>
      </c>
      <c r="D12" s="8" t="s">
        <v>17</v>
      </c>
      <c r="E12" s="9" t="s">
        <v>12</v>
      </c>
    </row>
    <row r="13" spans="1:6" ht="34.049999999999997" customHeight="1" x14ac:dyDescent="0.3">
      <c r="B13" s="12">
        <v>6</v>
      </c>
      <c r="C13" s="7" t="s">
        <v>18</v>
      </c>
      <c r="D13" s="8" t="s">
        <v>19</v>
      </c>
      <c r="E13" s="9" t="s">
        <v>12</v>
      </c>
    </row>
    <row r="15" spans="1:6" x14ac:dyDescent="0.3">
      <c r="B15" s="5" t="s">
        <v>20</v>
      </c>
    </row>
    <row r="16" spans="1:6" ht="28.05" customHeight="1" x14ac:dyDescent="0.3">
      <c r="C16" s="13" t="s">
        <v>21</v>
      </c>
      <c r="D16" s="14" t="s">
        <v>22</v>
      </c>
    </row>
    <row r="17" spans="2:4" ht="28.05" customHeight="1" x14ac:dyDescent="0.3">
      <c r="C17" s="15" t="s">
        <v>23</v>
      </c>
      <c r="D17" s="14" t="s">
        <v>24</v>
      </c>
    </row>
    <row r="19" spans="2:4" x14ac:dyDescent="0.3">
      <c r="B19" s="5" t="s">
        <v>25</v>
      </c>
    </row>
    <row r="20" spans="2:4" ht="28.05" customHeight="1" x14ac:dyDescent="0.3">
      <c r="C20" s="16" t="s">
        <v>26</v>
      </c>
      <c r="D20" s="14" t="s">
        <v>27</v>
      </c>
    </row>
    <row r="21" spans="2:4" ht="28.05" customHeight="1" x14ac:dyDescent="0.3">
      <c r="C21" s="16" t="s">
        <v>28</v>
      </c>
      <c r="D21" s="14" t="s">
        <v>29</v>
      </c>
    </row>
    <row r="22" spans="2:4" ht="28.05" customHeight="1" x14ac:dyDescent="0.3">
      <c r="C22" s="16" t="s">
        <v>30</v>
      </c>
      <c r="D22" s="14" t="s">
        <v>31</v>
      </c>
    </row>
    <row r="24" spans="2:4" x14ac:dyDescent="0.3">
      <c r="B24" s="5" t="s">
        <v>32</v>
      </c>
    </row>
    <row r="25" spans="2:4" x14ac:dyDescent="0.3">
      <c r="C25" s="17" t="s">
        <v>33</v>
      </c>
      <c r="D25" s="18" t="s">
        <v>34</v>
      </c>
    </row>
    <row r="26" spans="2:4" x14ac:dyDescent="0.3">
      <c r="C26" s="19" t="s">
        <v>35</v>
      </c>
      <c r="D26" s="18" t="s">
        <v>36</v>
      </c>
    </row>
    <row r="27" spans="2:4" x14ac:dyDescent="0.3">
      <c r="C27" s="13" t="s">
        <v>37</v>
      </c>
      <c r="D27" s="18" t="s">
        <v>38</v>
      </c>
    </row>
    <row r="29" spans="2:4" x14ac:dyDescent="0.3">
      <c r="B29" s="5" t="s">
        <v>39</v>
      </c>
    </row>
    <row r="30" spans="2:4" x14ac:dyDescent="0.3">
      <c r="C30" s="20" t="s">
        <v>40</v>
      </c>
      <c r="D30" s="18" t="s">
        <v>41</v>
      </c>
    </row>
    <row r="31" spans="2:4" x14ac:dyDescent="0.3">
      <c r="C31" s="20" t="s">
        <v>42</v>
      </c>
      <c r="D31" s="18" t="s">
        <v>43</v>
      </c>
    </row>
    <row r="32" spans="2:4" x14ac:dyDescent="0.3">
      <c r="C32" s="20" t="s">
        <v>44</v>
      </c>
      <c r="D32" s="18" t="s">
        <v>45</v>
      </c>
    </row>
    <row r="33" spans="2:5" x14ac:dyDescent="0.3">
      <c r="C33" s="20" t="s">
        <v>46</v>
      </c>
      <c r="D33" s="18" t="s">
        <v>47</v>
      </c>
    </row>
    <row r="34" spans="2:5" x14ac:dyDescent="0.3">
      <c r="C34" s="20" t="s">
        <v>48</v>
      </c>
      <c r="D34" s="18" t="s">
        <v>49</v>
      </c>
    </row>
    <row r="35" spans="2:5" x14ac:dyDescent="0.3">
      <c r="C35" s="20" t="s">
        <v>50</v>
      </c>
      <c r="D35" s="18" t="s">
        <v>51</v>
      </c>
    </row>
    <row r="36" spans="2:5" x14ac:dyDescent="0.3">
      <c r="C36" s="20" t="s">
        <v>52</v>
      </c>
      <c r="D36" s="18" t="s">
        <v>53</v>
      </c>
    </row>
    <row r="37" spans="2:5" x14ac:dyDescent="0.3">
      <c r="C37" s="20" t="s">
        <v>54</v>
      </c>
      <c r="D37" s="18" t="s">
        <v>55</v>
      </c>
    </row>
    <row r="39" spans="2:5" x14ac:dyDescent="0.3">
      <c r="B39" s="5" t="s">
        <v>56</v>
      </c>
    </row>
    <row r="40" spans="2:5" x14ac:dyDescent="0.3">
      <c r="C40" s="21" t="s">
        <v>57</v>
      </c>
    </row>
    <row r="41" spans="2:5" x14ac:dyDescent="0.3">
      <c r="C41" s="21" t="s">
        <v>58</v>
      </c>
    </row>
    <row r="43" spans="2:5" ht="25.95" customHeight="1" x14ac:dyDescent="0.3">
      <c r="B43" s="22" t="s">
        <v>59</v>
      </c>
      <c r="C43" s="23"/>
      <c r="D43" s="23"/>
      <c r="E43" s="23"/>
    </row>
    <row r="44" spans="2:5" x14ac:dyDescent="0.3">
      <c r="B44" s="23"/>
      <c r="C44" s="23"/>
      <c r="D44" s="23"/>
      <c r="E44" s="23"/>
    </row>
    <row r="45" spans="2:5" x14ac:dyDescent="0.3">
      <c r="B45" s="23"/>
      <c r="C45" s="23"/>
      <c r="D45" s="23"/>
      <c r="E45" s="23"/>
    </row>
    <row r="46" spans="2:5" x14ac:dyDescent="0.3">
      <c r="B46" s="23"/>
      <c r="C46" s="23"/>
      <c r="D46" s="23"/>
      <c r="E46" s="23"/>
    </row>
    <row r="48" spans="2:5" x14ac:dyDescent="0.3">
      <c r="B48" s="24" t="s">
        <v>60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43:E46"/>
  </mergeCells>
  <hyperlinks>
    <hyperlink ref="C8" location="'Updates'!A1" display="Updates  →" xr:uid="{00000000-0004-0000-0000-000000000000}"/>
    <hyperlink ref="C9" location="'Remaining days'!A1" display="Remaining days  →" xr:uid="{00000000-0004-0000-0000-000001000000}"/>
    <hyperlink ref="C10" location="'Health check'!A1" display="Health check  →" xr:uid="{00000000-0004-0000-0000-000002000000}"/>
    <hyperlink ref="C11" location="'Float trend'!A1" display="Float trend  →" xr:uid="{00000000-0004-0000-0000-000003000000}"/>
    <hyperlink ref="C12" location="'Actions'!A1" display="Actions  →" xr:uid="{00000000-0004-0000-0000-000004000000}"/>
    <hyperlink ref="C13" location="'Checklist'!A1" display="Checklist  →" xr:uid="{00000000-0004-0000-0000-000005000000}"/>
    <hyperlink ref="C30" location="'Dashboard'!A1" display="Dashboard" xr:uid="{00000000-0004-0000-0000-000006000000}"/>
    <hyperlink ref="C31" location="'Checklist'!A1" display="Checklist" xr:uid="{00000000-0004-0000-0000-000007000000}"/>
    <hyperlink ref="C32" location="'Health check'!A1" display="Health check" xr:uid="{00000000-0004-0000-0000-000008000000}"/>
    <hyperlink ref="C33" location="'Float trend'!A1" display="Float trend" xr:uid="{00000000-0004-0000-0000-000009000000}"/>
    <hyperlink ref="C34" location="'Remaining days'!A1" display="Remaining days" xr:uid="{00000000-0004-0000-0000-00000A000000}"/>
    <hyperlink ref="C35" location="'Actions'!A1" display="Actions" xr:uid="{00000000-0004-0000-0000-00000B000000}"/>
    <hyperlink ref="C36" location="'Updates'!A1" display="Updates" xr:uid="{00000000-0004-0000-0000-00000C000000}"/>
    <hyperlink ref="C37" location="'Setup'!A1" display="Setup" xr:uid="{00000000-0004-0000-0000-00000D000000}"/>
    <hyperlink ref="C40" r:id="rId1" xr:uid="{00000000-0004-0000-0000-00000E000000}"/>
    <hyperlink ref="C41" r:id="rId2" xr:uid="{00000000-0004-0000-0000-00000F000000}"/>
  </hyperlinks>
  <printOptions horizontalCentered="1"/>
  <pageMargins left="0.4" right="0.4" top="0.5" bottom="0.5" header="0.5" footer="0.5"/>
  <pageSetup paperSize="9" scale="72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P83"/>
  <sheetViews>
    <sheetView showGridLines="0" tabSelected="1" view="pageBreakPreview" zoomScaleNormal="100" zoomScaleSheetLayoutView="100" workbookViewId="0">
      <pane ySplit="3" topLeftCell="A4" activePane="bottomLeft" state="frozen"/>
      <selection pane="bottomLeft" activeCell="L2" sqref="L2:O2"/>
    </sheetView>
  </sheetViews>
  <sheetFormatPr defaultRowHeight="14.4" x14ac:dyDescent="0.3"/>
  <cols>
    <col min="1" max="1" width="2" style="2" customWidth="1"/>
    <col min="2" max="15" width="11.44140625" style="2" customWidth="1"/>
    <col min="16" max="16" width="2" style="2" customWidth="1"/>
    <col min="17" max="16384" width="8.88671875" style="2"/>
  </cols>
  <sheetData>
    <row r="1" spans="1:16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1.95" customHeight="1" x14ac:dyDescent="0.4">
      <c r="A2" s="1"/>
      <c r="B2" s="26" t="s">
        <v>61</v>
      </c>
      <c r="C2" s="1"/>
      <c r="D2" s="1"/>
      <c r="E2" s="1"/>
      <c r="F2" s="1"/>
      <c r="G2" s="1"/>
      <c r="H2" s="1"/>
      <c r="I2" s="1"/>
      <c r="J2" s="1"/>
      <c r="K2" s="1"/>
      <c r="L2" s="57" t="s">
        <v>62</v>
      </c>
      <c r="M2" s="23"/>
      <c r="N2" s="23"/>
      <c r="O2" s="23"/>
      <c r="P2" s="1"/>
    </row>
    <row r="3" spans="1:16" ht="22.05" customHeight="1" x14ac:dyDescent="0.3">
      <c r="A3" s="1"/>
      <c r="B3" s="27">
        <f>IF(Setup!B6="","",Setup!B6&amp;"   ·   ")&amp;"update "&amp;Setup!$B$7&amp;IF(Setup!$B$8="","","   ·   data date "&amp;TEXT(Setup!$B$8,"d mmm yyyy"))&amp;"   ·   "&amp;IFERROR(INDEX(Updates!$D$7:$D$18,Setup!$B$7),"")</f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9.95" customHeight="1" x14ac:dyDescent="0.3">
      <c r="B5" s="105">
        <f>Checklist!A5</f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6" ht="19.95" customHeight="1" x14ac:dyDescent="0.3"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8" spans="1:16" ht="22.05" customHeight="1" x14ac:dyDescent="0.3">
      <c r="B8" s="28" t="s">
        <v>63</v>
      </c>
      <c r="C8" s="23"/>
      <c r="D8" s="29" t="s">
        <v>64</v>
      </c>
      <c r="E8" s="23"/>
      <c r="F8" s="30" t="s">
        <v>65</v>
      </c>
      <c r="G8" s="23"/>
      <c r="H8" s="31" t="s">
        <v>66</v>
      </c>
      <c r="I8" s="23"/>
      <c r="J8" s="31" t="s">
        <v>67</v>
      </c>
      <c r="K8" s="23"/>
      <c r="L8" s="29" t="s">
        <v>68</v>
      </c>
      <c r="M8" s="23"/>
      <c r="N8" s="28" t="s">
        <v>69</v>
      </c>
      <c r="O8" s="23"/>
    </row>
    <row r="9" spans="1:16" ht="22.05" customHeight="1" x14ac:dyDescent="0.3">
      <c r="B9" s="32">
        <f>COUNTIF(Checklist!$F$8:$F$42,"Done")+COUNTIF(Checklist!$F$8:$F$42,"Fixed")+COUNTIF(Checklist!$F$8:$F$42,"N/A")</f>
      </c>
      <c r="C9" s="23"/>
      <c r="D9" s="33">
        <f>IFERROR(COUNTIF('Health check'!$S$7:$S$14,"*found*"),0)</f>
      </c>
      <c r="E9" s="23"/>
      <c r="F9" s="34">
        <f>IFERROR(IF(INDEX(Updates!$E$7:$E$18,Setup!$B$7)="","",INDEX(Updates!$E$7:$E$18,Setup!$B$7)),"")</f>
      </c>
      <c r="G9" s="23"/>
      <c r="H9" s="35">
        <f>IFERROR(IF(INDEX(Updates!$F$7:$F$18,Setup!$B$7)="","",INDEX(Updates!$F$7:$F$18,Setup!$B$7)),"")</f>
      </c>
      <c r="I9" s="23"/>
      <c r="J9" s="36">
        <f>COUNTIF('Float trend'!$P$7:$P$26,"&lt;0")</f>
      </c>
      <c r="K9" s="23"/>
      <c r="L9" s="33">
        <f>COUNTIFS(Actions!$A$7:$A$36,"&lt;&gt;",Actions!$D$7:$D$36,"",Actions!$F$7:$F$36,"&lt;&gt;Done")</f>
      </c>
      <c r="M9" s="23"/>
      <c r="N9" s="32">
        <f>COUNTIF('Remaining days'!$M$7:$M$46,"?*")</f>
      </c>
      <c r="O9" s="23"/>
    </row>
    <row r="10" spans="1:16" ht="22.05" customHeight="1" x14ac:dyDescent="0.3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16" ht="24" customHeight="1" x14ac:dyDescent="0.3">
      <c r="B11" s="37">
        <f>"of "&amp;COUNTA(Checklist!$B$8:$B$42)&amp;" lines · "&amp;COUNT(Checklist!$J$8:$J$42)&amp;" open"</f>
      </c>
      <c r="C11" s="23"/>
      <c r="D11" s="38">
        <f>"of "&amp;ROWS('Health check'!$O$7:$O$14)&amp;" · "&amp;IFERROR(SUM('Health check'!$O$7:$O$14),0)&amp;" items found"</f>
      </c>
      <c r="E11" s="23"/>
      <c r="F11" s="39">
        <f>IFERROR(IF(INDEX(Updates!$G$7:$G$18,Setup!$B$7)="","",TEXT(INDEX(Updates!$G$7:$G$18,Setup!$B$7),"+0;-0;0")&amp;" days since last update"),"")</f>
      </c>
      <c r="G11" s="23"/>
      <c r="H11" s="40">
        <f>IF(Setup!B9="","set the contract date in Setup","days after "&amp;TEXT(Setup!B9,"d mmm yyyy"))</f>
      </c>
      <c r="I11" s="23"/>
      <c r="J11" s="40">
        <f>"activities with negative float · "&amp;COUNTIF('Float trend'!$U$7:$U$26,"Runs out*")&amp;" running out"</f>
      </c>
      <c r="K11" s="23"/>
      <c r="L11" s="38">
        <f>COUNTIF(Actions!$I$7:$I$36,"Overdue*")&amp;" action(s) overdue"</f>
      </c>
      <c r="M11" s="23"/>
      <c r="N11" s="37">
        <f>"of "&amp;COUNTA('Remaining days'!$B$7:$B$46)&amp;" started activities"</f>
      </c>
      <c r="O11" s="23"/>
    </row>
    <row r="12" spans="1:16" x14ac:dyDescent="0.3">
      <c r="B12" s="41"/>
      <c r="C12" s="41"/>
      <c r="D12" s="42"/>
      <c r="E12" s="42"/>
      <c r="F12" s="43"/>
      <c r="G12" s="43"/>
      <c r="H12" s="44"/>
      <c r="I12" s="44"/>
      <c r="J12" s="44"/>
      <c r="K12" s="44"/>
      <c r="L12" s="42"/>
      <c r="M12" s="42"/>
      <c r="N12" s="41"/>
      <c r="O12" s="41"/>
    </row>
    <row r="14" spans="1:16" ht="22.05" customHeight="1" x14ac:dyDescent="0.3">
      <c r="B14" s="45">
        <f>IF(Setup!$B$8="","Add this update’s line in Updates and set its number in Setup.","The finish is forecast for "&amp;IFERROR(TEXT(F9,"d mmmm yyyy"),"—")&amp;IF(H9="","",", "&amp;H9&amp;" days against the contract")&amp;". "&amp;J9&amp;" activit"&amp;IF(J9=1,"y is","ies are")&amp;" already late and "&amp;COUNTIF('Float trend'!$U$7:$U$26,"Runs out*")&amp;" will run out of float within "&amp;Setup!$B$14&amp;" updates. The health check found "&amp;IFERROR(SUM('Health check'!$O$7:$O$14),0)&amp;" items. "&amp;IF(L9&gt;0,L9&amp;" slipping path(s) still have no owner.","Every slipping path has an owner."))</f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1:16" ht="22.05" customHeight="1" x14ac:dyDescent="0.3"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7" spans="2:15" x14ac:dyDescent="0.3">
      <c r="B17" s="47" t="s">
        <v>70</v>
      </c>
    </row>
    <row r="18" spans="2:15" x14ac:dyDescent="0.3">
      <c r="B18" s="48" t="s">
        <v>71</v>
      </c>
      <c r="C18" s="49" t="s">
        <v>72</v>
      </c>
      <c r="D18" s="23"/>
      <c r="E18" s="23"/>
      <c r="F18" s="23"/>
      <c r="G18" s="23"/>
      <c r="H18" s="48" t="s">
        <v>73</v>
      </c>
      <c r="I18" s="48" t="s">
        <v>74</v>
      </c>
      <c r="J18" s="49" t="s">
        <v>75</v>
      </c>
      <c r="K18" s="23"/>
      <c r="L18" s="49" t="s">
        <v>76</v>
      </c>
      <c r="M18" s="23"/>
      <c r="N18" s="23"/>
      <c r="O18" s="23"/>
    </row>
    <row r="19" spans="2:15" ht="27" customHeight="1" x14ac:dyDescent="0.3">
      <c r="B19" s="50">
        <f>IFERROR(INDEX(Checklist!$A$8:$A$42,MATCH(SMALL(Checklist!$J$8:$J$42,1),Checklist!$J$8:$J$42,0))&amp;"","")</f>
      </c>
      <c r="C19" s="51">
        <f>IFERROR(INDEX(Checklist!$B$8:$B$42,MATCH(SMALL(Checklist!$J$8:$J$42,1),Checklist!$J$8:$J$42,0))&amp;"","")</f>
      </c>
      <c r="D19" s="52"/>
      <c r="E19" s="52"/>
      <c r="F19" s="52"/>
      <c r="G19" s="52"/>
      <c r="H19" s="50">
        <f>IFERROR(INDEX(Checklist!$D$8:$D$42,MATCH(SMALL(Checklist!$J$8:$J$42,1),Checklist!$J$8:$J$42,0))&amp;"","")</f>
      </c>
      <c r="I19" s="50">
        <f>IFERROR(INDEX(Checklist!$F$8:$F$42,MATCH(SMALL(Checklist!$J$8:$J$42,1),Checklist!$J$8:$J$42,0))&amp;"","")</f>
      </c>
      <c r="J19" s="51">
        <f>IFERROR(INDEX(Checklist!$H$8:$H$42,MATCH(SMALL(Checklist!$J$8:$J$42,1),Checklist!$J$8:$J$42,0))&amp;"","")</f>
      </c>
      <c r="K19" s="52"/>
      <c r="L19" s="51">
        <f>IFERROR(INDEX(Checklist!$G$8:$G$42,MATCH(SMALL(Checklist!$J$8:$J$42,1),Checklist!$J$8:$J$42,0))&amp;"","")</f>
      </c>
      <c r="M19" s="52"/>
      <c r="N19" s="52"/>
      <c r="O19" s="52"/>
    </row>
    <row r="20" spans="2:15" ht="27" customHeight="1" x14ac:dyDescent="0.3">
      <c r="B20" s="50">
        <f>IFERROR(INDEX(Checklist!$A$8:$A$42,MATCH(SMALL(Checklist!$J$8:$J$42,2),Checklist!$J$8:$J$42,0))&amp;"","")</f>
      </c>
      <c r="C20" s="51">
        <f>IFERROR(INDEX(Checklist!$B$8:$B$42,MATCH(SMALL(Checklist!$J$8:$J$42,2),Checklist!$J$8:$J$42,0))&amp;"","")</f>
      </c>
      <c r="D20" s="52"/>
      <c r="E20" s="52"/>
      <c r="F20" s="52"/>
      <c r="G20" s="52"/>
      <c r="H20" s="50">
        <f>IFERROR(INDEX(Checklist!$D$8:$D$42,MATCH(SMALL(Checklist!$J$8:$J$42,2),Checklist!$J$8:$J$42,0))&amp;"","")</f>
      </c>
      <c r="I20" s="50">
        <f>IFERROR(INDEX(Checklist!$F$8:$F$42,MATCH(SMALL(Checklist!$J$8:$J$42,2),Checklist!$J$8:$J$42,0))&amp;"","")</f>
      </c>
      <c r="J20" s="51">
        <f>IFERROR(INDEX(Checklist!$H$8:$H$42,MATCH(SMALL(Checklist!$J$8:$J$42,2),Checklist!$J$8:$J$42,0))&amp;"","")</f>
      </c>
      <c r="K20" s="52"/>
      <c r="L20" s="51">
        <f>IFERROR(INDEX(Checklist!$G$8:$G$42,MATCH(SMALL(Checklist!$J$8:$J$42,2),Checklist!$J$8:$J$42,0))&amp;"","")</f>
      </c>
      <c r="M20" s="52"/>
      <c r="N20" s="52"/>
      <c r="O20" s="52"/>
    </row>
    <row r="21" spans="2:15" ht="27" customHeight="1" x14ac:dyDescent="0.3">
      <c r="B21" s="50">
        <f>IFERROR(INDEX(Checklist!$A$8:$A$42,MATCH(SMALL(Checklist!$J$8:$J$42,3),Checklist!$J$8:$J$42,0))&amp;"","")</f>
      </c>
      <c r="C21" s="51">
        <f>IFERROR(INDEX(Checklist!$B$8:$B$42,MATCH(SMALL(Checklist!$J$8:$J$42,3),Checklist!$J$8:$J$42,0))&amp;"","")</f>
      </c>
      <c r="D21" s="52"/>
      <c r="E21" s="52"/>
      <c r="F21" s="52"/>
      <c r="G21" s="52"/>
      <c r="H21" s="50">
        <f>IFERROR(INDEX(Checklist!$D$8:$D$42,MATCH(SMALL(Checklist!$J$8:$J$42,3),Checklist!$J$8:$J$42,0))&amp;"","")</f>
      </c>
      <c r="I21" s="50">
        <f>IFERROR(INDEX(Checklist!$F$8:$F$42,MATCH(SMALL(Checklist!$J$8:$J$42,3),Checklist!$J$8:$J$42,0))&amp;"","")</f>
      </c>
      <c r="J21" s="51">
        <f>IFERROR(INDEX(Checklist!$H$8:$H$42,MATCH(SMALL(Checklist!$J$8:$J$42,3),Checklist!$J$8:$J$42,0))&amp;"","")</f>
      </c>
      <c r="K21" s="52"/>
      <c r="L21" s="51">
        <f>IFERROR(INDEX(Checklist!$G$8:$G$42,MATCH(SMALL(Checklist!$J$8:$J$42,3),Checklist!$J$8:$J$42,0))&amp;"","")</f>
      </c>
      <c r="M21" s="52"/>
      <c r="N21" s="52"/>
      <c r="O21" s="52"/>
    </row>
    <row r="22" spans="2:15" ht="27" customHeight="1" x14ac:dyDescent="0.3">
      <c r="B22" s="50">
        <f>IFERROR(INDEX(Checklist!$A$8:$A$42,MATCH(SMALL(Checklist!$J$8:$J$42,4),Checklist!$J$8:$J$42,0))&amp;"","")</f>
      </c>
      <c r="C22" s="51">
        <f>IFERROR(INDEX(Checklist!$B$8:$B$42,MATCH(SMALL(Checklist!$J$8:$J$42,4),Checklist!$J$8:$J$42,0))&amp;"","")</f>
      </c>
      <c r="D22" s="52"/>
      <c r="E22" s="52"/>
      <c r="F22" s="52"/>
      <c r="G22" s="52"/>
      <c r="H22" s="50">
        <f>IFERROR(INDEX(Checklist!$D$8:$D$42,MATCH(SMALL(Checklist!$J$8:$J$42,4),Checklist!$J$8:$J$42,0))&amp;"","")</f>
      </c>
      <c r="I22" s="50">
        <f>IFERROR(INDEX(Checklist!$F$8:$F$42,MATCH(SMALL(Checklist!$J$8:$J$42,4),Checklist!$J$8:$J$42,0))&amp;"","")</f>
      </c>
      <c r="J22" s="51">
        <f>IFERROR(INDEX(Checklist!$H$8:$H$42,MATCH(SMALL(Checklist!$J$8:$J$42,4),Checklist!$J$8:$J$42,0))&amp;"","")</f>
      </c>
      <c r="K22" s="52"/>
      <c r="L22" s="51">
        <f>IFERROR(INDEX(Checklist!$G$8:$G$42,MATCH(SMALL(Checklist!$J$8:$J$42,4),Checklist!$J$8:$J$42,0))&amp;"","")</f>
      </c>
      <c r="M22" s="52"/>
      <c r="N22" s="52"/>
      <c r="O22" s="52"/>
    </row>
    <row r="23" spans="2:15" ht="27" customHeight="1" x14ac:dyDescent="0.3">
      <c r="B23" s="50">
        <f>IFERROR(INDEX(Checklist!$A$8:$A$42,MATCH(SMALL(Checklist!$J$8:$J$42,5),Checklist!$J$8:$J$42,0))&amp;"","")</f>
      </c>
      <c r="C23" s="51">
        <f>IFERROR(INDEX(Checklist!$B$8:$B$42,MATCH(SMALL(Checklist!$J$8:$J$42,5),Checklist!$J$8:$J$42,0))&amp;"","")</f>
      </c>
      <c r="D23" s="52"/>
      <c r="E23" s="52"/>
      <c r="F23" s="52"/>
      <c r="G23" s="52"/>
      <c r="H23" s="50">
        <f>IFERROR(INDEX(Checklist!$D$8:$D$42,MATCH(SMALL(Checklist!$J$8:$J$42,5),Checklist!$J$8:$J$42,0))&amp;"","")</f>
      </c>
      <c r="I23" s="50">
        <f>IFERROR(INDEX(Checklist!$F$8:$F$42,MATCH(SMALL(Checklist!$J$8:$J$42,5),Checklist!$J$8:$J$42,0))&amp;"","")</f>
      </c>
      <c r="J23" s="51">
        <f>IFERROR(INDEX(Checklist!$H$8:$H$42,MATCH(SMALL(Checklist!$J$8:$J$42,5),Checklist!$J$8:$J$42,0))&amp;"","")</f>
      </c>
      <c r="K23" s="52"/>
      <c r="L23" s="51">
        <f>IFERROR(INDEX(Checklist!$G$8:$G$42,MATCH(SMALL(Checklist!$J$8:$J$42,5),Checklist!$J$8:$J$42,0))&amp;"","")</f>
      </c>
      <c r="M23" s="52"/>
      <c r="N23" s="52"/>
      <c r="O23" s="52"/>
    </row>
    <row r="24" spans="2:15" ht="27" customHeight="1" x14ac:dyDescent="0.3">
      <c r="B24" s="50">
        <f>IFERROR(INDEX(Checklist!$A$8:$A$42,MATCH(SMALL(Checklist!$J$8:$J$42,6),Checklist!$J$8:$J$42,0))&amp;"","")</f>
      </c>
      <c r="C24" s="51">
        <f>IFERROR(INDEX(Checklist!$B$8:$B$42,MATCH(SMALL(Checklist!$J$8:$J$42,6),Checklist!$J$8:$J$42,0))&amp;"","")</f>
      </c>
      <c r="D24" s="52"/>
      <c r="E24" s="52"/>
      <c r="F24" s="52"/>
      <c r="G24" s="52"/>
      <c r="H24" s="50">
        <f>IFERROR(INDEX(Checklist!$D$8:$D$42,MATCH(SMALL(Checklist!$J$8:$J$42,6),Checklist!$J$8:$J$42,0))&amp;"","")</f>
      </c>
      <c r="I24" s="50">
        <f>IFERROR(INDEX(Checklist!$F$8:$F$42,MATCH(SMALL(Checklist!$J$8:$J$42,6),Checklist!$J$8:$J$42,0))&amp;"","")</f>
      </c>
      <c r="J24" s="51">
        <f>IFERROR(INDEX(Checklist!$H$8:$H$42,MATCH(SMALL(Checklist!$J$8:$J$42,6),Checklist!$J$8:$J$42,0))&amp;"","")</f>
      </c>
      <c r="K24" s="52"/>
      <c r="L24" s="51">
        <f>IFERROR(INDEX(Checklist!$G$8:$G$42,MATCH(SMALL(Checklist!$J$8:$J$42,6),Checklist!$J$8:$J$42,0))&amp;"","")</f>
      </c>
      <c r="M24" s="52"/>
      <c r="N24" s="52"/>
      <c r="O24" s="52"/>
    </row>
    <row r="25" spans="2:15" ht="27" customHeight="1" x14ac:dyDescent="0.3">
      <c r="B25" s="50">
        <f>IFERROR(INDEX(Checklist!$A$8:$A$42,MATCH(SMALL(Checklist!$J$8:$J$42,7),Checklist!$J$8:$J$42,0))&amp;"","")</f>
      </c>
      <c r="C25" s="51">
        <f>IFERROR(INDEX(Checklist!$B$8:$B$42,MATCH(SMALL(Checklist!$J$8:$J$42,7),Checklist!$J$8:$J$42,0))&amp;"","")</f>
      </c>
      <c r="D25" s="52"/>
      <c r="E25" s="52"/>
      <c r="F25" s="52"/>
      <c r="G25" s="52"/>
      <c r="H25" s="50">
        <f>IFERROR(INDEX(Checklist!$D$8:$D$42,MATCH(SMALL(Checklist!$J$8:$J$42,7),Checklist!$J$8:$J$42,0))&amp;"","")</f>
      </c>
      <c r="I25" s="50">
        <f>IFERROR(INDEX(Checklist!$F$8:$F$42,MATCH(SMALL(Checklist!$J$8:$J$42,7),Checklist!$J$8:$J$42,0))&amp;"","")</f>
      </c>
      <c r="J25" s="51">
        <f>IFERROR(INDEX(Checklist!$H$8:$H$42,MATCH(SMALL(Checklist!$J$8:$J$42,7),Checklist!$J$8:$J$42,0))&amp;"","")</f>
      </c>
      <c r="K25" s="52"/>
      <c r="L25" s="51">
        <f>IFERROR(INDEX(Checklist!$G$8:$G$42,MATCH(SMALL(Checklist!$J$8:$J$42,7),Checklist!$J$8:$J$42,0))&amp;"","")</f>
      </c>
      <c r="M25" s="52"/>
      <c r="N25" s="52"/>
      <c r="O25" s="52"/>
    </row>
    <row r="26" spans="2:15" ht="27" customHeight="1" x14ac:dyDescent="0.3">
      <c r="B26" s="50">
        <f>IFERROR(INDEX(Checklist!$A$8:$A$42,MATCH(SMALL(Checklist!$J$8:$J$42,8),Checklist!$J$8:$J$42,0))&amp;"","")</f>
      </c>
      <c r="C26" s="51">
        <f>IFERROR(INDEX(Checklist!$B$8:$B$42,MATCH(SMALL(Checklist!$J$8:$J$42,8),Checklist!$J$8:$J$42,0))&amp;"","")</f>
      </c>
      <c r="D26" s="52"/>
      <c r="E26" s="52"/>
      <c r="F26" s="52"/>
      <c r="G26" s="52"/>
      <c r="H26" s="50">
        <f>IFERROR(INDEX(Checklist!$D$8:$D$42,MATCH(SMALL(Checklist!$J$8:$J$42,8),Checklist!$J$8:$J$42,0))&amp;"","")</f>
      </c>
      <c r="I26" s="50">
        <f>IFERROR(INDEX(Checklist!$F$8:$F$42,MATCH(SMALL(Checklist!$J$8:$J$42,8),Checklist!$J$8:$J$42,0))&amp;"","")</f>
      </c>
      <c r="J26" s="51">
        <f>IFERROR(INDEX(Checklist!$H$8:$H$42,MATCH(SMALL(Checklist!$J$8:$J$42,8),Checklist!$J$8:$J$42,0))&amp;"","")</f>
      </c>
      <c r="K26" s="52"/>
      <c r="L26" s="51">
        <f>IFERROR(INDEX(Checklist!$G$8:$G$42,MATCH(SMALL(Checklist!$J$8:$J$42,8),Checklist!$J$8:$J$42,0))&amp;"","")</f>
      </c>
      <c r="M26" s="52"/>
      <c r="N26" s="52"/>
      <c r="O26" s="52"/>
    </row>
    <row r="27" spans="2:15" x14ac:dyDescent="0.3">
      <c r="B27" s="53">
        <f>IF(COUNT(Checklist!$J$8:$J$42)=0,"Nothing open on the checklist.",IF(COUNT(Checklist!$J$8:$J$42)&gt;8,"…and "&amp;(COUNT(Checklist!$J$8:$J$42)-8)&amp;" more in the Checklist.",""))</f>
      </c>
    </row>
    <row r="30" spans="2:15" x14ac:dyDescent="0.3">
      <c r="B30" s="47" t="s">
        <v>77</v>
      </c>
    </row>
    <row r="31" spans="2:15" x14ac:dyDescent="0.3">
      <c r="B31" s="49" t="s">
        <v>78</v>
      </c>
      <c r="C31" s="23"/>
      <c r="D31" s="23"/>
      <c r="E31" s="23"/>
      <c r="F31" s="23"/>
      <c r="G31" s="48" t="s">
        <v>79</v>
      </c>
      <c r="H31" s="48" t="s">
        <v>80</v>
      </c>
      <c r="I31" s="48" t="s">
        <v>81</v>
      </c>
      <c r="J31" s="49" t="s">
        <v>82</v>
      </c>
      <c r="K31" s="23"/>
      <c r="L31" s="23"/>
      <c r="M31" s="23"/>
      <c r="N31" s="23"/>
      <c r="O31" s="23"/>
    </row>
    <row r="32" spans="2:15" ht="19.95" customHeight="1" x14ac:dyDescent="0.3">
      <c r="B32" s="51">
        <f>IFERROR(INDEX('Float trend'!$B$7:$B$26,MATCH(SMALL('Float trend'!$W$7:$W$26,1),'Float trend'!$W$7:$W$26,0)),"")</f>
      </c>
      <c r="C32" s="52"/>
      <c r="D32" s="52"/>
      <c r="E32" s="52"/>
      <c r="F32" s="52"/>
      <c r="G32" s="54">
        <f>IFERROR(INDEX('Float trend'!$P$7:$P$26,MATCH(SMALL('Float trend'!$W$7:$W$26,1),'Float trend'!$W$7:$W$26,0)),"")</f>
      </c>
      <c r="H32" s="55">
        <f>IFERROR(INDEX('Float trend'!$R$7:$R$26,MATCH(SMALL('Float trend'!$W$7:$W$26,1),'Float trend'!$W$7:$W$26,0)),"")</f>
      </c>
      <c r="I32" s="56">
        <f>IFERROR(INDEX('Float trend'!$S$7:$S$26,MATCH(SMALL('Float trend'!$W$7:$W$26,1),'Float trend'!$W$7:$W$26,0)),"")</f>
      </c>
      <c r="J32" s="51">
        <f>IFERROR(INDEX('Float trend'!$U$7:$U$26,MATCH(SMALL('Float trend'!$W$7:$W$26,1),'Float trend'!$W$7:$W$26,0)),"")</f>
      </c>
      <c r="K32" s="52"/>
      <c r="L32" s="52"/>
      <c r="M32" s="52"/>
      <c r="N32" s="52"/>
      <c r="O32" s="52"/>
    </row>
    <row r="33" spans="2:15" ht="19.95" customHeight="1" x14ac:dyDescent="0.3">
      <c r="B33" s="51">
        <f>IFERROR(INDEX('Float trend'!$B$7:$B$26,MATCH(SMALL('Float trend'!$W$7:$W$26,2),'Float trend'!$W$7:$W$26,0)),"")</f>
      </c>
      <c r="C33" s="52"/>
      <c r="D33" s="52"/>
      <c r="E33" s="52"/>
      <c r="F33" s="52"/>
      <c r="G33" s="54">
        <f>IFERROR(INDEX('Float trend'!$P$7:$P$26,MATCH(SMALL('Float trend'!$W$7:$W$26,2),'Float trend'!$W$7:$W$26,0)),"")</f>
      </c>
      <c r="H33" s="55">
        <f>IFERROR(INDEX('Float trend'!$R$7:$R$26,MATCH(SMALL('Float trend'!$W$7:$W$26,2),'Float trend'!$W$7:$W$26,0)),"")</f>
      </c>
      <c r="I33" s="56">
        <f>IFERROR(INDEX('Float trend'!$S$7:$S$26,MATCH(SMALL('Float trend'!$W$7:$W$26,2),'Float trend'!$W$7:$W$26,0)),"")</f>
      </c>
      <c r="J33" s="51">
        <f>IFERROR(INDEX('Float trend'!$U$7:$U$26,MATCH(SMALL('Float trend'!$W$7:$W$26,2),'Float trend'!$W$7:$W$26,0)),"")</f>
      </c>
      <c r="K33" s="52"/>
      <c r="L33" s="52"/>
      <c r="M33" s="52"/>
      <c r="N33" s="52"/>
      <c r="O33" s="52"/>
    </row>
    <row r="34" spans="2:15" ht="19.95" customHeight="1" x14ac:dyDescent="0.3">
      <c r="B34" s="51">
        <f>IFERROR(INDEX('Float trend'!$B$7:$B$26,MATCH(SMALL('Float trend'!$W$7:$W$26,3),'Float trend'!$W$7:$W$26,0)),"")</f>
      </c>
      <c r="C34" s="52"/>
      <c r="D34" s="52"/>
      <c r="E34" s="52"/>
      <c r="F34" s="52"/>
      <c r="G34" s="54">
        <f>IFERROR(INDEX('Float trend'!$P$7:$P$26,MATCH(SMALL('Float trend'!$W$7:$W$26,3),'Float trend'!$W$7:$W$26,0)),"")</f>
      </c>
      <c r="H34" s="55">
        <f>IFERROR(INDEX('Float trend'!$R$7:$R$26,MATCH(SMALL('Float trend'!$W$7:$W$26,3),'Float trend'!$W$7:$W$26,0)),"")</f>
      </c>
      <c r="I34" s="56">
        <f>IFERROR(INDEX('Float trend'!$S$7:$S$26,MATCH(SMALL('Float trend'!$W$7:$W$26,3),'Float trend'!$W$7:$W$26,0)),"")</f>
      </c>
      <c r="J34" s="51">
        <f>IFERROR(INDEX('Float trend'!$U$7:$U$26,MATCH(SMALL('Float trend'!$W$7:$W$26,3),'Float trend'!$W$7:$W$26,0)),"")</f>
      </c>
      <c r="K34" s="52"/>
      <c r="L34" s="52"/>
      <c r="M34" s="52"/>
      <c r="N34" s="52"/>
      <c r="O34" s="52"/>
    </row>
    <row r="35" spans="2:15" ht="19.95" customHeight="1" x14ac:dyDescent="0.3">
      <c r="B35" s="51">
        <f>IFERROR(INDEX('Float trend'!$B$7:$B$26,MATCH(SMALL('Float trend'!$W$7:$W$26,4),'Float trend'!$W$7:$W$26,0)),"")</f>
      </c>
      <c r="C35" s="52"/>
      <c r="D35" s="52"/>
      <c r="E35" s="52"/>
      <c r="F35" s="52"/>
      <c r="G35" s="54">
        <f>IFERROR(INDEX('Float trend'!$P$7:$P$26,MATCH(SMALL('Float trend'!$W$7:$W$26,4),'Float trend'!$W$7:$W$26,0)),"")</f>
      </c>
      <c r="H35" s="55">
        <f>IFERROR(INDEX('Float trend'!$R$7:$R$26,MATCH(SMALL('Float trend'!$W$7:$W$26,4),'Float trend'!$W$7:$W$26,0)),"")</f>
      </c>
      <c r="I35" s="56">
        <f>IFERROR(INDEX('Float trend'!$S$7:$S$26,MATCH(SMALL('Float trend'!$W$7:$W$26,4),'Float trend'!$W$7:$W$26,0)),"")</f>
      </c>
      <c r="J35" s="51">
        <f>IFERROR(INDEX('Float trend'!$U$7:$U$26,MATCH(SMALL('Float trend'!$W$7:$W$26,4),'Float trend'!$W$7:$W$26,0)),"")</f>
      </c>
      <c r="K35" s="52"/>
      <c r="L35" s="52"/>
      <c r="M35" s="52"/>
      <c r="N35" s="52"/>
      <c r="O35" s="52"/>
    </row>
    <row r="36" spans="2:15" ht="19.95" customHeight="1" x14ac:dyDescent="0.3">
      <c r="B36" s="51">
        <f>IFERROR(INDEX('Float trend'!$B$7:$B$26,MATCH(SMALL('Float trend'!$W$7:$W$26,5),'Float trend'!$W$7:$W$26,0)),"")</f>
      </c>
      <c r="C36" s="52"/>
      <c r="D36" s="52"/>
      <c r="E36" s="52"/>
      <c r="F36" s="52"/>
      <c r="G36" s="54">
        <f>IFERROR(INDEX('Float trend'!$P$7:$P$26,MATCH(SMALL('Float trend'!$W$7:$W$26,5),'Float trend'!$W$7:$W$26,0)),"")</f>
      </c>
      <c r="H36" s="55">
        <f>IFERROR(INDEX('Float trend'!$R$7:$R$26,MATCH(SMALL('Float trend'!$W$7:$W$26,5),'Float trend'!$W$7:$W$26,0)),"")</f>
      </c>
      <c r="I36" s="56">
        <f>IFERROR(INDEX('Float trend'!$S$7:$S$26,MATCH(SMALL('Float trend'!$W$7:$W$26,5),'Float trend'!$W$7:$W$26,0)),"")</f>
      </c>
      <c r="J36" s="51">
        <f>IFERROR(INDEX('Float trend'!$U$7:$U$26,MATCH(SMALL('Float trend'!$W$7:$W$26,5),'Float trend'!$W$7:$W$26,0)),"")</f>
      </c>
      <c r="K36" s="52"/>
      <c r="L36" s="52"/>
      <c r="M36" s="52"/>
      <c r="N36" s="52"/>
      <c r="O36" s="52"/>
    </row>
    <row r="37" spans="2:15" ht="19.95" customHeight="1" x14ac:dyDescent="0.3">
      <c r="B37" s="51">
        <f>IFERROR(INDEX('Float trend'!$B$7:$B$26,MATCH(SMALL('Float trend'!$W$7:$W$26,6),'Float trend'!$W$7:$W$26,0)),"")</f>
      </c>
      <c r="C37" s="52"/>
      <c r="D37" s="52"/>
      <c r="E37" s="52"/>
      <c r="F37" s="52"/>
      <c r="G37" s="54">
        <f>IFERROR(INDEX('Float trend'!$P$7:$P$26,MATCH(SMALL('Float trend'!$W$7:$W$26,6),'Float trend'!$W$7:$W$26,0)),"")</f>
      </c>
      <c r="H37" s="55">
        <f>IFERROR(INDEX('Float trend'!$R$7:$R$26,MATCH(SMALL('Float trend'!$W$7:$W$26,6),'Float trend'!$W$7:$W$26,0)),"")</f>
      </c>
      <c r="I37" s="56">
        <f>IFERROR(INDEX('Float trend'!$S$7:$S$26,MATCH(SMALL('Float trend'!$W$7:$W$26,6),'Float trend'!$W$7:$W$26,0)),"")</f>
      </c>
      <c r="J37" s="51">
        <f>IFERROR(INDEX('Float trend'!$U$7:$U$26,MATCH(SMALL('Float trend'!$W$7:$W$26,6),'Float trend'!$W$7:$W$26,0)),"")</f>
      </c>
      <c r="K37" s="52"/>
      <c r="L37" s="52"/>
      <c r="M37" s="52"/>
      <c r="N37" s="52"/>
      <c r="O37" s="52"/>
    </row>
    <row r="38" spans="2:15" ht="19.95" customHeight="1" x14ac:dyDescent="0.3">
      <c r="B38" s="51">
        <f>IFERROR(INDEX('Float trend'!$B$7:$B$26,MATCH(SMALL('Float trend'!$W$7:$W$26,7),'Float trend'!$W$7:$W$26,0)),"")</f>
      </c>
      <c r="C38" s="52"/>
      <c r="D38" s="52"/>
      <c r="E38" s="52"/>
      <c r="F38" s="52"/>
      <c r="G38" s="54">
        <f>IFERROR(INDEX('Float trend'!$P$7:$P$26,MATCH(SMALL('Float trend'!$W$7:$W$26,7),'Float trend'!$W$7:$W$26,0)),"")</f>
      </c>
      <c r="H38" s="55">
        <f>IFERROR(INDEX('Float trend'!$R$7:$R$26,MATCH(SMALL('Float trend'!$W$7:$W$26,7),'Float trend'!$W$7:$W$26,0)),"")</f>
      </c>
      <c r="I38" s="56">
        <f>IFERROR(INDEX('Float trend'!$S$7:$S$26,MATCH(SMALL('Float trend'!$W$7:$W$26,7),'Float trend'!$W$7:$W$26,0)),"")</f>
      </c>
      <c r="J38" s="51">
        <f>IFERROR(INDEX('Float trend'!$U$7:$U$26,MATCH(SMALL('Float trend'!$W$7:$W$26,7),'Float trend'!$W$7:$W$26,0)),"")</f>
      </c>
      <c r="K38" s="52"/>
      <c r="L38" s="52"/>
      <c r="M38" s="52"/>
      <c r="N38" s="52"/>
      <c r="O38" s="52"/>
    </row>
    <row r="39" spans="2:15" ht="19.95" customHeight="1" x14ac:dyDescent="0.3">
      <c r="B39" s="51">
        <f>IFERROR(INDEX('Float trend'!$B$7:$B$26,MATCH(SMALL('Float trend'!$W$7:$W$26,8),'Float trend'!$W$7:$W$26,0)),"")</f>
      </c>
      <c r="C39" s="52"/>
      <c r="D39" s="52"/>
      <c r="E39" s="52"/>
      <c r="F39" s="52"/>
      <c r="G39" s="54">
        <f>IFERROR(INDEX('Float trend'!$P$7:$P$26,MATCH(SMALL('Float trend'!$W$7:$W$26,8),'Float trend'!$W$7:$W$26,0)),"")</f>
      </c>
      <c r="H39" s="55">
        <f>IFERROR(INDEX('Float trend'!$R$7:$R$26,MATCH(SMALL('Float trend'!$W$7:$W$26,8),'Float trend'!$W$7:$W$26,0)),"")</f>
      </c>
      <c r="I39" s="56">
        <f>IFERROR(INDEX('Float trend'!$S$7:$S$26,MATCH(SMALL('Float trend'!$W$7:$W$26,8),'Float trend'!$W$7:$W$26,0)),"")</f>
      </c>
      <c r="J39" s="51">
        <f>IFERROR(INDEX('Float trend'!$U$7:$U$26,MATCH(SMALL('Float trend'!$W$7:$W$26,8),'Float trend'!$W$7:$W$26,0)),"")</f>
      </c>
      <c r="K39" s="52"/>
      <c r="L39" s="52"/>
      <c r="M39" s="52"/>
      <c r="N39" s="52"/>
      <c r="O39" s="52"/>
    </row>
    <row r="40" spans="2:15" ht="19.95" customHeight="1" x14ac:dyDescent="0.3">
      <c r="B40" s="51">
        <f>IFERROR(INDEX('Float trend'!$B$7:$B$26,MATCH(SMALL('Float trend'!$W$7:$W$26,9),'Float trend'!$W$7:$W$26,0)),"")</f>
      </c>
      <c r="C40" s="52"/>
      <c r="D40" s="52"/>
      <c r="E40" s="52"/>
      <c r="F40" s="52"/>
      <c r="G40" s="54">
        <f>IFERROR(INDEX('Float trend'!$P$7:$P$26,MATCH(SMALL('Float trend'!$W$7:$W$26,9),'Float trend'!$W$7:$W$26,0)),"")</f>
      </c>
      <c r="H40" s="55">
        <f>IFERROR(INDEX('Float trend'!$R$7:$R$26,MATCH(SMALL('Float trend'!$W$7:$W$26,9),'Float trend'!$W$7:$W$26,0)),"")</f>
      </c>
      <c r="I40" s="56">
        <f>IFERROR(INDEX('Float trend'!$S$7:$S$26,MATCH(SMALL('Float trend'!$W$7:$W$26,9),'Float trend'!$W$7:$W$26,0)),"")</f>
      </c>
      <c r="J40" s="51">
        <f>IFERROR(INDEX('Float trend'!$U$7:$U$26,MATCH(SMALL('Float trend'!$W$7:$W$26,9),'Float trend'!$W$7:$W$26,0)),"")</f>
      </c>
      <c r="K40" s="52"/>
      <c r="L40" s="52"/>
      <c r="M40" s="52"/>
      <c r="N40" s="52"/>
      <c r="O40" s="52"/>
    </row>
    <row r="41" spans="2:15" ht="19.95" customHeight="1" x14ac:dyDescent="0.3">
      <c r="B41" s="51">
        <f>IFERROR(INDEX('Float trend'!$B$7:$B$26,MATCH(SMALL('Float trend'!$W$7:$W$26,10),'Float trend'!$W$7:$W$26,0)),"")</f>
      </c>
      <c r="C41" s="52"/>
      <c r="D41" s="52"/>
      <c r="E41" s="52"/>
      <c r="F41" s="52"/>
      <c r="G41" s="54">
        <f>IFERROR(INDEX('Float trend'!$P$7:$P$26,MATCH(SMALL('Float trend'!$W$7:$W$26,10),'Float trend'!$W$7:$W$26,0)),"")</f>
      </c>
      <c r="H41" s="55">
        <f>IFERROR(INDEX('Float trend'!$R$7:$R$26,MATCH(SMALL('Float trend'!$W$7:$W$26,10),'Float trend'!$W$7:$W$26,0)),"")</f>
      </c>
      <c r="I41" s="56">
        <f>IFERROR(INDEX('Float trend'!$S$7:$S$26,MATCH(SMALL('Float trend'!$W$7:$W$26,10),'Float trend'!$W$7:$W$26,0)),"")</f>
      </c>
      <c r="J41" s="51">
        <f>IFERROR(INDEX('Float trend'!$U$7:$U$26,MATCH(SMALL('Float trend'!$W$7:$W$26,10),'Float trend'!$W$7:$W$26,0)),"")</f>
      </c>
      <c r="K41" s="52"/>
      <c r="L41" s="52"/>
      <c r="M41" s="52"/>
      <c r="N41" s="52"/>
      <c r="O41" s="52"/>
    </row>
    <row r="44" spans="2:15" x14ac:dyDescent="0.3">
      <c r="B44" s="47" t="s">
        <v>83</v>
      </c>
    </row>
    <row r="63" spans="2:2" x14ac:dyDescent="0.3">
      <c r="B63" s="53" t="s">
        <v>84</v>
      </c>
    </row>
    <row r="83" spans="2:2" x14ac:dyDescent="0.3">
      <c r="B83" s="53" t="s">
        <v>85</v>
      </c>
    </row>
  </sheetData>
  <sheetProtection sheet="1" formatCells="0" formatColumns="0" formatRows="0" insertColumns="0" insertRows="0" insertHyperlinks="0" deleteColumns="0" deleteRows="0" sort="0" autoFilter="0" pivotTables="0"/>
  <mergeCells count="73">
    <mergeCell ref="B41:F41"/>
    <mergeCell ref="L25:O25"/>
    <mergeCell ref="B14:O15"/>
    <mergeCell ref="D8:E8"/>
    <mergeCell ref="L23:O23"/>
    <mergeCell ref="J9:K10"/>
    <mergeCell ref="J21:K21"/>
    <mergeCell ref="J38:O38"/>
    <mergeCell ref="J37:O37"/>
    <mergeCell ref="B33:F33"/>
    <mergeCell ref="L26:O26"/>
    <mergeCell ref="J18:K18"/>
    <mergeCell ref="L11:M11"/>
    <mergeCell ref="C19:G19"/>
    <mergeCell ref="L20:O20"/>
    <mergeCell ref="B36:F36"/>
    <mergeCell ref="H8:I8"/>
    <mergeCell ref="B32:F32"/>
    <mergeCell ref="J8:K8"/>
    <mergeCell ref="L2:O2"/>
    <mergeCell ref="J31:O31"/>
    <mergeCell ref="B5:O6"/>
    <mergeCell ref="L8:M8"/>
    <mergeCell ref="B8:C8"/>
    <mergeCell ref="C22:G22"/>
    <mergeCell ref="N8:O8"/>
    <mergeCell ref="J26:K26"/>
    <mergeCell ref="F8:G8"/>
    <mergeCell ref="L19:O19"/>
    <mergeCell ref="H11:I11"/>
    <mergeCell ref="C21:G21"/>
    <mergeCell ref="J11:K11"/>
    <mergeCell ref="J20:K20"/>
    <mergeCell ref="J25:K25"/>
    <mergeCell ref="C23:G23"/>
    <mergeCell ref="J41:O41"/>
    <mergeCell ref="J24:K24"/>
    <mergeCell ref="D11:E11"/>
    <mergeCell ref="J32:O32"/>
    <mergeCell ref="C25:G25"/>
    <mergeCell ref="B38:F38"/>
    <mergeCell ref="J33:O33"/>
    <mergeCell ref="B34:F34"/>
    <mergeCell ref="B35:F35"/>
    <mergeCell ref="B37:F37"/>
    <mergeCell ref="J39:O39"/>
    <mergeCell ref="L24:O24"/>
    <mergeCell ref="J22:K22"/>
    <mergeCell ref="L18:O18"/>
    <mergeCell ref="B40:F40"/>
    <mergeCell ref="J40:O40"/>
    <mergeCell ref="N9:O10"/>
    <mergeCell ref="C20:G20"/>
    <mergeCell ref="B39:F39"/>
    <mergeCell ref="J23:K23"/>
    <mergeCell ref="B11:C11"/>
    <mergeCell ref="H9:I10"/>
    <mergeCell ref="C18:G18"/>
    <mergeCell ref="B9:C10"/>
    <mergeCell ref="D9:E10"/>
    <mergeCell ref="C26:G26"/>
    <mergeCell ref="F9:G10"/>
    <mergeCell ref="L9:M10"/>
    <mergeCell ref="F11:G11"/>
    <mergeCell ref="N11:O11"/>
    <mergeCell ref="L22:O22"/>
    <mergeCell ref="C24:G24"/>
    <mergeCell ref="J36:O36"/>
    <mergeCell ref="L21:O21"/>
    <mergeCell ref="J19:K19"/>
    <mergeCell ref="B31:F31"/>
    <mergeCell ref="J34:O34"/>
    <mergeCell ref="J35:O35"/>
  </mergeCells>
  <conditionalFormatting sqref="B5:O6">
    <cfRule type="expression" dxfId="43" priority="1">
      <formula>LEFT($B$5,5)="READY"</formula>
    </cfRule>
    <cfRule type="expression" dxfId="42" priority="2">
      <formula>LEFT($B$5,3)="NOT"</formula>
    </cfRule>
    <cfRule type="expression" dxfId="41" priority="3">
      <formula>LEFT($B$5,5)="Start"</formula>
    </cfRule>
  </conditionalFormatting>
  <conditionalFormatting sqref="B19:O26">
    <cfRule type="expression" dxfId="40" priority="8">
      <formula>$H19="Must"</formula>
    </cfRule>
  </conditionalFormatting>
  <conditionalFormatting sqref="D9">
    <cfRule type="cellIs" dxfId="39" priority="6" operator="greaterThan">
      <formula>0</formula>
    </cfRule>
  </conditionalFormatting>
  <conditionalFormatting sqref="G32:G41">
    <cfRule type="cellIs" dxfId="38" priority="11" operator="lessThan">
      <formula>0</formula>
    </cfRule>
  </conditionalFormatting>
  <conditionalFormatting sqref="H9">
    <cfRule type="cellIs" dxfId="37" priority="7" operator="greaterThan">
      <formula>0</formula>
    </cfRule>
  </conditionalFormatting>
  <conditionalFormatting sqref="J9">
    <cfRule type="cellIs" dxfId="36" priority="4" operator="greaterThan">
      <formula>0</formula>
    </cfRule>
  </conditionalFormatting>
  <conditionalFormatting sqref="J32:O41">
    <cfRule type="expression" dxfId="35" priority="9">
      <formula>OR(LEFT($J32,7)="Already",LEFT($J32,8)="Critical")</formula>
    </cfRule>
    <cfRule type="expression" dxfId="34" priority="10">
      <formula>OR(LEFT($J32,4)="Runs",LEFT($J32,10)="Suspicious")</formula>
    </cfRule>
  </conditionalFormatting>
  <conditionalFormatting sqref="L9">
    <cfRule type="cellIs" dxfId="33" priority="5" operator="greaterThan">
      <formula>0</formula>
    </cfRule>
  </conditionalFormatting>
  <printOptions horizontalCentered="1"/>
  <pageMargins left="0.4" right="0.4" top="0.5" bottom="0.5" header="0.5" footer="0.5"/>
  <pageSetup paperSize="9"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B8A6"/>
    <pageSetUpPr fitToPage="1"/>
  </sheetPr>
  <dimension ref="A1:J44"/>
  <sheetViews>
    <sheetView showGridLines="0" view="pageBreakPreview" zoomScale="60" zoomScaleNormal="80" workbookViewId="0">
      <pane xSplit="2" ySplit="6" topLeftCell="C7" activePane="bottomRight" state="frozen"/>
      <selection pane="topRight"/>
      <selection pane="bottomLeft"/>
      <selection pane="bottomRight" activeCell="B17" sqref="B17"/>
    </sheetView>
  </sheetViews>
  <sheetFormatPr defaultRowHeight="14.4" x14ac:dyDescent="0.3"/>
  <cols>
    <col min="1" max="1" width="6" style="2" customWidth="1"/>
    <col min="2" max="2" width="46" style="2" customWidth="1"/>
    <col min="3" max="3" width="44" style="2" customWidth="1"/>
    <col min="4" max="4" width="7" style="2" customWidth="1"/>
    <col min="5" max="5" width="32" style="2" customWidth="1"/>
    <col min="6" max="6" width="11" style="2" customWidth="1"/>
    <col min="7" max="7" width="40" style="2" customWidth="1"/>
    <col min="8" max="8" width="15" style="2" customWidth="1"/>
    <col min="9" max="9" width="10" style="2" customWidth="1"/>
    <col min="10" max="10" width="7" style="2" customWidth="1"/>
    <col min="11" max="16384" width="8.88671875" style="2"/>
  </cols>
  <sheetData>
    <row r="1" spans="1:10" ht="28.05" customHeight="1" x14ac:dyDescent="0.4">
      <c r="A1" s="58" t="s">
        <v>42</v>
      </c>
      <c r="I1" s="78" t="s">
        <v>62</v>
      </c>
    </row>
    <row r="2" spans="1:10" x14ac:dyDescent="0.3">
      <c r="A2" s="59" t="s">
        <v>86</v>
      </c>
    </row>
    <row r="3" spans="1:10" x14ac:dyDescent="0.3">
      <c r="A3" s="60" t="s">
        <v>87</v>
      </c>
    </row>
    <row r="4" spans="1:10" x14ac:dyDescent="0.3">
      <c r="A4" s="61"/>
      <c r="B4" s="61"/>
      <c r="C4" s="61"/>
      <c r="D4" s="61"/>
      <c r="E4" s="61"/>
      <c r="F4" s="61"/>
      <c r="G4" s="61"/>
      <c r="H4" s="61"/>
      <c r="I4" s="61"/>
    </row>
    <row r="5" spans="1:10" ht="30" customHeight="1" x14ac:dyDescent="0.3">
      <c r="A5" s="62">
        <f>IF(COUNTA(F8:F42)=0,"Start with the Updates line, then work down the list.",IF(J5=0,"READY TO ISSUE  ·  every must-do item is done or fixed","NOT READY TO ISSUE  ·  "&amp;J5&amp;" must-do item(s) still open"))</f>
      </c>
      <c r="B5" s="23"/>
      <c r="C5" s="23"/>
      <c r="D5" s="23"/>
      <c r="E5" s="23"/>
      <c r="F5" s="23"/>
      <c r="G5" s="23"/>
      <c r="H5" s="23"/>
      <c r="I5" s="23"/>
      <c r="J5" s="63">
        <f>SUMPRODUCT((D8:D42="Must")*(F8:F42&lt;&gt;"Done")*(F8:F42&lt;&gt;"Fixed"))</f>
      </c>
    </row>
    <row r="6" spans="1:10" ht="31.95" customHeight="1" x14ac:dyDescent="0.3">
      <c r="A6" s="64" t="s">
        <v>71</v>
      </c>
      <c r="B6" s="64" t="s">
        <v>72</v>
      </c>
      <c r="C6" s="65" t="s">
        <v>88</v>
      </c>
      <c r="D6" s="64" t="s">
        <v>73</v>
      </c>
      <c r="E6" s="65" t="s">
        <v>89</v>
      </c>
      <c r="F6" s="64" t="s">
        <v>74</v>
      </c>
      <c r="G6" s="65" t="s">
        <v>76</v>
      </c>
      <c r="H6" s="64" t="s">
        <v>75</v>
      </c>
      <c r="I6" s="64" t="s">
        <v>90</v>
      </c>
      <c r="J6" s="66" t="s">
        <v>91</v>
      </c>
    </row>
    <row r="7" spans="1:10" ht="19.95" customHeight="1" x14ac:dyDescent="0.3">
      <c r="A7" s="67" t="s">
        <v>92</v>
      </c>
      <c r="B7" s="68"/>
      <c r="C7" s="68"/>
      <c r="D7" s="68"/>
      <c r="E7" s="68"/>
      <c r="F7" s="68"/>
      <c r="G7" s="68"/>
      <c r="H7" s="68"/>
      <c r="I7" s="68"/>
    </row>
    <row r="8" spans="1:10" ht="40.049999999999997" customHeight="1" x14ac:dyDescent="0.3">
      <c r="A8" s="69" t="s">
        <v>93</v>
      </c>
      <c r="B8" s="70" t="s">
        <v>94</v>
      </c>
      <c r="C8" s="71" t="s">
        <v>95</v>
      </c>
      <c r="D8" s="72" t="s">
        <v>73</v>
      </c>
      <c r="E8" s="73">
        <f>IFERROR(IF(INDEX(Updates!$C$7:$C$18,Setup!$B$7)="","",IF(INDEX(Updates!$C$7:$C$18,Setup!$B$7)="Y","Same rule: ","Rule changed: ")&amp;Setup!$B$10),"")</f>
      </c>
      <c r="F8" s="74"/>
      <c r="G8" s="75"/>
      <c r="H8" s="17"/>
      <c r="I8" s="76" t="s">
        <v>99</v>
      </c>
      <c r="J8" s="63">
        <f>IF(OR(F8="Done",F8="Fixed",F8="N/A"),"",IF(D8="Must",0,1000)+ROW())</f>
      </c>
    </row>
    <row r="9" spans="1:10" ht="40.049999999999997" customHeight="1" x14ac:dyDescent="0.3">
      <c r="A9" s="69" t="s">
        <v>100</v>
      </c>
      <c r="B9" s="70" t="s">
        <v>101</v>
      </c>
      <c r="C9" s="71" t="s">
        <v>102</v>
      </c>
      <c r="D9" s="72" t="s">
        <v>73</v>
      </c>
      <c r="E9" s="73">
        <f>IF(COUNTA('Remaining days'!$B$7:$B$46)=0,"",(COUNTIF('Remaining days'!$D$7:$D$46,"Phone call")+COUNTIF('Remaining days'!$D$7:$D$46,"Memory"))&amp;" figure(s) from a phone call or memory")</f>
      </c>
      <c r="F9" s="74"/>
      <c r="G9" s="75"/>
      <c r="H9" s="17"/>
      <c r="I9" s="76" t="s">
        <v>99</v>
      </c>
      <c r="J9" s="63">
        <f>IF(OR(F9="Done",F9="Fixed",F9="N/A"),"",IF(D9="Must",0,1000)+ROW())</f>
      </c>
    </row>
    <row r="10" spans="1:10" ht="40.049999999999997" customHeight="1" x14ac:dyDescent="0.3">
      <c r="A10" s="69" t="s">
        <v>103</v>
      </c>
      <c r="B10" s="70" t="s">
        <v>104</v>
      </c>
      <c r="C10" s="71" t="s">
        <v>105</v>
      </c>
      <c r="D10" s="72" t="s">
        <v>73</v>
      </c>
      <c r="E10" s="73">
        <f>COUNTA('Remaining days'!$B$7:$B$46)&amp;" in Remaining days, "&amp;COUNTIFS('Remaining days'!$B$7:$B$46,"&lt;&gt;",'Remaining days'!$I$7:$I$46,"")&amp;" without days left"</f>
      </c>
      <c r="F10" s="74"/>
      <c r="G10" s="75"/>
      <c r="H10" s="17"/>
      <c r="I10" s="76" t="s">
        <v>99</v>
      </c>
      <c r="J10" s="63">
        <f>IF(OR(F10="Done",F10="Fixed",F10="N/A"),"",IF(D10="Must",0,1000)+ROW())</f>
      </c>
    </row>
    <row r="11" spans="1:10" ht="40.049999999999997" customHeight="1" x14ac:dyDescent="0.3">
      <c r="A11" s="69" t="s">
        <v>107</v>
      </c>
      <c r="B11" s="77" t="s">
        <v>108</v>
      </c>
      <c r="C11" s="71" t="s">
        <v>109</v>
      </c>
      <c r="D11" s="72"/>
      <c r="E11" s="73">
        <f>COUNTIF('Remaining days'!$M$7:$M$46,"*Stuck*")&amp;" stuck, "&amp;COUNTIF('Remaining days'!$M$7:$M$46,"*Not a site*")&amp;" not from a record"</f>
      </c>
      <c r="F11" s="74"/>
      <c r="G11" s="75"/>
      <c r="H11" s="17"/>
      <c r="I11" s="76" t="s">
        <v>99</v>
      </c>
      <c r="J11" s="63">
        <f>IF(OR(F11="Done",F11="Fixed",F11="N/A"),"",IF(D11="Must",0,1000)+ROW())</f>
      </c>
    </row>
    <row r="12" spans="1:10" ht="40.049999999999997" customHeight="1" x14ac:dyDescent="0.3">
      <c r="A12" s="69" t="s">
        <v>113</v>
      </c>
      <c r="B12" s="77" t="s">
        <v>114</v>
      </c>
      <c r="C12" s="71" t="s">
        <v>115</v>
      </c>
      <c r="D12" s="72"/>
      <c r="E12" s="71"/>
      <c r="F12" s="74"/>
      <c r="G12" s="75"/>
      <c r="H12" s="17"/>
      <c r="I12" s="76" t="s">
        <v>99</v>
      </c>
      <c r="J12" s="63">
        <f>IF(OR(F12="Done",F12="Fixed",F12="N/A"),"",IF(D12="Must",0,1000)+ROW())</f>
      </c>
    </row>
    <row r="13" spans="1:10" ht="19.95" customHeight="1" x14ac:dyDescent="0.3">
      <c r="A13" s="67" t="s">
        <v>117</v>
      </c>
      <c r="B13" s="68"/>
      <c r="C13" s="68"/>
      <c r="D13" s="68"/>
      <c r="E13" s="68"/>
      <c r="F13" s="68"/>
      <c r="G13" s="68"/>
      <c r="H13" s="68"/>
      <c r="I13" s="68"/>
    </row>
    <row r="14" spans="1:10" ht="40.049999999999997" customHeight="1" x14ac:dyDescent="0.3">
      <c r="A14" s="69" t="s">
        <v>118</v>
      </c>
      <c r="B14" s="70" t="s">
        <v>119</v>
      </c>
      <c r="C14" s="71" t="s">
        <v>120</v>
      </c>
      <c r="D14" s="72" t="s">
        <v>73</v>
      </c>
      <c r="E14" s="73">
        <f>IF(Setup!$B$8="","Type the data date in Updates","Data date "&amp;TEXT(Setup!$B$8,"d mmm yyyy"))</f>
      </c>
      <c r="F14" s="74"/>
      <c r="G14" s="75"/>
      <c r="H14" s="17"/>
      <c r="I14" s="76" t="s">
        <v>99</v>
      </c>
      <c r="J14" s="63">
        <f>IF(OR(F14="Done",F14="Fixed",F14="N/A"),"",IF(D14="Must",0,1000)+ROW())</f>
      </c>
    </row>
    <row r="15" spans="1:10" ht="40.049999999999997" customHeight="1" x14ac:dyDescent="0.3">
      <c r="A15" s="69" t="s">
        <v>121</v>
      </c>
      <c r="B15" s="77" t="s">
        <v>122</v>
      </c>
      <c r="C15" s="71" t="s">
        <v>123</v>
      </c>
      <c r="D15" s="72"/>
      <c r="E15" s="71"/>
      <c r="F15" s="74"/>
      <c r="G15" s="75"/>
      <c r="H15" s="17"/>
      <c r="I15" s="76" t="s">
        <v>99</v>
      </c>
      <c r="J15" s="63">
        <f>IF(OR(F15="Done",F15="Fixed",F15="N/A"),"",IF(D15="Must",0,1000)+ROW())</f>
      </c>
    </row>
    <row r="16" spans="1:10" ht="40.049999999999997" customHeight="1" x14ac:dyDescent="0.3">
      <c r="A16" s="69" t="s">
        <v>124</v>
      </c>
      <c r="B16" s="70" t="s">
        <v>125</v>
      </c>
      <c r="C16" s="71" t="s">
        <v>126</v>
      </c>
      <c r="D16" s="72" t="s">
        <v>73</v>
      </c>
      <c r="E16" s="73">
        <f>IF('Health check'!$O$13="","",'Health check'!$O$13&amp;" found")</f>
      </c>
      <c r="F16" s="74"/>
      <c r="G16" s="75"/>
      <c r="H16" s="17"/>
      <c r="I16" s="76" t="s">
        <v>99</v>
      </c>
      <c r="J16" s="63">
        <f>IF(OR(F16="Done",F16="Fixed",F16="N/A"),"",IF(D16="Must",0,1000)+ROW())</f>
      </c>
    </row>
    <row r="17" spans="1:10" ht="40.049999999999997" customHeight="1" x14ac:dyDescent="0.3">
      <c r="A17" s="69" t="s">
        <v>128</v>
      </c>
      <c r="B17" s="77" t="s">
        <v>129</v>
      </c>
      <c r="C17" s="71" t="s">
        <v>130</v>
      </c>
      <c r="D17" s="72"/>
      <c r="E17" s="71"/>
      <c r="F17" s="74"/>
      <c r="G17" s="75"/>
      <c r="H17" s="17"/>
      <c r="I17" s="76" t="s">
        <v>99</v>
      </c>
      <c r="J17" s="63">
        <f>IF(OR(F17="Done",F17="Fixed",F17="N/A"),"",IF(D17="Must",0,1000)+ROW())</f>
      </c>
    </row>
    <row r="18" spans="1:10" ht="19.95" customHeight="1" x14ac:dyDescent="0.3">
      <c r="A18" s="67" t="s">
        <v>131</v>
      </c>
      <c r="B18" s="68"/>
      <c r="C18" s="68"/>
      <c r="D18" s="68"/>
      <c r="E18" s="68"/>
      <c r="F18" s="68"/>
      <c r="G18" s="68"/>
      <c r="H18" s="68"/>
      <c r="I18" s="68"/>
    </row>
    <row r="19" spans="1:10" ht="40.049999999999997" customHeight="1" x14ac:dyDescent="0.3">
      <c r="A19" s="69" t="s">
        <v>132</v>
      </c>
      <c r="B19" s="70" t="s">
        <v>133</v>
      </c>
      <c r="C19" s="71" t="s">
        <v>134</v>
      </c>
      <c r="D19" s="72" t="s">
        <v>73</v>
      </c>
      <c r="E19" s="73">
        <f>IFERROR(IF(INDEX(Updates!$D$7:$D$18,Setup!$B$7)="","",INDEX(Updates!$D$7:$D$18,Setup!$B$7)),"")</f>
      </c>
      <c r="F19" s="74"/>
      <c r="G19" s="75"/>
      <c r="H19" s="17"/>
      <c r="I19" s="76" t="s">
        <v>137</v>
      </c>
      <c r="J19" s="63">
        <f>IF(OR(F19="Done",F19="Fixed",F19="N/A"),"",IF(D19="Must",0,1000)+ROW())</f>
      </c>
    </row>
    <row r="20" spans="1:10" ht="40.049999999999997" customHeight="1" x14ac:dyDescent="0.3">
      <c r="A20" s="69" t="s">
        <v>138</v>
      </c>
      <c r="B20" s="77" t="s">
        <v>139</v>
      </c>
      <c r="C20" s="71" t="s">
        <v>140</v>
      </c>
      <c r="D20" s="72"/>
      <c r="E20" s="71"/>
      <c r="F20" s="74"/>
      <c r="G20" s="75"/>
      <c r="H20" s="17"/>
      <c r="I20" s="76" t="s">
        <v>137</v>
      </c>
      <c r="J20" s="63">
        <f>IF(OR(F20="Done",F20="Fixed",F20="N/A"),"",IF(D20="Must",0,1000)+ROW())</f>
      </c>
    </row>
    <row r="21" spans="1:10" ht="40.049999999999997" customHeight="1" x14ac:dyDescent="0.3">
      <c r="A21" s="69" t="s">
        <v>142</v>
      </c>
      <c r="B21" s="77" t="s">
        <v>143</v>
      </c>
      <c r="C21" s="71" t="s">
        <v>144</v>
      </c>
      <c r="D21" s="72"/>
      <c r="E21" s="71"/>
      <c r="F21" s="74"/>
      <c r="G21" s="75"/>
      <c r="H21" s="17"/>
      <c r="I21" s="76" t="s">
        <v>137</v>
      </c>
      <c r="J21" s="63">
        <f>IF(OR(F21="Done",F21="Fixed",F21="N/A"),"",IF(D21="Must",0,1000)+ROW())</f>
      </c>
    </row>
    <row r="22" spans="1:10" ht="19.95" customHeight="1" x14ac:dyDescent="0.3">
      <c r="A22" s="67" t="s">
        <v>145</v>
      </c>
      <c r="B22" s="68"/>
      <c r="C22" s="68"/>
      <c r="D22" s="68"/>
      <c r="E22" s="68"/>
      <c r="F22" s="68"/>
      <c r="G22" s="68"/>
      <c r="H22" s="68"/>
      <c r="I22" s="68"/>
    </row>
    <row r="23" spans="1:10" ht="40.049999999999997" customHeight="1" x14ac:dyDescent="0.3">
      <c r="A23" s="69" t="s">
        <v>146</v>
      </c>
      <c r="B23" s="70" t="s">
        <v>147</v>
      </c>
      <c r="C23" s="71" t="s">
        <v>148</v>
      </c>
      <c r="D23" s="72" t="s">
        <v>73</v>
      </c>
      <c r="E23" s="73">
        <f>IF('Health check'!$O$7="","",'Health check'!$O$7&amp;" found")</f>
      </c>
      <c r="F23" s="74"/>
      <c r="G23" s="75"/>
      <c r="H23" s="17"/>
      <c r="I23" s="76" t="s">
        <v>137</v>
      </c>
      <c r="J23" s="63">
        <f>IF(OR(F23="Done",F23="Fixed",F23="N/A"),"",IF(D23="Must",0,1000)+ROW())</f>
      </c>
    </row>
    <row r="24" spans="1:10" ht="40.049999999999997" customHeight="1" x14ac:dyDescent="0.3">
      <c r="A24" s="69" t="s">
        <v>150</v>
      </c>
      <c r="B24" s="70" t="s">
        <v>151</v>
      </c>
      <c r="C24" s="71" t="s">
        <v>152</v>
      </c>
      <c r="D24" s="72" t="s">
        <v>73</v>
      </c>
      <c r="E24" s="73">
        <f>IF('Health check'!$O$8="","",'Health check'!$O$8&amp;" found")</f>
      </c>
      <c r="F24" s="74"/>
      <c r="G24" s="75"/>
      <c r="H24" s="17"/>
      <c r="I24" s="76" t="s">
        <v>137</v>
      </c>
      <c r="J24" s="63">
        <f>IF(OR(F24="Done",F24="Fixed",F24="N/A"),"",IF(D24="Must",0,1000)+ROW())</f>
      </c>
    </row>
    <row r="25" spans="1:10" ht="40.049999999999997" customHeight="1" x14ac:dyDescent="0.3">
      <c r="A25" s="69" t="s">
        <v>154</v>
      </c>
      <c r="B25" s="77" t="s">
        <v>155</v>
      </c>
      <c r="C25" s="71" t="s">
        <v>156</v>
      </c>
      <c r="D25" s="72"/>
      <c r="E25" s="73">
        <f>IF('Health check'!$O$12="","",'Health check'!$O$12&amp;" found")</f>
      </c>
      <c r="F25" s="74"/>
      <c r="G25" s="75"/>
      <c r="H25" s="17"/>
      <c r="I25" s="76" t="s">
        <v>137</v>
      </c>
      <c r="J25" s="63">
        <f>IF(OR(F25="Done",F25="Fixed",F25="N/A"),"",IF(D25="Must",0,1000)+ROW())</f>
      </c>
    </row>
    <row r="26" spans="1:10" ht="40.049999999999997" customHeight="1" x14ac:dyDescent="0.3">
      <c r="A26" s="69" t="s">
        <v>158</v>
      </c>
      <c r="B26" s="77" t="s">
        <v>159</v>
      </c>
      <c r="C26" s="71" t="s">
        <v>160</v>
      </c>
      <c r="D26" s="72"/>
      <c r="E26" s="73">
        <f>IF('Health check'!$O$10="","",'Health check'!$O$10&amp;" found")</f>
      </c>
      <c r="F26" s="74"/>
      <c r="G26" s="75"/>
      <c r="H26" s="17"/>
      <c r="I26" s="76" t="s">
        <v>137</v>
      </c>
      <c r="J26" s="63">
        <f>IF(OR(F26="Done",F26="Fixed",F26="N/A"),"",IF(D26="Must",0,1000)+ROW())</f>
      </c>
    </row>
    <row r="27" spans="1:10" ht="40.049999999999997" customHeight="1" x14ac:dyDescent="0.3">
      <c r="A27" s="69" t="s">
        <v>162</v>
      </c>
      <c r="B27" s="77" t="s">
        <v>163</v>
      </c>
      <c r="C27" s="71" t="s">
        <v>164</v>
      </c>
      <c r="D27" s="72"/>
      <c r="E27" s="73">
        <f>IF('Health check'!$O$11="","",'Health check'!$O$11&amp;" found")</f>
      </c>
      <c r="F27" s="74"/>
      <c r="G27" s="75"/>
      <c r="H27" s="17"/>
      <c r="I27" s="76" t="s">
        <v>137</v>
      </c>
      <c r="J27" s="63">
        <f>IF(OR(F27="Done",F27="Fixed",F27="N/A"),"",IF(D27="Must",0,1000)+ROW())</f>
      </c>
    </row>
    <row r="28" spans="1:10" ht="19.95" customHeight="1" x14ac:dyDescent="0.3">
      <c r="A28" s="67" t="s">
        <v>166</v>
      </c>
      <c r="B28" s="68"/>
      <c r="C28" s="68"/>
      <c r="D28" s="68"/>
      <c r="E28" s="68"/>
      <c r="F28" s="68"/>
      <c r="G28" s="68"/>
      <c r="H28" s="68"/>
      <c r="I28" s="68"/>
    </row>
    <row r="29" spans="1:10" ht="40.049999999999997" customHeight="1" x14ac:dyDescent="0.3">
      <c r="A29" s="69" t="s">
        <v>167</v>
      </c>
      <c r="B29" s="70" t="s">
        <v>168</v>
      </c>
      <c r="C29" s="71" t="s">
        <v>169</v>
      </c>
      <c r="D29" s="72" t="s">
        <v>73</v>
      </c>
      <c r="E29" s="73">
        <f>COUNT('Float trend'!$R$7:$R$26)&amp;" compared; worst change "&amp;IFERROR(TEXT(MIN('Float trend'!$R$7:$R$26),"+0;-0;0")&amp;" days","—")</f>
      </c>
      <c r="F29" s="74"/>
      <c r="G29" s="75"/>
      <c r="H29" s="17"/>
      <c r="I29" s="76" t="s">
        <v>99</v>
      </c>
      <c r="J29" s="63">
        <f>IF(OR(F29="Done",F29="Fixed",F29="N/A"),"",IF(D29="Must",0,1000)+ROW())</f>
      </c>
    </row>
    <row r="30" spans="1:10" ht="40.049999999999997" customHeight="1" x14ac:dyDescent="0.3">
      <c r="A30" s="69" t="s">
        <v>171</v>
      </c>
      <c r="B30" s="77" t="s">
        <v>172</v>
      </c>
      <c r="C30" s="71" t="s">
        <v>173</v>
      </c>
      <c r="D30" s="72"/>
      <c r="E30" s="73">
        <f>COUNTIF('Float trend'!$U$7:$U$26,"Runs out*")&amp;" run out within "&amp;Setup!$B$14&amp;" updates"</f>
      </c>
      <c r="F30" s="74"/>
      <c r="G30" s="75"/>
      <c r="H30" s="17"/>
      <c r="I30" s="76" t="s">
        <v>99</v>
      </c>
      <c r="J30" s="63">
        <f>IF(OR(F30="Done",F30="Fixed",F30="N/A"),"",IF(D30="Must",0,1000)+ROW())</f>
      </c>
    </row>
    <row r="31" spans="1:10" ht="40.049999999999997" customHeight="1" x14ac:dyDescent="0.3">
      <c r="A31" s="69" t="s">
        <v>175</v>
      </c>
      <c r="B31" s="70" t="s">
        <v>176</v>
      </c>
      <c r="C31" s="71" t="s">
        <v>177</v>
      </c>
      <c r="D31" s="72" t="s">
        <v>73</v>
      </c>
      <c r="E31" s="73">
        <f>COUNTIF('Float trend'!$P$7:$P$26,"&lt;0")&amp;" with negative float"</f>
      </c>
      <c r="F31" s="74"/>
      <c r="G31" s="75"/>
      <c r="H31" s="17"/>
      <c r="I31" s="76" t="s">
        <v>99</v>
      </c>
      <c r="J31" s="63">
        <f>IF(OR(F31="Done",F31="Fixed",F31="N/A"),"",IF(D31="Must",0,1000)+ROW())</f>
      </c>
    </row>
    <row r="32" spans="1:10" ht="40.049999999999997" customHeight="1" x14ac:dyDescent="0.3">
      <c r="A32" s="69" t="s">
        <v>179</v>
      </c>
      <c r="B32" s="70" t="s">
        <v>180</v>
      </c>
      <c r="C32" s="71" t="s">
        <v>181</v>
      </c>
      <c r="D32" s="72" t="s">
        <v>73</v>
      </c>
      <c r="E32" s="73">
        <f>IFERROR(IF(INDEX(Updates!$E$7:$E$18,Setup!$B$7)="","","Finish "&amp;TEXT(INDEX(Updates!$E$7:$E$18,Setup!$B$7),"d mmm yy")&amp;IF(INDEX(Updates!$G$7:$G$18,Setup!$B$7)="","","  ·  moved "&amp;TEXT(INDEX(Updates!$G$7:$G$18,Setup!$B$7),"+0;-0;0")&amp;" d")),"")</f>
      </c>
      <c r="F32" s="74"/>
      <c r="G32" s="75"/>
      <c r="H32" s="17"/>
      <c r="I32" s="76" t="s">
        <v>99</v>
      </c>
      <c r="J32" s="63">
        <f>IF(OR(F32="Done",F32="Fixed",F32="N/A"),"",IF(D32="Must",0,1000)+ROW())</f>
      </c>
    </row>
    <row r="33" spans="1:10" ht="40.049999999999997" customHeight="1" x14ac:dyDescent="0.3">
      <c r="A33" s="69" t="s">
        <v>183</v>
      </c>
      <c r="B33" s="77" t="s">
        <v>184</v>
      </c>
      <c r="C33" s="71" t="s">
        <v>185</v>
      </c>
      <c r="D33" s="72"/>
      <c r="E33" s="71"/>
      <c r="F33" s="74"/>
      <c r="G33" s="75"/>
      <c r="H33" s="17"/>
      <c r="I33" s="76" t="s">
        <v>99</v>
      </c>
      <c r="J33" s="63">
        <f>IF(OR(F33="Done",F33="Fixed",F33="N/A"),"",IF(D33="Must",0,1000)+ROW())</f>
      </c>
    </row>
    <row r="34" spans="1:10" ht="19.95" customHeight="1" x14ac:dyDescent="0.3">
      <c r="A34" s="67" t="s">
        <v>187</v>
      </c>
      <c r="B34" s="68"/>
      <c r="C34" s="68"/>
      <c r="D34" s="68"/>
      <c r="E34" s="68"/>
      <c r="F34" s="68"/>
      <c r="G34" s="68"/>
      <c r="H34" s="68"/>
      <c r="I34" s="68"/>
    </row>
    <row r="35" spans="1:10" ht="40.049999999999997" customHeight="1" x14ac:dyDescent="0.3">
      <c r="A35" s="69" t="s">
        <v>188</v>
      </c>
      <c r="B35" s="70" t="s">
        <v>189</v>
      </c>
      <c r="C35" s="71" t="s">
        <v>190</v>
      </c>
      <c r="D35" s="72" t="s">
        <v>73</v>
      </c>
      <c r="E35" s="73">
        <f>COUNTIFS(Actions!$A$7:$A$36,"&lt;&gt;",Actions!$D$7:$D$36,"",Actions!$F$7:$F$36,"&lt;&gt;Done")&amp;" path(s) without an owner"</f>
      </c>
      <c r="F35" s="74"/>
      <c r="G35" s="75"/>
      <c r="H35" s="17"/>
      <c r="I35" s="76" t="s">
        <v>99</v>
      </c>
      <c r="J35" s="63">
        <f>IF(OR(F35="Done",F35="Fixed",F35="N/A"),"",IF(D35="Must",0,1000)+ROW())</f>
      </c>
    </row>
    <row r="36" spans="1:10" ht="40.049999999999997" customHeight="1" x14ac:dyDescent="0.3">
      <c r="A36" s="69" t="s">
        <v>194</v>
      </c>
      <c r="B36" s="77" t="s">
        <v>195</v>
      </c>
      <c r="C36" s="71" t="s">
        <v>196</v>
      </c>
      <c r="D36" s="72"/>
      <c r="E36" s="71"/>
      <c r="F36" s="74"/>
      <c r="G36" s="75"/>
      <c r="H36" s="17"/>
      <c r="I36" s="76" t="s">
        <v>99</v>
      </c>
      <c r="J36" s="63">
        <f>IF(OR(F36="Done",F36="Fixed",F36="N/A"),"",IF(D36="Must",0,1000)+ROW())</f>
      </c>
    </row>
    <row r="37" spans="1:10" ht="40.049999999999997" customHeight="1" x14ac:dyDescent="0.3">
      <c r="A37" s="69" t="s">
        <v>198</v>
      </c>
      <c r="B37" s="77" t="s">
        <v>199</v>
      </c>
      <c r="C37" s="71" t="s">
        <v>200</v>
      </c>
      <c r="D37" s="72"/>
      <c r="E37" s="71"/>
      <c r="F37" s="74"/>
      <c r="G37" s="75"/>
      <c r="H37" s="17"/>
      <c r="I37" s="76" t="s">
        <v>99</v>
      </c>
      <c r="J37" s="63">
        <f>IF(OR(F37="Done",F37="Fixed",F37="N/A"),"",IF(D37="Must",0,1000)+ROW())</f>
      </c>
    </row>
    <row r="38" spans="1:10" ht="19.95" customHeight="1" x14ac:dyDescent="0.3">
      <c r="A38" s="67" t="s">
        <v>203</v>
      </c>
      <c r="B38" s="68"/>
      <c r="C38" s="68"/>
      <c r="D38" s="68"/>
      <c r="E38" s="68"/>
      <c r="F38" s="68"/>
      <c r="G38" s="68"/>
      <c r="H38" s="68"/>
      <c r="I38" s="68"/>
    </row>
    <row r="39" spans="1:10" ht="40.049999999999997" customHeight="1" x14ac:dyDescent="0.3">
      <c r="A39" s="69" t="s">
        <v>204</v>
      </c>
      <c r="B39" s="70" t="s">
        <v>205</v>
      </c>
      <c r="C39" s="71" t="s">
        <v>206</v>
      </c>
      <c r="D39" s="72" t="s">
        <v>73</v>
      </c>
      <c r="E39" s="71"/>
      <c r="F39" s="74"/>
      <c r="G39" s="75"/>
      <c r="H39" s="17"/>
      <c r="I39" s="76" t="s">
        <v>99</v>
      </c>
      <c r="J39" s="63">
        <f>IF(OR(F39="Done",F39="Fixed",F39="N/A"),"",IF(D39="Must",0,1000)+ROW())</f>
      </c>
    </row>
    <row r="40" spans="1:10" ht="40.049999999999997" customHeight="1" x14ac:dyDescent="0.3">
      <c r="A40" s="69" t="s">
        <v>208</v>
      </c>
      <c r="B40" s="77" t="s">
        <v>209</v>
      </c>
      <c r="C40" s="71" t="s">
        <v>210</v>
      </c>
      <c r="D40" s="72"/>
      <c r="E40" s="71"/>
      <c r="F40" s="74"/>
      <c r="G40" s="75"/>
      <c r="H40" s="17"/>
      <c r="I40" s="76" t="s">
        <v>99</v>
      </c>
      <c r="J40" s="63">
        <f>IF(OR(F40="Done",F40="Fixed",F40="N/A"),"",IF(D40="Must",0,1000)+ROW())</f>
      </c>
    </row>
    <row r="41" spans="1:10" ht="40.049999999999997" customHeight="1" x14ac:dyDescent="0.3">
      <c r="A41" s="69" t="s">
        <v>211</v>
      </c>
      <c r="B41" s="77" t="s">
        <v>212</v>
      </c>
      <c r="C41" s="71" t="s">
        <v>213</v>
      </c>
      <c r="D41" s="72"/>
      <c r="E41" s="73">
        <f>IFERROR(IF(INDEX(Updates!$J$7:$J$18,Setup!$B$7)="","Not issued yet","Issued "&amp;TEXT(INDEX(Updates!$J$7:$J$18,Setup!$B$7),"d mmm")&amp;", "&amp;INDEX(Updates!$K$7:$K$18,Setup!$B$7)&amp;" working days after"),"")</f>
      </c>
      <c r="F41" s="74"/>
      <c r="G41" s="75"/>
      <c r="H41" s="17"/>
      <c r="I41" s="76" t="s">
        <v>99</v>
      </c>
      <c r="J41" s="63">
        <f>IF(OR(F41="Done",F41="Fixed",F41="N/A"),"",IF(D41="Must",0,1000)+ROW())</f>
      </c>
    </row>
    <row r="42" spans="1:10" ht="40.049999999999997" customHeight="1" x14ac:dyDescent="0.3">
      <c r="A42" s="69" t="s">
        <v>214</v>
      </c>
      <c r="B42" s="77" t="s">
        <v>215</v>
      </c>
      <c r="C42" s="71" t="s">
        <v>216</v>
      </c>
      <c r="D42" s="72"/>
      <c r="E42" s="71"/>
      <c r="F42" s="74"/>
      <c r="G42" s="75"/>
      <c r="H42" s="17"/>
      <c r="I42" s="76" t="s">
        <v>99</v>
      </c>
      <c r="J42" s="63">
        <f>IF(OR(F42="Done",F42="Fixed",F42="N/A"),"",IF(D42="Must",0,1000)+ROW())</f>
      </c>
    </row>
    <row r="44" spans="1:10" x14ac:dyDescent="0.3">
      <c r="A44" s="53" t="s">
        <v>217</v>
      </c>
    </row>
  </sheetData>
  <sheetProtection sheet="1" formatCells="0" formatColumns="0" formatRows="0" insertColumns="0" insertRows="0" insertHyperlinks="0" deleteColumns="0" deleteRows="0" sort="0" autoFilter="0" pivotTables="0"/>
  <mergeCells count="8">
    <mergeCell ref="A34:I34"/>
    <mergeCell ref="A38:I38"/>
    <mergeCell ref="A7:I7"/>
    <mergeCell ref="A5:I5"/>
    <mergeCell ref="A28:I28"/>
    <mergeCell ref="A13:I13"/>
    <mergeCell ref="A18:I18"/>
    <mergeCell ref="A22:I22"/>
  </mergeCells>
  <conditionalFormatting sqref="A5:I5">
    <cfRule type="expression" dxfId="32" priority="1">
      <formula>LEFT($A$5,5)="READY"</formula>
    </cfRule>
    <cfRule type="expression" dxfId="31" priority="2">
      <formula>LEFT($A$5,3)="NOT"</formula>
    </cfRule>
    <cfRule type="expression" dxfId="30" priority="3">
      <formula>LEFT($A$5,5)="Start"</formula>
    </cfRule>
  </conditionalFormatting>
  <conditionalFormatting sqref="B8:B42">
    <cfRule type="expression" dxfId="29" priority="9">
      <formula>AND($D8="Must",$F8&lt;&gt;"Done",$F8&lt;&gt;"Fixed")</formula>
    </cfRule>
  </conditionalFormatting>
  <conditionalFormatting sqref="F8:F42">
    <cfRule type="cellIs" dxfId="28" priority="4" operator="equal">
      <formula>"Done"</formula>
    </cfRule>
    <cfRule type="cellIs" dxfId="27" priority="5" operator="equal">
      <formula>"Fixed"</formula>
    </cfRule>
    <cfRule type="cellIs" dxfId="26" priority="6" operator="equal">
      <formula>"Open"</formula>
    </cfRule>
    <cfRule type="cellIs" dxfId="25" priority="7" operator="equal">
      <formula>"Not done"</formula>
    </cfRule>
    <cfRule type="cellIs" dxfId="24" priority="8" operator="equal">
      <formula>"N/A"</formula>
    </cfRule>
  </conditionalFormatting>
  <hyperlinks>
    <hyperlink ref="I8" r:id="rId1" xr:uid="{00000000-0004-0000-0200-000000000000}"/>
    <hyperlink ref="I9" r:id="rId2" xr:uid="{00000000-0004-0000-0200-000001000000}"/>
    <hyperlink ref="I10" r:id="rId3" xr:uid="{00000000-0004-0000-0200-000002000000}"/>
    <hyperlink ref="I11" r:id="rId4" xr:uid="{00000000-0004-0000-0200-000003000000}"/>
    <hyperlink ref="I12" r:id="rId5" xr:uid="{00000000-0004-0000-0200-000004000000}"/>
    <hyperlink ref="I14" r:id="rId6" xr:uid="{00000000-0004-0000-0200-000005000000}"/>
    <hyperlink ref="I15" r:id="rId7" xr:uid="{00000000-0004-0000-0200-000006000000}"/>
    <hyperlink ref="I16" r:id="rId8" xr:uid="{00000000-0004-0000-0200-000007000000}"/>
    <hyperlink ref="I17" r:id="rId9" xr:uid="{00000000-0004-0000-0200-000008000000}"/>
    <hyperlink ref="I19" r:id="rId10" xr:uid="{00000000-0004-0000-0200-000009000000}"/>
    <hyperlink ref="I20" r:id="rId11" xr:uid="{00000000-0004-0000-0200-00000A000000}"/>
    <hyperlink ref="I21" r:id="rId12" xr:uid="{00000000-0004-0000-0200-00000B000000}"/>
    <hyperlink ref="I23" r:id="rId13" xr:uid="{00000000-0004-0000-0200-00000C000000}"/>
    <hyperlink ref="I24" r:id="rId14" xr:uid="{00000000-0004-0000-0200-00000D000000}"/>
    <hyperlink ref="I25" r:id="rId15" xr:uid="{00000000-0004-0000-0200-00000E000000}"/>
    <hyperlink ref="I26" r:id="rId16" xr:uid="{00000000-0004-0000-0200-00000F000000}"/>
    <hyperlink ref="I27" r:id="rId17" xr:uid="{00000000-0004-0000-0200-000010000000}"/>
    <hyperlink ref="I29" r:id="rId18" xr:uid="{00000000-0004-0000-0200-000011000000}"/>
    <hyperlink ref="I30" r:id="rId19" xr:uid="{00000000-0004-0000-0200-000012000000}"/>
    <hyperlink ref="I31" r:id="rId20" xr:uid="{00000000-0004-0000-0200-000013000000}"/>
    <hyperlink ref="I32" r:id="rId21" xr:uid="{00000000-0004-0000-0200-000014000000}"/>
    <hyperlink ref="I33" r:id="rId22" xr:uid="{00000000-0004-0000-0200-000015000000}"/>
    <hyperlink ref="I35" r:id="rId23" xr:uid="{00000000-0004-0000-0200-000016000000}"/>
    <hyperlink ref="I36" r:id="rId24" xr:uid="{00000000-0004-0000-0200-000017000000}"/>
    <hyperlink ref="I37" r:id="rId25" xr:uid="{00000000-0004-0000-0200-000018000000}"/>
    <hyperlink ref="I39" r:id="rId26" xr:uid="{00000000-0004-0000-0200-000019000000}"/>
    <hyperlink ref="I40" r:id="rId27" xr:uid="{00000000-0004-0000-0200-00001A000000}"/>
    <hyperlink ref="I41" r:id="rId28" xr:uid="{00000000-0004-0000-0200-00001B000000}"/>
    <hyperlink ref="I42" r:id="rId29" xr:uid="{00000000-0004-0000-0200-00001C000000}"/>
  </hyperlinks>
  <printOptions horizontalCentered="1"/>
  <pageMargins left="0.4" right="0.4" top="0.5" bottom="0.5" header="0.5" footer="0.5"/>
  <pageSetup paperSize="9" scale="63" fitToHeight="0" orientation="landscape" r:id="rId3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Setup!$A$20:$A$24</xm:f>
          </x14:formula1>
          <xm:sqref>F8:F42</xm:sqref>
        </x14:dataValidation>
        <x14:dataValidation type="list" allowBlank="1" xr:uid="{00000000-0002-0000-0200-000001000000}">
          <x14:formula1>
            <xm:f>Setup!$G$20:$G$39</xm:f>
          </x14:formula1>
          <xm:sqref>H8:H42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B8A6"/>
    <pageSetUpPr fitToPage="1"/>
  </sheetPr>
  <dimension ref="A1:S18"/>
  <sheetViews>
    <sheetView showGridLines="0" view="pageBreakPreview" zoomScale="60"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style="2" customWidth="1"/>
    <col min="2" max="2" width="46" style="2" customWidth="1"/>
    <col min="3" max="14" width="6" style="2" customWidth="1"/>
    <col min="15" max="16" width="9" style="2" customWidth="1"/>
    <col min="17" max="17" width="8" style="2" customWidth="1"/>
    <col min="18" max="18" width="7" style="2" customWidth="1"/>
    <col min="19" max="19" width="42" style="2" customWidth="1"/>
    <col min="20" max="16384" width="8.88671875" style="2"/>
  </cols>
  <sheetData>
    <row r="1" spans="1:19" ht="28.05" customHeight="1" x14ac:dyDescent="0.4">
      <c r="A1" s="58" t="s">
        <v>44</v>
      </c>
      <c r="S1" s="78" t="s">
        <v>62</v>
      </c>
    </row>
    <row r="2" spans="1:19" x14ac:dyDescent="0.3">
      <c r="A2" s="59" t="s">
        <v>218</v>
      </c>
    </row>
    <row r="3" spans="1:19" x14ac:dyDescent="0.3">
      <c r="A3" s="60" t="s">
        <v>219</v>
      </c>
    </row>
    <row r="4" spans="1:19" x14ac:dyDescent="0.3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6" spans="1:19" ht="31.95" customHeight="1" x14ac:dyDescent="0.3">
      <c r="A6" s="64" t="s">
        <v>72</v>
      </c>
      <c r="B6" s="65" t="s">
        <v>220</v>
      </c>
      <c r="C6" s="79" t="s">
        <v>221</v>
      </c>
      <c r="D6" s="79" t="s">
        <v>222</v>
      </c>
      <c r="E6" s="79" t="s">
        <v>223</v>
      </c>
      <c r="F6" s="79" t="s">
        <v>224</v>
      </c>
      <c r="G6" s="79" t="s">
        <v>225</v>
      </c>
      <c r="H6" s="79" t="s">
        <v>226</v>
      </c>
      <c r="I6" s="79" t="s">
        <v>227</v>
      </c>
      <c r="J6" s="79" t="s">
        <v>228</v>
      </c>
      <c r="K6" s="79" t="s">
        <v>229</v>
      </c>
      <c r="L6" s="79" t="s">
        <v>230</v>
      </c>
      <c r="M6" s="79" t="s">
        <v>231</v>
      </c>
      <c r="N6" s="79" t="s">
        <v>232</v>
      </c>
      <c r="O6" s="65" t="s">
        <v>233</v>
      </c>
      <c r="P6" s="65" t="s">
        <v>234</v>
      </c>
      <c r="Q6" s="64" t="s">
        <v>80</v>
      </c>
      <c r="R6" s="64" t="s">
        <v>235</v>
      </c>
      <c r="S6" s="64" t="s">
        <v>236</v>
      </c>
    </row>
    <row r="7" spans="1:19" ht="40.049999999999997" customHeight="1" x14ac:dyDescent="0.3">
      <c r="A7" s="70" t="s">
        <v>237</v>
      </c>
      <c r="B7" s="71" t="s">
        <v>238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1">
        <f>IFERROR(IF(INDEX($C7:$N7,Setup!$B$7)="","",INDEX($C7:$N7,Setup!$B$7)),"")</f>
      </c>
      <c r="P7" s="82">
        <f>IFERROR(IF(Setup!$B$7&lt;2,"",IF(INDEX($C7:$N7,Setup!$B$7-1)="","",INDEX($C7:$N7,Setup!$B$7-1))),"")</f>
      </c>
      <c r="Q7" s="83">
        <f t="shared" ref="Q7:Q14" si="0">IF(OR(O7="",P7=""),"",O7-P7)</f>
      </c>
      <c r="R7" s="80">
        <v>0</v>
      </c>
      <c r="S7" s="77">
        <f>IF(O7="","",IF(O7&lt;=R7,"✔ clean",O7&amp;" found. Link it. Open ends make float out of nothing."))</f>
      </c>
    </row>
    <row r="8" spans="1:19" ht="40.049999999999997" customHeight="1" x14ac:dyDescent="0.3">
      <c r="A8" s="70" t="s">
        <v>239</v>
      </c>
      <c r="B8" s="71" t="s">
        <v>240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1">
        <f>IFERROR(IF(INDEX($C8:$N8,Setup!$B$7)="","",INDEX($C8:$N8,Setup!$B$7)),"")</f>
      </c>
      <c r="P8" s="82">
        <f>IFERROR(IF(Setup!$B$7&lt;2,"",IF(INDEX($C8:$N8,Setup!$B$7-1)="","",INDEX($C8:$N8,Setup!$B$7-1))),"")</f>
      </c>
      <c r="Q8" s="83">
        <f t="shared" si="0"/>
      </c>
      <c r="R8" s="80">
        <v>0</v>
      </c>
      <c r="S8" s="77">
        <f>IF(O8="","",IF(O8&lt;=R8,"✔ clean",O8&amp;" found. Write the reason or take it off."))</f>
      </c>
    </row>
    <row r="9" spans="1:19" ht="40.049999999999997" customHeight="1" x14ac:dyDescent="0.3">
      <c r="A9" s="70" t="s">
        <v>241</v>
      </c>
      <c r="B9" s="71" t="s">
        <v>242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1">
        <f>IFERROR(IF(INDEX($C9:$N9,Setup!$B$7)="","",INDEX($C9:$N9,Setup!$B$7)),"")</f>
      </c>
      <c r="P9" s="82">
        <f>IFERROR(IF(Setup!$B$7&lt;2,"",IF(INDEX($C9:$N9,Setup!$B$7-1)="","",INDEX($C9:$N9,Setup!$B$7-1))),"")</f>
      </c>
      <c r="Q9" s="83">
        <f t="shared" si="0"/>
      </c>
      <c r="R9" s="80">
        <v>0</v>
      </c>
      <c r="S9" s="77">
        <f>IF(O9="","",IF(O9&lt;=R9,"✔ clean",O9&amp;" found. List them as late, with how late, in the report."))</f>
      </c>
    </row>
    <row r="10" spans="1:19" ht="40.049999999999997" customHeight="1" x14ac:dyDescent="0.3">
      <c r="A10" s="70" t="s">
        <v>243</v>
      </c>
      <c r="B10" s="71" t="s">
        <v>244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1">
        <f>IFERROR(IF(INDEX($C10:$N10,Setup!$B$7)="","",INDEX($C10:$N10,Setup!$B$7)),"")</f>
      </c>
      <c r="P10" s="82">
        <f>IFERROR(IF(Setup!$B$7&lt;2,"",IF(INDEX($C10:$N10,Setup!$B$7-1)="","",INDEX($C10:$N10,Setup!$B$7-1))),"")</f>
      </c>
      <c r="Q10" s="83">
        <f t="shared" si="0"/>
      </c>
      <c r="R10" s="80">
        <v>0</v>
      </c>
      <c r="S10" s="77">
        <f>IF(O10="","",IF(O10&lt;=R10,"✔ clean",O10&amp;" found. Investigate: find the missing successor."))</f>
      </c>
    </row>
    <row r="11" spans="1:19" ht="40.049999999999997" customHeight="1" x14ac:dyDescent="0.3">
      <c r="A11" s="70" t="s">
        <v>245</v>
      </c>
      <c r="B11" s="71" t="s">
        <v>246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>
        <f>IFERROR(IF(INDEX($C11:$N11,Setup!$B$7)="","",INDEX($C11:$N11,Setup!$B$7)),"")</f>
      </c>
      <c r="P11" s="82">
        <f>IFERROR(IF(Setup!$B$7&lt;2,"",IF(INDEX($C11:$N11,Setup!$B$7-1)="","",INDEX($C11:$N11,Setup!$B$7-1))),"")</f>
      </c>
      <c r="Q11" s="83">
        <f t="shared" si="0"/>
      </c>
      <c r="R11" s="80">
        <v>0</v>
      </c>
      <c r="S11" s="77">
        <f>IF(O11="","",IF(O11&lt;=R11,"✔ clean",O11&amp;" found. Make it an activity with an owner."))</f>
      </c>
    </row>
    <row r="12" spans="1:19" ht="40.049999999999997" customHeight="1" x14ac:dyDescent="0.3">
      <c r="A12" s="70" t="s">
        <v>247</v>
      </c>
      <c r="B12" s="71" t="s">
        <v>248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>
        <f>IFERROR(IF(INDEX($C12:$N12,Setup!$B$7)="","",INDEX($C12:$N12,Setup!$B$7)),"")</f>
      </c>
      <c r="P12" s="82">
        <f>IFERROR(IF(Setup!$B$7&lt;2,"",IF(INDEX($C12:$N12,Setup!$B$7-1)="","",INDEX($C12:$N12,Setup!$B$7-1))),"")</f>
      </c>
      <c r="Q12" s="83">
        <f t="shared" si="0"/>
      </c>
      <c r="R12" s="80">
        <v>0</v>
      </c>
      <c r="S12" s="77">
        <f>IF(O12="","",IF(O12&lt;=R12,"✔ clean",O12&amp;" found. Correct the logic by hand where the site changed the order."))</f>
      </c>
    </row>
    <row r="13" spans="1:19" ht="40.049999999999997" customHeight="1" x14ac:dyDescent="0.3">
      <c r="A13" s="70" t="s">
        <v>249</v>
      </c>
      <c r="B13" s="71" t="s">
        <v>250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1">
        <f>IFERROR(IF(INDEX($C13:$N13,Setup!$B$7)="","",INDEX($C13:$N13,Setup!$B$7)),"")</f>
      </c>
      <c r="P13" s="82">
        <f>IFERROR(IF(Setup!$B$7&lt;2,"",IF(INDEX($C13:$N13,Setup!$B$7-1)="","",INDEX($C13:$N13,Setup!$B$7-1))),"")</f>
      </c>
      <c r="Q13" s="83">
        <f t="shared" si="0"/>
      </c>
      <c r="R13" s="80">
        <v>0</v>
      </c>
      <c r="S13" s="77">
        <f>IF(O13="","",IF(O13&lt;=R13,"✔ clean",O13&amp;" found. Correct it before you recalculate."))</f>
      </c>
    </row>
    <row r="14" spans="1:19" ht="40.049999999999997" customHeight="1" x14ac:dyDescent="0.3">
      <c r="A14" s="70" t="s">
        <v>251</v>
      </c>
      <c r="B14" s="71" t="s">
        <v>252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1">
        <f>IFERROR(IF(INDEX($C14:$N14,Setup!$B$7)="","",INDEX($C14:$N14,Setup!$B$7)),"")</f>
      </c>
      <c r="P14" s="82">
        <f>IFERROR(IF(Setup!$B$7&lt;2,"",IF(INDEX($C14:$N14,Setup!$B$7-1)="","",INDEX($C14:$N14,Setup!$B$7-1))),"")</f>
      </c>
      <c r="Q14" s="83">
        <f t="shared" si="0"/>
      </c>
      <c r="R14" s="80">
        <v>0</v>
      </c>
      <c r="S14" s="77">
        <f>IF(O14="","",IF(O14&lt;=R14,"✔ clean",O14&amp;" found. Ask the question. Percent complete cannot move a date."))</f>
      </c>
    </row>
    <row r="16" spans="1:19" x14ac:dyDescent="0.3">
      <c r="A16" s="47" t="s">
        <v>253</v>
      </c>
      <c r="B16" s="84">
        <f>IF(COUNT(O7:O14)=0,"",COUNTIF(S7:S14,"*found*")&amp;" of "&amp;ROWS(O7:O14)&amp;" checks found something, "&amp;SUM(O7:O14)&amp;" items in all. Fix them, or say in the report why they stay.")</f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6"/>
    </row>
    <row r="18" spans="1:1" x14ac:dyDescent="0.3">
      <c r="A18" s="53" t="s">
        <v>254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16:S16"/>
  </mergeCells>
  <conditionalFormatting sqref="O7:O14">
    <cfRule type="expression" dxfId="22" priority="3">
      <formula>AND(ISNUMBER(O7),O7&gt;R7)</formula>
    </cfRule>
  </conditionalFormatting>
  <conditionalFormatting sqref="Q7:Q14">
    <cfRule type="cellIs" dxfId="21" priority="4" operator="lessThan">
      <formula>0</formula>
    </cfRule>
    <cfRule type="cellIs" dxfId="20" priority="5" operator="greaterThan">
      <formula>0</formula>
    </cfRule>
  </conditionalFormatting>
  <conditionalFormatting sqref="S7:S14">
    <cfRule type="cellIs" dxfId="19" priority="1" operator="equal">
      <formula>"✔ clean"</formula>
    </cfRule>
    <cfRule type="expression" dxfId="18" priority="2">
      <formula>ISNUMBER(SEARCH("found",S7))</formula>
    </cfRule>
  </conditionalFormatting>
  <printOptions horizontalCentered="1"/>
  <pageMargins left="0.4" right="0.4" top="0.5" bottom="0.5" header="0.5" footer="0.5"/>
  <pageSetup paperSize="9" scale="6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300-000006000000}">
            <xm:f>COLUMN(C6)-2=Setup!$B$7</xm:f>
            <x14:dxf>
              <fill>
                <patternFill patternType="solid">
                  <fgColor rgb="FFCCFBF1"/>
                </patternFill>
              </fill>
            </x14:dxf>
          </x14:cfRule>
          <xm:sqref>C6:N14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B8A6"/>
    <pageSetUpPr fitToPage="1"/>
  </sheetPr>
  <dimension ref="A1:W28"/>
  <sheetViews>
    <sheetView showGridLines="0" view="pageBreakPreview" zoomScale="85" zoomScaleNormal="100" zoomScaleSheetLayoutView="85" workbookViewId="0">
      <pane xSplit="2" ySplit="6" topLeftCell="C7" activePane="bottomRight" state="frozen"/>
      <selection pane="topRight"/>
      <selection pane="bottomLeft"/>
      <selection pane="bottomRight" activeCell="W6" sqref="W6"/>
    </sheetView>
  </sheetViews>
  <sheetFormatPr defaultRowHeight="14.4" x14ac:dyDescent="0.3"/>
  <cols>
    <col min="1" max="1" width="7" style="2" customWidth="1"/>
    <col min="2" max="2" width="34" style="2" customWidth="1"/>
    <col min="3" max="14" width="6" style="2" customWidth="1"/>
    <col min="15" max="15" width="13" style="2" customWidth="1"/>
    <col min="16" max="18" width="8" style="2" customWidth="1"/>
    <col min="19" max="19" width="9" style="2" customWidth="1"/>
    <col min="20" max="20" width="10" style="2" customWidth="1"/>
    <col min="21" max="21" width="46" style="2" customWidth="1"/>
    <col min="22" max="22" width="40" style="2" customWidth="1"/>
    <col min="23" max="23" width="8" style="2" customWidth="1"/>
    <col min="24" max="16384" width="8.88671875" style="2"/>
  </cols>
  <sheetData>
    <row r="1" spans="1:23" ht="28.05" customHeight="1" x14ac:dyDescent="0.4">
      <c r="A1" s="58" t="s">
        <v>46</v>
      </c>
      <c r="V1" s="78" t="s">
        <v>62</v>
      </c>
    </row>
    <row r="2" spans="1:23" x14ac:dyDescent="0.3">
      <c r="A2" s="59" t="s">
        <v>255</v>
      </c>
    </row>
    <row r="3" spans="1:23" x14ac:dyDescent="0.3">
      <c r="A3" s="60" t="s">
        <v>256</v>
      </c>
    </row>
    <row r="4" spans="1:23" x14ac:dyDescent="0.3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6" spans="1:23" ht="31.95" customHeight="1" x14ac:dyDescent="0.3">
      <c r="A6" s="64" t="s">
        <v>257</v>
      </c>
      <c r="B6" s="64" t="s">
        <v>78</v>
      </c>
      <c r="C6" s="79" t="s">
        <v>221</v>
      </c>
      <c r="D6" s="79" t="s">
        <v>222</v>
      </c>
      <c r="E6" s="79" t="s">
        <v>223</v>
      </c>
      <c r="F6" s="79" t="s">
        <v>224</v>
      </c>
      <c r="G6" s="79" t="s">
        <v>225</v>
      </c>
      <c r="H6" s="79" t="s">
        <v>226</v>
      </c>
      <c r="I6" s="79" t="s">
        <v>227</v>
      </c>
      <c r="J6" s="79" t="s">
        <v>228</v>
      </c>
      <c r="K6" s="79" t="s">
        <v>229</v>
      </c>
      <c r="L6" s="79" t="s">
        <v>230</v>
      </c>
      <c r="M6" s="79" t="s">
        <v>231</v>
      </c>
      <c r="N6" s="79" t="s">
        <v>232</v>
      </c>
      <c r="O6" s="64" t="s">
        <v>258</v>
      </c>
      <c r="P6" s="65" t="s">
        <v>79</v>
      </c>
      <c r="Q6" s="65" t="s">
        <v>234</v>
      </c>
      <c r="R6" s="64" t="s">
        <v>80</v>
      </c>
      <c r="S6" s="65" t="s">
        <v>259</v>
      </c>
      <c r="T6" s="65" t="s">
        <v>260</v>
      </c>
      <c r="U6" s="64" t="s">
        <v>82</v>
      </c>
      <c r="V6" s="64" t="s">
        <v>261</v>
      </c>
      <c r="W6" s="66" t="s">
        <v>91</v>
      </c>
    </row>
    <row r="7" spans="1:23" ht="28.05" customHeight="1" x14ac:dyDescent="0.3">
      <c r="A7" s="17"/>
      <c r="B7" s="75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17"/>
      <c r="P7" s="88">
        <f>IF(B7="","",IFERROR(IF(INDEX($C7:$N7,Setup!$B$7)="","",INDEX($C7:$N7,Setup!$B$7)),""))</f>
      </c>
      <c r="Q7" s="89">
        <f>IF(OR(P7="",Setup!$B$7&lt;2),"",IFERROR(IF(INDEX($C7:$N7,Setup!$B$7-1)="","",INDEX($C7:$N7,Setup!$B$7-1)),""))</f>
      </c>
      <c r="R7" s="90">
        <f t="shared" ref="R7:R26" si="0">IF(OR(P7="",Q7=""),"",P7-Q7)</f>
      </c>
      <c r="S7" s="91">
        <f>IF(P7="","",IFERROR(IF(OR((Setup!$B$7-MAX(1,Setup!$B$7-Setup!$B$13))=0,INDEX($C7:$N7,MAX(1,Setup!$B$7-Setup!$B$13))=""),"",(INDEX($C7:$N7,MAX(1,Setup!$B$7-Setup!$B$13))-P7)/(Setup!$B$7-MAX(1,Setup!$B$7-Setup!$B$13))),""))</f>
      </c>
      <c r="T7" s="92">
        <f t="shared" ref="T7:T26" si="1">IF(OR(P7="",S7=""),"",IF(AND(S7&gt;0,P7&gt;0),P7/S7,""))</f>
      </c>
      <c r="U7" s="77">
        <f>IF(P7="","",IF(P7&gt;=Setup!$B$11,"Suspicious: "&amp;P7&amp;" days is a missing link, not good news",IF(P7&lt;0,"Already late by "&amp;-P7&amp;" days",IF(P7=0,"Critical: no float left",IF(AND(T7&lt;&gt;"",T7&lt;=Setup!$B$14),"Runs out in about "&amp;ROUNDUP(T7,0)&amp;" update(s) at this rate",IF(N(S7)&gt;0,"Burning "&amp;TEXT(S7,"0.0")&amp;" days an update","Holding"))))))</f>
      </c>
      <c r="V7" s="75"/>
      <c r="W7" s="93">
        <f t="shared" ref="W7:W26" si="2">IF(P7="","",P7+ROW()/1000)</f>
      </c>
    </row>
    <row r="8" spans="1:23" ht="28.05" customHeight="1" x14ac:dyDescent="0.3">
      <c r="A8" s="17"/>
      <c r="B8" s="75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17"/>
      <c r="P8" s="88">
        <f>IF(B8="","",IFERROR(IF(INDEX($C8:$N8,Setup!$B$7)="","",INDEX($C8:$N8,Setup!$B$7)),""))</f>
      </c>
      <c r="Q8" s="89">
        <f>IF(OR(P8="",Setup!$B$7&lt;2),"",IFERROR(IF(INDEX($C8:$N8,Setup!$B$7-1)="","",INDEX($C8:$N8,Setup!$B$7-1)),""))</f>
      </c>
      <c r="R8" s="90">
        <f t="shared" si="0"/>
      </c>
      <c r="S8" s="91">
        <f>IF(P8="","",IFERROR(IF(OR((Setup!$B$7-MAX(1,Setup!$B$7-Setup!$B$13))=0,INDEX($C8:$N8,MAX(1,Setup!$B$7-Setup!$B$13))=""),"",(INDEX($C8:$N8,MAX(1,Setup!$B$7-Setup!$B$13))-P8)/(Setup!$B$7-MAX(1,Setup!$B$7-Setup!$B$13))),""))</f>
      </c>
      <c r="T8" s="92">
        <f t="shared" si="1"/>
      </c>
      <c r="U8" s="77">
        <f>IF(P8="","",IF(P8&gt;=Setup!$B$11,"Suspicious: "&amp;P8&amp;" days is a missing link, not good news",IF(P8&lt;0,"Already late by "&amp;-P8&amp;" days",IF(P8=0,"Critical: no float left",IF(AND(T8&lt;&gt;"",T8&lt;=Setup!$B$14),"Runs out in about "&amp;ROUNDUP(T8,0)&amp;" update(s) at this rate",IF(N(S8)&gt;0,"Burning "&amp;TEXT(S8,"0.0")&amp;" days an update","Holding"))))))</f>
      </c>
      <c r="V8" s="75"/>
      <c r="W8" s="93">
        <f t="shared" si="2"/>
      </c>
    </row>
    <row r="9" spans="1:23" ht="28.05" customHeight="1" x14ac:dyDescent="0.3">
      <c r="A9" s="17"/>
      <c r="B9" s="75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17"/>
      <c r="P9" s="88">
        <f>IF(B9="","",IFERROR(IF(INDEX($C9:$N9,Setup!$B$7)="","",INDEX($C9:$N9,Setup!$B$7)),""))</f>
      </c>
      <c r="Q9" s="89">
        <f>IF(OR(P9="",Setup!$B$7&lt;2),"",IFERROR(IF(INDEX($C9:$N9,Setup!$B$7-1)="","",INDEX($C9:$N9,Setup!$B$7-1)),""))</f>
      </c>
      <c r="R9" s="90">
        <f t="shared" si="0"/>
      </c>
      <c r="S9" s="91">
        <f>IF(P9="","",IFERROR(IF(OR((Setup!$B$7-MAX(1,Setup!$B$7-Setup!$B$13))=0,INDEX($C9:$N9,MAX(1,Setup!$B$7-Setup!$B$13))=""),"",(INDEX($C9:$N9,MAX(1,Setup!$B$7-Setup!$B$13))-P9)/(Setup!$B$7-MAX(1,Setup!$B$7-Setup!$B$13))),""))</f>
      </c>
      <c r="T9" s="92">
        <f t="shared" si="1"/>
      </c>
      <c r="U9" s="77">
        <f>IF(P9="","",IF(P9&gt;=Setup!$B$11,"Suspicious: "&amp;P9&amp;" days is a missing link, not good news",IF(P9&lt;0,"Already late by "&amp;-P9&amp;" days",IF(P9=0,"Critical: no float left",IF(AND(T9&lt;&gt;"",T9&lt;=Setup!$B$14),"Runs out in about "&amp;ROUNDUP(T9,0)&amp;" update(s) at this rate",IF(N(S9)&gt;0,"Burning "&amp;TEXT(S9,"0.0")&amp;" days an update","Holding"))))))</f>
      </c>
      <c r="V9" s="75"/>
      <c r="W9" s="93">
        <f t="shared" si="2"/>
      </c>
    </row>
    <row r="10" spans="1:23" ht="28.05" customHeight="1" x14ac:dyDescent="0.3">
      <c r="A10" s="17"/>
      <c r="B10" s="75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17"/>
      <c r="P10" s="88">
        <f>IF(B10="","",IFERROR(IF(INDEX($C10:$N10,Setup!$B$7)="","",INDEX($C10:$N10,Setup!$B$7)),""))</f>
      </c>
      <c r="Q10" s="89">
        <f>IF(OR(P10="",Setup!$B$7&lt;2),"",IFERROR(IF(INDEX($C10:$N10,Setup!$B$7-1)="","",INDEX($C10:$N10,Setup!$B$7-1)),""))</f>
      </c>
      <c r="R10" s="90">
        <f t="shared" si="0"/>
      </c>
      <c r="S10" s="91">
        <f>IF(P10="","",IFERROR(IF(OR((Setup!$B$7-MAX(1,Setup!$B$7-Setup!$B$13))=0,INDEX($C10:$N10,MAX(1,Setup!$B$7-Setup!$B$13))=""),"",(INDEX($C10:$N10,MAX(1,Setup!$B$7-Setup!$B$13))-P10)/(Setup!$B$7-MAX(1,Setup!$B$7-Setup!$B$13))),""))</f>
      </c>
      <c r="T10" s="92">
        <f t="shared" si="1"/>
      </c>
      <c r="U10" s="77">
        <f>IF(P10="","",IF(P10&gt;=Setup!$B$11,"Suspicious: "&amp;P10&amp;" days is a missing link, not good news",IF(P10&lt;0,"Already late by "&amp;-P10&amp;" days",IF(P10=0,"Critical: no float left",IF(AND(T10&lt;&gt;"",T10&lt;=Setup!$B$14),"Runs out in about "&amp;ROUNDUP(T10,0)&amp;" update(s) at this rate",IF(N(S10)&gt;0,"Burning "&amp;TEXT(S10,"0.0")&amp;" days an update","Holding"))))))</f>
      </c>
      <c r="V10" s="75"/>
      <c r="W10" s="93">
        <f t="shared" si="2"/>
      </c>
    </row>
    <row r="11" spans="1:23" ht="28.05" customHeight="1" x14ac:dyDescent="0.3">
      <c r="A11" s="17"/>
      <c r="B11" s="75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17"/>
      <c r="P11" s="88">
        <f>IF(B11="","",IFERROR(IF(INDEX($C11:$N11,Setup!$B$7)="","",INDEX($C11:$N11,Setup!$B$7)),""))</f>
      </c>
      <c r="Q11" s="89">
        <f>IF(OR(P11="",Setup!$B$7&lt;2),"",IFERROR(IF(INDEX($C11:$N11,Setup!$B$7-1)="","",INDEX($C11:$N11,Setup!$B$7-1)),""))</f>
      </c>
      <c r="R11" s="90">
        <f t="shared" si="0"/>
      </c>
      <c r="S11" s="91">
        <f>IF(P11="","",IFERROR(IF(OR((Setup!$B$7-MAX(1,Setup!$B$7-Setup!$B$13))=0,INDEX($C11:$N11,MAX(1,Setup!$B$7-Setup!$B$13))=""),"",(INDEX($C11:$N11,MAX(1,Setup!$B$7-Setup!$B$13))-P11)/(Setup!$B$7-MAX(1,Setup!$B$7-Setup!$B$13))),""))</f>
      </c>
      <c r="T11" s="92">
        <f t="shared" si="1"/>
      </c>
      <c r="U11" s="77">
        <f>IF(P11="","",IF(P11&gt;=Setup!$B$11,"Suspicious: "&amp;P11&amp;" days is a missing link, not good news",IF(P11&lt;0,"Already late by "&amp;-P11&amp;" days",IF(P11=0,"Critical: no float left",IF(AND(T11&lt;&gt;"",T11&lt;=Setup!$B$14),"Runs out in about "&amp;ROUNDUP(T11,0)&amp;" update(s) at this rate",IF(N(S11)&gt;0,"Burning "&amp;TEXT(S11,"0.0")&amp;" days an update","Holding"))))))</f>
      </c>
      <c r="V11" s="75"/>
      <c r="W11" s="93">
        <f t="shared" si="2"/>
      </c>
    </row>
    <row r="12" spans="1:23" ht="28.05" customHeight="1" x14ac:dyDescent="0.3">
      <c r="A12" s="17"/>
      <c r="B12" s="75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17"/>
      <c r="P12" s="88">
        <f>IF(B12="","",IFERROR(IF(INDEX($C12:$N12,Setup!$B$7)="","",INDEX($C12:$N12,Setup!$B$7)),""))</f>
      </c>
      <c r="Q12" s="89">
        <f>IF(OR(P12="",Setup!$B$7&lt;2),"",IFERROR(IF(INDEX($C12:$N12,Setup!$B$7-1)="","",INDEX($C12:$N12,Setup!$B$7-1)),""))</f>
      </c>
      <c r="R12" s="90">
        <f t="shared" si="0"/>
      </c>
      <c r="S12" s="91">
        <f>IF(P12="","",IFERROR(IF(OR((Setup!$B$7-MAX(1,Setup!$B$7-Setup!$B$13))=0,INDEX($C12:$N12,MAX(1,Setup!$B$7-Setup!$B$13))=""),"",(INDEX($C12:$N12,MAX(1,Setup!$B$7-Setup!$B$13))-P12)/(Setup!$B$7-MAX(1,Setup!$B$7-Setup!$B$13))),""))</f>
      </c>
      <c r="T12" s="92">
        <f t="shared" si="1"/>
      </c>
      <c r="U12" s="77">
        <f>IF(P12="","",IF(P12&gt;=Setup!$B$11,"Suspicious: "&amp;P12&amp;" days is a missing link, not good news",IF(P12&lt;0,"Already late by "&amp;-P12&amp;" days",IF(P12=0,"Critical: no float left",IF(AND(T12&lt;&gt;"",T12&lt;=Setup!$B$14),"Runs out in about "&amp;ROUNDUP(T12,0)&amp;" update(s) at this rate",IF(N(S12)&gt;0,"Burning "&amp;TEXT(S12,"0.0")&amp;" days an update","Holding"))))))</f>
      </c>
      <c r="V12" s="75"/>
      <c r="W12" s="93">
        <f t="shared" si="2"/>
      </c>
    </row>
    <row r="13" spans="1:23" ht="28.05" customHeight="1" x14ac:dyDescent="0.3">
      <c r="A13" s="17"/>
      <c r="B13" s="75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17"/>
      <c r="P13" s="88">
        <f>IF(B13="","",IFERROR(IF(INDEX($C13:$N13,Setup!$B$7)="","",INDEX($C13:$N13,Setup!$B$7)),""))</f>
      </c>
      <c r="Q13" s="89">
        <f>IF(OR(P13="",Setup!$B$7&lt;2),"",IFERROR(IF(INDEX($C13:$N13,Setup!$B$7-1)="","",INDEX($C13:$N13,Setup!$B$7-1)),""))</f>
      </c>
      <c r="R13" s="90">
        <f t="shared" si="0"/>
      </c>
      <c r="S13" s="91">
        <f>IF(P13="","",IFERROR(IF(OR((Setup!$B$7-MAX(1,Setup!$B$7-Setup!$B$13))=0,INDEX($C13:$N13,MAX(1,Setup!$B$7-Setup!$B$13))=""),"",(INDEX($C13:$N13,MAX(1,Setup!$B$7-Setup!$B$13))-P13)/(Setup!$B$7-MAX(1,Setup!$B$7-Setup!$B$13))),""))</f>
      </c>
      <c r="T13" s="92">
        <f t="shared" si="1"/>
      </c>
      <c r="U13" s="77">
        <f>IF(P13="","",IF(P13&gt;=Setup!$B$11,"Suspicious: "&amp;P13&amp;" days is a missing link, not good news",IF(P13&lt;0,"Already late by "&amp;-P13&amp;" days",IF(P13=0,"Critical: no float left",IF(AND(T13&lt;&gt;"",T13&lt;=Setup!$B$14),"Runs out in about "&amp;ROUNDUP(T13,0)&amp;" update(s) at this rate",IF(N(S13)&gt;0,"Burning "&amp;TEXT(S13,"0.0")&amp;" days an update","Holding"))))))</f>
      </c>
      <c r="V13" s="75"/>
      <c r="W13" s="93">
        <f t="shared" si="2"/>
      </c>
    </row>
    <row r="14" spans="1:23" ht="28.05" customHeight="1" x14ac:dyDescent="0.3">
      <c r="A14" s="17"/>
      <c r="B14" s="75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17"/>
      <c r="P14" s="88">
        <f>IF(B14="","",IFERROR(IF(INDEX($C14:$N14,Setup!$B$7)="","",INDEX($C14:$N14,Setup!$B$7)),""))</f>
      </c>
      <c r="Q14" s="89">
        <f>IF(OR(P14="",Setup!$B$7&lt;2),"",IFERROR(IF(INDEX($C14:$N14,Setup!$B$7-1)="","",INDEX($C14:$N14,Setup!$B$7-1)),""))</f>
      </c>
      <c r="R14" s="90">
        <f t="shared" si="0"/>
      </c>
      <c r="S14" s="91">
        <f>IF(P14="","",IFERROR(IF(OR((Setup!$B$7-MAX(1,Setup!$B$7-Setup!$B$13))=0,INDEX($C14:$N14,MAX(1,Setup!$B$7-Setup!$B$13))=""),"",(INDEX($C14:$N14,MAX(1,Setup!$B$7-Setup!$B$13))-P14)/(Setup!$B$7-MAX(1,Setup!$B$7-Setup!$B$13))),""))</f>
      </c>
      <c r="T14" s="92">
        <f t="shared" si="1"/>
      </c>
      <c r="U14" s="77">
        <f>IF(P14="","",IF(P14&gt;=Setup!$B$11,"Suspicious: "&amp;P14&amp;" days is a missing link, not good news",IF(P14&lt;0,"Already late by "&amp;-P14&amp;" days",IF(P14=0,"Critical: no float left",IF(AND(T14&lt;&gt;"",T14&lt;=Setup!$B$14),"Runs out in about "&amp;ROUNDUP(T14,0)&amp;" update(s) at this rate",IF(N(S14)&gt;0,"Burning "&amp;TEXT(S14,"0.0")&amp;" days an update","Holding"))))))</f>
      </c>
      <c r="V14" s="75"/>
      <c r="W14" s="93">
        <f t="shared" si="2"/>
      </c>
    </row>
    <row r="15" spans="1:23" ht="28.05" customHeight="1" x14ac:dyDescent="0.3">
      <c r="A15" s="17"/>
      <c r="B15" s="75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17"/>
      <c r="P15" s="88">
        <f>IF(B15="","",IFERROR(IF(INDEX($C15:$N15,Setup!$B$7)="","",INDEX($C15:$N15,Setup!$B$7)),""))</f>
      </c>
      <c r="Q15" s="89">
        <f>IF(OR(P15="",Setup!$B$7&lt;2),"",IFERROR(IF(INDEX($C15:$N15,Setup!$B$7-1)="","",INDEX($C15:$N15,Setup!$B$7-1)),""))</f>
      </c>
      <c r="R15" s="90">
        <f t="shared" si="0"/>
      </c>
      <c r="S15" s="91">
        <f>IF(P15="","",IFERROR(IF(OR((Setup!$B$7-MAX(1,Setup!$B$7-Setup!$B$13))=0,INDEX($C15:$N15,MAX(1,Setup!$B$7-Setup!$B$13))=""),"",(INDEX($C15:$N15,MAX(1,Setup!$B$7-Setup!$B$13))-P15)/(Setup!$B$7-MAX(1,Setup!$B$7-Setup!$B$13))),""))</f>
      </c>
      <c r="T15" s="92">
        <f t="shared" si="1"/>
      </c>
      <c r="U15" s="77">
        <f>IF(P15="","",IF(P15&gt;=Setup!$B$11,"Suspicious: "&amp;P15&amp;" days is a missing link, not good news",IF(P15&lt;0,"Already late by "&amp;-P15&amp;" days",IF(P15=0,"Critical: no float left",IF(AND(T15&lt;&gt;"",T15&lt;=Setup!$B$14),"Runs out in about "&amp;ROUNDUP(T15,0)&amp;" update(s) at this rate",IF(N(S15)&gt;0,"Burning "&amp;TEXT(S15,"0.0")&amp;" days an update","Holding"))))))</f>
      </c>
      <c r="V15" s="75"/>
      <c r="W15" s="93">
        <f t="shared" si="2"/>
      </c>
    </row>
    <row r="16" spans="1:23" ht="28.05" customHeight="1" x14ac:dyDescent="0.3">
      <c r="A16" s="17"/>
      <c r="B16" s="75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17"/>
      <c r="P16" s="88">
        <f>IF(B16="","",IFERROR(IF(INDEX($C16:$N16,Setup!$B$7)="","",INDEX($C16:$N16,Setup!$B$7)),""))</f>
      </c>
      <c r="Q16" s="89">
        <f>IF(OR(P16="",Setup!$B$7&lt;2),"",IFERROR(IF(INDEX($C16:$N16,Setup!$B$7-1)="","",INDEX($C16:$N16,Setup!$B$7-1)),""))</f>
      </c>
      <c r="R16" s="90">
        <f t="shared" si="0"/>
      </c>
      <c r="S16" s="91">
        <f>IF(P16="","",IFERROR(IF(OR((Setup!$B$7-MAX(1,Setup!$B$7-Setup!$B$13))=0,INDEX($C16:$N16,MAX(1,Setup!$B$7-Setup!$B$13))=""),"",(INDEX($C16:$N16,MAX(1,Setup!$B$7-Setup!$B$13))-P16)/(Setup!$B$7-MAX(1,Setup!$B$7-Setup!$B$13))),""))</f>
      </c>
      <c r="T16" s="92">
        <f t="shared" si="1"/>
      </c>
      <c r="U16" s="77">
        <f>IF(P16="","",IF(P16&gt;=Setup!$B$11,"Suspicious: "&amp;P16&amp;" days is a missing link, not good news",IF(P16&lt;0,"Already late by "&amp;-P16&amp;" days",IF(P16=0,"Critical: no float left",IF(AND(T16&lt;&gt;"",T16&lt;=Setup!$B$14),"Runs out in about "&amp;ROUNDUP(T16,0)&amp;" update(s) at this rate",IF(N(S16)&gt;0,"Burning "&amp;TEXT(S16,"0.0")&amp;" days an update","Holding"))))))</f>
      </c>
      <c r="V16" s="75"/>
      <c r="W16" s="93">
        <f t="shared" si="2"/>
      </c>
    </row>
    <row r="17" spans="1:23" ht="28.05" customHeight="1" x14ac:dyDescent="0.3">
      <c r="A17" s="17"/>
      <c r="B17" s="75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17"/>
      <c r="P17" s="88">
        <f>IF(B17="","",IFERROR(IF(INDEX($C17:$N17,Setup!$B$7)="","",INDEX($C17:$N17,Setup!$B$7)),""))</f>
      </c>
      <c r="Q17" s="89">
        <f>IF(OR(P17="",Setup!$B$7&lt;2),"",IFERROR(IF(INDEX($C17:$N17,Setup!$B$7-1)="","",INDEX($C17:$N17,Setup!$B$7-1)),""))</f>
      </c>
      <c r="R17" s="90">
        <f t="shared" si="0"/>
      </c>
      <c r="S17" s="91">
        <f>IF(P17="","",IFERROR(IF(OR((Setup!$B$7-MAX(1,Setup!$B$7-Setup!$B$13))=0,INDEX($C17:$N17,MAX(1,Setup!$B$7-Setup!$B$13))=""),"",(INDEX($C17:$N17,MAX(1,Setup!$B$7-Setup!$B$13))-P17)/(Setup!$B$7-MAX(1,Setup!$B$7-Setup!$B$13))),""))</f>
      </c>
      <c r="T17" s="92">
        <f t="shared" si="1"/>
      </c>
      <c r="U17" s="77">
        <f>IF(P17="","",IF(P17&gt;=Setup!$B$11,"Suspicious: "&amp;P17&amp;" days is a missing link, not good news",IF(P17&lt;0,"Already late by "&amp;-P17&amp;" days",IF(P17=0,"Critical: no float left",IF(AND(T17&lt;&gt;"",T17&lt;=Setup!$B$14),"Runs out in about "&amp;ROUNDUP(T17,0)&amp;" update(s) at this rate",IF(N(S17)&gt;0,"Burning "&amp;TEXT(S17,"0.0")&amp;" days an update","Holding"))))))</f>
      </c>
      <c r="V17" s="75"/>
      <c r="W17" s="93">
        <f t="shared" si="2"/>
      </c>
    </row>
    <row r="18" spans="1:23" ht="28.05" customHeight="1" x14ac:dyDescent="0.3">
      <c r="A18" s="17"/>
      <c r="B18" s="75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17"/>
      <c r="P18" s="88">
        <f>IF(B18="","",IFERROR(IF(INDEX($C18:$N18,Setup!$B$7)="","",INDEX($C18:$N18,Setup!$B$7)),""))</f>
      </c>
      <c r="Q18" s="89">
        <f>IF(OR(P18="",Setup!$B$7&lt;2),"",IFERROR(IF(INDEX($C18:$N18,Setup!$B$7-1)="","",INDEX($C18:$N18,Setup!$B$7-1)),""))</f>
      </c>
      <c r="R18" s="90">
        <f t="shared" si="0"/>
      </c>
      <c r="S18" s="91">
        <f>IF(P18="","",IFERROR(IF(OR((Setup!$B$7-MAX(1,Setup!$B$7-Setup!$B$13))=0,INDEX($C18:$N18,MAX(1,Setup!$B$7-Setup!$B$13))=""),"",(INDEX($C18:$N18,MAX(1,Setup!$B$7-Setup!$B$13))-P18)/(Setup!$B$7-MAX(1,Setup!$B$7-Setup!$B$13))),""))</f>
      </c>
      <c r="T18" s="92">
        <f t="shared" si="1"/>
      </c>
      <c r="U18" s="77">
        <f>IF(P18="","",IF(P18&gt;=Setup!$B$11,"Suspicious: "&amp;P18&amp;" days is a missing link, not good news",IF(P18&lt;0,"Already late by "&amp;-P18&amp;" days",IF(P18=0,"Critical: no float left",IF(AND(T18&lt;&gt;"",T18&lt;=Setup!$B$14),"Runs out in about "&amp;ROUNDUP(T18,0)&amp;" update(s) at this rate",IF(N(S18)&gt;0,"Burning "&amp;TEXT(S18,"0.0")&amp;" days an update","Holding"))))))</f>
      </c>
      <c r="V18" s="75"/>
      <c r="W18" s="93">
        <f t="shared" si="2"/>
      </c>
    </row>
    <row r="19" spans="1:23" ht="28.05" customHeight="1" x14ac:dyDescent="0.3">
      <c r="A19" s="17"/>
      <c r="B19" s="75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17"/>
      <c r="P19" s="88">
        <f>IF(B19="","",IFERROR(IF(INDEX($C19:$N19,Setup!$B$7)="","",INDEX($C19:$N19,Setup!$B$7)),""))</f>
      </c>
      <c r="Q19" s="89">
        <f>IF(OR(P19="",Setup!$B$7&lt;2),"",IFERROR(IF(INDEX($C19:$N19,Setup!$B$7-1)="","",INDEX($C19:$N19,Setup!$B$7-1)),""))</f>
      </c>
      <c r="R19" s="90">
        <f t="shared" si="0"/>
      </c>
      <c r="S19" s="91">
        <f>IF(P19="","",IFERROR(IF(OR((Setup!$B$7-MAX(1,Setup!$B$7-Setup!$B$13))=0,INDEX($C19:$N19,MAX(1,Setup!$B$7-Setup!$B$13))=""),"",(INDEX($C19:$N19,MAX(1,Setup!$B$7-Setup!$B$13))-P19)/(Setup!$B$7-MAX(1,Setup!$B$7-Setup!$B$13))),""))</f>
      </c>
      <c r="T19" s="92">
        <f t="shared" si="1"/>
      </c>
      <c r="U19" s="77">
        <f>IF(P19="","",IF(P19&gt;=Setup!$B$11,"Suspicious: "&amp;P19&amp;" days is a missing link, not good news",IF(P19&lt;0,"Already late by "&amp;-P19&amp;" days",IF(P19=0,"Critical: no float left",IF(AND(T19&lt;&gt;"",T19&lt;=Setup!$B$14),"Runs out in about "&amp;ROUNDUP(T19,0)&amp;" update(s) at this rate",IF(N(S19)&gt;0,"Burning "&amp;TEXT(S19,"0.0")&amp;" days an update","Holding"))))))</f>
      </c>
      <c r="V19" s="75"/>
      <c r="W19" s="93">
        <f t="shared" si="2"/>
      </c>
    </row>
    <row r="20" spans="1:23" ht="28.05" customHeight="1" x14ac:dyDescent="0.3">
      <c r="A20" s="17"/>
      <c r="B20" s="75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17"/>
      <c r="P20" s="88">
        <f>IF(B20="","",IFERROR(IF(INDEX($C20:$N20,Setup!$B$7)="","",INDEX($C20:$N20,Setup!$B$7)),""))</f>
      </c>
      <c r="Q20" s="89">
        <f>IF(OR(P20="",Setup!$B$7&lt;2),"",IFERROR(IF(INDEX($C20:$N20,Setup!$B$7-1)="","",INDEX($C20:$N20,Setup!$B$7-1)),""))</f>
      </c>
      <c r="R20" s="90">
        <f t="shared" si="0"/>
      </c>
      <c r="S20" s="91">
        <f>IF(P20="","",IFERROR(IF(OR((Setup!$B$7-MAX(1,Setup!$B$7-Setup!$B$13))=0,INDEX($C20:$N20,MAX(1,Setup!$B$7-Setup!$B$13))=""),"",(INDEX($C20:$N20,MAX(1,Setup!$B$7-Setup!$B$13))-P20)/(Setup!$B$7-MAX(1,Setup!$B$7-Setup!$B$13))),""))</f>
      </c>
      <c r="T20" s="92">
        <f t="shared" si="1"/>
      </c>
      <c r="U20" s="77">
        <f>IF(P20="","",IF(P20&gt;=Setup!$B$11,"Suspicious: "&amp;P20&amp;" days is a missing link, not good news",IF(P20&lt;0,"Already late by "&amp;-P20&amp;" days",IF(P20=0,"Critical: no float left",IF(AND(T20&lt;&gt;"",T20&lt;=Setup!$B$14),"Runs out in about "&amp;ROUNDUP(T20,0)&amp;" update(s) at this rate",IF(N(S20)&gt;0,"Burning "&amp;TEXT(S20,"0.0")&amp;" days an update","Holding"))))))</f>
      </c>
      <c r="V20" s="75"/>
      <c r="W20" s="93">
        <f t="shared" si="2"/>
      </c>
    </row>
    <row r="21" spans="1:23" ht="28.05" customHeight="1" x14ac:dyDescent="0.3">
      <c r="A21" s="17"/>
      <c r="B21" s="75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17"/>
      <c r="P21" s="88">
        <f>IF(B21="","",IFERROR(IF(INDEX($C21:$N21,Setup!$B$7)="","",INDEX($C21:$N21,Setup!$B$7)),""))</f>
      </c>
      <c r="Q21" s="89">
        <f>IF(OR(P21="",Setup!$B$7&lt;2),"",IFERROR(IF(INDEX($C21:$N21,Setup!$B$7-1)="","",INDEX($C21:$N21,Setup!$B$7-1)),""))</f>
      </c>
      <c r="R21" s="90">
        <f t="shared" si="0"/>
      </c>
      <c r="S21" s="91">
        <f>IF(P21="","",IFERROR(IF(OR((Setup!$B$7-MAX(1,Setup!$B$7-Setup!$B$13))=0,INDEX($C21:$N21,MAX(1,Setup!$B$7-Setup!$B$13))=""),"",(INDEX($C21:$N21,MAX(1,Setup!$B$7-Setup!$B$13))-P21)/(Setup!$B$7-MAX(1,Setup!$B$7-Setup!$B$13))),""))</f>
      </c>
      <c r="T21" s="92">
        <f t="shared" si="1"/>
      </c>
      <c r="U21" s="77">
        <f>IF(P21="","",IF(P21&gt;=Setup!$B$11,"Suspicious: "&amp;P21&amp;" days is a missing link, not good news",IF(P21&lt;0,"Already late by "&amp;-P21&amp;" days",IF(P21=0,"Critical: no float left",IF(AND(T21&lt;&gt;"",T21&lt;=Setup!$B$14),"Runs out in about "&amp;ROUNDUP(T21,0)&amp;" update(s) at this rate",IF(N(S21)&gt;0,"Burning "&amp;TEXT(S21,"0.0")&amp;" days an update","Holding"))))))</f>
      </c>
      <c r="V21" s="75"/>
      <c r="W21" s="93">
        <f t="shared" si="2"/>
      </c>
    </row>
    <row r="22" spans="1:23" ht="28.05" customHeight="1" x14ac:dyDescent="0.3">
      <c r="A22" s="17"/>
      <c r="B22" s="75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17"/>
      <c r="P22" s="88">
        <f>IF(B22="","",IFERROR(IF(INDEX($C22:$N22,Setup!$B$7)="","",INDEX($C22:$N22,Setup!$B$7)),""))</f>
      </c>
      <c r="Q22" s="89">
        <f>IF(OR(P22="",Setup!$B$7&lt;2),"",IFERROR(IF(INDEX($C22:$N22,Setup!$B$7-1)="","",INDEX($C22:$N22,Setup!$B$7-1)),""))</f>
      </c>
      <c r="R22" s="90">
        <f t="shared" si="0"/>
      </c>
      <c r="S22" s="91">
        <f>IF(P22="","",IFERROR(IF(OR((Setup!$B$7-MAX(1,Setup!$B$7-Setup!$B$13))=0,INDEX($C22:$N22,MAX(1,Setup!$B$7-Setup!$B$13))=""),"",(INDEX($C22:$N22,MAX(1,Setup!$B$7-Setup!$B$13))-P22)/(Setup!$B$7-MAX(1,Setup!$B$7-Setup!$B$13))),""))</f>
      </c>
      <c r="T22" s="92">
        <f t="shared" si="1"/>
      </c>
      <c r="U22" s="77">
        <f>IF(P22="","",IF(P22&gt;=Setup!$B$11,"Suspicious: "&amp;P22&amp;" days is a missing link, not good news",IF(P22&lt;0,"Already late by "&amp;-P22&amp;" days",IF(P22=0,"Critical: no float left",IF(AND(T22&lt;&gt;"",T22&lt;=Setup!$B$14),"Runs out in about "&amp;ROUNDUP(T22,0)&amp;" update(s) at this rate",IF(N(S22)&gt;0,"Burning "&amp;TEXT(S22,"0.0")&amp;" days an update","Holding"))))))</f>
      </c>
      <c r="V22" s="75"/>
      <c r="W22" s="93">
        <f t="shared" si="2"/>
      </c>
    </row>
    <row r="23" spans="1:23" ht="28.05" customHeight="1" x14ac:dyDescent="0.3">
      <c r="A23" s="17"/>
      <c r="B23" s="75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17"/>
      <c r="P23" s="88">
        <f>IF(B23="","",IFERROR(IF(INDEX($C23:$N23,Setup!$B$7)="","",INDEX($C23:$N23,Setup!$B$7)),""))</f>
      </c>
      <c r="Q23" s="89">
        <f>IF(OR(P23="",Setup!$B$7&lt;2),"",IFERROR(IF(INDEX($C23:$N23,Setup!$B$7-1)="","",INDEX($C23:$N23,Setup!$B$7-1)),""))</f>
      </c>
      <c r="R23" s="90">
        <f t="shared" si="0"/>
      </c>
      <c r="S23" s="91">
        <f>IF(P23="","",IFERROR(IF(OR((Setup!$B$7-MAX(1,Setup!$B$7-Setup!$B$13))=0,INDEX($C23:$N23,MAX(1,Setup!$B$7-Setup!$B$13))=""),"",(INDEX($C23:$N23,MAX(1,Setup!$B$7-Setup!$B$13))-P23)/(Setup!$B$7-MAX(1,Setup!$B$7-Setup!$B$13))),""))</f>
      </c>
      <c r="T23" s="92">
        <f t="shared" si="1"/>
      </c>
      <c r="U23" s="77">
        <f>IF(P23="","",IF(P23&gt;=Setup!$B$11,"Suspicious: "&amp;P23&amp;" days is a missing link, not good news",IF(P23&lt;0,"Already late by "&amp;-P23&amp;" days",IF(P23=0,"Critical: no float left",IF(AND(T23&lt;&gt;"",T23&lt;=Setup!$B$14),"Runs out in about "&amp;ROUNDUP(T23,0)&amp;" update(s) at this rate",IF(N(S23)&gt;0,"Burning "&amp;TEXT(S23,"0.0")&amp;" days an update","Holding"))))))</f>
      </c>
      <c r="V23" s="75"/>
      <c r="W23" s="93">
        <f t="shared" si="2"/>
      </c>
    </row>
    <row r="24" spans="1:23" ht="28.05" customHeight="1" x14ac:dyDescent="0.3">
      <c r="A24" s="17"/>
      <c r="B24" s="75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17"/>
      <c r="P24" s="88">
        <f>IF(B24="","",IFERROR(IF(INDEX($C24:$N24,Setup!$B$7)="","",INDEX($C24:$N24,Setup!$B$7)),""))</f>
      </c>
      <c r="Q24" s="89">
        <f>IF(OR(P24="",Setup!$B$7&lt;2),"",IFERROR(IF(INDEX($C24:$N24,Setup!$B$7-1)="","",INDEX($C24:$N24,Setup!$B$7-1)),""))</f>
      </c>
      <c r="R24" s="90">
        <f t="shared" si="0"/>
      </c>
      <c r="S24" s="91">
        <f>IF(P24="","",IFERROR(IF(OR((Setup!$B$7-MAX(1,Setup!$B$7-Setup!$B$13))=0,INDEX($C24:$N24,MAX(1,Setup!$B$7-Setup!$B$13))=""),"",(INDEX($C24:$N24,MAX(1,Setup!$B$7-Setup!$B$13))-P24)/(Setup!$B$7-MAX(1,Setup!$B$7-Setup!$B$13))),""))</f>
      </c>
      <c r="T24" s="92">
        <f t="shared" si="1"/>
      </c>
      <c r="U24" s="77">
        <f>IF(P24="","",IF(P24&gt;=Setup!$B$11,"Suspicious: "&amp;P24&amp;" days is a missing link, not good news",IF(P24&lt;0,"Already late by "&amp;-P24&amp;" days",IF(P24=0,"Critical: no float left",IF(AND(T24&lt;&gt;"",T24&lt;=Setup!$B$14),"Runs out in about "&amp;ROUNDUP(T24,0)&amp;" update(s) at this rate",IF(N(S24)&gt;0,"Burning "&amp;TEXT(S24,"0.0")&amp;" days an update","Holding"))))))</f>
      </c>
      <c r="V24" s="75"/>
      <c r="W24" s="93">
        <f t="shared" si="2"/>
      </c>
    </row>
    <row r="25" spans="1:23" ht="28.05" customHeight="1" x14ac:dyDescent="0.3">
      <c r="A25" s="17"/>
      <c r="B25" s="75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17"/>
      <c r="P25" s="88">
        <f>IF(B25="","",IFERROR(IF(INDEX($C25:$N25,Setup!$B$7)="","",INDEX($C25:$N25,Setup!$B$7)),""))</f>
      </c>
      <c r="Q25" s="89">
        <f>IF(OR(P25="",Setup!$B$7&lt;2),"",IFERROR(IF(INDEX($C25:$N25,Setup!$B$7-1)="","",INDEX($C25:$N25,Setup!$B$7-1)),""))</f>
      </c>
      <c r="R25" s="90">
        <f t="shared" si="0"/>
      </c>
      <c r="S25" s="91">
        <f>IF(P25="","",IFERROR(IF(OR((Setup!$B$7-MAX(1,Setup!$B$7-Setup!$B$13))=0,INDEX($C25:$N25,MAX(1,Setup!$B$7-Setup!$B$13))=""),"",(INDEX($C25:$N25,MAX(1,Setup!$B$7-Setup!$B$13))-P25)/(Setup!$B$7-MAX(1,Setup!$B$7-Setup!$B$13))),""))</f>
      </c>
      <c r="T25" s="92">
        <f t="shared" si="1"/>
      </c>
      <c r="U25" s="77">
        <f>IF(P25="","",IF(P25&gt;=Setup!$B$11,"Suspicious: "&amp;P25&amp;" days is a missing link, not good news",IF(P25&lt;0,"Already late by "&amp;-P25&amp;" days",IF(P25=0,"Critical: no float left",IF(AND(T25&lt;&gt;"",T25&lt;=Setup!$B$14),"Runs out in about "&amp;ROUNDUP(T25,0)&amp;" update(s) at this rate",IF(N(S25)&gt;0,"Burning "&amp;TEXT(S25,"0.0")&amp;" days an update","Holding"))))))</f>
      </c>
      <c r="V25" s="75"/>
      <c r="W25" s="93">
        <f t="shared" si="2"/>
      </c>
    </row>
    <row r="26" spans="1:23" ht="28.05" customHeight="1" x14ac:dyDescent="0.3">
      <c r="A26" s="17"/>
      <c r="B26" s="75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17"/>
      <c r="P26" s="88">
        <f>IF(B26="","",IFERROR(IF(INDEX($C26:$N26,Setup!$B$7)="","",INDEX($C26:$N26,Setup!$B$7)),""))</f>
      </c>
      <c r="Q26" s="89">
        <f>IF(OR(P26="",Setup!$B$7&lt;2),"",IFERROR(IF(INDEX($C26:$N26,Setup!$B$7-1)="","",INDEX($C26:$N26,Setup!$B$7-1)),""))</f>
      </c>
      <c r="R26" s="90">
        <f t="shared" si="0"/>
      </c>
      <c r="S26" s="91">
        <f>IF(P26="","",IFERROR(IF(OR((Setup!$B$7-MAX(1,Setup!$B$7-Setup!$B$13))=0,INDEX($C26:$N26,MAX(1,Setup!$B$7-Setup!$B$13))=""),"",(INDEX($C26:$N26,MAX(1,Setup!$B$7-Setup!$B$13))-P26)/(Setup!$B$7-MAX(1,Setup!$B$7-Setup!$B$13))),""))</f>
      </c>
      <c r="T26" s="92">
        <f t="shared" si="1"/>
      </c>
      <c r="U26" s="77">
        <f>IF(P26="","",IF(P26&gt;=Setup!$B$11,"Suspicious: "&amp;P26&amp;" days is a missing link, not good news",IF(P26&lt;0,"Already late by "&amp;-P26&amp;" days",IF(P26=0,"Critical: no float left",IF(AND(T26&lt;&gt;"",T26&lt;=Setup!$B$14),"Runs out in about "&amp;ROUNDUP(T26,0)&amp;" update(s) at this rate",IF(N(S26)&gt;0,"Burning "&amp;TEXT(S26,"0.0")&amp;" days an update","Holding"))))))</f>
      </c>
      <c r="V26" s="75"/>
      <c r="W26" s="93">
        <f t="shared" si="2"/>
      </c>
    </row>
    <row r="28" spans="1:23" x14ac:dyDescent="0.3">
      <c r="A28" s="53" t="s">
        <v>290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C7:N26">
    <cfRule type="cellIs" dxfId="16" priority="4" operator="lessThan">
      <formula>0</formula>
    </cfRule>
  </conditionalFormatting>
  <conditionalFormatting sqref="R7:R26">
    <cfRule type="cellIs" dxfId="15" priority="6" operator="lessThan">
      <formula>0</formula>
    </cfRule>
  </conditionalFormatting>
  <conditionalFormatting sqref="U7:U26">
    <cfRule type="expression" dxfId="14" priority="1">
      <formula>OR(LEFT(U7,7)="Already",LEFT(U7,8)="Critical")</formula>
    </cfRule>
    <cfRule type="expression" dxfId="13" priority="2">
      <formula>OR(LEFT(U7,4)="Runs",LEFT(U7,10)="Suspicious")</formula>
    </cfRule>
    <cfRule type="expression" dxfId="12" priority="3">
      <formula>U7="Holding"</formula>
    </cfRule>
  </conditionalFormatting>
  <printOptions horizontalCentered="1"/>
  <pageMargins left="0.4" right="0.4" top="0.5" bottom="0.5" header="0.5" footer="0.5"/>
  <pageSetup paperSize="9" scale="5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000000-000E-0000-0400-000005000000}">
            <xm:f>COLUMN(C6)-2=Setup!$B$7</xm:f>
            <x14:dxf>
              <fill>
                <patternFill patternType="solid">
                  <fgColor rgb="FFCCFBF1"/>
                </patternFill>
              </fill>
            </x14:dxf>
          </x14:cfRule>
          <xm:sqref>C6:N26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B8A6"/>
    <pageSetUpPr fitToPage="1"/>
  </sheetPr>
  <dimension ref="A1:N48"/>
  <sheetViews>
    <sheetView showGridLines="0" view="pageBreakPreview" zoomScale="90" zoomScaleNormal="100" zoomScaleSheetLayoutView="9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style="2" customWidth="1"/>
    <col min="2" max="2" width="32" style="2" customWidth="1"/>
    <col min="3" max="4" width="15" style="2" customWidth="1"/>
    <col min="5" max="6" width="9" style="2" customWidth="1"/>
    <col min="7" max="7" width="8" style="2" customWidth="1"/>
    <col min="8" max="8" width="10" style="2" customWidth="1"/>
    <col min="9" max="9" width="9" style="2" customWidth="1"/>
    <col min="10" max="10" width="10" style="2" customWidth="1"/>
    <col min="11" max="11" width="11" style="2" customWidth="1"/>
    <col min="12" max="12" width="42" style="2" customWidth="1"/>
    <col min="13" max="13" width="46" style="2" customWidth="1"/>
    <col min="14" max="14" width="4" style="2" customWidth="1"/>
    <col min="15" max="16384" width="8.88671875" style="2"/>
  </cols>
  <sheetData>
    <row r="1" spans="1:14" ht="28.05" customHeight="1" x14ac:dyDescent="0.4">
      <c r="A1" s="58" t="s">
        <v>48</v>
      </c>
      <c r="M1" s="78" t="s">
        <v>62</v>
      </c>
    </row>
    <row r="2" spans="1:14" x14ac:dyDescent="0.3">
      <c r="A2" s="59" t="s">
        <v>291</v>
      </c>
    </row>
    <row r="3" spans="1:14" x14ac:dyDescent="0.3">
      <c r="A3" s="60" t="s">
        <v>292</v>
      </c>
    </row>
    <row r="4" spans="1:14" x14ac:dyDescent="0.3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6" spans="1:14" ht="31.95" customHeight="1" x14ac:dyDescent="0.3">
      <c r="A6" s="64" t="s">
        <v>293</v>
      </c>
      <c r="B6" s="64" t="s">
        <v>78</v>
      </c>
      <c r="C6" s="65" t="s">
        <v>294</v>
      </c>
      <c r="D6" s="64" t="s">
        <v>295</v>
      </c>
      <c r="E6" s="65" t="s">
        <v>296</v>
      </c>
      <c r="F6" s="65" t="s">
        <v>297</v>
      </c>
      <c r="G6" s="64" t="s">
        <v>298</v>
      </c>
      <c r="H6" s="65" t="s">
        <v>299</v>
      </c>
      <c r="I6" s="65" t="s">
        <v>300</v>
      </c>
      <c r="J6" s="65" t="s">
        <v>301</v>
      </c>
      <c r="K6" s="65" t="s">
        <v>302</v>
      </c>
      <c r="L6" s="65" t="s">
        <v>303</v>
      </c>
      <c r="M6" s="64" t="s">
        <v>304</v>
      </c>
      <c r="N6" s="94" t="s">
        <v>305</v>
      </c>
    </row>
    <row r="7" spans="1:14" ht="28.05" customHeight="1" x14ac:dyDescent="0.3">
      <c r="A7" s="17"/>
      <c r="B7" s="75"/>
      <c r="C7" s="17"/>
      <c r="D7" s="17"/>
      <c r="E7" s="95"/>
      <c r="F7" s="95"/>
      <c r="G7" s="95"/>
      <c r="H7" s="80"/>
      <c r="I7" s="80"/>
      <c r="J7" s="82">
        <f>IF(OR(H7="",Setup!$B$16=""),"",MAX(0,H7-Setup!$B$16))</f>
      </c>
      <c r="K7" s="83">
        <f>IF(OR(I7="",H7="",Setup!$B$16=""),"",IF(I7=0,"",I7-(H7-Setup!$B$16)))</f>
      </c>
      <c r="L7" s="75"/>
      <c r="M7" s="77">
        <f t="shared" ref="M7:M46" si="0">IF(B7="","",IF(D7="","Write where the figure came from. ",IF(OR(D7="Phone call",D7="Memory"),"Not a site record: check it. ",""))&amp;IF(AND(ISNUMBER(E7),ISNUMBER(F7),ISNUMBER(G7),G7&gt;0,G7&lt;1,G7=F7,F7=E7),"Stuck at "&amp;TEXT(G7,"0%")&amp;" for three updates: describe the problem. ","")&amp;IF(AND(ISNUMBER(K7),K7&gt;0),"Finish moved "&amp;K7&amp;" working days later. ","")&amp;IF(AND(ISNUMBER(G7),G7&lt;1,I7=""),"No days-left figure: ask. ",""))</f>
      </c>
      <c r="N7" s="96">
        <f t="shared" ref="N7:N46" si="1">IF(B7="","",IF(M7="","✔",""))</f>
      </c>
    </row>
    <row r="8" spans="1:14" ht="28.05" customHeight="1" x14ac:dyDescent="0.3">
      <c r="A8" s="17"/>
      <c r="B8" s="75"/>
      <c r="C8" s="17"/>
      <c r="D8" s="17"/>
      <c r="E8" s="95"/>
      <c r="F8" s="95"/>
      <c r="G8" s="95"/>
      <c r="H8" s="80"/>
      <c r="I8" s="80"/>
      <c r="J8" s="82">
        <f>IF(OR(H8="",Setup!$B$16=""),"",MAX(0,H8-Setup!$B$16))</f>
      </c>
      <c r="K8" s="83">
        <f>IF(OR(I8="",H8="",Setup!$B$16=""),"",IF(I8=0,"",I8-(H8-Setup!$B$16)))</f>
      </c>
      <c r="L8" s="75"/>
      <c r="M8" s="77">
        <f t="shared" si="0"/>
      </c>
      <c r="N8" s="96">
        <f t="shared" si="1"/>
      </c>
    </row>
    <row r="9" spans="1:14" ht="28.05" customHeight="1" x14ac:dyDescent="0.3">
      <c r="A9" s="17"/>
      <c r="B9" s="75"/>
      <c r="C9" s="17"/>
      <c r="D9" s="17"/>
      <c r="E9" s="95"/>
      <c r="F9" s="95"/>
      <c r="G9" s="95"/>
      <c r="H9" s="80"/>
      <c r="I9" s="80"/>
      <c r="J9" s="82">
        <f>IF(OR(H9="",Setup!$B$16=""),"",MAX(0,H9-Setup!$B$16))</f>
      </c>
      <c r="K9" s="83">
        <f>IF(OR(I9="",H9="",Setup!$B$16=""),"",IF(I9=0,"",I9-(H9-Setup!$B$16)))</f>
      </c>
      <c r="L9" s="75"/>
      <c r="M9" s="77">
        <f t="shared" si="0"/>
      </c>
      <c r="N9" s="96">
        <f t="shared" si="1"/>
      </c>
    </row>
    <row r="10" spans="1:14" ht="28.05" customHeight="1" x14ac:dyDescent="0.3">
      <c r="A10" s="17"/>
      <c r="B10" s="75"/>
      <c r="C10" s="17"/>
      <c r="D10" s="17"/>
      <c r="E10" s="95"/>
      <c r="F10" s="95"/>
      <c r="G10" s="95"/>
      <c r="H10" s="80"/>
      <c r="I10" s="80"/>
      <c r="J10" s="82">
        <f>IF(OR(H10="",Setup!$B$16=""),"",MAX(0,H10-Setup!$B$16))</f>
      </c>
      <c r="K10" s="83">
        <f>IF(OR(I10="",H10="",Setup!$B$16=""),"",IF(I10=0,"",I10-(H10-Setup!$B$16)))</f>
      </c>
      <c r="L10" s="75"/>
      <c r="M10" s="77">
        <f t="shared" si="0"/>
      </c>
      <c r="N10" s="96">
        <f t="shared" si="1"/>
      </c>
    </row>
    <row r="11" spans="1:14" ht="28.05" customHeight="1" x14ac:dyDescent="0.3">
      <c r="A11" s="17"/>
      <c r="B11" s="75"/>
      <c r="C11" s="17"/>
      <c r="D11" s="17"/>
      <c r="E11" s="95"/>
      <c r="F11" s="95"/>
      <c r="G11" s="95"/>
      <c r="H11" s="80"/>
      <c r="I11" s="80"/>
      <c r="J11" s="82">
        <f>IF(OR(H11="",Setup!$B$16=""),"",MAX(0,H11-Setup!$B$16))</f>
      </c>
      <c r="K11" s="83">
        <f>IF(OR(I11="",H11="",Setup!$B$16=""),"",IF(I11=0,"",I11-(H11-Setup!$B$16)))</f>
      </c>
      <c r="L11" s="75"/>
      <c r="M11" s="77">
        <f t="shared" si="0"/>
      </c>
      <c r="N11" s="96">
        <f t="shared" si="1"/>
      </c>
    </row>
    <row r="12" spans="1:14" ht="28.05" customHeight="1" x14ac:dyDescent="0.3">
      <c r="A12" s="17"/>
      <c r="B12" s="75"/>
      <c r="C12" s="17"/>
      <c r="D12" s="17"/>
      <c r="E12" s="95"/>
      <c r="F12" s="95"/>
      <c r="G12" s="95"/>
      <c r="H12" s="80"/>
      <c r="I12" s="80"/>
      <c r="J12" s="82">
        <f>IF(OR(H12="",Setup!$B$16=""),"",MAX(0,H12-Setup!$B$16))</f>
      </c>
      <c r="K12" s="83">
        <f>IF(OR(I12="",H12="",Setup!$B$16=""),"",IF(I12=0,"",I12-(H12-Setup!$B$16)))</f>
      </c>
      <c r="L12" s="75"/>
      <c r="M12" s="77">
        <f t="shared" si="0"/>
      </c>
      <c r="N12" s="96">
        <f t="shared" si="1"/>
      </c>
    </row>
    <row r="13" spans="1:14" ht="28.05" customHeight="1" x14ac:dyDescent="0.3">
      <c r="A13" s="17"/>
      <c r="B13" s="75"/>
      <c r="C13" s="17"/>
      <c r="D13" s="17"/>
      <c r="E13" s="95"/>
      <c r="F13" s="95"/>
      <c r="G13" s="95"/>
      <c r="H13" s="80"/>
      <c r="I13" s="80"/>
      <c r="J13" s="82">
        <f>IF(OR(H13="",Setup!$B$16=""),"",MAX(0,H13-Setup!$B$16))</f>
      </c>
      <c r="K13" s="83">
        <f>IF(OR(I13="",H13="",Setup!$B$16=""),"",IF(I13=0,"",I13-(H13-Setup!$B$16)))</f>
      </c>
      <c r="L13" s="75"/>
      <c r="M13" s="77">
        <f t="shared" si="0"/>
      </c>
      <c r="N13" s="96">
        <f t="shared" si="1"/>
      </c>
    </row>
    <row r="14" spans="1:14" ht="28.05" customHeight="1" x14ac:dyDescent="0.3">
      <c r="A14" s="17"/>
      <c r="B14" s="75"/>
      <c r="C14" s="17"/>
      <c r="D14" s="17"/>
      <c r="E14" s="95"/>
      <c r="F14" s="95"/>
      <c r="G14" s="95"/>
      <c r="H14" s="80"/>
      <c r="I14" s="80"/>
      <c r="J14" s="82">
        <f>IF(OR(H14="",Setup!$B$16=""),"",MAX(0,H14-Setup!$B$16))</f>
      </c>
      <c r="K14" s="83">
        <f>IF(OR(I14="",H14="",Setup!$B$16=""),"",IF(I14=0,"",I14-(H14-Setup!$B$16)))</f>
      </c>
      <c r="L14" s="75"/>
      <c r="M14" s="77">
        <f t="shared" si="0"/>
      </c>
      <c r="N14" s="96">
        <f t="shared" si="1"/>
      </c>
    </row>
    <row r="15" spans="1:14" ht="28.05" customHeight="1" x14ac:dyDescent="0.3">
      <c r="A15" s="17"/>
      <c r="B15" s="75"/>
      <c r="C15" s="17"/>
      <c r="D15" s="17"/>
      <c r="E15" s="95"/>
      <c r="F15" s="95"/>
      <c r="G15" s="95"/>
      <c r="H15" s="80"/>
      <c r="I15" s="80"/>
      <c r="J15" s="82">
        <f>IF(OR(H15="",Setup!$B$16=""),"",MAX(0,H15-Setup!$B$16))</f>
      </c>
      <c r="K15" s="83">
        <f>IF(OR(I15="",H15="",Setup!$B$16=""),"",IF(I15=0,"",I15-(H15-Setup!$B$16)))</f>
      </c>
      <c r="L15" s="75"/>
      <c r="M15" s="77">
        <f t="shared" si="0"/>
      </c>
      <c r="N15" s="96">
        <f t="shared" si="1"/>
      </c>
    </row>
    <row r="16" spans="1:14" ht="28.05" customHeight="1" x14ac:dyDescent="0.3">
      <c r="A16" s="17"/>
      <c r="B16" s="75"/>
      <c r="C16" s="17"/>
      <c r="D16" s="17"/>
      <c r="E16" s="95"/>
      <c r="F16" s="95"/>
      <c r="G16" s="95"/>
      <c r="H16" s="80"/>
      <c r="I16" s="80"/>
      <c r="J16" s="82">
        <f>IF(OR(H16="",Setup!$B$16=""),"",MAX(0,H16-Setup!$B$16))</f>
      </c>
      <c r="K16" s="83">
        <f>IF(OR(I16="",H16="",Setup!$B$16=""),"",IF(I16=0,"",I16-(H16-Setup!$B$16)))</f>
      </c>
      <c r="L16" s="75"/>
      <c r="M16" s="77">
        <f t="shared" si="0"/>
      </c>
      <c r="N16" s="96">
        <f t="shared" si="1"/>
      </c>
    </row>
    <row r="17" spans="1:14" ht="28.05" customHeight="1" x14ac:dyDescent="0.3">
      <c r="A17" s="17"/>
      <c r="B17" s="75"/>
      <c r="C17" s="17"/>
      <c r="D17" s="17"/>
      <c r="E17" s="95"/>
      <c r="F17" s="95"/>
      <c r="G17" s="95"/>
      <c r="H17" s="80"/>
      <c r="I17" s="80"/>
      <c r="J17" s="82">
        <f>IF(OR(H17="",Setup!$B$16=""),"",MAX(0,H17-Setup!$B$16))</f>
      </c>
      <c r="K17" s="83">
        <f>IF(OR(I17="",H17="",Setup!$B$16=""),"",IF(I17=0,"",I17-(H17-Setup!$B$16)))</f>
      </c>
      <c r="L17" s="75"/>
      <c r="M17" s="77">
        <f t="shared" si="0"/>
      </c>
      <c r="N17" s="96">
        <f t="shared" si="1"/>
      </c>
    </row>
    <row r="18" spans="1:14" ht="28.05" customHeight="1" x14ac:dyDescent="0.3">
      <c r="A18" s="17"/>
      <c r="B18" s="75"/>
      <c r="C18" s="17"/>
      <c r="D18" s="17"/>
      <c r="E18" s="95"/>
      <c r="F18" s="95"/>
      <c r="G18" s="95"/>
      <c r="H18" s="80"/>
      <c r="I18" s="80"/>
      <c r="J18" s="82">
        <f>IF(OR(H18="",Setup!$B$16=""),"",MAX(0,H18-Setup!$B$16))</f>
      </c>
      <c r="K18" s="83">
        <f>IF(OR(I18="",H18="",Setup!$B$16=""),"",IF(I18=0,"",I18-(H18-Setup!$B$16)))</f>
      </c>
      <c r="L18" s="75"/>
      <c r="M18" s="77">
        <f t="shared" si="0"/>
      </c>
      <c r="N18" s="96">
        <f t="shared" si="1"/>
      </c>
    </row>
    <row r="19" spans="1:14" ht="28.05" customHeight="1" x14ac:dyDescent="0.3">
      <c r="A19" s="17"/>
      <c r="B19" s="75"/>
      <c r="C19" s="17"/>
      <c r="D19" s="17"/>
      <c r="E19" s="95"/>
      <c r="F19" s="95"/>
      <c r="G19" s="95"/>
      <c r="H19" s="80"/>
      <c r="I19" s="80"/>
      <c r="J19" s="82">
        <f>IF(OR(H19="",Setup!$B$16=""),"",MAX(0,H19-Setup!$B$16))</f>
      </c>
      <c r="K19" s="83">
        <f>IF(OR(I19="",H19="",Setup!$B$16=""),"",IF(I19=0,"",I19-(H19-Setup!$B$16)))</f>
      </c>
      <c r="L19" s="75"/>
      <c r="M19" s="77">
        <f t="shared" si="0"/>
      </c>
      <c r="N19" s="96">
        <f t="shared" si="1"/>
      </c>
    </row>
    <row r="20" spans="1:14" ht="28.05" customHeight="1" x14ac:dyDescent="0.3">
      <c r="A20" s="17"/>
      <c r="B20" s="75"/>
      <c r="C20" s="17"/>
      <c r="D20" s="17"/>
      <c r="E20" s="95"/>
      <c r="F20" s="95"/>
      <c r="G20" s="95"/>
      <c r="H20" s="80"/>
      <c r="I20" s="80"/>
      <c r="J20" s="82">
        <f>IF(OR(H20="",Setup!$B$16=""),"",MAX(0,H20-Setup!$B$16))</f>
      </c>
      <c r="K20" s="83">
        <f>IF(OR(I20="",H20="",Setup!$B$16=""),"",IF(I20=0,"",I20-(H20-Setup!$B$16)))</f>
      </c>
      <c r="L20" s="75"/>
      <c r="M20" s="77">
        <f t="shared" si="0"/>
      </c>
      <c r="N20" s="96">
        <f t="shared" si="1"/>
      </c>
    </row>
    <row r="21" spans="1:14" ht="28.05" customHeight="1" x14ac:dyDescent="0.3">
      <c r="A21" s="17"/>
      <c r="B21" s="75"/>
      <c r="C21" s="17"/>
      <c r="D21" s="17"/>
      <c r="E21" s="95"/>
      <c r="F21" s="95"/>
      <c r="G21" s="95"/>
      <c r="H21" s="80"/>
      <c r="I21" s="80"/>
      <c r="J21" s="82">
        <f>IF(OR(H21="",Setup!$B$16=""),"",MAX(0,H21-Setup!$B$16))</f>
      </c>
      <c r="K21" s="83">
        <f>IF(OR(I21="",H21="",Setup!$B$16=""),"",IF(I21=0,"",I21-(H21-Setup!$B$16)))</f>
      </c>
      <c r="L21" s="75"/>
      <c r="M21" s="77">
        <f t="shared" si="0"/>
      </c>
      <c r="N21" s="96">
        <f t="shared" si="1"/>
      </c>
    </row>
    <row r="22" spans="1:14" ht="28.05" customHeight="1" x14ac:dyDescent="0.3">
      <c r="A22" s="17"/>
      <c r="B22" s="75"/>
      <c r="C22" s="17"/>
      <c r="D22" s="17"/>
      <c r="E22" s="95"/>
      <c r="F22" s="95"/>
      <c r="G22" s="95"/>
      <c r="H22" s="80"/>
      <c r="I22" s="80"/>
      <c r="J22" s="82">
        <f>IF(OR(H22="",Setup!$B$16=""),"",MAX(0,H22-Setup!$B$16))</f>
      </c>
      <c r="K22" s="83">
        <f>IF(OR(I22="",H22="",Setup!$B$16=""),"",IF(I22=0,"",I22-(H22-Setup!$B$16)))</f>
      </c>
      <c r="L22" s="75"/>
      <c r="M22" s="77">
        <f t="shared" si="0"/>
      </c>
      <c r="N22" s="96">
        <f t="shared" si="1"/>
      </c>
    </row>
    <row r="23" spans="1:14" ht="28.05" customHeight="1" x14ac:dyDescent="0.3">
      <c r="A23" s="17"/>
      <c r="B23" s="75"/>
      <c r="C23" s="17"/>
      <c r="D23" s="17"/>
      <c r="E23" s="95"/>
      <c r="F23" s="95"/>
      <c r="G23" s="95"/>
      <c r="H23" s="80"/>
      <c r="I23" s="80"/>
      <c r="J23" s="82">
        <f>IF(OR(H23="",Setup!$B$16=""),"",MAX(0,H23-Setup!$B$16))</f>
      </c>
      <c r="K23" s="83">
        <f>IF(OR(I23="",H23="",Setup!$B$16=""),"",IF(I23=0,"",I23-(H23-Setup!$B$16)))</f>
      </c>
      <c r="L23" s="75"/>
      <c r="M23" s="77">
        <f t="shared" si="0"/>
      </c>
      <c r="N23" s="96">
        <f t="shared" si="1"/>
      </c>
    </row>
    <row r="24" spans="1:14" ht="28.05" customHeight="1" x14ac:dyDescent="0.3">
      <c r="A24" s="17"/>
      <c r="B24" s="75"/>
      <c r="C24" s="17"/>
      <c r="D24" s="17"/>
      <c r="E24" s="95"/>
      <c r="F24" s="95"/>
      <c r="G24" s="95"/>
      <c r="H24" s="80"/>
      <c r="I24" s="80"/>
      <c r="J24" s="82">
        <f>IF(OR(H24="",Setup!$B$16=""),"",MAX(0,H24-Setup!$B$16))</f>
      </c>
      <c r="K24" s="83">
        <f>IF(OR(I24="",H24="",Setup!$B$16=""),"",IF(I24=0,"",I24-(H24-Setup!$B$16)))</f>
      </c>
      <c r="L24" s="75"/>
      <c r="M24" s="77">
        <f t="shared" si="0"/>
      </c>
      <c r="N24" s="96">
        <f t="shared" si="1"/>
      </c>
    </row>
    <row r="25" spans="1:14" ht="28.05" customHeight="1" x14ac:dyDescent="0.3">
      <c r="A25" s="17"/>
      <c r="B25" s="75"/>
      <c r="C25" s="17"/>
      <c r="D25" s="17"/>
      <c r="E25" s="95"/>
      <c r="F25" s="95"/>
      <c r="G25" s="95"/>
      <c r="H25" s="80"/>
      <c r="I25" s="80"/>
      <c r="J25" s="82">
        <f>IF(OR(H25="",Setup!$B$16=""),"",MAX(0,H25-Setup!$B$16))</f>
      </c>
      <c r="K25" s="83">
        <f>IF(OR(I25="",H25="",Setup!$B$16=""),"",IF(I25=0,"",I25-(H25-Setup!$B$16)))</f>
      </c>
      <c r="L25" s="75"/>
      <c r="M25" s="77">
        <f t="shared" si="0"/>
      </c>
      <c r="N25" s="96">
        <f t="shared" si="1"/>
      </c>
    </row>
    <row r="26" spans="1:14" ht="28.05" customHeight="1" x14ac:dyDescent="0.3">
      <c r="A26" s="17"/>
      <c r="B26" s="75"/>
      <c r="C26" s="17"/>
      <c r="D26" s="17"/>
      <c r="E26" s="95"/>
      <c r="F26" s="95"/>
      <c r="G26" s="95"/>
      <c r="H26" s="80"/>
      <c r="I26" s="80"/>
      <c r="J26" s="82">
        <f>IF(OR(H26="",Setup!$B$16=""),"",MAX(0,H26-Setup!$B$16))</f>
      </c>
      <c r="K26" s="83">
        <f>IF(OR(I26="",H26="",Setup!$B$16=""),"",IF(I26=0,"",I26-(H26-Setup!$B$16)))</f>
      </c>
      <c r="L26" s="75"/>
      <c r="M26" s="77">
        <f t="shared" si="0"/>
      </c>
      <c r="N26" s="96">
        <f t="shared" si="1"/>
      </c>
    </row>
    <row r="27" spans="1:14" ht="28.05" customHeight="1" x14ac:dyDescent="0.3">
      <c r="A27" s="17"/>
      <c r="B27" s="75"/>
      <c r="C27" s="17"/>
      <c r="D27" s="17"/>
      <c r="E27" s="95"/>
      <c r="F27" s="95"/>
      <c r="G27" s="95"/>
      <c r="H27" s="80"/>
      <c r="I27" s="80"/>
      <c r="J27" s="82">
        <f>IF(OR(H27="",Setup!$B$16=""),"",MAX(0,H27-Setup!$B$16))</f>
      </c>
      <c r="K27" s="83">
        <f>IF(OR(I27="",H27="",Setup!$B$16=""),"",IF(I27=0,"",I27-(H27-Setup!$B$16)))</f>
      </c>
      <c r="L27" s="75"/>
      <c r="M27" s="77">
        <f t="shared" si="0"/>
      </c>
      <c r="N27" s="96">
        <f t="shared" si="1"/>
      </c>
    </row>
    <row r="28" spans="1:14" ht="28.05" customHeight="1" x14ac:dyDescent="0.3">
      <c r="A28" s="17"/>
      <c r="B28" s="75"/>
      <c r="C28" s="17"/>
      <c r="D28" s="17"/>
      <c r="E28" s="95"/>
      <c r="F28" s="95"/>
      <c r="G28" s="95"/>
      <c r="H28" s="80"/>
      <c r="I28" s="80"/>
      <c r="J28" s="82">
        <f>IF(OR(H28="",Setup!$B$16=""),"",MAX(0,H28-Setup!$B$16))</f>
      </c>
      <c r="K28" s="83">
        <f>IF(OR(I28="",H28="",Setup!$B$16=""),"",IF(I28=0,"",I28-(H28-Setup!$B$16)))</f>
      </c>
      <c r="L28" s="75"/>
      <c r="M28" s="77">
        <f t="shared" si="0"/>
      </c>
      <c r="N28" s="96">
        <f t="shared" si="1"/>
      </c>
    </row>
    <row r="29" spans="1:14" ht="28.05" customHeight="1" x14ac:dyDescent="0.3">
      <c r="A29" s="17"/>
      <c r="B29" s="75"/>
      <c r="C29" s="17"/>
      <c r="D29" s="17"/>
      <c r="E29" s="95"/>
      <c r="F29" s="95"/>
      <c r="G29" s="95"/>
      <c r="H29" s="80"/>
      <c r="I29" s="80"/>
      <c r="J29" s="82">
        <f>IF(OR(H29="",Setup!$B$16=""),"",MAX(0,H29-Setup!$B$16))</f>
      </c>
      <c r="K29" s="83">
        <f>IF(OR(I29="",H29="",Setup!$B$16=""),"",IF(I29=0,"",I29-(H29-Setup!$B$16)))</f>
      </c>
      <c r="L29" s="75"/>
      <c r="M29" s="77">
        <f t="shared" si="0"/>
      </c>
      <c r="N29" s="96">
        <f t="shared" si="1"/>
      </c>
    </row>
    <row r="30" spans="1:14" ht="28.05" customHeight="1" x14ac:dyDescent="0.3">
      <c r="A30" s="17"/>
      <c r="B30" s="75"/>
      <c r="C30" s="17"/>
      <c r="D30" s="17"/>
      <c r="E30" s="95"/>
      <c r="F30" s="95"/>
      <c r="G30" s="95"/>
      <c r="H30" s="80"/>
      <c r="I30" s="80"/>
      <c r="J30" s="82">
        <f>IF(OR(H30="",Setup!$B$16=""),"",MAX(0,H30-Setup!$B$16))</f>
      </c>
      <c r="K30" s="83">
        <f>IF(OR(I30="",H30="",Setup!$B$16=""),"",IF(I30=0,"",I30-(H30-Setup!$B$16)))</f>
      </c>
      <c r="L30" s="75"/>
      <c r="M30" s="77">
        <f t="shared" si="0"/>
      </c>
      <c r="N30" s="96">
        <f t="shared" si="1"/>
      </c>
    </row>
    <row r="31" spans="1:14" ht="28.05" customHeight="1" x14ac:dyDescent="0.3">
      <c r="A31" s="17"/>
      <c r="B31" s="75"/>
      <c r="C31" s="17"/>
      <c r="D31" s="17"/>
      <c r="E31" s="95"/>
      <c r="F31" s="95"/>
      <c r="G31" s="95"/>
      <c r="H31" s="80"/>
      <c r="I31" s="80"/>
      <c r="J31" s="82">
        <f>IF(OR(H31="",Setup!$B$16=""),"",MAX(0,H31-Setup!$B$16))</f>
      </c>
      <c r="K31" s="83">
        <f>IF(OR(I31="",H31="",Setup!$B$16=""),"",IF(I31=0,"",I31-(H31-Setup!$B$16)))</f>
      </c>
      <c r="L31" s="75"/>
      <c r="M31" s="77">
        <f t="shared" si="0"/>
      </c>
      <c r="N31" s="96">
        <f t="shared" si="1"/>
      </c>
    </row>
    <row r="32" spans="1:14" ht="28.05" customHeight="1" x14ac:dyDescent="0.3">
      <c r="A32" s="17"/>
      <c r="B32" s="75"/>
      <c r="C32" s="17"/>
      <c r="D32" s="17"/>
      <c r="E32" s="95"/>
      <c r="F32" s="95"/>
      <c r="G32" s="95"/>
      <c r="H32" s="80"/>
      <c r="I32" s="80"/>
      <c r="J32" s="82">
        <f>IF(OR(H32="",Setup!$B$16=""),"",MAX(0,H32-Setup!$B$16))</f>
      </c>
      <c r="K32" s="83">
        <f>IF(OR(I32="",H32="",Setup!$B$16=""),"",IF(I32=0,"",I32-(H32-Setup!$B$16)))</f>
      </c>
      <c r="L32" s="75"/>
      <c r="M32" s="77">
        <f t="shared" si="0"/>
      </c>
      <c r="N32" s="96">
        <f t="shared" si="1"/>
      </c>
    </row>
    <row r="33" spans="1:14" ht="28.05" customHeight="1" x14ac:dyDescent="0.3">
      <c r="A33" s="17"/>
      <c r="B33" s="75"/>
      <c r="C33" s="17"/>
      <c r="D33" s="17"/>
      <c r="E33" s="95"/>
      <c r="F33" s="95"/>
      <c r="G33" s="95"/>
      <c r="H33" s="80"/>
      <c r="I33" s="80"/>
      <c r="J33" s="82">
        <f>IF(OR(H33="",Setup!$B$16=""),"",MAX(0,H33-Setup!$B$16))</f>
      </c>
      <c r="K33" s="83">
        <f>IF(OR(I33="",H33="",Setup!$B$16=""),"",IF(I33=0,"",I33-(H33-Setup!$B$16)))</f>
      </c>
      <c r="L33" s="75"/>
      <c r="M33" s="77">
        <f t="shared" si="0"/>
      </c>
      <c r="N33" s="96">
        <f t="shared" si="1"/>
      </c>
    </row>
    <row r="34" spans="1:14" ht="28.05" customHeight="1" x14ac:dyDescent="0.3">
      <c r="A34" s="17"/>
      <c r="B34" s="75"/>
      <c r="C34" s="17"/>
      <c r="D34" s="17"/>
      <c r="E34" s="95"/>
      <c r="F34" s="95"/>
      <c r="G34" s="95"/>
      <c r="H34" s="80"/>
      <c r="I34" s="80"/>
      <c r="J34" s="82">
        <f>IF(OR(H34="",Setup!$B$16=""),"",MAX(0,H34-Setup!$B$16))</f>
      </c>
      <c r="K34" s="83">
        <f>IF(OR(I34="",H34="",Setup!$B$16=""),"",IF(I34=0,"",I34-(H34-Setup!$B$16)))</f>
      </c>
      <c r="L34" s="75"/>
      <c r="M34" s="77">
        <f t="shared" si="0"/>
      </c>
      <c r="N34" s="96">
        <f t="shared" si="1"/>
      </c>
    </row>
    <row r="35" spans="1:14" ht="28.05" customHeight="1" x14ac:dyDescent="0.3">
      <c r="A35" s="17"/>
      <c r="B35" s="75"/>
      <c r="C35" s="17"/>
      <c r="D35" s="17"/>
      <c r="E35" s="95"/>
      <c r="F35" s="95"/>
      <c r="G35" s="95"/>
      <c r="H35" s="80"/>
      <c r="I35" s="80"/>
      <c r="J35" s="82">
        <f>IF(OR(H35="",Setup!$B$16=""),"",MAX(0,H35-Setup!$B$16))</f>
      </c>
      <c r="K35" s="83">
        <f>IF(OR(I35="",H35="",Setup!$B$16=""),"",IF(I35=0,"",I35-(H35-Setup!$B$16)))</f>
      </c>
      <c r="L35" s="75"/>
      <c r="M35" s="77">
        <f t="shared" si="0"/>
      </c>
      <c r="N35" s="96">
        <f t="shared" si="1"/>
      </c>
    </row>
    <row r="36" spans="1:14" ht="28.05" customHeight="1" x14ac:dyDescent="0.3">
      <c r="A36" s="17"/>
      <c r="B36" s="75"/>
      <c r="C36" s="17"/>
      <c r="D36" s="17"/>
      <c r="E36" s="95"/>
      <c r="F36" s="95"/>
      <c r="G36" s="95"/>
      <c r="H36" s="80"/>
      <c r="I36" s="80"/>
      <c r="J36" s="82">
        <f>IF(OR(H36="",Setup!$B$16=""),"",MAX(0,H36-Setup!$B$16))</f>
      </c>
      <c r="K36" s="83">
        <f>IF(OR(I36="",H36="",Setup!$B$16=""),"",IF(I36=0,"",I36-(H36-Setup!$B$16)))</f>
      </c>
      <c r="L36" s="75"/>
      <c r="M36" s="77">
        <f t="shared" si="0"/>
      </c>
      <c r="N36" s="96">
        <f t="shared" si="1"/>
      </c>
    </row>
    <row r="37" spans="1:14" ht="28.05" customHeight="1" x14ac:dyDescent="0.3">
      <c r="A37" s="17"/>
      <c r="B37" s="75"/>
      <c r="C37" s="17"/>
      <c r="D37" s="17"/>
      <c r="E37" s="95"/>
      <c r="F37" s="95"/>
      <c r="G37" s="95"/>
      <c r="H37" s="80"/>
      <c r="I37" s="80"/>
      <c r="J37" s="82">
        <f>IF(OR(H37="",Setup!$B$16=""),"",MAX(0,H37-Setup!$B$16))</f>
      </c>
      <c r="K37" s="83">
        <f>IF(OR(I37="",H37="",Setup!$B$16=""),"",IF(I37=0,"",I37-(H37-Setup!$B$16)))</f>
      </c>
      <c r="L37" s="75"/>
      <c r="M37" s="77">
        <f t="shared" si="0"/>
      </c>
      <c r="N37" s="96">
        <f t="shared" si="1"/>
      </c>
    </row>
    <row r="38" spans="1:14" ht="28.05" customHeight="1" x14ac:dyDescent="0.3">
      <c r="A38" s="17"/>
      <c r="B38" s="75"/>
      <c r="C38" s="17"/>
      <c r="D38" s="17"/>
      <c r="E38" s="95"/>
      <c r="F38" s="95"/>
      <c r="G38" s="95"/>
      <c r="H38" s="80"/>
      <c r="I38" s="80"/>
      <c r="J38" s="82">
        <f>IF(OR(H38="",Setup!$B$16=""),"",MAX(0,H38-Setup!$B$16))</f>
      </c>
      <c r="K38" s="83">
        <f>IF(OR(I38="",H38="",Setup!$B$16=""),"",IF(I38=0,"",I38-(H38-Setup!$B$16)))</f>
      </c>
      <c r="L38" s="75"/>
      <c r="M38" s="77">
        <f t="shared" si="0"/>
      </c>
      <c r="N38" s="96">
        <f t="shared" si="1"/>
      </c>
    </row>
    <row r="39" spans="1:14" ht="28.05" customHeight="1" x14ac:dyDescent="0.3">
      <c r="A39" s="17"/>
      <c r="B39" s="75"/>
      <c r="C39" s="17"/>
      <c r="D39" s="17"/>
      <c r="E39" s="95"/>
      <c r="F39" s="95"/>
      <c r="G39" s="95"/>
      <c r="H39" s="80"/>
      <c r="I39" s="80"/>
      <c r="J39" s="82">
        <f>IF(OR(H39="",Setup!$B$16=""),"",MAX(0,H39-Setup!$B$16))</f>
      </c>
      <c r="K39" s="83">
        <f>IF(OR(I39="",H39="",Setup!$B$16=""),"",IF(I39=0,"",I39-(H39-Setup!$B$16)))</f>
      </c>
      <c r="L39" s="75"/>
      <c r="M39" s="77">
        <f t="shared" si="0"/>
      </c>
      <c r="N39" s="96">
        <f t="shared" si="1"/>
      </c>
    </row>
    <row r="40" spans="1:14" ht="28.05" customHeight="1" x14ac:dyDescent="0.3">
      <c r="A40" s="17"/>
      <c r="B40" s="75"/>
      <c r="C40" s="17"/>
      <c r="D40" s="17"/>
      <c r="E40" s="95"/>
      <c r="F40" s="95"/>
      <c r="G40" s="95"/>
      <c r="H40" s="80"/>
      <c r="I40" s="80"/>
      <c r="J40" s="82">
        <f>IF(OR(H40="",Setup!$B$16=""),"",MAX(0,H40-Setup!$B$16))</f>
      </c>
      <c r="K40" s="83">
        <f>IF(OR(I40="",H40="",Setup!$B$16=""),"",IF(I40=0,"",I40-(H40-Setup!$B$16)))</f>
      </c>
      <c r="L40" s="75"/>
      <c r="M40" s="77">
        <f t="shared" si="0"/>
      </c>
      <c r="N40" s="96">
        <f t="shared" si="1"/>
      </c>
    </row>
    <row r="41" spans="1:14" ht="28.05" customHeight="1" x14ac:dyDescent="0.3">
      <c r="A41" s="17"/>
      <c r="B41" s="75"/>
      <c r="C41" s="17"/>
      <c r="D41" s="17"/>
      <c r="E41" s="95"/>
      <c r="F41" s="95"/>
      <c r="G41" s="95"/>
      <c r="H41" s="80"/>
      <c r="I41" s="80"/>
      <c r="J41" s="82">
        <f>IF(OR(H41="",Setup!$B$16=""),"",MAX(0,H41-Setup!$B$16))</f>
      </c>
      <c r="K41" s="83">
        <f>IF(OR(I41="",H41="",Setup!$B$16=""),"",IF(I41=0,"",I41-(H41-Setup!$B$16)))</f>
      </c>
      <c r="L41" s="75"/>
      <c r="M41" s="77">
        <f t="shared" si="0"/>
      </c>
      <c r="N41" s="96">
        <f t="shared" si="1"/>
      </c>
    </row>
    <row r="42" spans="1:14" ht="28.05" customHeight="1" x14ac:dyDescent="0.3">
      <c r="A42" s="17"/>
      <c r="B42" s="75"/>
      <c r="C42" s="17"/>
      <c r="D42" s="17"/>
      <c r="E42" s="95"/>
      <c r="F42" s="95"/>
      <c r="G42" s="95"/>
      <c r="H42" s="80"/>
      <c r="I42" s="80"/>
      <c r="J42" s="82">
        <f>IF(OR(H42="",Setup!$B$16=""),"",MAX(0,H42-Setup!$B$16))</f>
      </c>
      <c r="K42" s="83">
        <f>IF(OR(I42="",H42="",Setup!$B$16=""),"",IF(I42=0,"",I42-(H42-Setup!$B$16)))</f>
      </c>
      <c r="L42" s="75"/>
      <c r="M42" s="77">
        <f t="shared" si="0"/>
      </c>
      <c r="N42" s="96">
        <f t="shared" si="1"/>
      </c>
    </row>
    <row r="43" spans="1:14" ht="28.05" customHeight="1" x14ac:dyDescent="0.3">
      <c r="A43" s="17"/>
      <c r="B43" s="75"/>
      <c r="C43" s="17"/>
      <c r="D43" s="17"/>
      <c r="E43" s="95"/>
      <c r="F43" s="95"/>
      <c r="G43" s="95"/>
      <c r="H43" s="80"/>
      <c r="I43" s="80"/>
      <c r="J43" s="82">
        <f>IF(OR(H43="",Setup!$B$16=""),"",MAX(0,H43-Setup!$B$16))</f>
      </c>
      <c r="K43" s="83">
        <f>IF(OR(I43="",H43="",Setup!$B$16=""),"",IF(I43=0,"",I43-(H43-Setup!$B$16)))</f>
      </c>
      <c r="L43" s="75"/>
      <c r="M43" s="77">
        <f t="shared" si="0"/>
      </c>
      <c r="N43" s="96">
        <f t="shared" si="1"/>
      </c>
    </row>
    <row r="44" spans="1:14" ht="28.05" customHeight="1" x14ac:dyDescent="0.3">
      <c r="A44" s="17"/>
      <c r="B44" s="75"/>
      <c r="C44" s="17"/>
      <c r="D44" s="17"/>
      <c r="E44" s="95"/>
      <c r="F44" s="95"/>
      <c r="G44" s="95"/>
      <c r="H44" s="80"/>
      <c r="I44" s="80"/>
      <c r="J44" s="82">
        <f>IF(OR(H44="",Setup!$B$16=""),"",MAX(0,H44-Setup!$B$16))</f>
      </c>
      <c r="K44" s="83">
        <f>IF(OR(I44="",H44="",Setup!$B$16=""),"",IF(I44=0,"",I44-(H44-Setup!$B$16)))</f>
      </c>
      <c r="L44" s="75"/>
      <c r="M44" s="77">
        <f t="shared" si="0"/>
      </c>
      <c r="N44" s="96">
        <f t="shared" si="1"/>
      </c>
    </row>
    <row r="45" spans="1:14" ht="28.05" customHeight="1" x14ac:dyDescent="0.3">
      <c r="A45" s="17"/>
      <c r="B45" s="75"/>
      <c r="C45" s="17"/>
      <c r="D45" s="17"/>
      <c r="E45" s="95"/>
      <c r="F45" s="95"/>
      <c r="G45" s="95"/>
      <c r="H45" s="80"/>
      <c r="I45" s="80"/>
      <c r="J45" s="82">
        <f>IF(OR(H45="",Setup!$B$16=""),"",MAX(0,H45-Setup!$B$16))</f>
      </c>
      <c r="K45" s="83">
        <f>IF(OR(I45="",H45="",Setup!$B$16=""),"",IF(I45=0,"",I45-(H45-Setup!$B$16)))</f>
      </c>
      <c r="L45" s="75"/>
      <c r="M45" s="77">
        <f t="shared" si="0"/>
      </c>
      <c r="N45" s="96">
        <f t="shared" si="1"/>
      </c>
    </row>
    <row r="46" spans="1:14" ht="28.05" customHeight="1" x14ac:dyDescent="0.3">
      <c r="A46" s="17"/>
      <c r="B46" s="75"/>
      <c r="C46" s="17"/>
      <c r="D46" s="17"/>
      <c r="E46" s="95"/>
      <c r="F46" s="95"/>
      <c r="G46" s="95"/>
      <c r="H46" s="80"/>
      <c r="I46" s="80"/>
      <c r="J46" s="82">
        <f>IF(OR(H46="",Setup!$B$16=""),"",MAX(0,H46-Setup!$B$16))</f>
      </c>
      <c r="K46" s="83">
        <f>IF(OR(I46="",H46="",Setup!$B$16=""),"",IF(I46=0,"",I46-(H46-Setup!$B$16)))</f>
      </c>
      <c r="L46" s="75"/>
      <c r="M46" s="77">
        <f t="shared" si="0"/>
      </c>
      <c r="N46" s="96">
        <f t="shared" si="1"/>
      </c>
    </row>
    <row r="48" spans="1:14" x14ac:dyDescent="0.3">
      <c r="A48" s="53" t="s">
        <v>337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D7:D46">
    <cfRule type="expression" dxfId="11" priority="2">
      <formula>OR(D7="Phone call",D7="Memory")</formula>
    </cfRule>
  </conditionalFormatting>
  <conditionalFormatting sqref="K7:K46">
    <cfRule type="cellIs" dxfId="10" priority="3" operator="greaterThan">
      <formula>0</formula>
    </cfRule>
  </conditionalFormatting>
  <conditionalFormatting sqref="M7:M46">
    <cfRule type="expression" dxfId="9" priority="1">
      <formula>M7&lt;&gt;""</formula>
    </cfRule>
  </conditionalFormatting>
  <conditionalFormatting sqref="N7:N46">
    <cfRule type="cellIs" dxfId="8" priority="4" operator="equal">
      <formula>"✔"</formula>
    </cfRule>
  </conditionalFormatting>
  <printOptions horizontalCentered="1"/>
  <pageMargins left="0.4" right="0.4" top="0.5" bottom="0.5" header="0.5" footer="0.5"/>
  <pageSetup paperSize="9" scale="6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Setup!$F$20:$F$39</xm:f>
          </x14:formula1>
          <xm:sqref>D7:D46</xm:sqref>
        </x14:dataValidation>
        <x14:dataValidation type="list" allowBlank="1" xr:uid="{00000000-0002-0000-0500-000001000000}">
          <x14:formula1>
            <xm:f>Setup!$G$20:$G$39</xm:f>
          </x14:formula1>
          <xm:sqref>C7:C46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B8A6"/>
    <pageSetUpPr fitToPage="1"/>
  </sheetPr>
  <dimension ref="A1:I38"/>
  <sheetViews>
    <sheetView showGridLines="0" view="pageBreakPreview" zoomScale="60"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style="2" customWidth="1"/>
    <col min="2" max="2" width="22" style="2" customWidth="1"/>
    <col min="3" max="3" width="46" style="2" customWidth="1"/>
    <col min="4" max="4" width="16" style="2" customWidth="1"/>
    <col min="5" max="5" width="12" style="2" customWidth="1"/>
    <col min="6" max="6" width="10" style="2" customWidth="1"/>
    <col min="7" max="7" width="12" style="2" customWidth="1"/>
    <col min="8" max="8" width="10" style="2" customWidth="1"/>
    <col min="9" max="9" width="34" style="2" customWidth="1"/>
    <col min="10" max="16384" width="8.88671875" style="2"/>
  </cols>
  <sheetData>
    <row r="1" spans="1:9" ht="28.05" customHeight="1" x14ac:dyDescent="0.4">
      <c r="A1" s="58" t="s">
        <v>50</v>
      </c>
      <c r="I1" s="78" t="s">
        <v>62</v>
      </c>
    </row>
    <row r="2" spans="1:9" x14ac:dyDescent="0.3">
      <c r="A2" s="59" t="s">
        <v>338</v>
      </c>
    </row>
    <row r="3" spans="1:9" x14ac:dyDescent="0.3">
      <c r="A3" s="60" t="s">
        <v>339</v>
      </c>
    </row>
    <row r="4" spans="1:9" x14ac:dyDescent="0.3">
      <c r="A4" s="61"/>
      <c r="B4" s="61"/>
      <c r="C4" s="61"/>
      <c r="D4" s="61"/>
      <c r="E4" s="61"/>
      <c r="F4" s="61"/>
      <c r="G4" s="61"/>
      <c r="H4" s="61"/>
      <c r="I4" s="61"/>
    </row>
    <row r="6" spans="1:9" ht="31.95" customHeight="1" x14ac:dyDescent="0.3">
      <c r="A6" s="65" t="s">
        <v>340</v>
      </c>
      <c r="B6" s="64" t="s">
        <v>341</v>
      </c>
      <c r="C6" s="64" t="s">
        <v>342</v>
      </c>
      <c r="D6" s="64" t="s">
        <v>75</v>
      </c>
      <c r="E6" s="64" t="s">
        <v>343</v>
      </c>
      <c r="F6" s="64" t="s">
        <v>74</v>
      </c>
      <c r="G6" s="64" t="s">
        <v>344</v>
      </c>
      <c r="H6" s="65" t="s">
        <v>345</v>
      </c>
      <c r="I6" s="64" t="s">
        <v>304</v>
      </c>
    </row>
    <row r="7" spans="1:9" ht="30" customHeight="1" x14ac:dyDescent="0.3">
      <c r="A7" s="75"/>
      <c r="B7" s="75"/>
      <c r="C7" s="75"/>
      <c r="D7" s="17"/>
      <c r="E7" s="97"/>
      <c r="F7" s="17"/>
      <c r="G7" s="97"/>
      <c r="H7" s="89">
        <f>IF(OR(E7="",F7="Done",Setup!$B$8=""),"",E7-Setup!$B$8)</f>
      </c>
      <c r="I7" s="96">
        <f t="shared" ref="I7:I36" si="0">IF(A7="","",IF(F7="Done","✔ done",IF(D7="","No owner: nobody will do it",IF(E7="","No date: it will not happen",IF(AND(ISNUMBER(H7),H7&lt;0),"Overdue by "&amp;-H7&amp;" days","Open, on time")))))</f>
      </c>
    </row>
    <row r="8" spans="1:9" ht="30" customHeight="1" x14ac:dyDescent="0.3">
      <c r="A8" s="75"/>
      <c r="B8" s="75"/>
      <c r="C8" s="75"/>
      <c r="D8" s="17"/>
      <c r="E8" s="97"/>
      <c r="F8" s="17"/>
      <c r="G8" s="97"/>
      <c r="H8" s="89">
        <f>IF(OR(E8="",F8="Done",Setup!$B$8=""),"",E8-Setup!$B$8)</f>
      </c>
      <c r="I8" s="96">
        <f t="shared" si="0"/>
      </c>
    </row>
    <row r="9" spans="1:9" ht="30" customHeight="1" x14ac:dyDescent="0.3">
      <c r="A9" s="75"/>
      <c r="B9" s="75"/>
      <c r="C9" s="75"/>
      <c r="D9" s="17"/>
      <c r="E9" s="97"/>
      <c r="F9" s="17"/>
      <c r="G9" s="97"/>
      <c r="H9" s="89">
        <f>IF(OR(E9="",F9="Done",Setup!$B$8=""),"",E9-Setup!$B$8)</f>
      </c>
      <c r="I9" s="96">
        <f t="shared" si="0"/>
      </c>
    </row>
    <row r="10" spans="1:9" ht="30" customHeight="1" x14ac:dyDescent="0.3">
      <c r="A10" s="75"/>
      <c r="B10" s="75"/>
      <c r="C10" s="75"/>
      <c r="D10" s="17"/>
      <c r="E10" s="97"/>
      <c r="F10" s="17"/>
      <c r="G10" s="97"/>
      <c r="H10" s="89">
        <f>IF(OR(E10="",F10="Done",Setup!$B$8=""),"",E10-Setup!$B$8)</f>
      </c>
      <c r="I10" s="96">
        <f t="shared" si="0"/>
      </c>
    </row>
    <row r="11" spans="1:9" ht="30" customHeight="1" x14ac:dyDescent="0.3">
      <c r="A11" s="75"/>
      <c r="B11" s="75"/>
      <c r="C11" s="75"/>
      <c r="D11" s="17"/>
      <c r="E11" s="97"/>
      <c r="F11" s="17"/>
      <c r="G11" s="97"/>
      <c r="H11" s="89">
        <f>IF(OR(E11="",F11="Done",Setup!$B$8=""),"",E11-Setup!$B$8)</f>
      </c>
      <c r="I11" s="96">
        <f t="shared" si="0"/>
      </c>
    </row>
    <row r="12" spans="1:9" ht="30" customHeight="1" x14ac:dyDescent="0.3">
      <c r="A12" s="75"/>
      <c r="B12" s="75"/>
      <c r="C12" s="75"/>
      <c r="D12" s="17"/>
      <c r="E12" s="97"/>
      <c r="F12" s="17"/>
      <c r="G12" s="97"/>
      <c r="H12" s="89">
        <f>IF(OR(E12="",F12="Done",Setup!$B$8=""),"",E12-Setup!$B$8)</f>
      </c>
      <c r="I12" s="96">
        <f t="shared" si="0"/>
      </c>
    </row>
    <row r="13" spans="1:9" ht="30" customHeight="1" x14ac:dyDescent="0.3">
      <c r="A13" s="75"/>
      <c r="B13" s="75"/>
      <c r="C13" s="75"/>
      <c r="D13" s="17"/>
      <c r="E13" s="97"/>
      <c r="F13" s="17"/>
      <c r="G13" s="97"/>
      <c r="H13" s="89">
        <f>IF(OR(E13="",F13="Done",Setup!$B$8=""),"",E13-Setup!$B$8)</f>
      </c>
      <c r="I13" s="96">
        <f t="shared" si="0"/>
      </c>
    </row>
    <row r="14" spans="1:9" ht="30" customHeight="1" x14ac:dyDescent="0.3">
      <c r="A14" s="75"/>
      <c r="B14" s="75"/>
      <c r="C14" s="75"/>
      <c r="D14" s="17"/>
      <c r="E14" s="97"/>
      <c r="F14" s="17"/>
      <c r="G14" s="97"/>
      <c r="H14" s="89">
        <f>IF(OR(E14="",F14="Done",Setup!$B$8=""),"",E14-Setup!$B$8)</f>
      </c>
      <c r="I14" s="96">
        <f t="shared" si="0"/>
      </c>
    </row>
    <row r="15" spans="1:9" ht="30" customHeight="1" x14ac:dyDescent="0.3">
      <c r="A15" s="75"/>
      <c r="B15" s="75"/>
      <c r="C15" s="75"/>
      <c r="D15" s="17"/>
      <c r="E15" s="97"/>
      <c r="F15" s="17"/>
      <c r="G15" s="97"/>
      <c r="H15" s="89">
        <f>IF(OR(E15="",F15="Done",Setup!$B$8=""),"",E15-Setup!$B$8)</f>
      </c>
      <c r="I15" s="96">
        <f t="shared" si="0"/>
      </c>
    </row>
    <row r="16" spans="1:9" ht="30" customHeight="1" x14ac:dyDescent="0.3">
      <c r="A16" s="75"/>
      <c r="B16" s="75"/>
      <c r="C16" s="75"/>
      <c r="D16" s="17"/>
      <c r="E16" s="97"/>
      <c r="F16" s="17"/>
      <c r="G16" s="97"/>
      <c r="H16" s="89">
        <f>IF(OR(E16="",F16="Done",Setup!$B$8=""),"",E16-Setup!$B$8)</f>
      </c>
      <c r="I16" s="96">
        <f t="shared" si="0"/>
      </c>
    </row>
    <row r="17" spans="1:9" ht="30" customHeight="1" x14ac:dyDescent="0.3">
      <c r="A17" s="75"/>
      <c r="B17" s="75"/>
      <c r="C17" s="75"/>
      <c r="D17" s="17"/>
      <c r="E17" s="97"/>
      <c r="F17" s="17"/>
      <c r="G17" s="97"/>
      <c r="H17" s="89">
        <f>IF(OR(E17="",F17="Done",Setup!$B$8=""),"",E17-Setup!$B$8)</f>
      </c>
      <c r="I17" s="96">
        <f t="shared" si="0"/>
      </c>
    </row>
    <row r="18" spans="1:9" ht="30" customHeight="1" x14ac:dyDescent="0.3">
      <c r="A18" s="75"/>
      <c r="B18" s="75"/>
      <c r="C18" s="75"/>
      <c r="D18" s="17"/>
      <c r="E18" s="97"/>
      <c r="F18" s="17"/>
      <c r="G18" s="97"/>
      <c r="H18" s="89">
        <f>IF(OR(E18="",F18="Done",Setup!$B$8=""),"",E18-Setup!$B$8)</f>
      </c>
      <c r="I18" s="96">
        <f t="shared" si="0"/>
      </c>
    </row>
    <row r="19" spans="1:9" ht="30" customHeight="1" x14ac:dyDescent="0.3">
      <c r="A19" s="75"/>
      <c r="B19" s="75"/>
      <c r="C19" s="75"/>
      <c r="D19" s="17"/>
      <c r="E19" s="97"/>
      <c r="F19" s="17"/>
      <c r="G19" s="97"/>
      <c r="H19" s="89">
        <f>IF(OR(E19="",F19="Done",Setup!$B$8=""),"",E19-Setup!$B$8)</f>
      </c>
      <c r="I19" s="96">
        <f t="shared" si="0"/>
      </c>
    </row>
    <row r="20" spans="1:9" ht="30" customHeight="1" x14ac:dyDescent="0.3">
      <c r="A20" s="75"/>
      <c r="B20" s="75"/>
      <c r="C20" s="75"/>
      <c r="D20" s="17"/>
      <c r="E20" s="97"/>
      <c r="F20" s="17"/>
      <c r="G20" s="97"/>
      <c r="H20" s="89">
        <f>IF(OR(E20="",F20="Done",Setup!$B$8=""),"",E20-Setup!$B$8)</f>
      </c>
      <c r="I20" s="96">
        <f t="shared" si="0"/>
      </c>
    </row>
    <row r="21" spans="1:9" ht="30" customHeight="1" x14ac:dyDescent="0.3">
      <c r="A21" s="75"/>
      <c r="B21" s="75"/>
      <c r="C21" s="75"/>
      <c r="D21" s="17"/>
      <c r="E21" s="97"/>
      <c r="F21" s="17"/>
      <c r="G21" s="97"/>
      <c r="H21" s="89">
        <f>IF(OR(E21="",F21="Done",Setup!$B$8=""),"",E21-Setup!$B$8)</f>
      </c>
      <c r="I21" s="96">
        <f t="shared" si="0"/>
      </c>
    </row>
    <row r="22" spans="1:9" ht="30" customHeight="1" x14ac:dyDescent="0.3">
      <c r="A22" s="75"/>
      <c r="B22" s="75"/>
      <c r="C22" s="75"/>
      <c r="D22" s="17"/>
      <c r="E22" s="97"/>
      <c r="F22" s="17"/>
      <c r="G22" s="97"/>
      <c r="H22" s="89">
        <f>IF(OR(E22="",F22="Done",Setup!$B$8=""),"",E22-Setup!$B$8)</f>
      </c>
      <c r="I22" s="96">
        <f t="shared" si="0"/>
      </c>
    </row>
    <row r="23" spans="1:9" ht="30" customHeight="1" x14ac:dyDescent="0.3">
      <c r="A23" s="75"/>
      <c r="B23" s="75"/>
      <c r="C23" s="75"/>
      <c r="D23" s="17"/>
      <c r="E23" s="97"/>
      <c r="F23" s="17"/>
      <c r="G23" s="97"/>
      <c r="H23" s="89">
        <f>IF(OR(E23="",F23="Done",Setup!$B$8=""),"",E23-Setup!$B$8)</f>
      </c>
      <c r="I23" s="96">
        <f t="shared" si="0"/>
      </c>
    </row>
    <row r="24" spans="1:9" ht="30" customHeight="1" x14ac:dyDescent="0.3">
      <c r="A24" s="75"/>
      <c r="B24" s="75"/>
      <c r="C24" s="75"/>
      <c r="D24" s="17"/>
      <c r="E24" s="97"/>
      <c r="F24" s="17"/>
      <c r="G24" s="97"/>
      <c r="H24" s="89">
        <f>IF(OR(E24="",F24="Done",Setup!$B$8=""),"",E24-Setup!$B$8)</f>
      </c>
      <c r="I24" s="96">
        <f t="shared" si="0"/>
      </c>
    </row>
    <row r="25" spans="1:9" ht="30" customHeight="1" x14ac:dyDescent="0.3">
      <c r="A25" s="75"/>
      <c r="B25" s="75"/>
      <c r="C25" s="75"/>
      <c r="D25" s="17"/>
      <c r="E25" s="97"/>
      <c r="F25" s="17"/>
      <c r="G25" s="97"/>
      <c r="H25" s="89">
        <f>IF(OR(E25="",F25="Done",Setup!$B$8=""),"",E25-Setup!$B$8)</f>
      </c>
      <c r="I25" s="96">
        <f t="shared" si="0"/>
      </c>
    </row>
    <row r="26" spans="1:9" ht="30" customHeight="1" x14ac:dyDescent="0.3">
      <c r="A26" s="75"/>
      <c r="B26" s="75"/>
      <c r="C26" s="75"/>
      <c r="D26" s="17"/>
      <c r="E26" s="97"/>
      <c r="F26" s="17"/>
      <c r="G26" s="97"/>
      <c r="H26" s="89">
        <f>IF(OR(E26="",F26="Done",Setup!$B$8=""),"",E26-Setup!$B$8)</f>
      </c>
      <c r="I26" s="96">
        <f t="shared" si="0"/>
      </c>
    </row>
    <row r="27" spans="1:9" ht="30" customHeight="1" x14ac:dyDescent="0.3">
      <c r="A27" s="75"/>
      <c r="B27" s="75"/>
      <c r="C27" s="75"/>
      <c r="D27" s="17"/>
      <c r="E27" s="97"/>
      <c r="F27" s="17"/>
      <c r="G27" s="97"/>
      <c r="H27" s="89">
        <f>IF(OR(E27="",F27="Done",Setup!$B$8=""),"",E27-Setup!$B$8)</f>
      </c>
      <c r="I27" s="96">
        <f t="shared" si="0"/>
      </c>
    </row>
    <row r="28" spans="1:9" ht="30" customHeight="1" x14ac:dyDescent="0.3">
      <c r="A28" s="75"/>
      <c r="B28" s="75"/>
      <c r="C28" s="75"/>
      <c r="D28" s="17"/>
      <c r="E28" s="97"/>
      <c r="F28" s="17"/>
      <c r="G28" s="97"/>
      <c r="H28" s="89">
        <f>IF(OR(E28="",F28="Done",Setup!$B$8=""),"",E28-Setup!$B$8)</f>
      </c>
      <c r="I28" s="96">
        <f t="shared" si="0"/>
      </c>
    </row>
    <row r="29" spans="1:9" ht="30" customHeight="1" x14ac:dyDescent="0.3">
      <c r="A29" s="75"/>
      <c r="B29" s="75"/>
      <c r="C29" s="75"/>
      <c r="D29" s="17"/>
      <c r="E29" s="97"/>
      <c r="F29" s="17"/>
      <c r="G29" s="97"/>
      <c r="H29" s="89">
        <f>IF(OR(E29="",F29="Done",Setup!$B$8=""),"",E29-Setup!$B$8)</f>
      </c>
      <c r="I29" s="96">
        <f t="shared" si="0"/>
      </c>
    </row>
    <row r="30" spans="1:9" ht="30" customHeight="1" x14ac:dyDescent="0.3">
      <c r="A30" s="75"/>
      <c r="B30" s="75"/>
      <c r="C30" s="75"/>
      <c r="D30" s="17"/>
      <c r="E30" s="97"/>
      <c r="F30" s="17"/>
      <c r="G30" s="97"/>
      <c r="H30" s="89">
        <f>IF(OR(E30="",F30="Done",Setup!$B$8=""),"",E30-Setup!$B$8)</f>
      </c>
      <c r="I30" s="96">
        <f t="shared" si="0"/>
      </c>
    </row>
    <row r="31" spans="1:9" ht="30" customHeight="1" x14ac:dyDescent="0.3">
      <c r="A31" s="75"/>
      <c r="B31" s="75"/>
      <c r="C31" s="75"/>
      <c r="D31" s="17"/>
      <c r="E31" s="97"/>
      <c r="F31" s="17"/>
      <c r="G31" s="97"/>
      <c r="H31" s="89">
        <f>IF(OR(E31="",F31="Done",Setup!$B$8=""),"",E31-Setup!$B$8)</f>
      </c>
      <c r="I31" s="96">
        <f t="shared" si="0"/>
      </c>
    </row>
    <row r="32" spans="1:9" ht="30" customHeight="1" x14ac:dyDescent="0.3">
      <c r="A32" s="75"/>
      <c r="B32" s="75"/>
      <c r="C32" s="75"/>
      <c r="D32" s="17"/>
      <c r="E32" s="97"/>
      <c r="F32" s="17"/>
      <c r="G32" s="97"/>
      <c r="H32" s="89">
        <f>IF(OR(E32="",F32="Done",Setup!$B$8=""),"",E32-Setup!$B$8)</f>
      </c>
      <c r="I32" s="96">
        <f t="shared" si="0"/>
      </c>
    </row>
    <row r="33" spans="1:9" ht="30" customHeight="1" x14ac:dyDescent="0.3">
      <c r="A33" s="75"/>
      <c r="B33" s="75"/>
      <c r="C33" s="75"/>
      <c r="D33" s="17"/>
      <c r="E33" s="97"/>
      <c r="F33" s="17"/>
      <c r="G33" s="97"/>
      <c r="H33" s="89">
        <f>IF(OR(E33="",F33="Done",Setup!$B$8=""),"",E33-Setup!$B$8)</f>
      </c>
      <c r="I33" s="96">
        <f t="shared" si="0"/>
      </c>
    </row>
    <row r="34" spans="1:9" ht="30" customHeight="1" x14ac:dyDescent="0.3">
      <c r="A34" s="75"/>
      <c r="B34" s="75"/>
      <c r="C34" s="75"/>
      <c r="D34" s="17"/>
      <c r="E34" s="97"/>
      <c r="F34" s="17"/>
      <c r="G34" s="97"/>
      <c r="H34" s="89">
        <f>IF(OR(E34="",F34="Done",Setup!$B$8=""),"",E34-Setup!$B$8)</f>
      </c>
      <c r="I34" s="96">
        <f t="shared" si="0"/>
      </c>
    </row>
    <row r="35" spans="1:9" ht="30" customHeight="1" x14ac:dyDescent="0.3">
      <c r="A35" s="75"/>
      <c r="B35" s="75"/>
      <c r="C35" s="75"/>
      <c r="D35" s="17"/>
      <c r="E35" s="97"/>
      <c r="F35" s="17"/>
      <c r="G35" s="97"/>
      <c r="H35" s="89">
        <f>IF(OR(E35="",F35="Done",Setup!$B$8=""),"",E35-Setup!$B$8)</f>
      </c>
      <c r="I35" s="96">
        <f t="shared" si="0"/>
      </c>
    </row>
    <row r="36" spans="1:9" ht="30" customHeight="1" x14ac:dyDescent="0.3">
      <c r="A36" s="75"/>
      <c r="B36" s="75"/>
      <c r="C36" s="75"/>
      <c r="D36" s="17"/>
      <c r="E36" s="97"/>
      <c r="F36" s="17"/>
      <c r="G36" s="97"/>
      <c r="H36" s="89">
        <f>IF(OR(E36="",F36="Done",Setup!$B$8=""),"",E36-Setup!$B$8)</f>
      </c>
      <c r="I36" s="96">
        <f t="shared" si="0"/>
      </c>
    </row>
    <row r="38" spans="1:9" x14ac:dyDescent="0.3">
      <c r="A38" s="53" t="s">
        <v>360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D7:D36">
    <cfRule type="expression" dxfId="7" priority="3">
      <formula>AND(A7&lt;&gt;"",D7="")</formula>
    </cfRule>
  </conditionalFormatting>
  <conditionalFormatting sqref="I7:I36">
    <cfRule type="expression" dxfId="6" priority="1">
      <formula>OR(LEFT(I7,2)="No",LEFT(I7,7)="Overdue")</formula>
    </cfRule>
    <cfRule type="expression" dxfId="5" priority="2">
      <formula>LEFT(I7,1)="✔"</formula>
    </cfRule>
  </conditionalFormatting>
  <dataValidations count="1">
    <dataValidation type="list" allowBlank="1" sqref="F7:F36" xr:uid="{00000000-0002-0000-0600-000001000000}">
      <formula1>"Open,Done"</formula1>
    </dataValidation>
  </dataValidations>
  <printOptions horizontalCentered="1"/>
  <pageMargins left="0.4" right="0.4" top="0.5" bottom="0.5" header="0.5" footer="0.5"/>
  <pageSetup paperSize="9" scale="7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Setup!$G$20:$G$39</xm:f>
          </x14:formula1>
          <xm:sqref>D7:D36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4B8A6"/>
    <pageSetUpPr fitToPage="1"/>
  </sheetPr>
  <dimension ref="A1:L20"/>
  <sheetViews>
    <sheetView showGridLines="0" view="pageBreakPreview" zoomScale="60" zoomScaleNormal="100" workbookViewId="0">
      <pane xSplit="2" ySplit="6" topLeftCell="C7" activePane="bottomRight" state="frozen"/>
      <selection pane="topRight"/>
      <selection pane="bottomLeft"/>
      <selection pane="bottomRight" activeCell="D10" sqref="D10"/>
    </sheetView>
  </sheetViews>
  <sheetFormatPr defaultRowHeight="14.4" x14ac:dyDescent="0.3"/>
  <cols>
    <col min="1" max="1" width="8" style="2" customWidth="1"/>
    <col min="2" max="2" width="13" style="2" customWidth="1"/>
    <col min="3" max="3" width="10" style="2" customWidth="1"/>
    <col min="4" max="4" width="18" style="2" customWidth="1"/>
    <col min="5" max="5" width="13" style="2" customWidth="1"/>
    <col min="6" max="6" width="11" style="2" customWidth="1"/>
    <col min="7" max="7" width="12" style="2" customWidth="1"/>
    <col min="8" max="8" width="10" style="2" customWidth="1"/>
    <col min="9" max="9" width="11" style="2" customWidth="1"/>
    <col min="10" max="10" width="13" style="2" customWidth="1"/>
    <col min="11" max="11" width="10" style="2" customWidth="1"/>
    <col min="12" max="12" width="60" style="2" customWidth="1"/>
    <col min="13" max="16384" width="8.88671875" style="2"/>
  </cols>
  <sheetData>
    <row r="1" spans="1:12" ht="28.05" customHeight="1" x14ac:dyDescent="0.4">
      <c r="A1" s="58" t="s">
        <v>52</v>
      </c>
      <c r="L1" s="78" t="s">
        <v>62</v>
      </c>
    </row>
    <row r="2" spans="1:12" x14ac:dyDescent="0.3">
      <c r="A2" s="59" t="s">
        <v>361</v>
      </c>
    </row>
    <row r="3" spans="1:12" x14ac:dyDescent="0.3">
      <c r="A3" s="60" t="s">
        <v>362</v>
      </c>
    </row>
    <row r="4" spans="1:12" x14ac:dyDescent="0.3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6" spans="1:12" ht="31.95" customHeight="1" x14ac:dyDescent="0.3">
      <c r="A6" s="64" t="s">
        <v>363</v>
      </c>
      <c r="B6" s="65" t="s">
        <v>364</v>
      </c>
      <c r="C6" s="65" t="s">
        <v>365</v>
      </c>
      <c r="D6" s="65" t="s">
        <v>366</v>
      </c>
      <c r="E6" s="65" t="s">
        <v>367</v>
      </c>
      <c r="F6" s="65" t="s">
        <v>368</v>
      </c>
      <c r="G6" s="65" t="s">
        <v>369</v>
      </c>
      <c r="H6" s="65" t="s">
        <v>370</v>
      </c>
      <c r="I6" s="65" t="s">
        <v>241</v>
      </c>
      <c r="J6" s="65" t="s">
        <v>371</v>
      </c>
      <c r="K6" s="65" t="s">
        <v>372</v>
      </c>
      <c r="L6" s="65" t="s">
        <v>373</v>
      </c>
    </row>
    <row r="7" spans="1:12" ht="30" customHeight="1" x14ac:dyDescent="0.3">
      <c r="A7" s="98">
        <v>1</v>
      </c>
      <c r="B7" s="97"/>
      <c r="C7" s="74"/>
      <c r="D7" s="17"/>
      <c r="E7" s="97"/>
      <c r="F7" s="90">
        <f>IF(OR(E7="",Setup!$B$9=""),"",E7-Setup!$B$9)</f>
      </c>
      <c r="G7" s="83">
        <f>""</f>
      </c>
      <c r="H7" s="82">
        <f>IF(B7="","",SUMPRODUCT(ISNUMBER('Health check'!C$7:C$14)*('Health check'!C$7:C$14&gt;'Health check'!$R$7:$R$14)))</f>
      </c>
      <c r="I7" s="82">
        <f>IF(B7="","",COUNTIF('Float trend'!C$7:C$26,"&lt;0"))</f>
      </c>
      <c r="J7" s="97"/>
      <c r="K7" s="82">
        <f t="shared" ref="K7:K18" si="0">IF(OR(B7="",J7=""),"",NETWORKDAYS(B7,J7)-1)</f>
      </c>
      <c r="L7" s="75"/>
    </row>
    <row r="8" spans="1:12" ht="30" customHeight="1" x14ac:dyDescent="0.3">
      <c r="A8" s="98">
        <v>2</v>
      </c>
      <c r="B8" s="97"/>
      <c r="C8" s="74"/>
      <c r="D8" s="17"/>
      <c r="E8" s="97"/>
      <c r="F8" s="90">
        <f>IF(OR(E8="",Setup!$B$9=""),"",E8-Setup!$B$9)</f>
      </c>
      <c r="G8" s="83">
        <f t="shared" ref="G8:G18" si="1">IF(OR(E8="",E7=""),"",E8-E7)</f>
      </c>
      <c r="H8" s="82">
        <f>IF(B8="","",SUMPRODUCT(ISNUMBER('Health check'!D$7:D$14)*('Health check'!D$7:D$14&gt;'Health check'!$R$7:$R$14)))</f>
      </c>
      <c r="I8" s="82">
        <f>IF(B8="","",COUNTIF('Float trend'!D$7:D$26,"&lt;0"))</f>
      </c>
      <c r="J8" s="97"/>
      <c r="K8" s="82">
        <f t="shared" si="0"/>
      </c>
      <c r="L8" s="75"/>
    </row>
    <row r="9" spans="1:12" ht="30" customHeight="1" x14ac:dyDescent="0.3">
      <c r="A9" s="98">
        <v>3</v>
      </c>
      <c r="B9" s="97"/>
      <c r="C9" s="74"/>
      <c r="D9" s="17"/>
      <c r="E9" s="97"/>
      <c r="F9" s="90">
        <f>IF(OR(E9="",Setup!$B$9=""),"",E9-Setup!$B$9)</f>
      </c>
      <c r="G9" s="83">
        <f t="shared" si="1"/>
      </c>
      <c r="H9" s="82">
        <f>IF(B9="","",SUMPRODUCT(ISNUMBER('Health check'!E$7:E$14)*('Health check'!E$7:E$14&gt;'Health check'!$R$7:$R$14)))</f>
      </c>
      <c r="I9" s="82">
        <f>IF(B9="","",COUNTIF('Float trend'!E$7:E$26,"&lt;0"))</f>
      </c>
      <c r="J9" s="97"/>
      <c r="K9" s="82">
        <f t="shared" si="0"/>
      </c>
      <c r="L9" s="75"/>
    </row>
    <row r="10" spans="1:12" ht="30" customHeight="1" x14ac:dyDescent="0.3">
      <c r="A10" s="98">
        <v>4</v>
      </c>
      <c r="B10" s="97"/>
      <c r="C10" s="74"/>
      <c r="D10" s="17"/>
      <c r="E10" s="97"/>
      <c r="F10" s="90">
        <f>IF(OR(E10="",Setup!$B$9=""),"",E10-Setup!$B$9)</f>
      </c>
      <c r="G10" s="83">
        <f t="shared" si="1"/>
      </c>
      <c r="H10" s="82">
        <f>IF(B10="","",SUMPRODUCT(ISNUMBER('Health check'!F$7:F$14)*('Health check'!F$7:F$14&gt;'Health check'!$R$7:$R$14)))</f>
      </c>
      <c r="I10" s="82">
        <f>IF(B10="","",COUNTIF('Float trend'!F$7:F$26,"&lt;0"))</f>
      </c>
      <c r="J10" s="97"/>
      <c r="K10" s="82">
        <f t="shared" si="0"/>
      </c>
      <c r="L10" s="75"/>
    </row>
    <row r="11" spans="1:12" ht="30" customHeight="1" x14ac:dyDescent="0.3">
      <c r="A11" s="98">
        <v>5</v>
      </c>
      <c r="B11" s="97"/>
      <c r="C11" s="74"/>
      <c r="D11" s="17"/>
      <c r="E11" s="97"/>
      <c r="F11" s="90">
        <f>IF(OR(E11="",Setup!$B$9=""),"",E11-Setup!$B$9)</f>
      </c>
      <c r="G11" s="83">
        <f t="shared" si="1"/>
      </c>
      <c r="H11" s="82">
        <f>IF(B11="","",SUMPRODUCT(ISNUMBER('Health check'!G$7:G$14)*('Health check'!G$7:G$14&gt;'Health check'!$R$7:$R$14)))</f>
      </c>
      <c r="I11" s="82">
        <f>IF(B11="","",COUNTIF('Float trend'!G$7:G$26,"&lt;0"))</f>
      </c>
      <c r="J11" s="97"/>
      <c r="K11" s="82">
        <f t="shared" si="0"/>
      </c>
      <c r="L11" s="75"/>
    </row>
    <row r="12" spans="1:12" ht="30" customHeight="1" x14ac:dyDescent="0.3">
      <c r="A12" s="98">
        <v>6</v>
      </c>
      <c r="B12" s="97"/>
      <c r="C12" s="74"/>
      <c r="D12" s="17"/>
      <c r="E12" s="97"/>
      <c r="F12" s="90">
        <f>IF(OR(E12="",Setup!$B$9=""),"",E12-Setup!$B$9)</f>
      </c>
      <c r="G12" s="83">
        <f t="shared" si="1"/>
      </c>
      <c r="H12" s="82">
        <f>IF(B12="","",SUMPRODUCT(ISNUMBER('Health check'!H$7:H$14)*('Health check'!H$7:H$14&gt;'Health check'!$R$7:$R$14)))</f>
      </c>
      <c r="I12" s="82">
        <f>IF(B12="","",COUNTIF('Float trend'!H$7:H$26,"&lt;0"))</f>
      </c>
      <c r="J12" s="97"/>
      <c r="K12" s="82">
        <f t="shared" si="0"/>
      </c>
      <c r="L12" s="75"/>
    </row>
    <row r="13" spans="1:12" ht="30" customHeight="1" x14ac:dyDescent="0.3">
      <c r="A13" s="98">
        <v>7</v>
      </c>
      <c r="B13" s="97"/>
      <c r="C13" s="74"/>
      <c r="D13" s="17"/>
      <c r="E13" s="97"/>
      <c r="F13" s="90">
        <f>IF(OR(E13="",Setup!$B$9=""),"",E13-Setup!$B$9)</f>
      </c>
      <c r="G13" s="83">
        <f t="shared" si="1"/>
      </c>
      <c r="H13" s="82">
        <f>IF(B13="","",SUMPRODUCT(ISNUMBER('Health check'!I$7:I$14)*('Health check'!I$7:I$14&gt;'Health check'!$R$7:$R$14)))</f>
      </c>
      <c r="I13" s="82">
        <f>IF(B13="","",COUNTIF('Float trend'!I$7:I$26,"&lt;0"))</f>
      </c>
      <c r="J13" s="97"/>
      <c r="K13" s="82">
        <f t="shared" si="0"/>
      </c>
      <c r="L13" s="75"/>
    </row>
    <row r="14" spans="1:12" ht="30" customHeight="1" x14ac:dyDescent="0.3">
      <c r="A14" s="98">
        <v>8</v>
      </c>
      <c r="B14" s="97"/>
      <c r="C14" s="74"/>
      <c r="D14" s="17"/>
      <c r="E14" s="97"/>
      <c r="F14" s="90">
        <f>IF(OR(E14="",Setup!$B$9=""),"",E14-Setup!$B$9)</f>
      </c>
      <c r="G14" s="83">
        <f t="shared" si="1"/>
      </c>
      <c r="H14" s="82">
        <f>IF(B14="","",SUMPRODUCT(ISNUMBER('Health check'!J$7:J$14)*('Health check'!J$7:J$14&gt;'Health check'!$R$7:$R$14)))</f>
      </c>
      <c r="I14" s="82">
        <f>IF(B14="","",COUNTIF('Float trend'!J$7:J$26,"&lt;0"))</f>
      </c>
      <c r="J14" s="97"/>
      <c r="K14" s="82">
        <f t="shared" si="0"/>
      </c>
      <c r="L14" s="75"/>
    </row>
    <row r="15" spans="1:12" ht="30" customHeight="1" x14ac:dyDescent="0.3">
      <c r="A15" s="98">
        <v>9</v>
      </c>
      <c r="B15" s="97"/>
      <c r="C15" s="74"/>
      <c r="D15" s="17"/>
      <c r="E15" s="97"/>
      <c r="F15" s="90">
        <f>IF(OR(E15="",Setup!$B$9=""),"",E15-Setup!$B$9)</f>
      </c>
      <c r="G15" s="83">
        <f t="shared" si="1"/>
      </c>
      <c r="H15" s="82">
        <f>IF(B15="","",SUMPRODUCT(ISNUMBER('Health check'!K$7:K$14)*('Health check'!K$7:K$14&gt;'Health check'!$R$7:$R$14)))</f>
      </c>
      <c r="I15" s="82">
        <f>IF(B15="","",COUNTIF('Float trend'!K$7:K$26,"&lt;0"))</f>
      </c>
      <c r="J15" s="97"/>
      <c r="K15" s="82">
        <f t="shared" si="0"/>
      </c>
      <c r="L15" s="75"/>
    </row>
    <row r="16" spans="1:12" ht="30" customHeight="1" x14ac:dyDescent="0.3">
      <c r="A16" s="98">
        <v>10</v>
      </c>
      <c r="B16" s="97"/>
      <c r="C16" s="74"/>
      <c r="D16" s="17"/>
      <c r="E16" s="97"/>
      <c r="F16" s="90">
        <f>IF(OR(E16="",Setup!$B$9=""),"",E16-Setup!$B$9)</f>
      </c>
      <c r="G16" s="83">
        <f t="shared" si="1"/>
      </c>
      <c r="H16" s="82">
        <f>IF(B16="","",SUMPRODUCT(ISNUMBER('Health check'!L$7:L$14)*('Health check'!L$7:L$14&gt;'Health check'!$R$7:$R$14)))</f>
      </c>
      <c r="I16" s="82">
        <f>IF(B16="","",COUNTIF('Float trend'!L$7:L$26,"&lt;0"))</f>
      </c>
      <c r="J16" s="97"/>
      <c r="K16" s="82">
        <f t="shared" si="0"/>
      </c>
      <c r="L16" s="75"/>
    </row>
    <row r="17" spans="1:12" ht="30" customHeight="1" x14ac:dyDescent="0.3">
      <c r="A17" s="98">
        <v>11</v>
      </c>
      <c r="B17" s="97"/>
      <c r="C17" s="74"/>
      <c r="D17" s="17"/>
      <c r="E17" s="97"/>
      <c r="F17" s="90">
        <f>IF(OR(E17="",Setup!$B$9=""),"",E17-Setup!$B$9)</f>
      </c>
      <c r="G17" s="83">
        <f t="shared" si="1"/>
      </c>
      <c r="H17" s="82">
        <f>IF(B17="","",SUMPRODUCT(ISNUMBER('Health check'!M$7:M$14)*('Health check'!M$7:M$14&gt;'Health check'!$R$7:$R$14)))</f>
      </c>
      <c r="I17" s="82">
        <f>IF(B17="","",COUNTIF('Float trend'!M$7:M$26,"&lt;0"))</f>
      </c>
      <c r="J17" s="97"/>
      <c r="K17" s="82">
        <f t="shared" si="0"/>
      </c>
      <c r="L17" s="75"/>
    </row>
    <row r="18" spans="1:12" ht="30" customHeight="1" x14ac:dyDescent="0.3">
      <c r="A18" s="98">
        <v>12</v>
      </c>
      <c r="B18" s="97"/>
      <c r="C18" s="74"/>
      <c r="D18" s="17"/>
      <c r="E18" s="97"/>
      <c r="F18" s="90">
        <f>IF(OR(E18="",Setup!$B$9=""),"",E18-Setup!$B$9)</f>
      </c>
      <c r="G18" s="83">
        <f t="shared" si="1"/>
      </c>
      <c r="H18" s="82">
        <f>IF(B18="","",SUMPRODUCT(ISNUMBER('Health check'!N$7:N$14)*('Health check'!N$7:N$14&gt;'Health check'!$R$7:$R$14)))</f>
      </c>
      <c r="I18" s="82">
        <f>IF(B18="","",COUNTIF('Float trend'!N$7:N$26,"&lt;0"))</f>
      </c>
      <c r="J18" s="97"/>
      <c r="K18" s="82">
        <f t="shared" si="0"/>
      </c>
      <c r="L18" s="75"/>
    </row>
    <row r="20" spans="1:12" x14ac:dyDescent="0.3">
      <c r="A20" s="53" t="s">
        <v>383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C7:C18">
    <cfRule type="cellIs" dxfId="3" priority="2" operator="equal">
      <formula>"N"</formula>
    </cfRule>
  </conditionalFormatting>
  <conditionalFormatting sqref="D7:D18">
    <cfRule type="cellIs" dxfId="2" priority="3" operator="equal">
      <formula>"Progress override"</formula>
    </cfRule>
  </conditionalFormatting>
  <dataValidations count="1">
    <dataValidation type="list" allowBlank="1" sqref="C7:C18" xr:uid="{00000000-0002-0000-0700-000000000000}">
      <formula1>"Y,N"</formula1>
    </dataValidation>
  </dataValidations>
  <printOptions horizontalCentered="1"/>
  <pageMargins left="0.4" right="0.4" top="0.5" bottom="0.5" header="0.5" footer="0.5"/>
  <pageSetup paperSize="9" scale="7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Setup!$H$20:$H$22</xm:f>
          </x14:formula1>
          <xm:sqref>D7:D18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172A"/>
    <pageSetUpPr fitToPage="1"/>
  </sheetPr>
  <dimension ref="A1:H42"/>
  <sheetViews>
    <sheetView showGridLines="0" view="pageBreakPreview" zoomScale="60" zoomScaleNormal="100" workbookViewId="0"/>
  </sheetViews>
  <sheetFormatPr defaultRowHeight="14.4" x14ac:dyDescent="0.3"/>
  <cols>
    <col min="1" max="1" width="40" style="2" customWidth="1"/>
    <col min="2" max="2" width="22" style="2" customWidth="1"/>
    <col min="3" max="3" width="4" style="2" customWidth="1"/>
    <col min="4" max="4" width="60" style="2" customWidth="1"/>
    <col min="5" max="5" width="4" style="2" customWidth="1"/>
    <col min="6" max="8" width="20" style="2" customWidth="1"/>
    <col min="9" max="16384" width="8.88671875" style="2"/>
  </cols>
  <sheetData>
    <row r="1" spans="1:8" ht="28.05" customHeight="1" x14ac:dyDescent="0.4">
      <c r="A1" s="58" t="s">
        <v>54</v>
      </c>
      <c r="H1" s="78" t="s">
        <v>62</v>
      </c>
    </row>
    <row r="2" spans="1:8" x14ac:dyDescent="0.3">
      <c r="A2" s="59" t="s">
        <v>384</v>
      </c>
    </row>
    <row r="3" spans="1:8" x14ac:dyDescent="0.3">
      <c r="A3" s="60" t="s">
        <v>385</v>
      </c>
    </row>
    <row r="4" spans="1:8" x14ac:dyDescent="0.3">
      <c r="A4" s="99"/>
      <c r="B4" s="99"/>
      <c r="C4" s="99"/>
      <c r="D4" s="99"/>
      <c r="E4" s="99"/>
      <c r="F4" s="99"/>
      <c r="G4" s="99"/>
      <c r="H4" s="99"/>
    </row>
    <row r="6" spans="1:8" x14ac:dyDescent="0.3">
      <c r="A6" s="100" t="s">
        <v>386</v>
      </c>
      <c r="B6" s="17"/>
    </row>
    <row r="7" spans="1:8" x14ac:dyDescent="0.3">
      <c r="A7" s="100" t="s">
        <v>388</v>
      </c>
      <c r="B7" s="101">
        <v>1</v>
      </c>
      <c r="D7" s="24" t="s">
        <v>389</v>
      </c>
    </row>
    <row r="8" spans="1:8" x14ac:dyDescent="0.3">
      <c r="A8" s="100" t="s">
        <v>390</v>
      </c>
      <c r="B8" s="102">
        <f>IFERROR(IF(INDEX(Updates!$B$7:$B$18,B7)="","",INDEX(Updates!$B$7:$B$18,B7)),"")</f>
      </c>
      <c r="D8" s="24" t="s">
        <v>391</v>
      </c>
    </row>
    <row r="9" spans="1:8" x14ac:dyDescent="0.3">
      <c r="A9" s="100" t="s">
        <v>392</v>
      </c>
      <c r="B9" s="103"/>
      <c r="D9" s="24" t="s">
        <v>393</v>
      </c>
    </row>
    <row r="10" spans="1:8" x14ac:dyDescent="0.3">
      <c r="A10" s="100" t="s">
        <v>394</v>
      </c>
      <c r="B10" s="17" t="s">
        <v>395</v>
      </c>
      <c r="D10" s="24" t="s">
        <v>396</v>
      </c>
    </row>
    <row r="11" spans="1:8" x14ac:dyDescent="0.3">
      <c r="A11" s="100" t="s">
        <v>397</v>
      </c>
      <c r="B11" s="101">
        <v>100</v>
      </c>
      <c r="D11" s="24" t="s">
        <v>398</v>
      </c>
    </row>
    <row r="12" spans="1:8" x14ac:dyDescent="0.3">
      <c r="A12" s="100" t="s">
        <v>399</v>
      </c>
      <c r="B12" s="101">
        <v>10</v>
      </c>
      <c r="D12" s="24" t="s">
        <v>400</v>
      </c>
    </row>
    <row r="13" spans="1:8" x14ac:dyDescent="0.3">
      <c r="A13" s="100" t="s">
        <v>401</v>
      </c>
      <c r="B13" s="101">
        <v>3</v>
      </c>
      <c r="D13" s="24" t="s">
        <v>402</v>
      </c>
    </row>
    <row r="14" spans="1:8" x14ac:dyDescent="0.3">
      <c r="A14" s="100" t="s">
        <v>403</v>
      </c>
      <c r="B14" s="101">
        <v>3</v>
      </c>
      <c r="D14" s="24" t="s">
        <v>404</v>
      </c>
    </row>
    <row r="15" spans="1:8" x14ac:dyDescent="0.3">
      <c r="A15" s="100" t="s">
        <v>405</v>
      </c>
      <c r="B15" s="17" t="s">
        <v>406</v>
      </c>
    </row>
    <row r="16" spans="1:8" x14ac:dyDescent="0.3">
      <c r="A16" s="100" t="s">
        <v>407</v>
      </c>
      <c r="B16" s="104">
        <f>IFERROR(IF(OR(B7&lt;2,B8="",INDEX(Updates!$B$7:$B$18,B7-1)=""),"",NETWORKDAYS(INDEX(Updates!$B$7:$B$18,B7-1)+1,B8)),"")</f>
      </c>
      <c r="D16" s="24" t="s">
        <v>408</v>
      </c>
    </row>
    <row r="18" spans="1:8" x14ac:dyDescent="0.3">
      <c r="A18" s="47" t="s">
        <v>409</v>
      </c>
    </row>
    <row r="19" spans="1:8" x14ac:dyDescent="0.3">
      <c r="A19" s="94" t="s">
        <v>74</v>
      </c>
      <c r="F19" s="94" t="s">
        <v>410</v>
      </c>
      <c r="G19" s="94" t="s">
        <v>411</v>
      </c>
      <c r="H19" s="94" t="s">
        <v>366</v>
      </c>
    </row>
    <row r="20" spans="1:8" x14ac:dyDescent="0.3">
      <c r="A20" s="17" t="s">
        <v>96</v>
      </c>
      <c r="F20" s="17" t="s">
        <v>307</v>
      </c>
      <c r="G20" s="17" t="s">
        <v>98</v>
      </c>
      <c r="H20" s="17" t="s">
        <v>381</v>
      </c>
    </row>
    <row r="21" spans="1:8" x14ac:dyDescent="0.3">
      <c r="A21" s="17" t="s">
        <v>135</v>
      </c>
      <c r="F21" s="17" t="s">
        <v>312</v>
      </c>
      <c r="G21" s="17" t="s">
        <v>193</v>
      </c>
      <c r="H21" s="17" t="s">
        <v>26</v>
      </c>
    </row>
    <row r="22" spans="1:8" x14ac:dyDescent="0.3">
      <c r="A22" s="17" t="s">
        <v>110</v>
      </c>
      <c r="F22" s="17" t="s">
        <v>310</v>
      </c>
      <c r="G22" s="17" t="s">
        <v>350</v>
      </c>
      <c r="H22" s="17" t="s">
        <v>412</v>
      </c>
    </row>
    <row r="23" spans="1:8" x14ac:dyDescent="0.3">
      <c r="A23" s="17" t="s">
        <v>191</v>
      </c>
      <c r="F23" s="17" t="s">
        <v>320</v>
      </c>
      <c r="G23" s="17" t="s">
        <v>112</v>
      </c>
      <c r="H23" s="17"/>
    </row>
    <row r="24" spans="1:8" x14ac:dyDescent="0.3">
      <c r="A24" s="17" t="s">
        <v>201</v>
      </c>
      <c r="F24" s="17" t="s">
        <v>331</v>
      </c>
      <c r="G24" s="17" t="s">
        <v>316</v>
      </c>
      <c r="H24" s="17"/>
    </row>
    <row r="25" spans="1:8" x14ac:dyDescent="0.3">
      <c r="A25" s="17"/>
      <c r="F25" s="17" t="s">
        <v>413</v>
      </c>
      <c r="G25" s="17" t="s">
        <v>414</v>
      </c>
      <c r="H25" s="17"/>
    </row>
    <row r="26" spans="1:8" x14ac:dyDescent="0.3">
      <c r="A26" s="17"/>
      <c r="F26" s="17" t="s">
        <v>314</v>
      </c>
      <c r="G26" s="17" t="s">
        <v>309</v>
      </c>
      <c r="H26" s="17"/>
    </row>
    <row r="27" spans="1:8" x14ac:dyDescent="0.3">
      <c r="A27" s="17"/>
      <c r="F27" s="17" t="s">
        <v>415</v>
      </c>
      <c r="G27" s="17" t="s">
        <v>186</v>
      </c>
      <c r="H27" s="17"/>
    </row>
    <row r="28" spans="1:8" x14ac:dyDescent="0.3">
      <c r="A28" s="17"/>
      <c r="F28" s="17"/>
      <c r="G28" s="17" t="s">
        <v>416</v>
      </c>
      <c r="H28" s="17"/>
    </row>
    <row r="29" spans="1:8" x14ac:dyDescent="0.3">
      <c r="A29" s="17"/>
      <c r="F29" s="17"/>
      <c r="G29" s="17" t="s">
        <v>327</v>
      </c>
      <c r="H29" s="17"/>
    </row>
    <row r="30" spans="1:8" x14ac:dyDescent="0.3">
      <c r="A30" s="17"/>
      <c r="F30" s="17"/>
      <c r="G30" s="17" t="s">
        <v>417</v>
      </c>
      <c r="H30" s="17"/>
    </row>
    <row r="31" spans="1:8" x14ac:dyDescent="0.3">
      <c r="A31" s="17"/>
      <c r="F31" s="17"/>
      <c r="G31" s="17" t="s">
        <v>322</v>
      </c>
      <c r="H31" s="17"/>
    </row>
    <row r="32" spans="1:8" x14ac:dyDescent="0.3">
      <c r="A32" s="17"/>
      <c r="F32" s="17"/>
      <c r="G32" s="17" t="s">
        <v>313</v>
      </c>
      <c r="H32" s="17"/>
    </row>
    <row r="33" spans="1:8" x14ac:dyDescent="0.3">
      <c r="A33" s="17"/>
      <c r="F33" s="17"/>
      <c r="G33" s="17"/>
      <c r="H33" s="17"/>
    </row>
    <row r="34" spans="1:8" x14ac:dyDescent="0.3">
      <c r="A34" s="17"/>
      <c r="F34" s="17"/>
      <c r="G34" s="17"/>
      <c r="H34" s="17"/>
    </row>
    <row r="35" spans="1:8" x14ac:dyDescent="0.3">
      <c r="A35" s="17"/>
      <c r="F35" s="17"/>
      <c r="G35" s="17"/>
      <c r="H35" s="17"/>
    </row>
    <row r="36" spans="1:8" x14ac:dyDescent="0.3">
      <c r="A36" s="17"/>
      <c r="F36" s="17"/>
      <c r="G36" s="17"/>
      <c r="H36" s="17"/>
    </row>
    <row r="37" spans="1:8" x14ac:dyDescent="0.3">
      <c r="A37" s="17"/>
      <c r="F37" s="17"/>
      <c r="G37" s="17"/>
      <c r="H37" s="17"/>
    </row>
    <row r="38" spans="1:8" x14ac:dyDescent="0.3">
      <c r="A38" s="17"/>
      <c r="F38" s="17"/>
      <c r="G38" s="17"/>
      <c r="H38" s="17"/>
    </row>
    <row r="39" spans="1:8" x14ac:dyDescent="0.3">
      <c r="A39" s="17"/>
      <c r="F39" s="17"/>
      <c r="G39" s="17"/>
      <c r="H39" s="17"/>
    </row>
    <row r="41" spans="1:8" ht="24" customHeight="1" x14ac:dyDescent="0.3">
      <c r="A41" s="22" t="s">
        <v>418</v>
      </c>
      <c r="B41" s="23"/>
      <c r="C41" s="23"/>
      <c r="D41" s="23"/>
      <c r="E41" s="23"/>
      <c r="F41" s="23"/>
      <c r="G41" s="23"/>
      <c r="H41" s="23"/>
    </row>
    <row r="42" spans="1:8" x14ac:dyDescent="0.3">
      <c r="A42" s="23"/>
      <c r="B42" s="23"/>
      <c r="C42" s="23"/>
      <c r="D42" s="23"/>
      <c r="E42" s="23"/>
      <c r="F42" s="23"/>
      <c r="G42" s="23"/>
      <c r="H42" s="2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41:H42"/>
  </mergeCells>
  <printOptions horizontalCentered="1"/>
  <pageMargins left="0.4" right="0.4" top="0.5" bottom="0.5" header="0.5" footer="0.5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Start</vt:lpstr>
      <vt:lpstr>Dashboard</vt:lpstr>
      <vt:lpstr>Checklist</vt:lpstr>
      <vt:lpstr>Health check</vt:lpstr>
      <vt:lpstr>Float trend</vt:lpstr>
      <vt:lpstr>Remaining days</vt:lpstr>
      <vt:lpstr>Actions</vt:lpstr>
      <vt:lpstr>Updates</vt:lpstr>
      <vt:lpstr>Setup</vt:lpstr>
      <vt:lpstr>Actions!Print_Area</vt:lpstr>
      <vt:lpstr>Checklist!Print_Area</vt:lpstr>
      <vt:lpstr>Dashboard!Print_Area</vt:lpstr>
      <vt:lpstr>'Float trend'!Print_Area</vt:lpstr>
      <vt:lpstr>'Health check'!Print_Area</vt:lpstr>
      <vt:lpstr>'Remaining days'!Print_Area</vt:lpstr>
      <vt:lpstr>Setup!Print_Area</vt:lpstr>
      <vt:lpstr>Start!Print_Area</vt:lpstr>
      <vt:lpstr>Updates!Print_Area</vt:lpstr>
      <vt:lpstr>Checklist!Print_Titles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2026-10-13T09:30:39Z</dcterms:created>
  <dcterms:modified xsi:type="dcterms:W3CDTF">2026-10-13T14:12:19Z</dcterms:modified>
</cp:coreProperties>
</file>