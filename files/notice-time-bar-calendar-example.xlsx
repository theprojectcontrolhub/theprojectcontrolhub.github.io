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77AB0BE5-9AE7-47FC-A310-4DCC5D849CA9}" xr6:coauthVersionLast="47" xr6:coauthVersionMax="47" xr10:uidLastSave="{00000000-0000-0000-0000-000000000000}"/>
  <bookViews>
    <workbookView xWindow="-28920" yWindow="-45" windowWidth="29040" windowHeight="15720" activeTab="1" xr2:uid="{00000000-000D-0000-FFFF-FFFF00000000}"/>
  </bookViews>
  <sheets>
    <sheet name="Start" sheetId="1" r:id="rId1"/>
    <sheet name="Dashboard" sheetId="2" r:id="rId2"/>
    <sheet name="Setup" sheetId="3" r:id="rId3"/>
    <sheet name="The clocks" sheetId="4" r:id="rId4"/>
    <sheet name="Events" sheetId="5" r:id="rId5"/>
    <sheet name="Engineer clocks" sheetId="6" r:id="rId6"/>
    <sheet name="Determinations" sheetId="7" r:id="rId7"/>
    <sheet name="Deadlines" sheetId="8" r:id="rId8"/>
  </sheets>
  <definedNames>
    <definedName name="_xlnm.Print_Area" localSheetId="1">Dashboard!$A$1:$N$50</definedName>
    <definedName name="_xlnm.Print_Area" localSheetId="7">Deadlines!$A$1:$E$106</definedName>
    <definedName name="_xlnm.Print_Area" localSheetId="6">Determinations!$A$1:$H$26</definedName>
    <definedName name="_xlnm.Print_Area" localSheetId="5">'Engineer clocks'!$A$1:$I$26</definedName>
    <definedName name="_xlnm.Print_Area" localSheetId="4">Events!$A$1:$W$36</definedName>
    <definedName name="_xlnm.Print_Area" localSheetId="2">Setup!$A$1:$D$13</definedName>
    <definedName name="_xlnm.Print_Area" localSheetId="0">Start!$A$1:$F$43</definedName>
    <definedName name="_xlnm.Print_Area" localSheetId="3">'The clocks'!$A$1:$F$20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8" l="1"/>
  <c r="A106" i="8"/>
  <c r="C105" i="8"/>
  <c r="A105" i="8"/>
  <c r="C104" i="8"/>
  <c r="A104" i="8"/>
  <c r="C103" i="8"/>
  <c r="A103" i="8"/>
  <c r="C102" i="8"/>
  <c r="A102" i="8"/>
  <c r="C101" i="8"/>
  <c r="A101" i="8"/>
  <c r="C100" i="8"/>
  <c r="A100" i="8"/>
  <c r="C99" i="8"/>
  <c r="A99" i="8"/>
  <c r="C98" i="8"/>
  <c r="A98" i="8"/>
  <c r="C97" i="8"/>
  <c r="A97" i="8"/>
  <c r="C96" i="8"/>
  <c r="A96" i="8"/>
  <c r="C95" i="8"/>
  <c r="A95" i="8"/>
  <c r="C94" i="8"/>
  <c r="A94" i="8"/>
  <c r="C93" i="8"/>
  <c r="A93" i="8"/>
  <c r="C92" i="8"/>
  <c r="A92" i="8"/>
  <c r="C91" i="8"/>
  <c r="A91" i="8"/>
  <c r="C90" i="8"/>
  <c r="A90" i="8"/>
  <c r="C89" i="8"/>
  <c r="A89" i="8"/>
  <c r="C88" i="8"/>
  <c r="A88" i="8"/>
  <c r="C87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E35" i="8"/>
  <c r="B35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9" i="8"/>
  <c r="H26" i="7"/>
  <c r="F26" i="7"/>
  <c r="E26" i="7"/>
  <c r="H25" i="7"/>
  <c r="F25" i="7"/>
  <c r="E25" i="7"/>
  <c r="H24" i="7"/>
  <c r="F24" i="7"/>
  <c r="E24" i="7"/>
  <c r="H23" i="7"/>
  <c r="F23" i="7"/>
  <c r="E23" i="7"/>
  <c r="H22" i="7"/>
  <c r="F22" i="7"/>
  <c r="E22" i="7"/>
  <c r="H21" i="7"/>
  <c r="F21" i="7"/>
  <c r="E21" i="7"/>
  <c r="H20" i="7"/>
  <c r="F20" i="7"/>
  <c r="E20" i="7"/>
  <c r="H19" i="7"/>
  <c r="F19" i="7"/>
  <c r="E19" i="7"/>
  <c r="H18" i="7"/>
  <c r="F18" i="7"/>
  <c r="E18" i="7"/>
  <c r="H17" i="7"/>
  <c r="F17" i="7"/>
  <c r="E17" i="7"/>
  <c r="H16" i="7"/>
  <c r="F16" i="7"/>
  <c r="E16" i="7"/>
  <c r="H15" i="7"/>
  <c r="F15" i="7"/>
  <c r="E15" i="7"/>
  <c r="H14" i="7"/>
  <c r="F14" i="7"/>
  <c r="E14" i="7"/>
  <c r="H13" i="7"/>
  <c r="F13" i="7"/>
  <c r="E13" i="7"/>
  <c r="H12" i="7"/>
  <c r="F12" i="7"/>
  <c r="E12" i="7"/>
  <c r="H11" i="7"/>
  <c r="F11" i="7"/>
  <c r="E11" i="7"/>
  <c r="H10" i="7"/>
  <c r="F10" i="7"/>
  <c r="E10" i="7"/>
  <c r="H9" i="7"/>
  <c r="F9" i="7"/>
  <c r="E9" i="7"/>
  <c r="H8" i="7"/>
  <c r="F8" i="7"/>
  <c r="E8" i="7"/>
  <c r="H7" i="7"/>
  <c r="F7" i="7"/>
  <c r="E7" i="7"/>
  <c r="I26" i="6"/>
  <c r="E26" i="6"/>
  <c r="F26" i="6" s="1"/>
  <c r="G26" i="6" s="1"/>
  <c r="I25" i="6"/>
  <c r="E25" i="6"/>
  <c r="F25" i="6" s="1"/>
  <c r="G25" i="6" s="1"/>
  <c r="I24" i="6"/>
  <c r="E24" i="6"/>
  <c r="F24" i="6" s="1"/>
  <c r="G24" i="6" s="1"/>
  <c r="I23" i="6"/>
  <c r="E23" i="6"/>
  <c r="F23" i="6" s="1"/>
  <c r="G23" i="6" s="1"/>
  <c r="I22" i="6"/>
  <c r="E22" i="6"/>
  <c r="F22" i="6" s="1"/>
  <c r="G22" i="6" s="1"/>
  <c r="I21" i="6"/>
  <c r="E21" i="6"/>
  <c r="F21" i="6" s="1"/>
  <c r="G21" i="6" s="1"/>
  <c r="I20" i="6"/>
  <c r="E20" i="6"/>
  <c r="F20" i="6" s="1"/>
  <c r="G20" i="6" s="1"/>
  <c r="I19" i="6"/>
  <c r="E19" i="6"/>
  <c r="F19" i="6" s="1"/>
  <c r="G19" i="6" s="1"/>
  <c r="I18" i="6"/>
  <c r="E18" i="6"/>
  <c r="F18" i="6" s="1"/>
  <c r="G18" i="6" s="1"/>
  <c r="I17" i="6"/>
  <c r="E17" i="6"/>
  <c r="F17" i="6" s="1"/>
  <c r="G17" i="6" s="1"/>
  <c r="I16" i="6"/>
  <c r="E16" i="6"/>
  <c r="F16" i="6" s="1"/>
  <c r="G16" i="6" s="1"/>
  <c r="I15" i="6"/>
  <c r="E15" i="6"/>
  <c r="F15" i="6" s="1"/>
  <c r="G15" i="6" s="1"/>
  <c r="I14" i="6"/>
  <c r="E14" i="6"/>
  <c r="F14" i="6" s="1"/>
  <c r="G14" i="6" s="1"/>
  <c r="I13" i="6"/>
  <c r="E13" i="6"/>
  <c r="F13" i="6" s="1"/>
  <c r="G13" i="6" s="1"/>
  <c r="I12" i="6"/>
  <c r="E12" i="6"/>
  <c r="F12" i="6" s="1"/>
  <c r="G12" i="6" s="1"/>
  <c r="I11" i="6"/>
  <c r="E11" i="6"/>
  <c r="F11" i="6" s="1"/>
  <c r="G11" i="6" s="1"/>
  <c r="I10" i="6"/>
  <c r="E10" i="6"/>
  <c r="F10" i="6" s="1"/>
  <c r="G10" i="6" s="1"/>
  <c r="I9" i="6"/>
  <c r="E9" i="6"/>
  <c r="F9" i="6" s="1"/>
  <c r="G9" i="6" s="1"/>
  <c r="I8" i="6"/>
  <c r="E8" i="6"/>
  <c r="F8" i="6" s="1"/>
  <c r="G8" i="6" s="1"/>
  <c r="I7" i="6"/>
  <c r="E7" i="6"/>
  <c r="F7" i="6" s="1"/>
  <c r="G7" i="6" s="1"/>
  <c r="V36" i="5"/>
  <c r="U36" i="5"/>
  <c r="T36" i="5"/>
  <c r="Q36" i="5"/>
  <c r="P36" i="5"/>
  <c r="N36" i="5"/>
  <c r="M36" i="5"/>
  <c r="L36" i="5"/>
  <c r="V35" i="5"/>
  <c r="U35" i="5"/>
  <c r="T35" i="5"/>
  <c r="Q35" i="5"/>
  <c r="P35" i="5"/>
  <c r="N35" i="5"/>
  <c r="M35" i="5"/>
  <c r="L35" i="5"/>
  <c r="V34" i="5"/>
  <c r="U34" i="5"/>
  <c r="T34" i="5"/>
  <c r="Q34" i="5"/>
  <c r="P34" i="5"/>
  <c r="N34" i="5"/>
  <c r="M34" i="5"/>
  <c r="L34" i="5"/>
  <c r="V33" i="5"/>
  <c r="U33" i="5"/>
  <c r="T33" i="5"/>
  <c r="Q33" i="5"/>
  <c r="P33" i="5"/>
  <c r="N33" i="5"/>
  <c r="M33" i="5"/>
  <c r="L33" i="5"/>
  <c r="V32" i="5"/>
  <c r="U32" i="5"/>
  <c r="T32" i="5"/>
  <c r="Q32" i="5"/>
  <c r="P32" i="5"/>
  <c r="N32" i="5"/>
  <c r="M32" i="5"/>
  <c r="L32" i="5"/>
  <c r="V31" i="5"/>
  <c r="U31" i="5"/>
  <c r="T31" i="5"/>
  <c r="Q31" i="5"/>
  <c r="P31" i="5"/>
  <c r="N31" i="5"/>
  <c r="M31" i="5"/>
  <c r="L31" i="5"/>
  <c r="V30" i="5"/>
  <c r="U30" i="5"/>
  <c r="T30" i="5"/>
  <c r="Q30" i="5"/>
  <c r="P30" i="5"/>
  <c r="N30" i="5"/>
  <c r="M30" i="5"/>
  <c r="L30" i="5"/>
  <c r="V29" i="5"/>
  <c r="U29" i="5"/>
  <c r="T29" i="5"/>
  <c r="Q29" i="5"/>
  <c r="P29" i="5"/>
  <c r="N29" i="5"/>
  <c r="M29" i="5"/>
  <c r="L29" i="5"/>
  <c r="V28" i="5"/>
  <c r="U28" i="5"/>
  <c r="T28" i="5"/>
  <c r="Q28" i="5"/>
  <c r="P28" i="5"/>
  <c r="N28" i="5"/>
  <c r="M28" i="5"/>
  <c r="L28" i="5"/>
  <c r="V27" i="5"/>
  <c r="U27" i="5"/>
  <c r="T27" i="5"/>
  <c r="Q27" i="5"/>
  <c r="P27" i="5"/>
  <c r="N27" i="5"/>
  <c r="M27" i="5"/>
  <c r="L27" i="5"/>
  <c r="V26" i="5"/>
  <c r="U26" i="5"/>
  <c r="T26" i="5"/>
  <c r="Q26" i="5"/>
  <c r="P26" i="5"/>
  <c r="N26" i="5"/>
  <c r="M26" i="5"/>
  <c r="L26" i="5"/>
  <c r="V25" i="5"/>
  <c r="U25" i="5"/>
  <c r="T25" i="5"/>
  <c r="Q25" i="5"/>
  <c r="P25" i="5"/>
  <c r="N25" i="5"/>
  <c r="M25" i="5"/>
  <c r="L25" i="5"/>
  <c r="V24" i="5"/>
  <c r="U24" i="5"/>
  <c r="T24" i="5"/>
  <c r="Q24" i="5"/>
  <c r="P24" i="5"/>
  <c r="N24" i="5"/>
  <c r="M24" i="5"/>
  <c r="L24" i="5"/>
  <c r="V23" i="5"/>
  <c r="U23" i="5"/>
  <c r="T23" i="5"/>
  <c r="Q23" i="5"/>
  <c r="P23" i="5"/>
  <c r="N23" i="5"/>
  <c r="M23" i="5"/>
  <c r="L23" i="5"/>
  <c r="V22" i="5"/>
  <c r="U22" i="5"/>
  <c r="T22" i="5"/>
  <c r="Q22" i="5"/>
  <c r="P22" i="5"/>
  <c r="N22" i="5"/>
  <c r="M22" i="5"/>
  <c r="L22" i="5"/>
  <c r="V21" i="5"/>
  <c r="U21" i="5"/>
  <c r="T21" i="5"/>
  <c r="Q21" i="5"/>
  <c r="P21" i="5"/>
  <c r="N21" i="5"/>
  <c r="M21" i="5"/>
  <c r="L21" i="5"/>
  <c r="V20" i="5"/>
  <c r="U20" i="5"/>
  <c r="T20" i="5"/>
  <c r="Q20" i="5"/>
  <c r="P20" i="5"/>
  <c r="N20" i="5"/>
  <c r="M20" i="5"/>
  <c r="L20" i="5"/>
  <c r="V19" i="5"/>
  <c r="U19" i="5"/>
  <c r="T19" i="5"/>
  <c r="Q19" i="5"/>
  <c r="P19" i="5"/>
  <c r="N19" i="5"/>
  <c r="M19" i="5"/>
  <c r="L19" i="5"/>
  <c r="V18" i="5"/>
  <c r="U18" i="5"/>
  <c r="T18" i="5"/>
  <c r="Q18" i="5"/>
  <c r="P18" i="5"/>
  <c r="N18" i="5"/>
  <c r="M18" i="5"/>
  <c r="L18" i="5"/>
  <c r="V17" i="5"/>
  <c r="U17" i="5"/>
  <c r="T17" i="5"/>
  <c r="Q17" i="5"/>
  <c r="P17" i="5"/>
  <c r="N17" i="5"/>
  <c r="M17" i="5"/>
  <c r="L17" i="5"/>
  <c r="V16" i="5"/>
  <c r="U16" i="5"/>
  <c r="T16" i="5"/>
  <c r="Q16" i="5"/>
  <c r="P16" i="5"/>
  <c r="N16" i="5"/>
  <c r="M16" i="5"/>
  <c r="L16" i="5"/>
  <c r="V15" i="5"/>
  <c r="U15" i="5"/>
  <c r="T15" i="5"/>
  <c r="Q15" i="5"/>
  <c r="P15" i="5"/>
  <c r="N15" i="5"/>
  <c r="M15" i="5"/>
  <c r="L15" i="5"/>
  <c r="V14" i="5"/>
  <c r="U14" i="5"/>
  <c r="T14" i="5"/>
  <c r="Q14" i="5"/>
  <c r="P14" i="5"/>
  <c r="N14" i="5"/>
  <c r="M14" i="5"/>
  <c r="L14" i="5"/>
  <c r="V13" i="5"/>
  <c r="U13" i="5"/>
  <c r="T13" i="5"/>
  <c r="Q13" i="5"/>
  <c r="P13" i="5"/>
  <c r="N13" i="5"/>
  <c r="M13" i="5"/>
  <c r="L13" i="5"/>
  <c r="V12" i="5"/>
  <c r="U12" i="5"/>
  <c r="T12" i="5"/>
  <c r="Q12" i="5"/>
  <c r="P12" i="5"/>
  <c r="N12" i="5"/>
  <c r="M12" i="5"/>
  <c r="L12" i="5"/>
  <c r="V11" i="5"/>
  <c r="U11" i="5"/>
  <c r="T11" i="5"/>
  <c r="Q11" i="5"/>
  <c r="P11" i="5"/>
  <c r="N11" i="5"/>
  <c r="M11" i="5"/>
  <c r="L11" i="5"/>
  <c r="V10" i="5"/>
  <c r="U10" i="5"/>
  <c r="T10" i="5"/>
  <c r="Q10" i="5"/>
  <c r="P10" i="5"/>
  <c r="N10" i="5"/>
  <c r="M10" i="5"/>
  <c r="L10" i="5"/>
  <c r="U9" i="5"/>
  <c r="T9" i="5"/>
  <c r="P9" i="5"/>
  <c r="M9" i="5"/>
  <c r="L9" i="5"/>
  <c r="U8" i="5"/>
  <c r="P8" i="5"/>
  <c r="N8" i="5"/>
  <c r="M8" i="5"/>
  <c r="T8" i="5" s="1"/>
  <c r="L8" i="5"/>
  <c r="V8" i="5" s="1"/>
  <c r="P7" i="5"/>
  <c r="M7" i="5"/>
  <c r="L7" i="5"/>
  <c r="B9" i="3"/>
  <c r="L8" i="2"/>
  <c r="H8" i="2"/>
  <c r="F8" i="2"/>
  <c r="D8" i="2"/>
  <c r="B8" i="2"/>
  <c r="L6" i="2"/>
  <c r="B6" i="2"/>
  <c r="B3" i="2"/>
  <c r="E106" i="8" l="1"/>
  <c r="B106" i="8"/>
  <c r="E105" i="8"/>
  <c r="B105" i="8"/>
  <c r="E104" i="8"/>
  <c r="B104" i="8"/>
  <c r="E103" i="8"/>
  <c r="B103" i="8"/>
  <c r="B102" i="8"/>
  <c r="E102" i="8"/>
  <c r="E101" i="8"/>
  <c r="B101" i="8"/>
  <c r="B100" i="8"/>
  <c r="E100" i="8"/>
  <c r="E99" i="8"/>
  <c r="B99" i="8"/>
  <c r="B98" i="8"/>
  <c r="E98" i="8"/>
  <c r="B97" i="8"/>
  <c r="E97" i="8"/>
  <c r="B96" i="8"/>
  <c r="E96" i="8"/>
  <c r="B95" i="8"/>
  <c r="E95" i="8"/>
  <c r="E94" i="8"/>
  <c r="B94" i="8"/>
  <c r="E93" i="8"/>
  <c r="B93" i="8"/>
  <c r="E92" i="8"/>
  <c r="B92" i="8"/>
  <c r="B91" i="8"/>
  <c r="E91" i="8"/>
  <c r="E90" i="8"/>
  <c r="B90" i="8"/>
  <c r="E89" i="8"/>
  <c r="B89" i="8"/>
  <c r="E88" i="8"/>
  <c r="B88" i="8"/>
  <c r="B87" i="8"/>
  <c r="E87" i="8"/>
  <c r="B86" i="8"/>
  <c r="E86" i="8"/>
  <c r="B85" i="8"/>
  <c r="E85" i="8"/>
  <c r="B84" i="8"/>
  <c r="E84" i="8"/>
  <c r="E83" i="8"/>
  <c r="B83" i="8"/>
  <c r="E82" i="8"/>
  <c r="B82" i="8"/>
  <c r="E81" i="8"/>
  <c r="B81" i="8"/>
  <c r="E80" i="8"/>
  <c r="B80" i="8"/>
  <c r="B79" i="8"/>
  <c r="E79" i="8"/>
  <c r="B78" i="8"/>
  <c r="E78" i="8"/>
  <c r="B77" i="8"/>
  <c r="E77" i="8"/>
  <c r="B76" i="8"/>
  <c r="E76" i="8"/>
  <c r="E75" i="8"/>
  <c r="B75" i="8"/>
  <c r="B74" i="8"/>
  <c r="E74" i="8"/>
  <c r="B73" i="8"/>
  <c r="E73" i="8"/>
  <c r="E72" i="8"/>
  <c r="B72" i="8"/>
  <c r="B71" i="8"/>
  <c r="E71" i="8"/>
  <c r="B70" i="8"/>
  <c r="E70" i="8"/>
  <c r="B69" i="8"/>
  <c r="E69" i="8"/>
  <c r="E68" i="8"/>
  <c r="B68" i="8"/>
  <c r="E67" i="8"/>
  <c r="B67" i="8"/>
  <c r="B66" i="8"/>
  <c r="E66" i="8"/>
  <c r="B65" i="8"/>
  <c r="E65" i="8"/>
  <c r="B64" i="8"/>
  <c r="E64" i="8"/>
  <c r="B63" i="8"/>
  <c r="E63" i="8"/>
  <c r="B62" i="8"/>
  <c r="E62" i="8"/>
  <c r="E61" i="8"/>
  <c r="B61" i="8"/>
  <c r="B60" i="8"/>
  <c r="E60" i="8"/>
  <c r="B59" i="8"/>
  <c r="E59" i="8"/>
  <c r="E58" i="8"/>
  <c r="B58" i="8"/>
  <c r="E57" i="8"/>
  <c r="B57" i="8"/>
  <c r="B56" i="8"/>
  <c r="E56" i="8"/>
  <c r="E55" i="8"/>
  <c r="B55" i="8"/>
  <c r="E54" i="8"/>
  <c r="B54" i="8"/>
  <c r="B53" i="8"/>
  <c r="E53" i="8"/>
  <c r="E52" i="8"/>
  <c r="B52" i="8"/>
  <c r="B51" i="8"/>
  <c r="E51" i="8"/>
  <c r="B50" i="8"/>
  <c r="E50" i="8"/>
  <c r="B49" i="8"/>
  <c r="E49" i="8"/>
  <c r="B48" i="8"/>
  <c r="E48" i="8"/>
  <c r="B47" i="8"/>
  <c r="E47" i="8"/>
  <c r="B46" i="8"/>
  <c r="E46" i="8"/>
  <c r="E45" i="8"/>
  <c r="B45" i="8"/>
  <c r="B44" i="8"/>
  <c r="E44" i="8"/>
  <c r="E43" i="8"/>
  <c r="B43" i="8"/>
  <c r="E42" i="8"/>
  <c r="B42" i="8"/>
  <c r="B41" i="8"/>
  <c r="E41" i="8"/>
  <c r="B40" i="8"/>
  <c r="E40" i="8"/>
  <c r="E39" i="8"/>
  <c r="B39" i="8"/>
  <c r="B38" i="8"/>
  <c r="E38" i="8"/>
  <c r="E37" i="8"/>
  <c r="B37" i="8"/>
  <c r="B36" i="8"/>
  <c r="E36" i="8"/>
  <c r="B34" i="8"/>
  <c r="E34" i="8"/>
  <c r="B33" i="8"/>
  <c r="E33" i="8"/>
  <c r="E32" i="8"/>
  <c r="B32" i="8"/>
  <c r="B31" i="8"/>
  <c r="E31" i="8"/>
  <c r="E30" i="8"/>
  <c r="B30" i="8"/>
  <c r="E29" i="8"/>
  <c r="B29" i="8"/>
  <c r="E28" i="8"/>
  <c r="B28" i="8"/>
  <c r="E27" i="8"/>
  <c r="B27" i="8"/>
  <c r="B26" i="8"/>
  <c r="E26" i="8"/>
  <c r="E25" i="8"/>
  <c r="B25" i="8"/>
  <c r="E24" i="8"/>
  <c r="B24" i="8"/>
  <c r="B23" i="8"/>
  <c r="E23" i="8"/>
  <c r="E22" i="8"/>
  <c r="B22" i="8"/>
  <c r="B21" i="8"/>
  <c r="E21" i="8"/>
  <c r="E20" i="8"/>
  <c r="B20" i="8"/>
  <c r="E19" i="8"/>
  <c r="B19" i="8"/>
  <c r="B18" i="8"/>
  <c r="E18" i="8"/>
  <c r="E17" i="8"/>
  <c r="B17" i="8"/>
  <c r="B16" i="8"/>
  <c r="E16" i="8"/>
  <c r="E15" i="8"/>
  <c r="B15" i="8"/>
  <c r="B14" i="8"/>
  <c r="E14" i="8"/>
  <c r="B13" i="8"/>
  <c r="E13" i="8"/>
  <c r="E9" i="8"/>
  <c r="B9" i="8"/>
  <c r="A12" i="8"/>
  <c r="Q9" i="5"/>
  <c r="N9" i="5"/>
  <c r="A11" i="8"/>
  <c r="Q8" i="5"/>
  <c r="A10" i="8"/>
  <c r="Q7" i="5"/>
  <c r="A8" i="8"/>
  <c r="U7" i="5"/>
  <c r="T7" i="5"/>
  <c r="H6" i="2" s="1"/>
  <c r="N7" i="5"/>
  <c r="A7" i="8"/>
  <c r="V9" i="5"/>
  <c r="V7" i="5"/>
  <c r="B12" i="8" l="1"/>
  <c r="E12" i="8"/>
  <c r="E11" i="8"/>
  <c r="B11" i="8"/>
  <c r="E10" i="8"/>
  <c r="B10" i="8"/>
  <c r="J8" i="2"/>
  <c r="J6" i="2"/>
  <c r="E8" i="8"/>
  <c r="B8" i="8"/>
  <c r="F6" i="2"/>
  <c r="B11" i="2" s="1"/>
  <c r="D6" i="2"/>
  <c r="E7" i="8"/>
  <c r="B7" i="8"/>
  <c r="D27" i="2" l="1"/>
  <c r="H27" i="2"/>
  <c r="B16" i="2"/>
  <c r="C16" i="2" s="1"/>
  <c r="D16" i="2"/>
  <c r="H16" i="2"/>
  <c r="K16" i="2"/>
  <c r="B17" i="2"/>
  <c r="C17" i="2" s="1"/>
  <c r="D17" i="2"/>
  <c r="H17" i="2"/>
  <c r="K17" i="2"/>
  <c r="B18" i="2"/>
  <c r="C18" i="2" s="1"/>
  <c r="D18" i="2"/>
  <c r="H18" i="2"/>
  <c r="K18" i="2"/>
  <c r="B19" i="2"/>
  <c r="C19" i="2" s="1"/>
  <c r="D19" i="2"/>
  <c r="H19" i="2"/>
  <c r="K19" i="2"/>
  <c r="B20" i="2"/>
  <c r="C20" i="2" s="1"/>
  <c r="D20" i="2"/>
  <c r="H20" i="2"/>
  <c r="K20" i="2"/>
  <c r="B21" i="2"/>
  <c r="C21" i="2" s="1"/>
  <c r="D21" i="2"/>
  <c r="H21" i="2"/>
  <c r="K21" i="2"/>
  <c r="B22" i="2"/>
  <c r="C22" i="2" s="1"/>
  <c r="D22" i="2"/>
  <c r="H22" i="2"/>
  <c r="K22" i="2"/>
  <c r="B23" i="2"/>
  <c r="C23" i="2" s="1"/>
  <c r="D23" i="2"/>
  <c r="H23" i="2"/>
  <c r="K23" i="2"/>
  <c r="B24" i="2"/>
  <c r="C24" i="2" s="1"/>
  <c r="D24" i="2"/>
  <c r="H24" i="2"/>
  <c r="K24" i="2"/>
  <c r="B25" i="2"/>
  <c r="C25" i="2" s="1"/>
  <c r="D25" i="2"/>
  <c r="H25" i="2"/>
  <c r="K25" i="2"/>
  <c r="B26" i="2"/>
  <c r="C26" i="2" s="1"/>
  <c r="D26" i="2"/>
  <c r="H26" i="2"/>
  <c r="K26" i="2"/>
  <c r="B27" i="2"/>
  <c r="C27" i="2" s="1"/>
  <c r="K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C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Contract Topic 1: the email went on a Tuesday. The calendar date is illustrative; the lesson counts days.</t>
        </r>
      </text>
    </comment>
  </commentList>
</comments>
</file>

<file path=xl/sharedStrings.xml><?xml version="1.0" encoding="utf-8"?>
<sst xmlns="http://schemas.openxmlformats.org/spreadsheetml/2006/main" count="482" uniqueCount="252">
  <si>
    <t>Notice and time-bar calendar</t>
  </si>
  <si>
    <t>Every clock in the contract, and the days left on each, counted from when you became aware.</t>
  </si>
  <si>
    <t>The Project Control Hub · free template · example: the rock in the north pile bores</t>
  </si>
  <si>
    <t>FIVE STEPS</t>
  </si>
  <si>
    <t>Setup  →</t>
  </si>
  <si>
    <t>Leave "As at" on today. Pick the contract form: it decides who the Notice goes to.</t>
  </si>
  <si>
    <t>1 minute</t>
  </si>
  <si>
    <t>Events  →</t>
  </si>
  <si>
    <t>Anything that might become a claim gets a row the day somebody notices it: a driller’s log, a short delivery, a level that does not match. Write what fixed the date.</t>
  </si>
  <si>
    <t>2 minutes each</t>
  </si>
  <si>
    <t>When the Notice goes: its date and the four tests. When the detailed claim goes: its date, and whether the contractual basis is in it.</t>
  </si>
  <si>
    <t>—</t>
  </si>
  <si>
    <t>Engineer clocks  →</t>
  </si>
  <si>
    <t>The Engineer’s 14 and 7 days. If they pass in silence, the position moves your way.</t>
  </si>
  <si>
    <t>1 minute each</t>
  </si>
  <si>
    <t>Determinations  →</t>
  </si>
  <si>
    <t>Every determination, the day it lands. 28 days, and no way back.</t>
  </si>
  <si>
    <t>FOUR TESTS OF A NOTICE · sub-clause 1.3</t>
  </si>
  <si>
    <t>In writing</t>
  </si>
  <si>
    <t>A paper original signed by the authorised representative, or from the named electronic system.</t>
  </si>
  <si>
    <t>Identified as a Notice</t>
  </si>
  <si>
    <t>It says it is a Notice. An accurate email that does not is not one.</t>
  </si>
  <si>
    <t>Delivered the stated way</t>
  </si>
  <si>
    <t>By hand or courier against receipt, or through the stated system.</t>
  </si>
  <si>
    <t>To the stated address</t>
  </si>
  <si>
    <t>The address in the Contract Data, not the person you speak to every morning.</t>
  </si>
  <si>
    <t>THREE BANDS</t>
  </si>
  <si>
    <t>Ends a right</t>
  </si>
  <si>
    <t>Notice of Claim 28 d, detailed claim 84 d, Notice of Dissatisfaction 28 d.</t>
  </si>
  <si>
    <t>Runs for you</t>
  </si>
  <si>
    <t>The Engineer’s 14 days on a late Notice, 14 on a lapse, 7 on a challenge.</t>
  </si>
  <si>
    <t>Procedure</t>
  </si>
  <si>
    <t>Consultation, programme, suspension: stages, not bars. Panic here is expensive.</t>
  </si>
  <si>
    <t>WHAT IS IN THIS FILE</t>
  </si>
  <si>
    <t>Dashboard</t>
  </si>
  <si>
    <t>Six numbers, a paragraph, the next twelve deadlines, and two charts.</t>
  </si>
  <si>
    <t>Setup</t>
  </si>
  <si>
    <t>As at, contract form, warning window.</t>
  </si>
  <si>
    <t>The clocks</t>
  </si>
  <si>
    <t>All eleven periods with clause, consequence, band and rescue.</t>
  </si>
  <si>
    <t>Events</t>
  </si>
  <si>
    <t>The log: dates, the four tests, both claim clocks, status and the next action.</t>
  </si>
  <si>
    <t>Engineer clocks</t>
  </si>
  <si>
    <t>The silences that run for you.</t>
  </si>
  <si>
    <t>Determinations</t>
  </si>
  <si>
    <t>The clock with no rescue.</t>
  </si>
  <si>
    <t>Deadlines</t>
  </si>
  <si>
    <t>A helper list the Dashboard sorts. Nothing to fill in.</t>
  </si>
  <si>
    <t>EXPLAINED IN</t>
  </si>
  <si>
    <t>Contract Topic 1 · The notice behind the entitlement</t>
  </si>
  <si>
    <t>Contract Topic 10 · Notices and time bars</t>
  </si>
  <si>
    <t>Example: the rock in the north pile bores (Contract Topic 1). The site engineer emailed the resident engineer on a Tuesday and got back "noted, discuss Thursday"; nobody served a Notice. Forty-one days later the 28 days have passed by 13. The rock was worth $48,450 against a net margin of $48,163. The calendar dates and the second event are illustrative; the lesson counts days. The other two events are illustrative too.</t>
  </si>
  <si>
    <t>Clause numbers follow FIDIC 2017 as used in the lessons. Check your own contract. Free to use and adapt. https://theprojectcontrolhub.com/</t>
  </si>
  <si>
    <t>Notices and time bars</t>
  </si>
  <si>
    <t>The Project Control Hub</t>
  </si>
  <si>
    <t>OPEN EVENTS</t>
  </si>
  <si>
    <t>NOTICES DUE SOON</t>
  </si>
  <si>
    <t>28 DAYS PASSED, NO NOTICE</t>
  </si>
  <si>
    <t>LATE NOTICES AT RISK</t>
  </si>
  <si>
    <t>DETAILED CLAIMS DUE ≤ 14 DAYS</t>
  </si>
  <si>
    <t>NO-RESCUE CLOCKS OPEN</t>
  </si>
  <si>
    <t>THE NEXT DEADLINES, EARLIEST FIRST · missed ones at the top</t>
  </si>
  <si>
    <t>Deadline</t>
  </si>
  <si>
    <t>Days left</t>
  </si>
  <si>
    <t>Event / item</t>
  </si>
  <si>
    <t>Clock</t>
  </si>
  <si>
    <t>Rescue</t>
  </si>
  <si>
    <t>HOW MUCH TIME IS LEFT</t>
  </si>
  <si>
    <t>Red ends a right · green runs for you · grey is procedure</t>
  </si>
  <si>
    <t>Everything on this page reads from Setup, Events, Engineer clocks and Determinations.</t>
  </si>
  <si>
    <t>The date the calendar counts from, and the contract form.</t>
  </si>
  <si>
    <t>"As at" is today unless you type a date. Every days-left figure counts from it.</t>
  </si>
  <si>
    <t>Project</t>
  </si>
  <si>
    <t>Example project</t>
  </si>
  <si>
    <t>As at</t>
  </si>
  <si>
    <t>Today by default. The example is fixed at 41 days after the rock.</t>
  </si>
  <si>
    <t>Contract form</t>
  </si>
  <si>
    <t>Red</t>
  </si>
  <si>
    <t>Red, Yellow or Silver Book (FIDIC 2017), as used in the lessons.</t>
  </si>
  <si>
    <t>Notices go to</t>
  </si>
  <si>
    <t>Red and Yellow: the Engineer. Silver: there is no Engineer, so the other Party.</t>
  </si>
  <si>
    <t>Warn me this many days ahead</t>
  </si>
  <si>
    <t>Deadlines inside this window turn amber.</t>
  </si>
  <si>
    <t>Prepared by</t>
  </si>
  <si>
    <t>Commercial</t>
  </si>
  <si>
    <t>Clause numbers follow the FIDIC 2017 Red and Yellow Books as used in the Contract track. Check the periods in your own contract before relying on them.</t>
  </si>
  <si>
    <t>The clocks, on one page</t>
  </si>
  <si>
    <t>Three end a right, three run for you, five are procedure.</t>
  </si>
  <si>
    <t>Both claim clocks start the day you became aware, or should have become aware, of the event.</t>
  </si>
  <si>
    <t>Days</t>
  </si>
  <si>
    <t>Clause</t>
  </si>
  <si>
    <t>What it is</t>
  </si>
  <si>
    <t>If missed</t>
  </si>
  <si>
    <t>Band</t>
  </si>
  <si>
    <t>20.2.1</t>
  </si>
  <si>
    <t>Notice of Claim</t>
  </si>
  <si>
    <t>Entitlement gone: the other Party is discharged</t>
  </si>
  <si>
    <t>Engineer silent for 14 days</t>
  </si>
  <si>
    <t>20.2.4</t>
  </si>
  <si>
    <t>Fully detailed Claim, with the contractual basis</t>
  </si>
  <si>
    <t>The Notice of Claim lapses</t>
  </si>
  <si>
    <t>3.7.5</t>
  </si>
  <si>
    <t>Notice of Dissatisfaction with a determination</t>
  </si>
  <si>
    <t>Final and binding</t>
  </si>
  <si>
    <t>None</t>
  </si>
  <si>
    <t>20.2.2</t>
  </si>
  <si>
    <t>Engineer says your Notice was late</t>
  </si>
  <si>
    <t>If silent, your Notice is valid</t>
  </si>
  <si>
    <t>3.5</t>
  </si>
  <si>
    <t>Engineer answers your challenge to an instruction</t>
  </si>
  <si>
    <t>If silent, the instruction is revoked</t>
  </si>
  <si>
    <t>Engineer declares a lapse</t>
  </si>
  <si>
    <t>If silent, your Notice survives</t>
  </si>
  <si>
    <t>3.7.3</t>
  </si>
  <si>
    <t>Consultation to reach agreement</t>
  </si>
  <si>
    <t>Moves to determination</t>
  </si>
  <si>
    <t>8.3</t>
  </si>
  <si>
    <t>Initial programme</t>
  </si>
  <si>
    <t>A breach, not a bar</t>
  </si>
  <si>
    <t>2.4</t>
  </si>
  <si>
    <t>Employer shows it can pay</t>
  </si>
  <si>
    <t>Opens 16.1</t>
  </si>
  <si>
    <t>16.1</t>
  </si>
  <si>
    <t>Wait before suspending</t>
  </si>
  <si>
    <t>A floor, not a deadline</t>
  </si>
  <si>
    <t>3.6</t>
  </si>
  <si>
    <t>Notice of a new Engineer</t>
  </si>
  <si>
    <t>14 days to object</t>
  </si>
  <si>
    <t>Serving the Notice on day 27 leaves 57 days for the detailed claim, not 84: both clocks started together.</t>
  </si>
  <si>
    <t>The Notice of Dissatisfaction is the only fatal clock with no way back. It arrives when everybody is tired and the argument feels finished.</t>
  </si>
  <si>
    <t>One row per event that might become a claim. The clock starts when you became aware, not when you decided to claim.</t>
  </si>
  <si>
    <t>Fill the yellow cells. The deadlines, the days left, the status and the next action work themselves out.</t>
  </si>
  <si>
    <t>ID</t>
  </si>
  <si>
    <t>Event</t>
  </si>
  <si>
    <t>Became aware (date)</t>
  </si>
  <si>
    <t>What fixed that date</t>
  </si>
  <si>
    <t>Money at stake ($)</t>
  </si>
  <si>
    <t>Owner</t>
  </si>
  <si>
    <t>Notice served (date)</t>
  </si>
  <si>
    <t>Notice valid?</t>
  </si>
  <si>
    <t>28-day deadline</t>
  </si>
  <si>
    <t>Days left (Notice)</t>
  </si>
  <si>
    <t>Engineer objected to a late Notice on</t>
  </si>
  <si>
    <t>84-day deadline</t>
  </si>
  <si>
    <t>Days left (claim)</t>
  </si>
  <si>
    <t>Detailed claim submitted (date)</t>
  </si>
  <si>
    <t>Contractual basis stated?</t>
  </si>
  <si>
    <t>Notice status</t>
  </si>
  <si>
    <t>Claim status</t>
  </si>
  <si>
    <t>Next action</t>
  </si>
  <si>
    <t>Note</t>
  </si>
  <si>
    <t>E01</t>
  </si>
  <si>
    <t>Rock in the north pile bores</t>
  </si>
  <si>
    <t>Driller’s log; site engineer’s email the same day</t>
  </si>
  <si>
    <t>Email to the resident engineer: "noted, discuss Thursday". No Notice served.</t>
  </si>
  <si>
    <t>E02</t>
  </si>
  <si>
    <t>Late bar schedule revision, raft bay 2</t>
  </si>
  <si>
    <t>Constraint raised at the weekly meeting</t>
  </si>
  <si>
    <t>Y</t>
  </si>
  <si>
    <t>Served on day 16, to the stated address.</t>
  </si>
  <si>
    <t>E03</t>
  </si>
  <si>
    <t>Groundwater in the raft excavation</t>
  </si>
  <si>
    <t>Site diary: pumps running all shift</t>
  </si>
  <si>
    <t>Dewatering started. Notice drafted, not yet sent.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</si>
  <si>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</si>
  <si>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</si>
  <si>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</si>
  <si>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</si>
  <si>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</si>
  <si>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</si>
  <si>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</si>
  <si>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</si>
  <si>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</si>
  <si>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</si>
  <si>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</si>
  <si>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</si>
  <si>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</si>
  <si>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</si>
  <si>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</si>
  <si>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</si>
  <si>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</si>
  <si>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</si>
  <si>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</si>
  <si>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</si>
  <si>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</si>
  <si>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</si>
  <si>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</si>
  <si>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</si>
  <si>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</si>
  <si>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</si>
  <si>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</si>
  <si>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Somebody else’s deadline. If nothing comes back, the position moves your way.</t>
  </si>
  <si>
    <t>Diarise these precisely: nobody is going to tell you they have expired.</t>
  </si>
  <si>
    <t>Ref</t>
  </si>
  <si>
    <t>About</t>
  </si>
  <si>
    <t>Starts (date)</t>
  </si>
  <si>
    <t>Ends</t>
  </si>
  <si>
    <t>Engineer responded on</t>
  </si>
  <si>
    <t>Status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</si>
  <si>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</si>
  <si>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</si>
  <si>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</si>
  <si>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</si>
  <si>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</si>
  <si>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</si>
  <si>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</si>
  <si>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</si>
  <si>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</si>
  <si>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</si>
  <si>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</si>
  <si>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</si>
  <si>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</si>
  <si>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</si>
  <si>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</si>
  <si>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</si>
  <si>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</si>
  <si>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</si>
  <si>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</si>
  <si>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</si>
  <si>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The clock with no rescue: 28 days to give a Notice of Dissatisfaction.</t>
  </si>
  <si>
    <t>Log every determination the day it lands. Nobody else will tell you this clock has started.</t>
  </si>
  <si>
    <t>Determination about</t>
  </si>
  <si>
    <t>Event ID</t>
  </si>
  <si>
    <t>Received (date)</t>
  </si>
  <si>
    <t>Notice of Dissatisfaction deadline</t>
  </si>
  <si>
    <t>Notice of Dissatisfaction given (date)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</si>
  <si>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</si>
  <si>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</si>
  <si>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</si>
  <si>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</si>
  <si>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</si>
  <si>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</si>
  <si>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</si>
  <si>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</si>
  <si>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</si>
  <si>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</si>
  <si>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</si>
  <si>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</si>
  <si>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</si>
  <si>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</si>
  <si>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</si>
  <si>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</si>
  <si>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</si>
  <si>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</si>
  <si>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</si>
  <si>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</si>
  <si>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Every open deadline in one list. The Dashboard reads it; nothing to fill in here.</t>
  </si>
  <si>
    <t>Sort key</t>
  </si>
  <si>
    <t>Notice of Claim · 28 d</t>
  </si>
  <si>
    <t>Engineer silent 14 days</t>
  </si>
  <si>
    <t>Detailed claim · 84 d</t>
  </si>
  <si>
    <t>Notice of Dissatisfaction · 28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</si>
</sst>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\ mmm\ yyyy"/>
    <numFmt numFmtId="166" formatCode="d\ mmm\ yy"/>
    <numFmt numFmtId="167" formatCode="\$#,##0;\-\$#,##0;&quot;-&quot;"/>
    <numFmt numFmtId="168" formatCode="0;[Red]\-0"/>
    <numFmt numFmtId="169" formatCode="0.00000"/>
  </numFmts>
  <fonts count="37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sz val="10"/>
      <color rgb="FF0F172A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9"/>
      <color rgb="FF059669"/>
      <name val="Arial"/>
      <family val="2"/>
      <charset val="162"/>
    </font>
    <font>
      <b/>
      <sz val="9.5"/>
      <color rgb="FFFFFFFF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i/>
      <sz val="9.5"/>
      <color rgb="FF64748B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6D28D9"/>
      <name val="Arial"/>
      <family val="2"/>
      <charset val="162"/>
    </font>
    <font>
      <b/>
      <sz val="26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8.5"/>
      <color rgb="FF334155"/>
      <name val="Arial"/>
      <family val="2"/>
      <charset val="162"/>
    </font>
    <font>
      <sz val="10.5"/>
      <color rgb="FF0F172A"/>
      <name val="Arial"/>
      <family val="2"/>
      <charset val="162"/>
    </font>
    <font>
      <b/>
      <sz val="9.5"/>
      <color rgb="FF6D28D9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6D28D9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b/>
      <sz val="10"/>
      <color rgb="FFBE123C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475569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8"/>
      <color rgb="FFFFFFFF"/>
      <name val="Arial"/>
      <family val="2"/>
      <charset val="162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FFE4E6"/>
      </patternFill>
    </fill>
    <fill>
      <patternFill patternType="solid">
        <fgColor rgb="FFD1FAE5"/>
      </patternFill>
    </fill>
    <fill>
      <patternFill patternType="solid">
        <fgColor rgb="FFF1F5F9"/>
      </patternFill>
    </fill>
    <fill>
      <patternFill patternType="solid">
        <fgColor rgb="FF6D28D9"/>
      </patternFill>
    </fill>
    <fill>
      <patternFill patternType="solid">
        <fgColor rgb="FFF5F3FF"/>
      </patternFill>
    </fill>
    <fill>
      <patternFill patternType="solid">
        <fgColor rgb="FFFEF3C7"/>
      </patternFill>
    </fill>
    <fill>
      <patternFill patternType="solid">
        <fgColor rgb="FF047857"/>
      </patternFill>
    </fill>
    <fill>
      <patternFill patternType="solid">
        <fgColor rgb="FFBE123C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8B5CF6"/>
      </bottom>
      <diagonal/>
    </border>
    <border>
      <left/>
      <right/>
      <top/>
      <bottom style="medium">
        <color rgb="FF047857"/>
      </bottom>
      <diagonal/>
    </border>
    <border>
      <left/>
      <right/>
      <top/>
      <bottom style="medium">
        <color rgb="FFBE123C"/>
      </bottom>
      <diagonal/>
    </border>
    <border>
      <left/>
      <right/>
      <top/>
      <bottom style="medium">
        <color rgb="FF94A3B8"/>
      </bottom>
      <diagonal/>
    </border>
    <border>
      <left/>
      <right/>
      <top style="thick">
        <color rgb="FF6D28D9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334155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2" xfId="0" applyFont="1" applyBorder="1" applyAlignment="1">
      <alignment vertical="top"/>
    </xf>
    <xf numFmtId="0" fontId="10" fillId="3" borderId="2" xfId="0" applyFont="1" applyFill="1" applyBorder="1" applyAlignment="1">
      <alignment horizontal="center" vertical="center" wrapText="1"/>
    </xf>
    <xf numFmtId="166" fontId="7" fillId="0" borderId="2" xfId="0" applyNumberFormat="1" applyFont="1" applyBorder="1" applyAlignment="1">
      <alignment vertical="top"/>
    </xf>
    <xf numFmtId="0" fontId="0" fillId="0" borderId="6" xfId="0" applyBorder="1"/>
    <xf numFmtId="169" fontId="7" fillId="0" borderId="2" xfId="0" applyNumberFormat="1" applyFont="1" applyBorder="1" applyAlignment="1">
      <alignment vertical="top"/>
    </xf>
    <xf numFmtId="0" fontId="0" fillId="0" borderId="0" xfId="0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5" fillId="3" borderId="0" xfId="0" applyFont="1" applyFill="1" applyProtection="1">
      <protection locked="0"/>
    </xf>
    <xf numFmtId="0" fontId="26" fillId="3" borderId="0" xfId="0" applyFont="1" applyFill="1" applyProtection="1">
      <protection locked="0"/>
    </xf>
    <xf numFmtId="0" fontId="28" fillId="0" borderId="0" xfId="0" applyFont="1" applyAlignment="1" applyProtection="1">
      <alignment vertical="top"/>
      <protection locked="0"/>
    </xf>
    <xf numFmtId="0" fontId="29" fillId="3" borderId="11" xfId="0" applyFont="1" applyFill="1" applyBorder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vertical="center"/>
      <protection locked="0"/>
    </xf>
    <xf numFmtId="0" fontId="7" fillId="0" borderId="11" xfId="0" applyFont="1" applyBorder="1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29" fillId="7" borderId="11" xfId="0" applyFont="1" applyFill="1" applyBorder="1" applyAlignment="1" applyProtection="1">
      <alignment horizontal="center" vertical="center"/>
      <protection locked="0"/>
    </xf>
    <xf numFmtId="0" fontId="29" fillId="10" borderId="11" xfId="0" applyFont="1" applyFill="1" applyBorder="1" applyAlignment="1" applyProtection="1">
      <alignment horizontal="center" vertical="center"/>
      <protection locked="0"/>
    </xf>
    <xf numFmtId="0" fontId="29" fillId="11" borderId="11" xfId="0" applyFont="1" applyFill="1" applyBorder="1" applyAlignment="1" applyProtection="1">
      <alignment horizontal="center" vertical="center"/>
      <protection locked="0"/>
    </xf>
    <xf numFmtId="0" fontId="28" fillId="8" borderId="2" xfId="0" applyFont="1" applyFill="1" applyBorder="1" applyProtection="1">
      <protection locked="0"/>
    </xf>
    <xf numFmtId="0" fontId="7" fillId="0" borderId="0" xfId="0" applyFont="1" applyAlignment="1" applyProtection="1">
      <alignment vertical="top"/>
      <protection locked="0"/>
    </xf>
    <xf numFmtId="0" fontId="31" fillId="4" borderId="2" xfId="0" applyFont="1" applyFill="1" applyBorder="1" applyProtection="1">
      <protection locked="0"/>
    </xf>
    <xf numFmtId="0" fontId="32" fillId="5" borderId="2" xfId="0" applyFont="1" applyFill="1" applyBorder="1" applyProtection="1">
      <protection locked="0"/>
    </xf>
    <xf numFmtId="0" fontId="33" fillId="6" borderId="2" xfId="0" applyFont="1" applyFill="1" applyBorder="1" applyProtection="1">
      <protection locked="0"/>
    </xf>
    <xf numFmtId="0" fontId="30" fillId="0" borderId="0" xfId="0" applyFont="1" applyProtection="1">
      <protection locked="0"/>
    </xf>
    <xf numFmtId="0" fontId="34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4" fillId="3" borderId="0" xfId="0" applyFont="1" applyFill="1" applyProtection="1">
      <protection locked="0"/>
    </xf>
    <xf numFmtId="0" fontId="15" fillId="3" borderId="0" xfId="0" applyFont="1" applyFill="1" applyProtection="1">
      <protection locked="0"/>
    </xf>
    <xf numFmtId="0" fontId="17" fillId="8" borderId="0" xfId="0" applyFont="1" applyFill="1" applyAlignment="1" applyProtection="1">
      <alignment horizontal="center" wrapText="1"/>
      <protection locked="0"/>
    </xf>
    <xf numFmtId="0" fontId="20" fillId="9" borderId="0" xfId="0" applyFont="1" applyFill="1" applyAlignment="1" applyProtection="1">
      <alignment horizontal="center" wrapText="1"/>
      <protection locked="0"/>
    </xf>
    <xf numFmtId="0" fontId="21" fillId="4" borderId="0" xfId="0" applyFont="1" applyFill="1" applyAlignment="1" applyProtection="1">
      <alignment horizontal="center" wrapText="1"/>
      <protection locked="0"/>
    </xf>
    <xf numFmtId="0" fontId="22" fillId="6" borderId="0" xfId="0" applyFont="1" applyFill="1" applyAlignment="1" applyProtection="1">
      <alignment horizontal="center" wrapText="1"/>
      <protection locked="0"/>
    </xf>
    <xf numFmtId="1" fontId="18" fillId="8" borderId="0" xfId="0" applyNumberFormat="1" applyFont="1" applyFill="1" applyAlignment="1" applyProtection="1">
      <alignment horizontal="center" vertical="center"/>
      <protection locked="0"/>
    </xf>
    <xf numFmtId="1" fontId="18" fillId="9" borderId="0" xfId="0" applyNumberFormat="1" applyFont="1" applyFill="1" applyAlignment="1" applyProtection="1">
      <alignment horizontal="center" vertical="center"/>
      <protection locked="0"/>
    </xf>
    <xf numFmtId="1" fontId="18" fillId="4" borderId="0" xfId="0" applyNumberFormat="1" applyFont="1" applyFill="1" applyAlignment="1" applyProtection="1">
      <alignment horizontal="center" vertical="center"/>
      <protection locked="0"/>
    </xf>
    <xf numFmtId="1" fontId="18" fillId="6" borderId="0" xfId="0" applyNumberFormat="1" applyFont="1" applyFill="1" applyAlignment="1" applyProtection="1">
      <alignment horizontal="center" vertical="center"/>
      <protection locked="0"/>
    </xf>
    <xf numFmtId="0" fontId="19" fillId="8" borderId="0" xfId="0" applyFont="1" applyFill="1" applyAlignment="1" applyProtection="1">
      <alignment horizontal="center" vertical="top" wrapText="1"/>
      <protection locked="0"/>
    </xf>
    <xf numFmtId="0" fontId="19" fillId="9" borderId="0" xfId="0" applyFont="1" applyFill="1" applyAlignment="1" applyProtection="1">
      <alignment horizontal="center" vertical="top" wrapText="1"/>
      <protection locked="0"/>
    </xf>
    <xf numFmtId="0" fontId="19" fillId="4" borderId="0" xfId="0" applyFont="1" applyFill="1" applyAlignment="1" applyProtection="1">
      <alignment horizontal="center" vertical="top" wrapText="1"/>
      <protection locked="0"/>
    </xf>
    <xf numFmtId="0" fontId="19" fillId="6" borderId="0" xfId="0" applyFont="1" applyFill="1" applyAlignment="1" applyProtection="1">
      <alignment horizontal="center" vertical="top" wrapText="1"/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3" fillId="8" borderId="0" xfId="0" applyFont="1" applyFill="1" applyAlignment="1" applyProtection="1">
      <alignment vertical="center" wrapText="1"/>
      <protection locked="0"/>
    </xf>
    <xf numFmtId="0" fontId="0" fillId="8" borderId="0" xfId="0" applyFill="1" applyProtection="1">
      <protection locked="0"/>
    </xf>
    <xf numFmtId="0" fontId="24" fillId="0" borderId="0" xfId="0" applyFont="1" applyAlignment="1" applyProtection="1">
      <alignment vertical="top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166" fontId="7" fillId="0" borderId="11" xfId="0" applyNumberFormat="1" applyFont="1" applyBorder="1" applyAlignment="1" applyProtection="1">
      <alignment horizontal="center" vertical="center"/>
      <protection locked="0"/>
    </xf>
    <xf numFmtId="168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0" fillId="0" borderId="11" xfId="0" applyBorder="1" applyProtection="1">
      <protection locked="0"/>
    </xf>
    <xf numFmtId="0" fontId="8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horizontal="center" vertical="top"/>
      <protection locked="0"/>
    </xf>
    <xf numFmtId="165" fontId="5" fillId="2" borderId="2" xfId="0" applyNumberFormat="1" applyFont="1" applyFill="1" applyBorder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horizontal="center" vertical="top"/>
      <protection locked="0"/>
    </xf>
    <xf numFmtId="1" fontId="5" fillId="2" borderId="2" xfId="0" applyNumberFormat="1" applyFont="1" applyFill="1" applyBorder="1" applyAlignment="1" applyProtection="1">
      <alignment horizontal="center" vertical="top"/>
      <protection locked="0"/>
    </xf>
    <xf numFmtId="0" fontId="0" fillId="0" borderId="3" xfId="0" applyBorder="1" applyProtection="1"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horizontal="center" vertical="center" wrapText="1"/>
      <protection locked="0"/>
    </xf>
    <xf numFmtId="0" fontId="12" fillId="4" borderId="2" xfId="0" applyFont="1" applyFill="1" applyBorder="1" applyAlignment="1" applyProtection="1">
      <alignment horizontal="center" vertical="center" wrapText="1"/>
      <protection locked="0"/>
    </xf>
    <xf numFmtId="0" fontId="12" fillId="4" borderId="2" xfId="0" applyFont="1" applyFill="1" applyBorder="1" applyAlignment="1" applyProtection="1">
      <alignment horizontal="left" vertical="center" wrapText="1"/>
      <protection locked="0"/>
    </xf>
    <xf numFmtId="0" fontId="11" fillId="4" borderId="2" xfId="0" applyFont="1" applyFill="1" applyBorder="1" applyAlignment="1" applyProtection="1">
      <alignment horizontal="left" vertical="center" wrapText="1"/>
      <protection locked="0"/>
    </xf>
    <xf numFmtId="0" fontId="11" fillId="5" borderId="2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left" vertical="center" wrapText="1"/>
      <protection locked="0"/>
    </xf>
    <xf numFmtId="0" fontId="11" fillId="5" borderId="2" xfId="0" applyFont="1" applyFill="1" applyBorder="1" applyAlignment="1" applyProtection="1">
      <alignment horizontal="left" vertical="center" wrapText="1"/>
      <protection locked="0"/>
    </xf>
    <xf numFmtId="0" fontId="11" fillId="6" borderId="2" xfId="0" applyFont="1" applyFill="1" applyBorder="1" applyAlignment="1" applyProtection="1">
      <alignment horizontal="center" vertical="center" wrapText="1"/>
      <protection locked="0"/>
    </xf>
    <xf numFmtId="0" fontId="12" fillId="6" borderId="2" xfId="0" applyFont="1" applyFill="1" applyBorder="1" applyAlignment="1" applyProtection="1">
      <alignment horizontal="center" vertical="center" wrapText="1"/>
      <protection locked="0"/>
    </xf>
    <xf numFmtId="0" fontId="12" fillId="6" borderId="2" xfId="0" applyFont="1" applyFill="1" applyBorder="1" applyAlignment="1" applyProtection="1">
      <alignment horizontal="left" vertical="center" wrapText="1"/>
      <protection locked="0"/>
    </xf>
    <xf numFmtId="0" fontId="11" fillId="6" borderId="2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vertical="top"/>
      <protection locked="0"/>
    </xf>
    <xf numFmtId="0" fontId="35" fillId="3" borderId="2" xfId="0" applyFont="1" applyFill="1" applyBorder="1" applyAlignment="1" applyProtection="1">
      <alignment horizontal="center" vertical="center" wrapText="1"/>
      <protection locked="0"/>
    </xf>
    <xf numFmtId="0" fontId="35" fillId="7" borderId="2" xfId="0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166" fontId="5" fillId="2" borderId="2" xfId="0" applyNumberFormat="1" applyFont="1" applyFill="1" applyBorder="1" applyAlignment="1" applyProtection="1">
      <alignment horizontal="center" vertical="center"/>
      <protection locked="0"/>
    </xf>
    <xf numFmtId="167" fontId="5" fillId="2" borderId="2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166" fontId="7" fillId="0" borderId="2" xfId="0" applyNumberFormat="1" applyFont="1" applyBorder="1" applyAlignment="1" applyProtection="1">
      <alignment horizontal="center" vertical="center"/>
      <protection locked="0"/>
    </xf>
    <xf numFmtId="168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166" fontId="5" fillId="2" borderId="2" xfId="0" applyNumberFormat="1" applyFont="1" applyFill="1" applyBorder="1" applyAlignment="1" applyProtection="1">
      <alignment vertical="top"/>
      <protection locked="0"/>
    </xf>
    <xf numFmtId="167" fontId="5" fillId="2" borderId="2" xfId="0" applyNumberFormat="1" applyFont="1" applyFill="1" applyBorder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166" fontId="7" fillId="0" borderId="2" xfId="0" applyNumberFormat="1" applyFont="1" applyBorder="1" applyAlignment="1" applyProtection="1">
      <alignment horizontal="center" vertical="top"/>
      <protection locked="0"/>
    </xf>
    <xf numFmtId="168" fontId="7" fillId="0" borderId="2" xfId="0" applyNumberFormat="1" applyFont="1" applyBorder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vertical="top" wrapText="1"/>
      <protection locked="0"/>
    </xf>
    <xf numFmtId="0" fontId="0" fillId="0" borderId="4" xfId="0" applyBorder="1" applyProtection="1">
      <protection locked="0"/>
    </xf>
    <xf numFmtId="0" fontId="6" fillId="0" borderId="0" xfId="0" applyFont="1" applyProtection="1"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" fontId="7" fillId="0" borderId="2" xfId="0" applyNumberFormat="1" applyFont="1" applyBorder="1" applyAlignment="1" applyProtection="1">
      <alignment vertical="top"/>
      <protection locked="0"/>
    </xf>
    <xf numFmtId="166" fontId="7" fillId="0" borderId="2" xfId="0" applyNumberFormat="1" applyFont="1" applyBorder="1" applyAlignment="1" applyProtection="1">
      <alignment vertical="top"/>
      <protection locked="0"/>
    </xf>
    <xf numFmtId="168" fontId="7" fillId="0" borderId="2" xfId="0" applyNumberFormat="1" applyFont="1" applyBorder="1" applyAlignment="1" applyProtection="1">
      <alignment vertical="top"/>
      <protection locked="0"/>
    </xf>
    <xf numFmtId="0" fontId="7" fillId="0" borderId="2" xfId="0" applyFont="1" applyBorder="1" applyAlignment="1" applyProtection="1">
      <alignment vertical="top"/>
      <protection locked="0"/>
    </xf>
    <xf numFmtId="0" fontId="0" fillId="0" borderId="5" xfId="0" applyBorder="1" applyProtection="1">
      <protection locked="0"/>
    </xf>
    <xf numFmtId="0" fontId="36" fillId="0" borderId="0" xfId="0" applyFont="1" applyAlignment="1" applyProtection="1">
      <alignment horizontal="center"/>
      <protection locked="0"/>
    </xf>
    <xf numFmtId="168" fontId="7" fillId="0" borderId="2" xfId="0" applyNumberFormat="1" applyFont="1" applyBorder="1" applyAlignment="1" applyProtection="1">
      <alignment horizontal="center"/>
      <protection locked="0"/>
    </xf>
    <xf numFmtId="0" fontId="27" fillId="3" borderId="0" xfId="0" applyFont="1" applyFill="1" applyProtection="1"/>
    <xf numFmtId="0" fontId="16" fillId="3" borderId="0" xfId="0" applyFont="1" applyFill="1" applyAlignment="1" applyProtection="1">
      <alignment horizontal="right"/>
    </xf>
    <xf numFmtId="0" fontId="9" fillId="0" borderId="0" xfId="0" applyFont="1" applyAlignment="1" applyProtection="1">
      <alignment horizontal="right"/>
    </xf>
  </cellXfs>
  <cellStyles count="1">
    <cellStyle name="Normal" xfId="0" builtinId="0"/>
  </cellStyles>
  <dxfs count="23"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tr-TR"/>
              <a:t>Days left on each event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Events!$N$6</c:f>
              <c:strCache>
                <c:ptCount val="1"/>
                <c:pt idx="0">
                  <c:v>Days left (Notice)</c:v>
                </c:pt>
              </c:strCache>
            </c:strRef>
          </c:tx>
          <c:spPr>
            <a:solidFill>
              <a:srgbClr val="8B5CF6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Events!$B$7:$B$9</c:f>
              <c:strCache>
                <c:ptCount val="3"/>
                <c:pt idx="0">
                  <c:v>Rock in the north pile bores</c:v>
                </c:pt>
                <c:pt idx="1">
                  <c:v>Late bar schedule revision, raft bay 2</c:v>
                </c:pt>
                <c:pt idx="2">
                  <c:v>Groundwater in the raft excavation</c:v>
                </c:pt>
              </c:strCache>
            </c:strRef>
          </c:cat>
          <c:val>
            <c:numRef>
              <c:f>Events!$N$7:$N$9</c:f>
              <c:numCache>
                <c:formatCode>0;[Red]\-0</c:formatCode>
                <c:ptCount val="3"/>
                <c:pt idx="0">
                  <c:v>-13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1-4128-8D54-B64DB29BB002}"/>
            </c:ext>
          </c:extLst>
        </c:ser>
        <c:ser>
          <c:idx val="1"/>
          <c:order val="1"/>
          <c:tx>
            <c:strRef>
              <c:f>Events!$Q$6</c:f>
              <c:strCache>
                <c:ptCount val="1"/>
                <c:pt idx="0">
                  <c:v>Days left (claim)</c:v>
                </c:pt>
              </c:strCache>
            </c:strRef>
          </c:tx>
          <c:spPr>
            <a:solidFill>
              <a:srgbClr val="94A3B8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Events!$B$7:$B$9</c:f>
              <c:strCache>
                <c:ptCount val="3"/>
                <c:pt idx="0">
                  <c:v>Rock in the north pile bores</c:v>
                </c:pt>
                <c:pt idx="1">
                  <c:v>Late bar schedule revision, raft bay 2</c:v>
                </c:pt>
                <c:pt idx="2">
                  <c:v>Groundwater in the raft excavation</c:v>
                </c:pt>
              </c:strCache>
            </c:strRef>
          </c:cat>
          <c:val>
            <c:numRef>
              <c:f>Events!$Q$7:$Q$9</c:f>
              <c:numCache>
                <c:formatCode>0;[Red]\-0</c:formatCode>
                <c:ptCount val="3"/>
                <c:pt idx="0">
                  <c:v>43</c:v>
                </c:pt>
                <c:pt idx="1">
                  <c:v>44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1-4128-8D54-B64DB29BB002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0;[Red]\-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tr-TR"/>
              <a:t>The eleven clocks (days)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94A3B8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44-4D0C-AC38-52CF7E358CF8}"/>
              </c:ext>
            </c:extLst>
          </c:dPt>
          <c:dPt>
            <c:idx val="1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44-4D0C-AC38-52CF7E358CF8}"/>
              </c:ext>
            </c:extLst>
          </c:dPt>
          <c:dPt>
            <c:idx val="2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44-4D0C-AC38-52CF7E358CF8}"/>
              </c:ext>
            </c:extLst>
          </c:dPt>
          <c:dPt>
            <c:idx val="3"/>
            <c:invertIfNegative val="1"/>
            <c:bubble3D val="0"/>
            <c:spPr>
              <a:solidFill>
                <a:srgbClr val="047857"/>
              </a:solidFill>
              <a:ln>
                <a:solidFill>
                  <a:srgbClr val="04785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44-4D0C-AC38-52CF7E358CF8}"/>
              </c:ext>
            </c:extLst>
          </c:dPt>
          <c:dPt>
            <c:idx val="4"/>
            <c:invertIfNegative val="1"/>
            <c:bubble3D val="0"/>
            <c:spPr>
              <a:solidFill>
                <a:srgbClr val="047857"/>
              </a:solidFill>
              <a:ln>
                <a:solidFill>
                  <a:srgbClr val="04785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C44-4D0C-AC38-52CF7E358CF8}"/>
              </c:ext>
            </c:extLst>
          </c:dPt>
          <c:dPt>
            <c:idx val="5"/>
            <c:invertIfNegative val="1"/>
            <c:bubble3D val="0"/>
            <c:spPr>
              <a:solidFill>
                <a:srgbClr val="047857"/>
              </a:solidFill>
              <a:ln>
                <a:solidFill>
                  <a:srgbClr val="04785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C44-4D0C-AC38-52CF7E358CF8}"/>
              </c:ext>
            </c:extLst>
          </c:dPt>
          <c:dPt>
            <c:idx val="6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C44-4D0C-AC38-52CF7E358CF8}"/>
              </c:ext>
            </c:extLst>
          </c:dPt>
          <c:dPt>
            <c:idx val="7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C44-4D0C-AC38-52CF7E358CF8}"/>
              </c:ext>
            </c:extLst>
          </c:dPt>
          <c:dPt>
            <c:idx val="8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C44-4D0C-AC38-52CF7E358CF8}"/>
              </c:ext>
            </c:extLst>
          </c:dPt>
          <c:dPt>
            <c:idx val="9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C44-4D0C-AC38-52CF7E358CF8}"/>
              </c:ext>
            </c:extLst>
          </c:dPt>
          <c:dPt>
            <c:idx val="10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C44-4D0C-AC38-52CF7E358CF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'The clocks'!$C$7:$C$17</c:f>
              <c:strCache>
                <c:ptCount val="11"/>
                <c:pt idx="0">
                  <c:v>Notice of Claim</c:v>
                </c:pt>
                <c:pt idx="1">
                  <c:v>Fully detailed Claim, with the contractual basis</c:v>
                </c:pt>
                <c:pt idx="2">
                  <c:v>Notice of Dissatisfaction with a determination</c:v>
                </c:pt>
                <c:pt idx="3">
                  <c:v>Engineer says your Notice was late</c:v>
                </c:pt>
                <c:pt idx="4">
                  <c:v>Engineer answers your challenge to an instruction</c:v>
                </c:pt>
                <c:pt idx="5">
                  <c:v>Engineer declares a lapse</c:v>
                </c:pt>
                <c:pt idx="6">
                  <c:v>Consultation to reach agreement</c:v>
                </c:pt>
                <c:pt idx="7">
                  <c:v>Initial programme</c:v>
                </c:pt>
                <c:pt idx="8">
                  <c:v>Employer shows it can pay</c:v>
                </c:pt>
                <c:pt idx="9">
                  <c:v>Wait before suspending</c:v>
                </c:pt>
                <c:pt idx="10">
                  <c:v>Notice of a new Engineer</c:v>
                </c:pt>
              </c:strCache>
            </c:strRef>
          </c:cat>
          <c:val>
            <c:numRef>
              <c:f>'The clocks'!$A$7:$A$17</c:f>
              <c:numCache>
                <c:formatCode>General</c:formatCode>
                <c:ptCount val="11"/>
                <c:pt idx="0">
                  <c:v>28</c:v>
                </c:pt>
                <c:pt idx="1">
                  <c:v>84</c:v>
                </c:pt>
                <c:pt idx="2">
                  <c:v>28</c:v>
                </c:pt>
                <c:pt idx="3">
                  <c:v>14</c:v>
                </c:pt>
                <c:pt idx="4">
                  <c:v>7</c:v>
                </c:pt>
                <c:pt idx="5">
                  <c:v>14</c:v>
                </c:pt>
                <c:pt idx="6">
                  <c:v>42</c:v>
                </c:pt>
                <c:pt idx="7">
                  <c:v>28</c:v>
                </c:pt>
                <c:pt idx="8">
                  <c:v>28</c:v>
                </c:pt>
                <c:pt idx="9">
                  <c:v>21</c:v>
                </c:pt>
                <c:pt idx="10">
                  <c:v>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EC44-4D0C-AC38-52CF7E358CF8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5256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214100</xdr:colOff>
      <xdr:row>30</xdr:row>
      <xdr:rowOff>0</xdr:rowOff>
    </xdr:from>
    <xdr:ext cx="5256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eprojectcontrolhub.com/contract-week-10.html" TargetMode="External"/><Relationship Id="rId1" Type="http://schemas.openxmlformats.org/officeDocument/2006/relationships/hyperlink" Target="https://theprojectcontrolhub.com/contract-week-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3"/>
  <sheetViews>
    <sheetView showGridLines="0" workbookViewId="0"/>
  </sheetViews>
  <sheetFormatPr defaultRowHeight="14.4" x14ac:dyDescent="0.3"/>
  <cols>
    <col min="1" max="1" width="3" style="11" customWidth="1"/>
    <col min="2" max="2" width="7" style="11" customWidth="1"/>
    <col min="3" max="3" width="28" style="11" customWidth="1"/>
    <col min="4" max="4" width="72" style="11" customWidth="1"/>
    <col min="5" max="5" width="16" style="11" customWidth="1"/>
    <col min="6" max="6" width="3" style="11" customWidth="1"/>
    <col min="7" max="16384" width="8.88671875" style="11"/>
  </cols>
  <sheetData>
    <row r="1" spans="1:6" ht="12" customHeight="1" x14ac:dyDescent="0.3">
      <c r="A1" s="10"/>
      <c r="B1" s="10"/>
      <c r="C1" s="10"/>
      <c r="D1" s="10"/>
      <c r="E1" s="10"/>
      <c r="F1" s="10"/>
    </row>
    <row r="2" spans="1:6" ht="36" customHeight="1" x14ac:dyDescent="0.5">
      <c r="A2" s="10"/>
      <c r="B2" s="12" t="s">
        <v>0</v>
      </c>
      <c r="C2" s="10"/>
      <c r="D2" s="10"/>
      <c r="E2" s="10"/>
      <c r="F2" s="10"/>
    </row>
    <row r="3" spans="1:6" x14ac:dyDescent="0.3">
      <c r="A3" s="10"/>
      <c r="B3" s="13" t="s">
        <v>1</v>
      </c>
      <c r="C3" s="10"/>
      <c r="D3" s="10"/>
      <c r="E3" s="10"/>
      <c r="F3" s="10"/>
    </row>
    <row r="4" spans="1:6" x14ac:dyDescent="0.3">
      <c r="A4" s="10"/>
      <c r="B4" s="116" t="s">
        <v>2</v>
      </c>
      <c r="C4" s="10"/>
      <c r="D4" s="10"/>
      <c r="E4" s="10"/>
      <c r="F4" s="10"/>
    </row>
    <row r="5" spans="1:6" ht="10.050000000000001" customHeight="1" x14ac:dyDescent="0.3">
      <c r="A5" s="10"/>
      <c r="B5" s="10"/>
      <c r="C5" s="10"/>
      <c r="D5" s="10"/>
      <c r="E5" s="10"/>
      <c r="F5" s="10"/>
    </row>
    <row r="7" spans="1:6" x14ac:dyDescent="0.3">
      <c r="B7" s="14" t="s">
        <v>3</v>
      </c>
    </row>
    <row r="8" spans="1:6" ht="36" customHeight="1" x14ac:dyDescent="0.3">
      <c r="B8" s="15">
        <v>1</v>
      </c>
      <c r="C8" s="16" t="s">
        <v>4</v>
      </c>
      <c r="D8" s="17" t="s">
        <v>5</v>
      </c>
      <c r="E8" s="18" t="s">
        <v>6</v>
      </c>
    </row>
    <row r="9" spans="1:6" ht="36" customHeight="1" x14ac:dyDescent="0.3">
      <c r="B9" s="19">
        <v>2</v>
      </c>
      <c r="C9" s="16" t="s">
        <v>7</v>
      </c>
      <c r="D9" s="17" t="s">
        <v>8</v>
      </c>
      <c r="E9" s="18" t="s">
        <v>9</v>
      </c>
    </row>
    <row r="10" spans="1:6" ht="36" customHeight="1" x14ac:dyDescent="0.3">
      <c r="B10" s="19">
        <v>3</v>
      </c>
      <c r="C10" s="16" t="s">
        <v>7</v>
      </c>
      <c r="D10" s="17" t="s">
        <v>10</v>
      </c>
      <c r="E10" s="18" t="s">
        <v>11</v>
      </c>
    </row>
    <row r="11" spans="1:6" ht="36" customHeight="1" x14ac:dyDescent="0.3">
      <c r="B11" s="20">
        <v>4</v>
      </c>
      <c r="C11" s="16" t="s">
        <v>12</v>
      </c>
      <c r="D11" s="17" t="s">
        <v>13</v>
      </c>
      <c r="E11" s="18" t="s">
        <v>14</v>
      </c>
    </row>
    <row r="12" spans="1:6" ht="36" customHeight="1" x14ac:dyDescent="0.3">
      <c r="B12" s="21">
        <v>5</v>
      </c>
      <c r="C12" s="16" t="s">
        <v>15</v>
      </c>
      <c r="D12" s="17" t="s">
        <v>16</v>
      </c>
      <c r="E12" s="18" t="s">
        <v>14</v>
      </c>
    </row>
    <row r="14" spans="1:6" x14ac:dyDescent="0.3">
      <c r="B14" s="14" t="s">
        <v>17</v>
      </c>
    </row>
    <row r="15" spans="1:6" x14ac:dyDescent="0.3">
      <c r="C15" s="22" t="s">
        <v>18</v>
      </c>
      <c r="D15" s="23" t="s">
        <v>19</v>
      </c>
    </row>
    <row r="16" spans="1:6" x14ac:dyDescent="0.3">
      <c r="C16" s="22" t="s">
        <v>20</v>
      </c>
      <c r="D16" s="23" t="s">
        <v>21</v>
      </c>
    </row>
    <row r="17" spans="2:4" x14ac:dyDescent="0.3">
      <c r="C17" s="22" t="s">
        <v>22</v>
      </c>
      <c r="D17" s="23" t="s">
        <v>23</v>
      </c>
    </row>
    <row r="18" spans="2:4" x14ac:dyDescent="0.3">
      <c r="C18" s="22" t="s">
        <v>24</v>
      </c>
      <c r="D18" s="23" t="s">
        <v>25</v>
      </c>
    </row>
    <row r="20" spans="2:4" x14ac:dyDescent="0.3">
      <c r="B20" s="14" t="s">
        <v>26</v>
      </c>
    </row>
    <row r="21" spans="2:4" x14ac:dyDescent="0.3">
      <c r="C21" s="24" t="s">
        <v>27</v>
      </c>
      <c r="D21" s="23" t="s">
        <v>28</v>
      </c>
    </row>
    <row r="22" spans="2:4" x14ac:dyDescent="0.3">
      <c r="C22" s="25" t="s">
        <v>29</v>
      </c>
      <c r="D22" s="23" t="s">
        <v>30</v>
      </c>
    </row>
    <row r="23" spans="2:4" x14ac:dyDescent="0.3">
      <c r="C23" s="26" t="s">
        <v>31</v>
      </c>
      <c r="D23" s="23" t="s">
        <v>32</v>
      </c>
    </row>
    <row r="25" spans="2:4" x14ac:dyDescent="0.3">
      <c r="B25" s="14" t="s">
        <v>33</v>
      </c>
    </row>
    <row r="26" spans="2:4" x14ac:dyDescent="0.3">
      <c r="C26" s="27" t="s">
        <v>34</v>
      </c>
      <c r="D26" s="23" t="s">
        <v>35</v>
      </c>
    </row>
    <row r="27" spans="2:4" x14ac:dyDescent="0.3">
      <c r="C27" s="27" t="s">
        <v>36</v>
      </c>
      <c r="D27" s="23" t="s">
        <v>37</v>
      </c>
    </row>
    <row r="28" spans="2:4" x14ac:dyDescent="0.3">
      <c r="C28" s="27" t="s">
        <v>38</v>
      </c>
      <c r="D28" s="23" t="s">
        <v>39</v>
      </c>
    </row>
    <row r="29" spans="2:4" x14ac:dyDescent="0.3">
      <c r="C29" s="27" t="s">
        <v>40</v>
      </c>
      <c r="D29" s="23" t="s">
        <v>41</v>
      </c>
    </row>
    <row r="30" spans="2:4" x14ac:dyDescent="0.3">
      <c r="C30" s="27" t="s">
        <v>42</v>
      </c>
      <c r="D30" s="23" t="s">
        <v>43</v>
      </c>
    </row>
    <row r="31" spans="2:4" x14ac:dyDescent="0.3">
      <c r="C31" s="27" t="s">
        <v>44</v>
      </c>
      <c r="D31" s="23" t="s">
        <v>45</v>
      </c>
    </row>
    <row r="32" spans="2:4" x14ac:dyDescent="0.3">
      <c r="C32" s="27" t="s">
        <v>46</v>
      </c>
      <c r="D32" s="23" t="s">
        <v>47</v>
      </c>
    </row>
    <row r="34" spans="2:5" x14ac:dyDescent="0.3">
      <c r="B34" s="14" t="s">
        <v>48</v>
      </c>
    </row>
    <row r="35" spans="2:5" x14ac:dyDescent="0.3">
      <c r="C35" s="28" t="s">
        <v>49</v>
      </c>
    </row>
    <row r="36" spans="2:5" x14ac:dyDescent="0.3">
      <c r="C36" s="28" t="s">
        <v>50</v>
      </c>
    </row>
    <row r="38" spans="2:5" ht="25.95" customHeight="1" x14ac:dyDescent="0.3">
      <c r="B38" s="29" t="s">
        <v>51</v>
      </c>
      <c r="C38" s="30"/>
      <c r="D38" s="30"/>
      <c r="E38" s="30"/>
    </row>
    <row r="39" spans="2:5" x14ac:dyDescent="0.3">
      <c r="B39" s="30"/>
      <c r="C39" s="30"/>
      <c r="D39" s="30"/>
      <c r="E39" s="30"/>
    </row>
    <row r="40" spans="2:5" x14ac:dyDescent="0.3">
      <c r="B40" s="30"/>
      <c r="C40" s="30"/>
      <c r="D40" s="30"/>
      <c r="E40" s="30"/>
    </row>
    <row r="41" spans="2:5" x14ac:dyDescent="0.3">
      <c r="B41" s="30"/>
      <c r="C41" s="30"/>
      <c r="D41" s="30"/>
      <c r="E41" s="30"/>
    </row>
    <row r="43" spans="2:5" x14ac:dyDescent="0.3">
      <c r="B43" s="31" t="s">
        <v>52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38:E41"/>
  </mergeCells>
  <hyperlinks>
    <hyperlink ref="C8" location="'Setup'!A1" display="Setup  →" xr:uid="{00000000-0004-0000-0000-000000000000}"/>
    <hyperlink ref="C9" location="'Events'!A1" display="Events  →" xr:uid="{00000000-0004-0000-0000-000001000000}"/>
    <hyperlink ref="C10" location="'Events'!A1" display="Events  →" xr:uid="{00000000-0004-0000-0000-000002000000}"/>
    <hyperlink ref="C11" location="'Engineer clocks'!A1" display="Engineer clocks  →" xr:uid="{00000000-0004-0000-0000-000003000000}"/>
    <hyperlink ref="C12" location="'Determinations'!A1" display="Determinations  →" xr:uid="{00000000-0004-0000-0000-000004000000}"/>
    <hyperlink ref="C26" location="'Dashboard'!A1" display="Dashboard" xr:uid="{00000000-0004-0000-0000-000005000000}"/>
    <hyperlink ref="C27" location="'Setup'!A1" display="Setup" xr:uid="{00000000-0004-0000-0000-000006000000}"/>
    <hyperlink ref="C28" location="'The clocks'!A1" display="The clocks" xr:uid="{00000000-0004-0000-0000-000007000000}"/>
    <hyperlink ref="C29" location="'Events'!A1" display="Events" xr:uid="{00000000-0004-0000-0000-000008000000}"/>
    <hyperlink ref="C30" location="'Engineer clocks'!A1" display="Engineer clocks" xr:uid="{00000000-0004-0000-0000-000009000000}"/>
    <hyperlink ref="C31" location="'Determinations'!A1" display="Determinations" xr:uid="{00000000-0004-0000-0000-00000A000000}"/>
    <hyperlink ref="C32" location="'Deadlines'!A1" display="Deadlines" xr:uid="{00000000-0004-0000-0000-00000B000000}"/>
    <hyperlink ref="C35" r:id="rId1" xr:uid="{00000000-0004-0000-0000-00000C000000}"/>
    <hyperlink ref="C36" r:id="rId2" xr:uid="{00000000-0004-0000-0000-00000D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D28D9"/>
    <pageSetUpPr fitToPage="1"/>
  </sheetPr>
  <dimension ref="A1:N50"/>
  <sheetViews>
    <sheetView showGridLines="0" tabSelected="1" workbookViewId="0">
      <pane ySplit="3" topLeftCell="A4" activePane="bottomLeft" state="frozen"/>
      <selection pane="bottomLeft" activeCell="K2" sqref="K2:M2"/>
    </sheetView>
  </sheetViews>
  <sheetFormatPr defaultRowHeight="14.4" x14ac:dyDescent="0.3"/>
  <cols>
    <col min="1" max="1" width="2" style="11" customWidth="1"/>
    <col min="2" max="13" width="12.44140625" style="11" customWidth="1"/>
    <col min="14" max="14" width="2" style="11" customWidth="1"/>
    <col min="15" max="16384" width="8.88671875" style="11"/>
  </cols>
  <sheetData>
    <row r="1" spans="1:14" ht="10.050000000000001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1.95" customHeight="1" x14ac:dyDescent="0.4">
      <c r="A2" s="10"/>
      <c r="B2" s="32" t="s">
        <v>53</v>
      </c>
      <c r="C2" s="10"/>
      <c r="D2" s="10"/>
      <c r="E2" s="10"/>
      <c r="F2" s="10"/>
      <c r="G2" s="10"/>
      <c r="H2" s="10"/>
      <c r="I2" s="10"/>
      <c r="J2" s="10"/>
      <c r="K2" s="117" t="s">
        <v>54</v>
      </c>
      <c r="L2" s="30"/>
      <c r="M2" s="30"/>
      <c r="N2" s="10"/>
    </row>
    <row r="3" spans="1:14" ht="22.05" customHeight="1" x14ac:dyDescent="0.3">
      <c r="A3" s="10"/>
      <c r="B3" s="33" t="str">
        <f>IF(Setup!$B$7="","Fill in the Setup sheet first",IF(Setup!B6="","",Setup!B6&amp;"   ·   ")&amp;"as at "&amp;TEXT(Setup!$B$7,"d mmm yyyy")&amp;"   ·   "&amp;Setup!B8&amp;" Book: Notices go to "&amp;Setup!B9)</f>
        <v>Example project   ·   as at 13 Apr 2026   ·   Red Book: Notices go to the Engineer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1:14" ht="19.95" customHeight="1" x14ac:dyDescent="0.3">
      <c r="B5" s="34" t="s">
        <v>55</v>
      </c>
      <c r="C5" s="30"/>
      <c r="D5" s="35" t="s">
        <v>56</v>
      </c>
      <c r="E5" s="30"/>
      <c r="F5" s="36" t="s">
        <v>57</v>
      </c>
      <c r="G5" s="30"/>
      <c r="H5" s="35" t="s">
        <v>58</v>
      </c>
      <c r="I5" s="30"/>
      <c r="J5" s="37" t="s">
        <v>59</v>
      </c>
      <c r="K5" s="30"/>
      <c r="L5" s="36" t="s">
        <v>60</v>
      </c>
      <c r="M5" s="30"/>
    </row>
    <row r="6" spans="1:14" ht="22.05" customHeight="1" x14ac:dyDescent="0.3">
      <c r="B6" s="38">
        <f>COUNTIFS(Events!$B$7:$B$36,"&lt;&gt;",Events!$C$7:$C$36,"&lt;&gt;",Events!$R$7:$R$36,"")</f>
        <v>3</v>
      </c>
      <c r="C6" s="30"/>
      <c r="D6" s="39">
        <f>COUNTIFS(Events!$N$7:$N$36,"&gt;=0",Events!$N$7:$N$36,"&lt;="&amp;Setup!$B$10)</f>
        <v>1</v>
      </c>
      <c r="E6" s="30"/>
      <c r="F6" s="40">
        <f>COUNTIF(Events!$N$7:$N$36,"&lt;0")</f>
        <v>1</v>
      </c>
      <c r="G6" s="30"/>
      <c r="H6" s="39">
        <f>COUNTIF(Events!$T$7:$T$36,"Late: t*")</f>
        <v>0</v>
      </c>
      <c r="I6" s="30"/>
      <c r="J6" s="41">
        <f>COUNTIFS(Events!$Q$7:$Q$36,"&gt;=0",Events!$Q$7:$Q$36,"&lt;=14")</f>
        <v>0</v>
      </c>
      <c r="K6" s="30"/>
      <c r="L6" s="40">
        <f>COUNTIFS(Determinations!$F$7:$F$26,"&gt;=0")</f>
        <v>0</v>
      </c>
      <c r="M6" s="30"/>
    </row>
    <row r="7" spans="1:14" ht="22.05" customHeight="1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4" ht="22.05" customHeight="1" x14ac:dyDescent="0.3">
      <c r="B8" s="42" t="str">
        <f>"money at stake "&amp;TEXT(SUMIFS(Events!$E$7:$E$36,Events!$B$7:$B$36,"&lt;&gt;",Events!$R$7:$R$36,""),"$#,##0")</f>
        <v>money at stake $48,450</v>
      </c>
      <c r="C8" s="30"/>
      <c r="D8" s="43" t="str">
        <f>"within "&amp;Setup!$B$10&amp;" days, not yet served"</f>
        <v>within 7 days, not yet served</v>
      </c>
      <c r="E8" s="30"/>
      <c r="F8" s="44" t="str">
        <f>"serve now; hope the Engineer is slow"</f>
        <v>serve now; hope the Engineer is slow</v>
      </c>
      <c r="G8" s="30"/>
      <c r="H8" s="43" t="str">
        <f>"the Engineer's 14 days still running"</f>
        <v>the Engineer's 14 days still running</v>
      </c>
      <c r="I8" s="30"/>
      <c r="J8" s="45" t="str">
        <f>COUNTIF(Events!$Q$7:$Q$36,"&lt;0")&amp;" already past 84 days"</f>
        <v>0 already past 84 days</v>
      </c>
      <c r="K8" s="30"/>
      <c r="L8" s="44" t="str">
        <f>COUNTIF(Determinations!$H$7:$H$26,"Missed*")&amp;" determination(s) already final"</f>
        <v>0 determination(s) already final</v>
      </c>
      <c r="M8" s="30"/>
    </row>
    <row r="9" spans="1:14" x14ac:dyDescent="0.3">
      <c r="B9" s="46"/>
      <c r="C9" s="46"/>
      <c r="D9" s="47"/>
      <c r="E9" s="47"/>
      <c r="F9" s="48"/>
      <c r="G9" s="48"/>
      <c r="H9" s="47"/>
      <c r="I9" s="47"/>
      <c r="J9" s="49"/>
      <c r="K9" s="49"/>
      <c r="L9" s="48"/>
      <c r="M9" s="48"/>
    </row>
    <row r="11" spans="1:14" ht="22.05" customHeight="1" x14ac:dyDescent="0.3">
      <c r="B11" s="50" t="str">
        <f>"Missing a Notice does not reduce the entitlement: it ends it. Today "&amp;F6&amp;" event(s) are past the 28 days without a Notice, "&amp;D6&amp;" Notice(s) fall due within "&amp;Setup!$B$10&amp;" days, and "&amp;L6&amp;" determination(s) are on the one clock with no way back."</f>
        <v>Missing a Notice does not reduce the entitlement: it ends it. Today 1 event(s) are past the 28 days without a Notice, 1 Notice(s) fall due within 7 days, and 0 determination(s) are on the one clock with no way back.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1:14" ht="22.05" customHeight="1" x14ac:dyDescent="0.3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</row>
    <row r="14" spans="1:14" x14ac:dyDescent="0.3">
      <c r="B14" s="52" t="s">
        <v>61</v>
      </c>
    </row>
    <row r="15" spans="1:14" x14ac:dyDescent="0.3">
      <c r="B15" s="53" t="s">
        <v>62</v>
      </c>
      <c r="C15" s="53" t="s">
        <v>63</v>
      </c>
      <c r="D15" s="54" t="s">
        <v>64</v>
      </c>
      <c r="E15" s="30"/>
      <c r="F15" s="30"/>
      <c r="G15" s="30"/>
      <c r="H15" s="54" t="s">
        <v>65</v>
      </c>
      <c r="I15" s="30"/>
      <c r="J15" s="30"/>
      <c r="K15" s="54" t="s">
        <v>66</v>
      </c>
      <c r="L15" s="30"/>
      <c r="M15" s="30"/>
    </row>
    <row r="16" spans="1:14" ht="19.05" customHeight="1" x14ac:dyDescent="0.3">
      <c r="B16" s="55">
        <f>IFERROR(INDEX(Deadlines!$A$7:$A$106,MATCH(SMALL(Deadlines!$E$7:$E$106,1),Deadlines!$E$7:$E$106,0)),"")</f>
        <v>46112</v>
      </c>
      <c r="C16" s="56">
        <f>IF(B16="","",B16-Setup!$B$7)</f>
        <v>-13</v>
      </c>
      <c r="D16" s="57" t="str">
        <f>IFERROR(INDEX(Deadlines!$B$7:$B$106,MATCH(SMALL(Deadlines!$E$7:$E$106,1),Deadlines!$E$7:$E$106,0)),"")</f>
        <v>E01 · Rock in the north pile bores</v>
      </c>
      <c r="E16" s="58"/>
      <c r="F16" s="58"/>
      <c r="G16" s="58"/>
      <c r="H16" s="57" t="str">
        <f>IFERROR(INDEX(Deadlines!$C$7:$C$106,MATCH(SMALL(Deadlines!$E$7:$E$106,1),Deadlines!$E$7:$E$106,0)),"")</f>
        <v>Notice of Claim · 28 d</v>
      </c>
      <c r="I16" s="58"/>
      <c r="J16" s="58"/>
      <c r="K16" s="57" t="str">
        <f>IFERROR(INDEX(Deadlines!$D$7:$D$106,MATCH(SMALL(Deadlines!$E$7:$E$106,1),Deadlines!$E$7:$E$106,0)),"")</f>
        <v>Engineer silent 14 days</v>
      </c>
      <c r="L16" s="58"/>
      <c r="M16" s="58"/>
    </row>
    <row r="17" spans="2:13" ht="19.05" customHeight="1" x14ac:dyDescent="0.3">
      <c r="B17" s="55">
        <f>IFERROR(INDEX(Deadlines!$A$7:$A$106,MATCH(SMALL(Deadlines!$E$7:$E$106,2),Deadlines!$E$7:$E$106,0)),"")</f>
        <v>46129</v>
      </c>
      <c r="C17" s="56">
        <f>IF(B17="","",B17-Setup!$B$7)</f>
        <v>4</v>
      </c>
      <c r="D17" s="57" t="str">
        <f>IFERROR(INDEX(Deadlines!$B$7:$B$106,MATCH(SMALL(Deadlines!$E$7:$E$106,2),Deadlines!$E$7:$E$106,0)),"")</f>
        <v>E03 · Groundwater in the raft excavation</v>
      </c>
      <c r="E17" s="58"/>
      <c r="F17" s="58"/>
      <c r="G17" s="58"/>
      <c r="H17" s="57" t="str">
        <f>IFERROR(INDEX(Deadlines!$C$7:$C$106,MATCH(SMALL(Deadlines!$E$7:$E$106,2),Deadlines!$E$7:$E$106,0)),"")</f>
        <v>Notice of Claim · 28 d</v>
      </c>
      <c r="I17" s="58"/>
      <c r="J17" s="58"/>
      <c r="K17" s="57" t="str">
        <f>IFERROR(INDEX(Deadlines!$D$7:$D$106,MATCH(SMALL(Deadlines!$E$7:$E$106,2),Deadlines!$E$7:$E$106,0)),"")</f>
        <v>Engineer silent 14 days</v>
      </c>
      <c r="L17" s="58"/>
      <c r="M17" s="58"/>
    </row>
    <row r="18" spans="2:13" ht="19.05" customHeight="1" x14ac:dyDescent="0.3">
      <c r="B18" s="55">
        <f>IFERROR(INDEX(Deadlines!$A$7:$A$106,MATCH(SMALL(Deadlines!$E$7:$E$106,3),Deadlines!$E$7:$E$106,0)),"")</f>
        <v>46168</v>
      </c>
      <c r="C18" s="56">
        <f>IF(B18="","",B18-Setup!$B$7)</f>
        <v>43</v>
      </c>
      <c r="D18" s="57" t="str">
        <f>IFERROR(INDEX(Deadlines!$B$7:$B$106,MATCH(SMALL(Deadlines!$E$7:$E$106,3),Deadlines!$E$7:$E$106,0)),"")</f>
        <v>E01 · Rock in the north pile bores</v>
      </c>
      <c r="E18" s="58"/>
      <c r="F18" s="58"/>
      <c r="G18" s="58"/>
      <c r="H18" s="57" t="str">
        <f>IFERROR(INDEX(Deadlines!$C$7:$C$106,MATCH(SMALL(Deadlines!$E$7:$E$106,3),Deadlines!$E$7:$E$106,0)),"")</f>
        <v>Detailed claim · 84 d</v>
      </c>
      <c r="I18" s="58"/>
      <c r="J18" s="58"/>
      <c r="K18" s="57" t="str">
        <f>IFERROR(INDEX(Deadlines!$D$7:$D$106,MATCH(SMALL(Deadlines!$E$7:$E$106,3),Deadlines!$E$7:$E$106,0)),"")</f>
        <v>Engineer silent 14 days</v>
      </c>
      <c r="L18" s="58"/>
      <c r="M18" s="58"/>
    </row>
    <row r="19" spans="2:13" ht="19.05" customHeight="1" x14ac:dyDescent="0.3">
      <c r="B19" s="55">
        <f>IFERROR(INDEX(Deadlines!$A$7:$A$106,MATCH(SMALL(Deadlines!$E$7:$E$106,4),Deadlines!$E$7:$E$106,0)),"")</f>
        <v>46169</v>
      </c>
      <c r="C19" s="56">
        <f>IF(B19="","",B19-Setup!$B$7)</f>
        <v>44</v>
      </c>
      <c r="D19" s="57" t="str">
        <f>IFERROR(INDEX(Deadlines!$B$7:$B$106,MATCH(SMALL(Deadlines!$E$7:$E$106,4),Deadlines!$E$7:$E$106,0)),"")</f>
        <v>E02 · Late bar schedule revision, raft bay 2</v>
      </c>
      <c r="E19" s="58"/>
      <c r="F19" s="58"/>
      <c r="G19" s="58"/>
      <c r="H19" s="57" t="str">
        <f>IFERROR(INDEX(Deadlines!$C$7:$C$106,MATCH(SMALL(Deadlines!$E$7:$E$106,4),Deadlines!$E$7:$E$106,0)),"")</f>
        <v>Detailed claim · 84 d</v>
      </c>
      <c r="I19" s="58"/>
      <c r="J19" s="58"/>
      <c r="K19" s="57" t="str">
        <f>IFERROR(INDEX(Deadlines!$D$7:$D$106,MATCH(SMALL(Deadlines!$E$7:$E$106,4),Deadlines!$E$7:$E$106,0)),"")</f>
        <v>Engineer silent 14 days</v>
      </c>
      <c r="L19" s="58"/>
      <c r="M19" s="58"/>
    </row>
    <row r="20" spans="2:13" ht="19.05" customHeight="1" x14ac:dyDescent="0.3">
      <c r="B20" s="55">
        <f>IFERROR(INDEX(Deadlines!$A$7:$A$106,MATCH(SMALL(Deadlines!$E$7:$E$106,5),Deadlines!$E$7:$E$106,0)),"")</f>
        <v>46185</v>
      </c>
      <c r="C20" s="56">
        <f>IF(B20="","",B20-Setup!$B$7)</f>
        <v>60</v>
      </c>
      <c r="D20" s="57" t="str">
        <f>IFERROR(INDEX(Deadlines!$B$7:$B$106,MATCH(SMALL(Deadlines!$E$7:$E$106,5),Deadlines!$E$7:$E$106,0)),"")</f>
        <v>E03 · Groundwater in the raft excavation</v>
      </c>
      <c r="E20" s="58"/>
      <c r="F20" s="58"/>
      <c r="G20" s="58"/>
      <c r="H20" s="57" t="str">
        <f>IFERROR(INDEX(Deadlines!$C$7:$C$106,MATCH(SMALL(Deadlines!$E$7:$E$106,5),Deadlines!$E$7:$E$106,0)),"")</f>
        <v>Detailed claim · 84 d</v>
      </c>
      <c r="I20" s="58"/>
      <c r="J20" s="58"/>
      <c r="K20" s="57" t="str">
        <f>IFERROR(INDEX(Deadlines!$D$7:$D$106,MATCH(SMALL(Deadlines!$E$7:$E$106,5),Deadlines!$E$7:$E$106,0)),"")</f>
        <v>Engineer silent 14 days</v>
      </c>
      <c r="L20" s="58"/>
      <c r="M20" s="58"/>
    </row>
    <row r="21" spans="2:13" ht="19.05" customHeight="1" x14ac:dyDescent="0.3">
      <c r="B21" s="55" t="str">
        <f>IFERROR(INDEX(Deadlines!$A$7:$A$106,MATCH(SMALL(Deadlines!$E$7:$E$106,6),Deadlines!$E$7:$E$106,0)),"")</f>
        <v/>
      </c>
      <c r="C21" s="56" t="str">
        <f>IF(B21="","",B21-Setup!$B$7)</f>
        <v/>
      </c>
      <c r="D21" s="57" t="str">
        <f>IFERROR(INDEX(Deadlines!$B$7:$B$106,MATCH(SMALL(Deadlines!$E$7:$E$106,6),Deadlines!$E$7:$E$106,0)),"")</f>
        <v/>
      </c>
      <c r="E21" s="58"/>
      <c r="F21" s="58"/>
      <c r="G21" s="58"/>
      <c r="H21" s="57" t="str">
        <f>IFERROR(INDEX(Deadlines!$C$7:$C$106,MATCH(SMALL(Deadlines!$E$7:$E$106,6),Deadlines!$E$7:$E$106,0)),"")</f>
        <v/>
      </c>
      <c r="I21" s="58"/>
      <c r="J21" s="58"/>
      <c r="K21" s="57" t="str">
        <f>IFERROR(INDEX(Deadlines!$D$7:$D$106,MATCH(SMALL(Deadlines!$E$7:$E$106,6),Deadlines!$E$7:$E$106,0)),"")</f>
        <v/>
      </c>
      <c r="L21" s="58"/>
      <c r="M21" s="58"/>
    </row>
    <row r="22" spans="2:13" ht="19.05" customHeight="1" x14ac:dyDescent="0.3">
      <c r="B22" s="55" t="str">
        <f>IFERROR(INDEX(Deadlines!$A$7:$A$106,MATCH(SMALL(Deadlines!$E$7:$E$106,7),Deadlines!$E$7:$E$106,0)),"")</f>
        <v/>
      </c>
      <c r="C22" s="56" t="str">
        <f>IF(B22="","",B22-Setup!$B$7)</f>
        <v/>
      </c>
      <c r="D22" s="57" t="str">
        <f>IFERROR(INDEX(Deadlines!$B$7:$B$106,MATCH(SMALL(Deadlines!$E$7:$E$106,7),Deadlines!$E$7:$E$106,0)),"")</f>
        <v/>
      </c>
      <c r="E22" s="58"/>
      <c r="F22" s="58"/>
      <c r="G22" s="58"/>
      <c r="H22" s="57" t="str">
        <f>IFERROR(INDEX(Deadlines!$C$7:$C$106,MATCH(SMALL(Deadlines!$E$7:$E$106,7),Deadlines!$E$7:$E$106,0)),"")</f>
        <v/>
      </c>
      <c r="I22" s="58"/>
      <c r="J22" s="58"/>
      <c r="K22" s="57" t="str">
        <f>IFERROR(INDEX(Deadlines!$D$7:$D$106,MATCH(SMALL(Deadlines!$E$7:$E$106,7),Deadlines!$E$7:$E$106,0)),"")</f>
        <v/>
      </c>
      <c r="L22" s="58"/>
      <c r="M22" s="58"/>
    </row>
    <row r="23" spans="2:13" ht="19.05" customHeight="1" x14ac:dyDescent="0.3">
      <c r="B23" s="55" t="str">
        <f>IFERROR(INDEX(Deadlines!$A$7:$A$106,MATCH(SMALL(Deadlines!$E$7:$E$106,8),Deadlines!$E$7:$E$106,0)),"")</f>
        <v/>
      </c>
      <c r="C23" s="56" t="str">
        <f>IF(B23="","",B23-Setup!$B$7)</f>
        <v/>
      </c>
      <c r="D23" s="57" t="str">
        <f>IFERROR(INDEX(Deadlines!$B$7:$B$106,MATCH(SMALL(Deadlines!$E$7:$E$106,8),Deadlines!$E$7:$E$106,0)),"")</f>
        <v/>
      </c>
      <c r="E23" s="58"/>
      <c r="F23" s="58"/>
      <c r="G23" s="58"/>
      <c r="H23" s="57" t="str">
        <f>IFERROR(INDEX(Deadlines!$C$7:$C$106,MATCH(SMALL(Deadlines!$E$7:$E$106,8),Deadlines!$E$7:$E$106,0)),"")</f>
        <v/>
      </c>
      <c r="I23" s="58"/>
      <c r="J23" s="58"/>
      <c r="K23" s="57" t="str">
        <f>IFERROR(INDEX(Deadlines!$D$7:$D$106,MATCH(SMALL(Deadlines!$E$7:$E$106,8),Deadlines!$E$7:$E$106,0)),"")</f>
        <v/>
      </c>
      <c r="L23" s="58"/>
      <c r="M23" s="58"/>
    </row>
    <row r="24" spans="2:13" ht="19.05" customHeight="1" x14ac:dyDescent="0.3">
      <c r="B24" s="55" t="str">
        <f>IFERROR(INDEX(Deadlines!$A$7:$A$106,MATCH(SMALL(Deadlines!$E$7:$E$106,9),Deadlines!$E$7:$E$106,0)),"")</f>
        <v/>
      </c>
      <c r="C24" s="56" t="str">
        <f>IF(B24="","",B24-Setup!$B$7)</f>
        <v/>
      </c>
      <c r="D24" s="57" t="str">
        <f>IFERROR(INDEX(Deadlines!$B$7:$B$106,MATCH(SMALL(Deadlines!$E$7:$E$106,9),Deadlines!$E$7:$E$106,0)),"")</f>
        <v/>
      </c>
      <c r="E24" s="58"/>
      <c r="F24" s="58"/>
      <c r="G24" s="58"/>
      <c r="H24" s="57" t="str">
        <f>IFERROR(INDEX(Deadlines!$C$7:$C$106,MATCH(SMALL(Deadlines!$E$7:$E$106,9),Deadlines!$E$7:$E$106,0)),"")</f>
        <v/>
      </c>
      <c r="I24" s="58"/>
      <c r="J24" s="58"/>
      <c r="K24" s="57" t="str">
        <f>IFERROR(INDEX(Deadlines!$D$7:$D$106,MATCH(SMALL(Deadlines!$E$7:$E$106,9),Deadlines!$E$7:$E$106,0)),"")</f>
        <v/>
      </c>
      <c r="L24" s="58"/>
      <c r="M24" s="58"/>
    </row>
    <row r="25" spans="2:13" ht="19.05" customHeight="1" x14ac:dyDescent="0.3">
      <c r="B25" s="55" t="str">
        <f>IFERROR(INDEX(Deadlines!$A$7:$A$106,MATCH(SMALL(Deadlines!$E$7:$E$106,10),Deadlines!$E$7:$E$106,0)),"")</f>
        <v/>
      </c>
      <c r="C25" s="56" t="str">
        <f>IF(B25="","",B25-Setup!$B$7)</f>
        <v/>
      </c>
      <c r="D25" s="57" t="str">
        <f>IFERROR(INDEX(Deadlines!$B$7:$B$106,MATCH(SMALL(Deadlines!$E$7:$E$106,10),Deadlines!$E$7:$E$106,0)),"")</f>
        <v/>
      </c>
      <c r="E25" s="58"/>
      <c r="F25" s="58"/>
      <c r="G25" s="58"/>
      <c r="H25" s="57" t="str">
        <f>IFERROR(INDEX(Deadlines!$C$7:$C$106,MATCH(SMALL(Deadlines!$E$7:$E$106,10),Deadlines!$E$7:$E$106,0)),"")</f>
        <v/>
      </c>
      <c r="I25" s="58"/>
      <c r="J25" s="58"/>
      <c r="K25" s="57" t="str">
        <f>IFERROR(INDEX(Deadlines!$D$7:$D$106,MATCH(SMALL(Deadlines!$E$7:$E$106,10),Deadlines!$E$7:$E$106,0)),"")</f>
        <v/>
      </c>
      <c r="L25" s="58"/>
      <c r="M25" s="58"/>
    </row>
    <row r="26" spans="2:13" ht="19.05" customHeight="1" x14ac:dyDescent="0.3">
      <c r="B26" s="55" t="str">
        <f>IFERROR(INDEX(Deadlines!$A$7:$A$106,MATCH(SMALL(Deadlines!$E$7:$E$106,11),Deadlines!$E$7:$E$106,0)),"")</f>
        <v/>
      </c>
      <c r="C26" s="56" t="str">
        <f>IF(B26="","",B26-Setup!$B$7)</f>
        <v/>
      </c>
      <c r="D26" s="57" t="str">
        <f>IFERROR(INDEX(Deadlines!$B$7:$B$106,MATCH(SMALL(Deadlines!$E$7:$E$106,11),Deadlines!$E$7:$E$106,0)),"")</f>
        <v/>
      </c>
      <c r="E26" s="58"/>
      <c r="F26" s="58"/>
      <c r="G26" s="58"/>
      <c r="H26" s="57" t="str">
        <f>IFERROR(INDEX(Deadlines!$C$7:$C$106,MATCH(SMALL(Deadlines!$E$7:$E$106,11),Deadlines!$E$7:$E$106,0)),"")</f>
        <v/>
      </c>
      <c r="I26" s="58"/>
      <c r="J26" s="58"/>
      <c r="K26" s="57" t="str">
        <f>IFERROR(INDEX(Deadlines!$D$7:$D$106,MATCH(SMALL(Deadlines!$E$7:$E$106,11),Deadlines!$E$7:$E$106,0)),"")</f>
        <v/>
      </c>
      <c r="L26" s="58"/>
      <c r="M26" s="58"/>
    </row>
    <row r="27" spans="2:13" ht="19.05" customHeight="1" x14ac:dyDescent="0.3">
      <c r="B27" s="55" t="str">
        <f>IFERROR(INDEX(Deadlines!$A$7:$A$106,MATCH(SMALL(Deadlines!$E$7:$E$106,12),Deadlines!$E$7:$E$106,0)),"")</f>
        <v/>
      </c>
      <c r="C27" s="56" t="str">
        <f>IF(B27="","",B27-Setup!$B$7)</f>
        <v/>
      </c>
      <c r="D27" s="57" t="str">
        <f>IFERROR(INDEX(Deadlines!$B$7:$B$106,MATCH(SMALL(Deadlines!$E$7:$E$106,12),Deadlines!$E$7:$E$106,0)),"")</f>
        <v/>
      </c>
      <c r="E27" s="58"/>
      <c r="F27" s="58"/>
      <c r="G27" s="58"/>
      <c r="H27" s="57" t="str">
        <f>IFERROR(INDEX(Deadlines!$C$7:$C$106,MATCH(SMALL(Deadlines!$E$7:$E$106,12),Deadlines!$E$7:$E$106,0)),"")</f>
        <v/>
      </c>
      <c r="I27" s="58"/>
      <c r="J27" s="58"/>
      <c r="K27" s="57" t="str">
        <f>IFERROR(INDEX(Deadlines!$D$7:$D$106,MATCH(SMALL(Deadlines!$E$7:$E$106,12),Deadlines!$E$7:$E$106,0)),"")</f>
        <v/>
      </c>
      <c r="L27" s="58"/>
      <c r="M27" s="58"/>
    </row>
    <row r="30" spans="2:13" x14ac:dyDescent="0.3">
      <c r="B30" s="52" t="s">
        <v>67</v>
      </c>
    </row>
    <row r="48" spans="8:8" x14ac:dyDescent="0.3">
      <c r="H48" s="59" t="s">
        <v>68</v>
      </c>
    </row>
    <row r="50" spans="2:2" x14ac:dyDescent="0.3">
      <c r="B50" s="59" t="s">
        <v>69</v>
      </c>
    </row>
  </sheetData>
  <sheetProtection sheet="1" formatCells="0" formatColumns="0" formatRows="0" insertColumns="0" insertRows="0" insertHyperlinks="0" deleteColumns="0" deleteRows="0" sort="0" autoFilter="0" pivotTables="0"/>
  <mergeCells count="59">
    <mergeCell ref="B5:C5"/>
    <mergeCell ref="J6:K7"/>
    <mergeCell ref="K20:M20"/>
    <mergeCell ref="D5:E5"/>
    <mergeCell ref="D16:G16"/>
    <mergeCell ref="H5:I5"/>
    <mergeCell ref="H8:I8"/>
    <mergeCell ref="J8:K8"/>
    <mergeCell ref="H26:J26"/>
    <mergeCell ref="K16:M16"/>
    <mergeCell ref="D27:G27"/>
    <mergeCell ref="K25:M25"/>
    <mergeCell ref="K15:M15"/>
    <mergeCell ref="H20:J20"/>
    <mergeCell ref="K24:M24"/>
    <mergeCell ref="D17:G17"/>
    <mergeCell ref="K26:M26"/>
    <mergeCell ref="K21:M21"/>
    <mergeCell ref="H25:J25"/>
    <mergeCell ref="H21:J21"/>
    <mergeCell ref="K2:M2"/>
    <mergeCell ref="D26:G26"/>
    <mergeCell ref="H22:J22"/>
    <mergeCell ref="K27:M27"/>
    <mergeCell ref="L6:M7"/>
    <mergeCell ref="H19:J19"/>
    <mergeCell ref="F5:G5"/>
    <mergeCell ref="D20:G20"/>
    <mergeCell ref="H27:J27"/>
    <mergeCell ref="K23:M23"/>
    <mergeCell ref="L5:M5"/>
    <mergeCell ref="D19:G19"/>
    <mergeCell ref="K17:M17"/>
    <mergeCell ref="L8:M8"/>
    <mergeCell ref="F8:G8"/>
    <mergeCell ref="H15:J15"/>
    <mergeCell ref="B6:C7"/>
    <mergeCell ref="D15:G15"/>
    <mergeCell ref="H17:J17"/>
    <mergeCell ref="H16:J16"/>
    <mergeCell ref="D23:G23"/>
    <mergeCell ref="B8:C8"/>
    <mergeCell ref="D22:G22"/>
    <mergeCell ref="H18:J18"/>
    <mergeCell ref="B11:M12"/>
    <mergeCell ref="H23:J23"/>
    <mergeCell ref="D21:G21"/>
    <mergeCell ref="D6:E7"/>
    <mergeCell ref="K18:M18"/>
    <mergeCell ref="F6:G7"/>
    <mergeCell ref="D8:E8"/>
    <mergeCell ref="H6:I7"/>
    <mergeCell ref="D18:G18"/>
    <mergeCell ref="J5:K5"/>
    <mergeCell ref="K22:M22"/>
    <mergeCell ref="D25:G25"/>
    <mergeCell ref="D24:G24"/>
    <mergeCell ref="K19:M19"/>
    <mergeCell ref="H24:J24"/>
  </mergeCells>
  <conditionalFormatting sqref="B16:M27">
    <cfRule type="expression" dxfId="22" priority="5">
      <formula>AND(ISNUMBER($C16),$C16&lt;0)</formula>
    </cfRule>
  </conditionalFormatting>
  <conditionalFormatting sqref="D6">
    <cfRule type="cellIs" dxfId="20" priority="3" operator="greaterThan">
      <formula>0</formula>
    </cfRule>
  </conditionalFormatting>
  <conditionalFormatting sqref="F6">
    <cfRule type="cellIs" dxfId="19" priority="1" operator="greaterThan">
      <formula>0</formula>
    </cfRule>
  </conditionalFormatting>
  <conditionalFormatting sqref="H6">
    <cfRule type="cellIs" dxfId="18" priority="4" operator="greaterThan">
      <formula>0</formula>
    </cfRule>
  </conditionalFormatting>
  <conditionalFormatting sqref="L6">
    <cfRule type="cellIs" dxfId="17" priority="2" operator="greaterThan">
      <formula>0</formula>
    </cfRule>
  </conditionalFormatting>
  <printOptions horizontalCentered="1"/>
  <pageMargins left="0.4" right="0.4" top="0.5" bottom="0.5" header="0.5" footer="0.5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100-000006000000}">
            <xm:f>AND(ISNUMBER($C16),$C16&gt;=0,$C16&lt;=Setup!$B$10)</xm:f>
            <x14:dxf>
              <font>
                <b/>
                <color rgb="FFB45309"/>
                <name val="Arial"/>
              </font>
              <fill>
                <patternFill patternType="solid">
                  <fgColor rgb="FFFEF3C7"/>
                </patternFill>
              </fill>
            </x14:dxf>
          </x14:cfRule>
          <xm:sqref>B16:M27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13"/>
  <sheetViews>
    <sheetView showGridLines="0" workbookViewId="0">
      <selection activeCell="C26" sqref="C26"/>
    </sheetView>
  </sheetViews>
  <sheetFormatPr defaultRowHeight="14.4" x14ac:dyDescent="0.3"/>
  <cols>
    <col min="1" max="1" width="34" style="11" customWidth="1"/>
    <col min="2" max="2" width="22" style="11" customWidth="1"/>
    <col min="3" max="3" width="4" style="11" customWidth="1"/>
    <col min="4" max="4" width="60" style="11" customWidth="1"/>
    <col min="5" max="16384" width="8.88671875" style="11"/>
  </cols>
  <sheetData>
    <row r="1" spans="1:4" ht="28.05" customHeight="1" x14ac:dyDescent="0.4">
      <c r="A1" s="60" t="s">
        <v>36</v>
      </c>
      <c r="D1" s="118" t="s">
        <v>54</v>
      </c>
    </row>
    <row r="2" spans="1:4" x14ac:dyDescent="0.3">
      <c r="A2" s="61" t="s">
        <v>70</v>
      </c>
    </row>
    <row r="3" spans="1:4" x14ac:dyDescent="0.3">
      <c r="A3" s="62" t="s">
        <v>71</v>
      </c>
    </row>
    <row r="4" spans="1:4" x14ac:dyDescent="0.3">
      <c r="A4" s="63"/>
      <c r="B4" s="63"/>
      <c r="C4" s="63"/>
      <c r="D4" s="63"/>
    </row>
    <row r="6" spans="1:4" x14ac:dyDescent="0.3">
      <c r="A6" s="64" t="s">
        <v>72</v>
      </c>
      <c r="B6" s="65" t="s">
        <v>73</v>
      </c>
    </row>
    <row r="7" spans="1:4" x14ac:dyDescent="0.3">
      <c r="A7" s="64" t="s">
        <v>74</v>
      </c>
      <c r="B7" s="66">
        <v>46125</v>
      </c>
      <c r="D7" s="31" t="s">
        <v>75</v>
      </c>
    </row>
    <row r="8" spans="1:4" x14ac:dyDescent="0.3">
      <c r="A8" s="64" t="s">
        <v>76</v>
      </c>
      <c r="B8" s="65" t="s">
        <v>77</v>
      </c>
      <c r="D8" s="31" t="s">
        <v>78</v>
      </c>
    </row>
    <row r="9" spans="1:4" x14ac:dyDescent="0.3">
      <c r="A9" s="64" t="s">
        <v>79</v>
      </c>
      <c r="B9" s="67" t="str">
        <f>IF(B8="Silver","the other Party","the Engineer")</f>
        <v>the Engineer</v>
      </c>
      <c r="D9" s="31" t="s">
        <v>80</v>
      </c>
    </row>
    <row r="10" spans="1:4" x14ac:dyDescent="0.3">
      <c r="A10" s="64" t="s">
        <v>81</v>
      </c>
      <c r="B10" s="68">
        <v>7</v>
      </c>
      <c r="D10" s="31" t="s">
        <v>82</v>
      </c>
    </row>
    <row r="11" spans="1:4" x14ac:dyDescent="0.3">
      <c r="A11" s="64" t="s">
        <v>83</v>
      </c>
      <c r="B11" s="65" t="s">
        <v>84</v>
      </c>
    </row>
    <row r="13" spans="1:4" x14ac:dyDescent="0.3">
      <c r="A13" s="59" t="s">
        <v>85</v>
      </c>
    </row>
  </sheetData>
  <sheetProtection sheet="1" formatCells="0" formatColumns="0" formatRows="0" insertColumns="0" insertRows="0" insertHyperlinks="0" deleteColumns="0" deleteRows="0" sort="0" autoFilter="0" pivotTables="0"/>
  <dataValidations count="1">
    <dataValidation type="list" allowBlank="1" sqref="B8" xr:uid="{00000000-0002-0000-0200-000000000000}">
      <formula1>"Red,Yellow,Silver"</formula1>
    </dataValidation>
  </dataValidations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5CF6"/>
    <pageSetUpPr fitToPage="1"/>
  </sheetPr>
  <dimension ref="A1:G20"/>
  <sheetViews>
    <sheetView showGridLines="0" workbookViewId="0">
      <selection activeCell="D15" sqref="D15"/>
    </sheetView>
  </sheetViews>
  <sheetFormatPr defaultRowHeight="14.4" x14ac:dyDescent="0.3"/>
  <cols>
    <col min="1" max="1" width="8" style="11" customWidth="1"/>
    <col min="2" max="2" width="10" style="11" customWidth="1"/>
    <col min="3" max="3" width="46" style="11" customWidth="1"/>
    <col min="4" max="4" width="42" style="11" customWidth="1"/>
    <col min="5" max="5" width="14" style="11" customWidth="1"/>
    <col min="6" max="6" width="26" style="11" customWidth="1"/>
    <col min="7" max="16384" width="8.88671875" style="11"/>
  </cols>
  <sheetData>
    <row r="1" spans="1:7" ht="28.05" customHeight="1" x14ac:dyDescent="0.4">
      <c r="A1" s="60" t="s">
        <v>86</v>
      </c>
      <c r="F1" s="118" t="s">
        <v>54</v>
      </c>
    </row>
    <row r="2" spans="1:7" x14ac:dyDescent="0.3">
      <c r="A2" s="61" t="s">
        <v>87</v>
      </c>
    </row>
    <row r="3" spans="1:7" x14ac:dyDescent="0.3">
      <c r="A3" s="62" t="s">
        <v>88</v>
      </c>
    </row>
    <row r="4" spans="1:7" x14ac:dyDescent="0.3">
      <c r="A4" s="69"/>
      <c r="B4" s="69"/>
      <c r="C4" s="69"/>
      <c r="D4" s="69"/>
      <c r="E4" s="69"/>
      <c r="F4" s="69"/>
      <c r="G4" s="69"/>
    </row>
    <row r="6" spans="1:7" s="71" customFormat="1" ht="31.95" customHeight="1" x14ac:dyDescent="0.3">
      <c r="A6" s="70" t="s">
        <v>89</v>
      </c>
      <c r="B6" s="70" t="s">
        <v>90</v>
      </c>
      <c r="C6" s="70" t="s">
        <v>91</v>
      </c>
      <c r="D6" s="70" t="s">
        <v>92</v>
      </c>
      <c r="E6" s="70" t="s">
        <v>93</v>
      </c>
      <c r="F6" s="70" t="s">
        <v>66</v>
      </c>
    </row>
    <row r="7" spans="1:7" ht="22.05" customHeight="1" x14ac:dyDescent="0.3">
      <c r="A7" s="72">
        <v>28</v>
      </c>
      <c r="B7" s="73" t="s">
        <v>94</v>
      </c>
      <c r="C7" s="74" t="s">
        <v>95</v>
      </c>
      <c r="D7" s="74" t="s">
        <v>96</v>
      </c>
      <c r="E7" s="75" t="s">
        <v>27</v>
      </c>
      <c r="F7" s="74" t="s">
        <v>97</v>
      </c>
    </row>
    <row r="8" spans="1:7" ht="22.05" customHeight="1" x14ac:dyDescent="0.3">
      <c r="A8" s="72">
        <v>84</v>
      </c>
      <c r="B8" s="73" t="s">
        <v>98</v>
      </c>
      <c r="C8" s="74" t="s">
        <v>99</v>
      </c>
      <c r="D8" s="74" t="s">
        <v>100</v>
      </c>
      <c r="E8" s="75" t="s">
        <v>27</v>
      </c>
      <c r="F8" s="74" t="s">
        <v>97</v>
      </c>
    </row>
    <row r="9" spans="1:7" ht="22.05" customHeight="1" x14ac:dyDescent="0.3">
      <c r="A9" s="72">
        <v>28</v>
      </c>
      <c r="B9" s="73" t="s">
        <v>101</v>
      </c>
      <c r="C9" s="74" t="s">
        <v>102</v>
      </c>
      <c r="D9" s="74" t="s">
        <v>103</v>
      </c>
      <c r="E9" s="75" t="s">
        <v>27</v>
      </c>
      <c r="F9" s="74" t="s">
        <v>104</v>
      </c>
    </row>
    <row r="10" spans="1:7" ht="22.05" customHeight="1" x14ac:dyDescent="0.3">
      <c r="A10" s="76">
        <v>14</v>
      </c>
      <c r="B10" s="77" t="s">
        <v>105</v>
      </c>
      <c r="C10" s="78" t="s">
        <v>106</v>
      </c>
      <c r="D10" s="78" t="s">
        <v>107</v>
      </c>
      <c r="E10" s="79" t="s">
        <v>29</v>
      </c>
      <c r="F10" s="78" t="s">
        <v>11</v>
      </c>
    </row>
    <row r="11" spans="1:7" ht="22.05" customHeight="1" x14ac:dyDescent="0.3">
      <c r="A11" s="76">
        <v>7</v>
      </c>
      <c r="B11" s="77" t="s">
        <v>108</v>
      </c>
      <c r="C11" s="78" t="s">
        <v>109</v>
      </c>
      <c r="D11" s="78" t="s">
        <v>110</v>
      </c>
      <c r="E11" s="79" t="s">
        <v>29</v>
      </c>
      <c r="F11" s="78" t="s">
        <v>11</v>
      </c>
    </row>
    <row r="12" spans="1:7" ht="22.05" customHeight="1" x14ac:dyDescent="0.3">
      <c r="A12" s="76">
        <v>14</v>
      </c>
      <c r="B12" s="77" t="s">
        <v>98</v>
      </c>
      <c r="C12" s="78" t="s">
        <v>111</v>
      </c>
      <c r="D12" s="78" t="s">
        <v>112</v>
      </c>
      <c r="E12" s="79" t="s">
        <v>29</v>
      </c>
      <c r="F12" s="78" t="s">
        <v>11</v>
      </c>
    </row>
    <row r="13" spans="1:7" ht="22.05" customHeight="1" x14ac:dyDescent="0.3">
      <c r="A13" s="80">
        <v>42</v>
      </c>
      <c r="B13" s="81" t="s">
        <v>113</v>
      </c>
      <c r="C13" s="82" t="s">
        <v>114</v>
      </c>
      <c r="D13" s="82" t="s">
        <v>115</v>
      </c>
      <c r="E13" s="83" t="s">
        <v>31</v>
      </c>
      <c r="F13" s="82" t="s">
        <v>11</v>
      </c>
    </row>
    <row r="14" spans="1:7" ht="22.05" customHeight="1" x14ac:dyDescent="0.3">
      <c r="A14" s="80">
        <v>28</v>
      </c>
      <c r="B14" s="81" t="s">
        <v>116</v>
      </c>
      <c r="C14" s="82" t="s">
        <v>117</v>
      </c>
      <c r="D14" s="82" t="s">
        <v>118</v>
      </c>
      <c r="E14" s="83" t="s">
        <v>31</v>
      </c>
      <c r="F14" s="82" t="s">
        <v>11</v>
      </c>
    </row>
    <row r="15" spans="1:7" ht="22.05" customHeight="1" x14ac:dyDescent="0.3">
      <c r="A15" s="80">
        <v>28</v>
      </c>
      <c r="B15" s="81" t="s">
        <v>119</v>
      </c>
      <c r="C15" s="82" t="s">
        <v>120</v>
      </c>
      <c r="D15" s="82" t="s">
        <v>121</v>
      </c>
      <c r="E15" s="83" t="s">
        <v>31</v>
      </c>
      <c r="F15" s="82" t="s">
        <v>11</v>
      </c>
    </row>
    <row r="16" spans="1:7" ht="22.05" customHeight="1" x14ac:dyDescent="0.3">
      <c r="A16" s="80">
        <v>21</v>
      </c>
      <c r="B16" s="81" t="s">
        <v>122</v>
      </c>
      <c r="C16" s="82" t="s">
        <v>123</v>
      </c>
      <c r="D16" s="82" t="s">
        <v>124</v>
      </c>
      <c r="E16" s="83" t="s">
        <v>31</v>
      </c>
      <c r="F16" s="82" t="s">
        <v>11</v>
      </c>
    </row>
    <row r="17" spans="1:6" ht="22.05" customHeight="1" x14ac:dyDescent="0.3">
      <c r="A17" s="80">
        <v>42</v>
      </c>
      <c r="B17" s="81" t="s">
        <v>125</v>
      </c>
      <c r="C17" s="82" t="s">
        <v>126</v>
      </c>
      <c r="D17" s="82" t="s">
        <v>127</v>
      </c>
      <c r="E17" s="83" t="s">
        <v>31</v>
      </c>
      <c r="F17" s="82" t="s">
        <v>11</v>
      </c>
    </row>
    <row r="19" spans="1:6" x14ac:dyDescent="0.3">
      <c r="A19" s="84" t="s">
        <v>128</v>
      </c>
    </row>
    <row r="20" spans="1:6" x14ac:dyDescent="0.3">
      <c r="A20" s="84" t="s">
        <v>129</v>
      </c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5CF6"/>
    <pageSetUpPr fitToPage="1"/>
  </sheetPr>
  <dimension ref="A1:W36"/>
  <sheetViews>
    <sheetView showGridLines="0" zoomScale="90" zoomScaleNormal="90" workbookViewId="0">
      <pane xSplit="2" ySplit="6" topLeftCell="C7" activePane="bottomRight" state="frozen"/>
      <selection pane="topRight"/>
      <selection pane="bottomLeft"/>
      <selection pane="bottomRight" activeCell="G10" sqref="G10"/>
    </sheetView>
  </sheetViews>
  <sheetFormatPr defaultRowHeight="14.4" x14ac:dyDescent="0.3"/>
  <cols>
    <col min="1" max="1" width="6" style="11" customWidth="1"/>
    <col min="2" max="2" width="28" style="11" customWidth="1"/>
    <col min="3" max="3" width="12" style="11" customWidth="1"/>
    <col min="4" max="4" width="26" style="11" customWidth="1"/>
    <col min="5" max="5" width="12" style="11" customWidth="1"/>
    <col min="6" max="6" width="13" style="11" customWidth="1"/>
    <col min="7" max="7" width="12" style="11" customWidth="1"/>
    <col min="8" max="8" width="9" style="11" customWidth="1"/>
    <col min="9" max="11" width="10" style="11" customWidth="1"/>
    <col min="12" max="12" width="14" style="11" customWidth="1"/>
    <col min="13" max="13" width="12" style="11" customWidth="1"/>
    <col min="14" max="14" width="10" style="11" customWidth="1"/>
    <col min="15" max="15" width="14" style="11" customWidth="1"/>
    <col min="16" max="16" width="12" style="11" customWidth="1"/>
    <col min="17" max="17" width="10" style="11" customWidth="1"/>
    <col min="18" max="18" width="13" style="11" customWidth="1"/>
    <col min="19" max="19" width="11" style="11" customWidth="1"/>
    <col min="20" max="21" width="34" style="11" customWidth="1"/>
    <col min="22" max="22" width="36" style="11" customWidth="1"/>
    <col min="23" max="23" width="30" style="11" customWidth="1"/>
    <col min="24" max="16384" width="8.88671875" style="11"/>
  </cols>
  <sheetData>
    <row r="1" spans="1:23" ht="28.05" customHeight="1" x14ac:dyDescent="0.4">
      <c r="A1" s="60" t="s">
        <v>40</v>
      </c>
      <c r="W1" s="118" t="s">
        <v>54</v>
      </c>
    </row>
    <row r="2" spans="1:23" x14ac:dyDescent="0.3">
      <c r="A2" s="61" t="s">
        <v>130</v>
      </c>
    </row>
    <row r="3" spans="1:23" x14ac:dyDescent="0.3">
      <c r="A3" s="62" t="s">
        <v>131</v>
      </c>
    </row>
    <row r="4" spans="1:23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6" spans="1:23" s="87" customFormat="1" ht="38.4" customHeight="1" x14ac:dyDescent="0.3">
      <c r="A6" s="85" t="s">
        <v>132</v>
      </c>
      <c r="B6" s="85" t="s">
        <v>133</v>
      </c>
      <c r="C6" s="85" t="s">
        <v>134</v>
      </c>
      <c r="D6" s="85" t="s">
        <v>135</v>
      </c>
      <c r="E6" s="85" t="s">
        <v>136</v>
      </c>
      <c r="F6" s="85" t="s">
        <v>137</v>
      </c>
      <c r="G6" s="85" t="s">
        <v>138</v>
      </c>
      <c r="H6" s="86" t="s">
        <v>18</v>
      </c>
      <c r="I6" s="86" t="s">
        <v>20</v>
      </c>
      <c r="J6" s="86" t="s">
        <v>22</v>
      </c>
      <c r="K6" s="86" t="s">
        <v>24</v>
      </c>
      <c r="L6" s="85" t="s">
        <v>139</v>
      </c>
      <c r="M6" s="85" t="s">
        <v>140</v>
      </c>
      <c r="N6" s="85" t="s">
        <v>141</v>
      </c>
      <c r="O6" s="85" t="s">
        <v>142</v>
      </c>
      <c r="P6" s="85" t="s">
        <v>143</v>
      </c>
      <c r="Q6" s="85" t="s">
        <v>144</v>
      </c>
      <c r="R6" s="85" t="s">
        <v>145</v>
      </c>
      <c r="S6" s="85" t="s">
        <v>146</v>
      </c>
      <c r="T6" s="85" t="s">
        <v>147</v>
      </c>
      <c r="U6" s="85" t="s">
        <v>148</v>
      </c>
      <c r="V6" s="85" t="s">
        <v>149</v>
      </c>
      <c r="W6" s="85" t="s">
        <v>150</v>
      </c>
    </row>
    <row r="7" spans="1:23" s="97" customFormat="1" ht="39.6" x14ac:dyDescent="0.3">
      <c r="A7" s="88" t="s">
        <v>151</v>
      </c>
      <c r="B7" s="89" t="s">
        <v>152</v>
      </c>
      <c r="C7" s="90">
        <v>46084</v>
      </c>
      <c r="D7" s="89" t="s">
        <v>153</v>
      </c>
      <c r="E7" s="91">
        <v>48450</v>
      </c>
      <c r="F7" s="89" t="s">
        <v>84</v>
      </c>
      <c r="G7" s="90"/>
      <c r="H7" s="92"/>
      <c r="I7" s="92"/>
      <c r="J7" s="92"/>
      <c r="K7" s="92"/>
      <c r="L7" s="93" t="str">
        <f t="shared" ref="L7:L36" si="0">IF(G7="","",IF(COUNTIF(H7:K7,"Y")=4,"✔ valid","Check: "&amp;MID(IF(H7&lt;&gt;"Y",", writing","")&amp;IF(I7&lt;&gt;"Y",", identified","")&amp;IF(J7&lt;&gt;"Y",", delivery","")&amp;IF(K7&lt;&gt;"Y",", address",""),3,60)))</f>
        <v/>
      </c>
      <c r="M7" s="94">
        <f t="shared" ref="M7:M36" si="1">IF(C7="","",C7+28)</f>
        <v>46112</v>
      </c>
      <c r="N7" s="95">
        <f>IF(OR(C7="",G7&lt;&gt;""),"",M7-Setup!$B$7)</f>
        <v>-13</v>
      </c>
      <c r="O7" s="90"/>
      <c r="P7" s="94">
        <f t="shared" ref="P7:P36" si="2">IF(C7="","",C7+84)</f>
        <v>46168</v>
      </c>
      <c r="Q7" s="95">
        <f>IF(OR(C7="",R7&lt;&gt;""),"",P7-Setup!$B$7)</f>
        <v>43</v>
      </c>
      <c r="R7" s="90"/>
      <c r="S7" s="92"/>
      <c r="T7" s="96" t="str">
        <f>IF(OR(B7="",C7=""),"",IF(G7="",IF(Setup!$B$7&lt;=M7,"Notice due in "&amp;(M7-Setup!$B$7)&amp;" days",(Setup!$B$7-M7)&amp;" days past the 28: serve it now; the Engineer has 14 days to object"),IF(G7&lt;=M7,IF(L7="✔ valid","Served on time","Served on time, but it fails a test"),IF(O7&lt;&gt;"","Late, and the Engineer objected in time: argued in the determination",IF(Setup!$B$7&gt;G7+14,"Late, but no objection within 14 days: treated as valid","Late: the Engineer has until "&amp;TEXT(G7+14,"d mmm")&amp;" to object")))))</f>
        <v>13 days past the 28: serve it now; the Engineer has 14 days to object</v>
      </c>
      <c r="U7" s="96" t="str">
        <f>IF(OR(B7="",C7=""),"",IF(R7&lt;&gt;"",IF(S7="Y","Detailed claim in, with its contractual basis","Claim in without the contractual basis: the Notice may lapse"),IF(Setup!$B$7&lt;=P7,(P7-Setup!$B$7)&amp;" days left for the detailed claim","84 days passed: the Engineer has 14 days to declare a lapse")))</f>
        <v>43 days left for the detailed claim</v>
      </c>
      <c r="V7" s="96" t="str">
        <f>IF(OR(B7="",C7=""),"",IF(G7="","Serve the Notice of Claim: identified as a Notice, to "&amp;Setup!$B$9&amp;", the stated way",IF(L7&lt;&gt;"✔ valid","Re-serve: the Notice fails a test",IF(R7="","Build the detailed claim: due "&amp;TEXT(P7,"d mmm yyyy"),IF(S7&lt;&gt;"Y","Add the contractual basis to the claim","Wait: consultation, then the determination")))))</f>
        <v>Serve the Notice of Claim: identified as a Notice, to the Engineer, the stated way</v>
      </c>
      <c r="W7" s="89" t="s">
        <v>154</v>
      </c>
    </row>
    <row r="8" spans="1:23" s="97" customFormat="1" ht="26.4" x14ac:dyDescent="0.3">
      <c r="A8" s="88" t="s">
        <v>155</v>
      </c>
      <c r="B8" s="89" t="s">
        <v>156</v>
      </c>
      <c r="C8" s="90">
        <v>46085</v>
      </c>
      <c r="D8" s="89" t="s">
        <v>157</v>
      </c>
      <c r="E8" s="91"/>
      <c r="F8" s="89" t="s">
        <v>84</v>
      </c>
      <c r="G8" s="90">
        <v>46101</v>
      </c>
      <c r="H8" s="92" t="s">
        <v>158</v>
      </c>
      <c r="I8" s="92" t="s">
        <v>158</v>
      </c>
      <c r="J8" s="92" t="s">
        <v>158</v>
      </c>
      <c r="K8" s="92" t="s">
        <v>158</v>
      </c>
      <c r="L8" s="93" t="str">
        <f t="shared" si="0"/>
        <v>✔ valid</v>
      </c>
      <c r="M8" s="94">
        <f t="shared" si="1"/>
        <v>46113</v>
      </c>
      <c r="N8" s="95" t="str">
        <f>IF(OR(C8="",G8&lt;&gt;""),"",M8-Setup!$B$7)</f>
        <v/>
      </c>
      <c r="O8" s="90"/>
      <c r="P8" s="94">
        <f t="shared" si="2"/>
        <v>46169</v>
      </c>
      <c r="Q8" s="95">
        <f>IF(OR(C8="",R8&lt;&gt;""),"",P8-Setup!$B$7)</f>
        <v>44</v>
      </c>
      <c r="R8" s="90"/>
      <c r="S8" s="92"/>
      <c r="T8" s="96" t="str">
        <f>IF(OR(B8="",C8=""),"",IF(G8="",IF(Setup!$B$7&lt;=M8,"Notice due in "&amp;(M8-Setup!$B$7)&amp;" days",(Setup!$B$7-M8)&amp;" days past the 28: serve it now; the Engineer has 14 days to object"),IF(G8&lt;=M8,IF(L8="✔ valid","Served on time","Served on time, but it fails a test"),IF(O8&lt;&gt;"","Late, and the Engineer objected in time: argued in the determination",IF(Setup!$B$7&gt;G8+14,"Late, but no objection within 14 days: treated as valid","Late: the Engineer has until "&amp;TEXT(G8+14,"d mmm")&amp;" to object")))))</f>
        <v>Served on time</v>
      </c>
      <c r="U8" s="96" t="str">
        <f>IF(OR(B8="",C8=""),"",IF(R8&lt;&gt;"",IF(S8="Y","Detailed claim in, with its contractual basis","Claim in without the contractual basis: the Notice may lapse"),IF(Setup!$B$7&lt;=P8,(P8-Setup!$B$7)&amp;" days left for the detailed claim","84 days passed: the Engineer has 14 days to declare a lapse")))</f>
        <v>44 days left for the detailed claim</v>
      </c>
      <c r="V8" s="96" t="str">
        <f>IF(OR(B8="",C8=""),"",IF(G8="","Serve the Notice of Claim: identified as a Notice, to "&amp;Setup!$B$9&amp;", the stated way",IF(L8&lt;&gt;"✔ valid","Re-serve: the Notice fails a test",IF(R8="","Build the detailed claim: due "&amp;TEXT(P8,"d mmm yyyy"),IF(S8&lt;&gt;"Y","Add the contractual basis to the claim","Wait: consultation, then the determination")))))</f>
        <v>Build the detailed claim: due 27 May 2026</v>
      </c>
      <c r="W8" s="89" t="s">
        <v>159</v>
      </c>
    </row>
    <row r="9" spans="1:23" s="97" customFormat="1" ht="26.4" x14ac:dyDescent="0.3">
      <c r="A9" s="88" t="s">
        <v>160</v>
      </c>
      <c r="B9" s="89" t="s">
        <v>161</v>
      </c>
      <c r="C9" s="90">
        <v>46101</v>
      </c>
      <c r="D9" s="89" t="s">
        <v>162</v>
      </c>
      <c r="E9" s="91"/>
      <c r="F9" s="89" t="s">
        <v>84</v>
      </c>
      <c r="G9" s="90"/>
      <c r="H9" s="92"/>
      <c r="I9" s="92"/>
      <c r="J9" s="92"/>
      <c r="K9" s="92"/>
      <c r="L9" s="93" t="str">
        <f t="shared" si="0"/>
        <v/>
      </c>
      <c r="M9" s="94">
        <f t="shared" si="1"/>
        <v>46129</v>
      </c>
      <c r="N9" s="95">
        <f>IF(OR(C9="",G9&lt;&gt;""),"",M9-Setup!$B$7)</f>
        <v>4</v>
      </c>
      <c r="O9" s="90"/>
      <c r="P9" s="94">
        <f t="shared" si="2"/>
        <v>46185</v>
      </c>
      <c r="Q9" s="95">
        <f>IF(OR(C9="",R9&lt;&gt;""),"",P9-Setup!$B$7)</f>
        <v>60</v>
      </c>
      <c r="R9" s="90"/>
      <c r="S9" s="92"/>
      <c r="T9" s="96" t="str">
        <f>IF(OR(B9="",C9=""),"",IF(G9="",IF(Setup!$B$7&lt;=M9,"Notice due in "&amp;(M9-Setup!$B$7)&amp;" days",(Setup!$B$7-M9)&amp;" days past the 28: serve it now; the Engineer has 14 days to object"),IF(G9&lt;=M9,IF(L9="✔ valid","Served on time","Served on time, but it fails a test"),IF(O9&lt;&gt;"","Late, and the Engineer objected in time: argued in the determination",IF(Setup!$B$7&gt;G9+14,"Late, but no objection within 14 days: treated as valid","Late: the Engineer has until "&amp;TEXT(G9+14,"d mmm")&amp;" to object")))))</f>
        <v>Notice due in 4 days</v>
      </c>
      <c r="U9" s="96" t="str">
        <f>IF(OR(B9="",C9=""),"",IF(R9&lt;&gt;"",IF(S9="Y","Detailed claim in, with its contractual basis","Claim in without the contractual basis: the Notice may lapse"),IF(Setup!$B$7&lt;=P9,(P9-Setup!$B$7)&amp;" days left for the detailed claim","84 days passed: the Engineer has 14 days to declare a lapse")))</f>
        <v>60 days left for the detailed claim</v>
      </c>
      <c r="V9" s="96" t="str">
        <f>IF(OR(B9="",C9=""),"",IF(G9="","Serve the Notice of Claim: identified as a Notice, to "&amp;Setup!$B$9&amp;", the stated way",IF(L9&lt;&gt;"✔ valid","Re-serve: the Notice fails a test",IF(R9="","Build the detailed claim: due "&amp;TEXT(P9,"d mmm yyyy"),IF(S9&lt;&gt;"Y","Add the contractual basis to the claim","Wait: consultation, then the determination")))))</f>
        <v>Serve the Notice of Claim: identified as a Notice, to the Engineer, the stated way</v>
      </c>
      <c r="W9" s="89" t="s">
        <v>163</v>
      </c>
    </row>
    <row r="10" spans="1:23" x14ac:dyDescent="0.3">
      <c r="A10" s="98" t="s">
        <v>164</v>
      </c>
      <c r="B10" s="99"/>
      <c r="C10" s="100"/>
      <c r="D10" s="99"/>
      <c r="E10" s="101"/>
      <c r="F10" s="99"/>
      <c r="G10" s="100"/>
      <c r="H10" s="102"/>
      <c r="I10" s="102"/>
      <c r="J10" s="102"/>
      <c r="K10" s="102"/>
      <c r="L10" s="67" t="str">
        <f t="shared" si="0"/>
        <v/>
      </c>
      <c r="M10" s="103" t="str">
        <f t="shared" si="1"/>
        <v/>
      </c>
      <c r="N10" s="104" t="str">
        <f>IF(OR(C10="",G10&lt;&gt;""),"",M10-Setup!$B$7)</f>
        <v/>
      </c>
      <c r="O10" s="100"/>
      <c r="P10" s="103" t="str">
        <f t="shared" si="2"/>
        <v/>
      </c>
      <c r="Q10" s="104" t="str">
        <f>IF(OR(C10="",R10&lt;&gt;""),"",P10-Setup!$B$7)</f>
        <v/>
      </c>
      <c r="R10" s="100"/>
      <c r="S10" s="102"/>
      <c r="T10" s="105" t="str">
        <f>IF(OR(B10="",C10=""),"",IF(G10="",IF(Setup!$B$7&lt;=M10,"Notice due in "&amp;(M10-Setup!$B$7)&amp;" days",(Setup!$B$7-M10)&amp;" days past the 28: serve it now; the Engineer has 14 days to object"),IF(G10&lt;=M10,IF(L10="✔ valid","Served on time","Served on time, but it fails a test"),IF(O10&lt;&gt;"","Late, and the Engineer objected in time: argued in the determination",IF(Setup!$B$7&gt;G10+14,"Late, but no objection within 14 days: treated as valid","Late: the Engineer has until "&amp;TEXT(G10+14,"d mmm")&amp;" to object")))))</f>
        <v/>
      </c>
      <c r="U10" s="105" t="str">
        <f>IF(OR(B10="",C10=""),"",IF(R10&lt;&gt;"",IF(S10="Y","Detailed claim in, with its contractual basis","Claim in without the contractual basis: the Notice may lapse"),IF(Setup!$B$7&lt;=P10,(P10-Setup!$B$7)&amp;" days left for the detailed claim","84 days passed: the Engineer has 14 days to declare a lapse")))</f>
        <v/>
      </c>
      <c r="V10" s="105" t="str">
        <f>IF(OR(B10="",C10=""),"",IF(G10="","Serve the Notice of Claim: identified as a Notice, to "&amp;Setup!$B$9&amp;", the stated way",IF(L10&lt;&gt;"✔ valid","Re-serve: the Notice fails a test",IF(R10="","Build the detailed claim: due "&amp;TEXT(P10,"d mmm yyyy"),IF(S10&lt;&gt;"Y","Add the contractual basis to the claim","Wait: consultation, then the determination")))))</f>
        <v/>
      </c>
      <c r="W10" s="99"/>
    </row>
    <row r="11" spans="1:23" x14ac:dyDescent="0.3">
      <c r="A11" s="98" t="s">
        <v>165</v>
      </c>
      <c r="B11" s="99"/>
      <c r="C11" s="100"/>
      <c r="D11" s="99"/>
      <c r="E11" s="101"/>
      <c r="F11" s="99"/>
      <c r="G11" s="100"/>
      <c r="H11" s="102"/>
      <c r="I11" s="102"/>
      <c r="J11" s="102"/>
      <c r="K11" s="102"/>
      <c r="L11" s="67" t="str">
        <f t="shared" si="0"/>
        <v/>
      </c>
      <c r="M11" s="103" t="str">
        <f t="shared" si="1"/>
        <v/>
      </c>
      <c r="N11" s="104" t="str">
        <f>IF(OR(C11="",G11&lt;&gt;""),"",M11-Setup!$B$7)</f>
        <v/>
      </c>
      <c r="O11" s="100"/>
      <c r="P11" s="103" t="str">
        <f t="shared" si="2"/>
        <v/>
      </c>
      <c r="Q11" s="104" t="str">
        <f>IF(OR(C11="",R11&lt;&gt;""),"",P11-Setup!$B$7)</f>
        <v/>
      </c>
      <c r="R11" s="100"/>
      <c r="S11" s="102"/>
      <c r="T11" s="105" t="str">
        <f>IF(OR(B11="",C11=""),"",IF(G11="",IF(Setup!$B$7&lt;=M11,"Notice due in "&amp;(M11-Setup!$B$7)&amp;" days",(Setup!$B$7-M11)&amp;" days past the 28: serve it now; the Engineer has 14 days to object"),IF(G11&lt;=M11,IF(L11="✔ valid","Served on time","Served on time, but it fails a test"),IF(O11&lt;&gt;"","Late, and the Engineer objected in time: argued in the determination",IF(Setup!$B$7&gt;G11+14,"Late, but no objection within 14 days: treated as valid","Late: the Engineer has until "&amp;TEXT(G11+14,"d mmm")&amp;" to object")))))</f>
        <v/>
      </c>
      <c r="U11" s="105" t="str">
        <f>IF(OR(B11="",C11=""),"",IF(R11&lt;&gt;"",IF(S11="Y","Detailed claim in, with its contractual basis","Claim in without the contractual basis: the Notice may lapse"),IF(Setup!$B$7&lt;=P11,(P11-Setup!$B$7)&amp;" days left for the detailed claim","84 days passed: the Engineer has 14 days to declare a lapse")))</f>
        <v/>
      </c>
      <c r="V11" s="105" t="str">
        <f>IF(OR(B11="",C11=""),"",IF(G11="","Serve the Notice of Claim: identified as a Notice, to "&amp;Setup!$B$9&amp;", the stated way",IF(L11&lt;&gt;"✔ valid","Re-serve: the Notice fails a test",IF(R11="","Build the detailed claim: due "&amp;TEXT(P11,"d mmm yyyy"),IF(S11&lt;&gt;"Y","Add the contractual basis to the claim","Wait: consultation, then the determination")))))</f>
        <v/>
      </c>
      <c r="W11" s="99"/>
    </row>
    <row r="12" spans="1:23" x14ac:dyDescent="0.3">
      <c r="A12" s="98" t="s">
        <v>166</v>
      </c>
      <c r="B12" s="99"/>
      <c r="C12" s="100"/>
      <c r="D12" s="99"/>
      <c r="E12" s="101"/>
      <c r="F12" s="99"/>
      <c r="G12" s="100"/>
      <c r="H12" s="102"/>
      <c r="I12" s="102"/>
      <c r="J12" s="102"/>
      <c r="K12" s="102"/>
      <c r="L12" s="67" t="str">
        <f t="shared" si="0"/>
        <v/>
      </c>
      <c r="M12" s="103" t="str">
        <f t="shared" si="1"/>
        <v/>
      </c>
      <c r="N12" s="104" t="str">
        <f>IF(OR(C12="",G12&lt;&gt;""),"",M12-Setup!$B$7)</f>
        <v/>
      </c>
      <c r="O12" s="100"/>
      <c r="P12" s="103" t="str">
        <f t="shared" si="2"/>
        <v/>
      </c>
      <c r="Q12" s="104" t="str">
        <f>IF(OR(C12="",R12&lt;&gt;""),"",P12-Setup!$B$7)</f>
        <v/>
      </c>
      <c r="R12" s="100"/>
      <c r="S12" s="102"/>
      <c r="T12" s="105" t="str">
        <f>IF(OR(B12="",C12=""),"",IF(G12="",IF(Setup!$B$7&lt;=M12,"Notice due in "&amp;(M12-Setup!$B$7)&amp;" days",(Setup!$B$7-M12)&amp;" days past the 28: serve it now; the Engineer has 14 days to object"),IF(G12&lt;=M12,IF(L12="✔ valid","Served on time","Served on time, but it fails a test"),IF(O12&lt;&gt;"","Late, and the Engineer objected in time: argued in the determination",IF(Setup!$B$7&gt;G12+14,"Late, but no objection within 14 days: treated as valid","Late: the Engineer has until "&amp;TEXT(G12+14,"d mmm")&amp;" to object")))))</f>
        <v/>
      </c>
      <c r="U12" s="105" t="str">
        <f>IF(OR(B12="",C12=""),"",IF(R12&lt;&gt;"",IF(S12="Y","Detailed claim in, with its contractual basis","Claim in without the contractual basis: the Notice may lapse"),IF(Setup!$B$7&lt;=P12,(P12-Setup!$B$7)&amp;" days left for the detailed claim","84 days passed: the Engineer has 14 days to declare a lapse")))</f>
        <v/>
      </c>
      <c r="V12" s="105" t="str">
        <f>IF(OR(B12="",C12=""),"",IF(G12="","Serve the Notice of Claim: identified as a Notice, to "&amp;Setup!$B$9&amp;", the stated way",IF(L12&lt;&gt;"✔ valid","Re-serve: the Notice fails a test",IF(R12="","Build the detailed claim: due "&amp;TEXT(P12,"d mmm yyyy"),IF(S12&lt;&gt;"Y","Add the contractual basis to the claim","Wait: consultation, then the determination")))))</f>
        <v/>
      </c>
      <c r="W12" s="99"/>
    </row>
    <row r="13" spans="1:23" x14ac:dyDescent="0.3">
      <c r="A13" s="98" t="s">
        <v>167</v>
      </c>
      <c r="B13" s="99"/>
      <c r="C13" s="100"/>
      <c r="D13" s="99"/>
      <c r="E13" s="101"/>
      <c r="F13" s="99"/>
      <c r="G13" s="100"/>
      <c r="H13" s="102"/>
      <c r="I13" s="102"/>
      <c r="J13" s="102"/>
      <c r="K13" s="102"/>
      <c r="L13" s="67" t="str">
        <f t="shared" si="0"/>
        <v/>
      </c>
      <c r="M13" s="103" t="str">
        <f t="shared" si="1"/>
        <v/>
      </c>
      <c r="N13" s="104" t="str">
        <f>IF(OR(C13="",G13&lt;&gt;""),"",M13-Setup!$B$7)</f>
        <v/>
      </c>
      <c r="O13" s="100"/>
      <c r="P13" s="103" t="str">
        <f t="shared" si="2"/>
        <v/>
      </c>
      <c r="Q13" s="104" t="str">
        <f>IF(OR(C13="",R13&lt;&gt;""),"",P13-Setup!$B$7)</f>
        <v/>
      </c>
      <c r="R13" s="100"/>
      <c r="S13" s="102"/>
      <c r="T13" s="105" t="str">
        <f>IF(OR(B13="",C13=""),"",IF(G13="",IF(Setup!$B$7&lt;=M13,"Notice due in "&amp;(M13-Setup!$B$7)&amp;" days",(Setup!$B$7-M13)&amp;" days past the 28: serve it now; the Engineer has 14 days to object"),IF(G13&lt;=M13,IF(L13="✔ valid","Served on time","Served on time, but it fails a test"),IF(O13&lt;&gt;"","Late, and the Engineer objected in time: argued in the determination",IF(Setup!$B$7&gt;G13+14,"Late, but no objection within 14 days: treated as valid","Late: the Engineer has until "&amp;TEXT(G13+14,"d mmm")&amp;" to object")))))</f>
        <v/>
      </c>
      <c r="U13" s="105" t="str">
        <f>IF(OR(B13="",C13=""),"",IF(R13&lt;&gt;"",IF(S13="Y","Detailed claim in, with its contractual basis","Claim in without the contractual basis: the Notice may lapse"),IF(Setup!$B$7&lt;=P13,(P13-Setup!$B$7)&amp;" days left for the detailed claim","84 days passed: the Engineer has 14 days to declare a lapse")))</f>
        <v/>
      </c>
      <c r="V13" s="105" t="str">
        <f>IF(OR(B13="",C13=""),"",IF(G13="","Serve the Notice of Claim: identified as a Notice, to "&amp;Setup!$B$9&amp;", the stated way",IF(L13&lt;&gt;"✔ valid","Re-serve: the Notice fails a test",IF(R13="","Build the detailed claim: due "&amp;TEXT(P13,"d mmm yyyy"),IF(S13&lt;&gt;"Y","Add the contractual basis to the claim","Wait: consultation, then the determination")))))</f>
        <v/>
      </c>
      <c r="W13" s="99"/>
    </row>
    <row r="14" spans="1:23" x14ac:dyDescent="0.3">
      <c r="A14" s="98" t="s">
        <v>168</v>
      </c>
      <c r="B14" s="99"/>
      <c r="C14" s="100"/>
      <c r="D14" s="99"/>
      <c r="E14" s="101"/>
      <c r="F14" s="99"/>
      <c r="G14" s="100"/>
      <c r="H14" s="102"/>
      <c r="I14" s="102"/>
      <c r="J14" s="102"/>
      <c r="K14" s="102"/>
      <c r="L14" s="67" t="str">
        <f t="shared" si="0"/>
        <v/>
      </c>
      <c r="M14" s="103" t="str">
        <f t="shared" si="1"/>
        <v/>
      </c>
      <c r="N14" s="104" t="str">
        <f>IF(OR(C14="",G14&lt;&gt;""),"",M14-Setup!$B$7)</f>
        <v/>
      </c>
      <c r="O14" s="100"/>
      <c r="P14" s="103" t="str">
        <f t="shared" si="2"/>
        <v/>
      </c>
      <c r="Q14" s="104" t="str">
        <f>IF(OR(C14="",R14&lt;&gt;""),"",P14-Setup!$B$7)</f>
        <v/>
      </c>
      <c r="R14" s="100"/>
      <c r="S14" s="102"/>
      <c r="T14" s="105" t="str">
        <f>IF(OR(B14="",C14=""),"",IF(G14="",IF(Setup!$B$7&lt;=M14,"Notice due in "&amp;(M14-Setup!$B$7)&amp;" days",(Setup!$B$7-M14)&amp;" days past the 28: serve it now; the Engineer has 14 days to object"),IF(G14&lt;=M14,IF(L14="✔ valid","Served on time","Served on time, but it fails a test"),IF(O14&lt;&gt;"","Late, and the Engineer objected in time: argued in the determination",IF(Setup!$B$7&gt;G14+14,"Late, but no objection within 14 days: treated as valid","Late: the Engineer has until "&amp;TEXT(G14+14,"d mmm")&amp;" to object")))))</f>
        <v/>
      </c>
      <c r="U14" s="105" t="str">
        <f>IF(OR(B14="",C14=""),"",IF(R14&lt;&gt;"",IF(S14="Y","Detailed claim in, with its contractual basis","Claim in without the contractual basis: the Notice may lapse"),IF(Setup!$B$7&lt;=P14,(P14-Setup!$B$7)&amp;" days left for the detailed claim","84 days passed: the Engineer has 14 days to declare a lapse")))</f>
        <v/>
      </c>
      <c r="V14" s="105" t="str">
        <f>IF(OR(B14="",C14=""),"",IF(G14="","Serve the Notice of Claim: identified as a Notice, to "&amp;Setup!$B$9&amp;", the stated way",IF(L14&lt;&gt;"✔ valid","Re-serve: the Notice fails a test",IF(R14="","Build the detailed claim: due "&amp;TEXT(P14,"d mmm yyyy"),IF(S14&lt;&gt;"Y","Add the contractual basis to the claim","Wait: consultation, then the determination")))))</f>
        <v/>
      </c>
      <c r="W14" s="99"/>
    </row>
    <row r="15" spans="1:23" x14ac:dyDescent="0.3">
      <c r="A15" s="98" t="s">
        <v>169</v>
      </c>
      <c r="B15" s="99"/>
      <c r="C15" s="100"/>
      <c r="D15" s="99"/>
      <c r="E15" s="101"/>
      <c r="F15" s="99"/>
      <c r="G15" s="100"/>
      <c r="H15" s="102"/>
      <c r="I15" s="102"/>
      <c r="J15" s="102"/>
      <c r="K15" s="102"/>
      <c r="L15" s="67" t="str">
        <f t="shared" si="0"/>
        <v/>
      </c>
      <c r="M15" s="103" t="str">
        <f t="shared" si="1"/>
        <v/>
      </c>
      <c r="N15" s="104" t="str">
        <f>IF(OR(C15="",G15&lt;&gt;""),"",M15-Setup!$B$7)</f>
        <v/>
      </c>
      <c r="O15" s="100"/>
      <c r="P15" s="103" t="str">
        <f t="shared" si="2"/>
        <v/>
      </c>
      <c r="Q15" s="104" t="str">
        <f>IF(OR(C15="",R15&lt;&gt;""),"",P15-Setup!$B$7)</f>
        <v/>
      </c>
      <c r="R15" s="100"/>
      <c r="S15" s="102"/>
      <c r="T15" s="105" t="str">
        <f>IF(OR(B15="",C15=""),"",IF(G15="",IF(Setup!$B$7&lt;=M15,"Notice due in "&amp;(M15-Setup!$B$7)&amp;" days",(Setup!$B$7-M15)&amp;" days past the 28: serve it now; the Engineer has 14 days to object"),IF(G15&lt;=M15,IF(L15="✔ valid","Served on time","Served on time, but it fails a test"),IF(O15&lt;&gt;"","Late, and the Engineer objected in time: argued in the determination",IF(Setup!$B$7&gt;G15+14,"Late, but no objection within 14 days: treated as valid","Late: the Engineer has until "&amp;TEXT(G15+14,"d mmm")&amp;" to object")))))</f>
        <v/>
      </c>
      <c r="U15" s="105" t="str">
        <f>IF(OR(B15="",C15=""),"",IF(R15&lt;&gt;"",IF(S15="Y","Detailed claim in, with its contractual basis","Claim in without the contractual basis: the Notice may lapse"),IF(Setup!$B$7&lt;=P15,(P15-Setup!$B$7)&amp;" days left for the detailed claim","84 days passed: the Engineer has 14 days to declare a lapse")))</f>
        <v/>
      </c>
      <c r="V15" s="105" t="str">
        <f>IF(OR(B15="",C15=""),"",IF(G15="","Serve the Notice of Claim: identified as a Notice, to "&amp;Setup!$B$9&amp;", the stated way",IF(L15&lt;&gt;"✔ valid","Re-serve: the Notice fails a test",IF(R15="","Build the detailed claim: due "&amp;TEXT(P15,"d mmm yyyy"),IF(S15&lt;&gt;"Y","Add the contractual basis to the claim","Wait: consultation, then the determination")))))</f>
        <v/>
      </c>
      <c r="W15" s="99"/>
    </row>
    <row r="16" spans="1:23" x14ac:dyDescent="0.3">
      <c r="A16" s="98" t="s">
        <v>170</v>
      </c>
      <c r="B16" s="99"/>
      <c r="C16" s="100"/>
      <c r="D16" s="99"/>
      <c r="E16" s="101"/>
      <c r="F16" s="99"/>
      <c r="G16" s="100"/>
      <c r="H16" s="102"/>
      <c r="I16" s="102"/>
      <c r="J16" s="102"/>
      <c r="K16" s="102"/>
      <c r="L16" s="67" t="str">
        <f t="shared" si="0"/>
        <v/>
      </c>
      <c r="M16" s="103" t="str">
        <f t="shared" si="1"/>
        <v/>
      </c>
      <c r="N16" s="104" t="str">
        <f>IF(OR(C16="",G16&lt;&gt;""),"",M16-Setup!$B$7)</f>
        <v/>
      </c>
      <c r="O16" s="100"/>
      <c r="P16" s="103" t="str">
        <f t="shared" si="2"/>
        <v/>
      </c>
      <c r="Q16" s="104" t="str">
        <f>IF(OR(C16="",R16&lt;&gt;""),"",P16-Setup!$B$7)</f>
        <v/>
      </c>
      <c r="R16" s="100"/>
      <c r="S16" s="102"/>
      <c r="T16" s="105" t="str">
        <f>IF(OR(B16="",C16=""),"",IF(G16="",IF(Setup!$B$7&lt;=M16,"Notice due in "&amp;(M16-Setup!$B$7)&amp;" days",(Setup!$B$7-M16)&amp;" days past the 28: serve it now; the Engineer has 14 days to object"),IF(G16&lt;=M16,IF(L16="✔ valid","Served on time","Served on time, but it fails a test"),IF(O16&lt;&gt;"","Late, and the Engineer objected in time: argued in the determination",IF(Setup!$B$7&gt;G16+14,"Late, but no objection within 14 days: treated as valid","Late: the Engineer has until "&amp;TEXT(G16+14,"d mmm")&amp;" to object")))))</f>
        <v/>
      </c>
      <c r="U16" s="105" t="str">
        <f>IF(OR(B16="",C16=""),"",IF(R16&lt;&gt;"",IF(S16="Y","Detailed claim in, with its contractual basis","Claim in without the contractual basis: the Notice may lapse"),IF(Setup!$B$7&lt;=P16,(P16-Setup!$B$7)&amp;" days left for the detailed claim","84 days passed: the Engineer has 14 days to declare a lapse")))</f>
        <v/>
      </c>
      <c r="V16" s="105" t="str">
        <f>IF(OR(B16="",C16=""),"",IF(G16="","Serve the Notice of Claim: identified as a Notice, to "&amp;Setup!$B$9&amp;", the stated way",IF(L16&lt;&gt;"✔ valid","Re-serve: the Notice fails a test",IF(R16="","Build the detailed claim: due "&amp;TEXT(P16,"d mmm yyyy"),IF(S16&lt;&gt;"Y","Add the contractual basis to the claim","Wait: consultation, then the determination")))))</f>
        <v/>
      </c>
      <c r="W16" s="99"/>
    </row>
    <row r="17" spans="1:23" x14ac:dyDescent="0.3">
      <c r="A17" s="98" t="s">
        <v>171</v>
      </c>
      <c r="B17" s="99"/>
      <c r="C17" s="100"/>
      <c r="D17" s="99"/>
      <c r="E17" s="101"/>
      <c r="F17" s="99"/>
      <c r="G17" s="100"/>
      <c r="H17" s="102"/>
      <c r="I17" s="102"/>
      <c r="J17" s="102"/>
      <c r="K17" s="102"/>
      <c r="L17" s="67" t="str">
        <f t="shared" si="0"/>
        <v/>
      </c>
      <c r="M17" s="103" t="str">
        <f t="shared" si="1"/>
        <v/>
      </c>
      <c r="N17" s="104" t="str">
        <f>IF(OR(C17="",G17&lt;&gt;""),"",M17-Setup!$B$7)</f>
        <v/>
      </c>
      <c r="O17" s="100"/>
      <c r="P17" s="103" t="str">
        <f t="shared" si="2"/>
        <v/>
      </c>
      <c r="Q17" s="104" t="str">
        <f>IF(OR(C17="",R17&lt;&gt;""),"",P17-Setup!$B$7)</f>
        <v/>
      </c>
      <c r="R17" s="100"/>
      <c r="S17" s="102"/>
      <c r="T17" s="105" t="str">
        <f>IF(OR(B17="",C17=""),"",IF(G17="",IF(Setup!$B$7&lt;=M17,"Notice due in "&amp;(M17-Setup!$B$7)&amp;" days",(Setup!$B$7-M17)&amp;" days past the 28: serve it now; the Engineer has 14 days to object"),IF(G17&lt;=M17,IF(L17="✔ valid","Served on time","Served on time, but it fails a test"),IF(O17&lt;&gt;"","Late, and the Engineer objected in time: argued in the determination",IF(Setup!$B$7&gt;G17+14,"Late, but no objection within 14 days: treated as valid","Late: the Engineer has until "&amp;TEXT(G17+14,"d mmm")&amp;" to object")))))</f>
        <v/>
      </c>
      <c r="U17" s="105" t="str">
        <f>IF(OR(B17="",C17=""),"",IF(R17&lt;&gt;"",IF(S17="Y","Detailed claim in, with its contractual basis","Claim in without the contractual basis: the Notice may lapse"),IF(Setup!$B$7&lt;=P17,(P17-Setup!$B$7)&amp;" days left for the detailed claim","84 days passed: the Engineer has 14 days to declare a lapse")))</f>
        <v/>
      </c>
      <c r="V17" s="105" t="str">
        <f>IF(OR(B17="",C17=""),"",IF(G17="","Serve the Notice of Claim: identified as a Notice, to "&amp;Setup!$B$9&amp;", the stated way",IF(L17&lt;&gt;"✔ valid","Re-serve: the Notice fails a test",IF(R17="","Build the detailed claim: due "&amp;TEXT(P17,"d mmm yyyy"),IF(S17&lt;&gt;"Y","Add the contractual basis to the claim","Wait: consultation, then the determination")))))</f>
        <v/>
      </c>
      <c r="W17" s="99"/>
    </row>
    <row r="18" spans="1:23" x14ac:dyDescent="0.3">
      <c r="A18" s="98" t="s">
        <v>172</v>
      </c>
      <c r="B18" s="99"/>
      <c r="C18" s="100"/>
      <c r="D18" s="99"/>
      <c r="E18" s="101"/>
      <c r="F18" s="99"/>
      <c r="G18" s="100"/>
      <c r="H18" s="102"/>
      <c r="I18" s="102"/>
      <c r="J18" s="102"/>
      <c r="K18" s="102"/>
      <c r="L18" s="67" t="str">
        <f t="shared" si="0"/>
        <v/>
      </c>
      <c r="M18" s="103" t="str">
        <f t="shared" si="1"/>
        <v/>
      </c>
      <c r="N18" s="104" t="str">
        <f>IF(OR(C18="",G18&lt;&gt;""),"",M18-Setup!$B$7)</f>
        <v/>
      </c>
      <c r="O18" s="100"/>
      <c r="P18" s="103" t="str">
        <f t="shared" si="2"/>
        <v/>
      </c>
      <c r="Q18" s="104" t="str">
        <f>IF(OR(C18="",R18&lt;&gt;""),"",P18-Setup!$B$7)</f>
        <v/>
      </c>
      <c r="R18" s="100"/>
      <c r="S18" s="102"/>
      <c r="T18" s="105" t="str">
        <f>IF(OR(B18="",C18=""),"",IF(G18="",IF(Setup!$B$7&lt;=M18,"Notice due in "&amp;(M18-Setup!$B$7)&amp;" days",(Setup!$B$7-M18)&amp;" days past the 28: serve it now; the Engineer has 14 days to object"),IF(G18&lt;=M18,IF(L18="✔ valid","Served on time","Served on time, but it fails a test"),IF(O18&lt;&gt;"","Late, and the Engineer objected in time: argued in the determination",IF(Setup!$B$7&gt;G18+14,"Late, but no objection within 14 days: treated as valid","Late: the Engineer has until "&amp;TEXT(G18+14,"d mmm")&amp;" to object")))))</f>
        <v/>
      </c>
      <c r="U18" s="105" t="str">
        <f>IF(OR(B18="",C18=""),"",IF(R18&lt;&gt;"",IF(S18="Y","Detailed claim in, with its contractual basis","Claim in without the contractual basis: the Notice may lapse"),IF(Setup!$B$7&lt;=P18,(P18-Setup!$B$7)&amp;" days left for the detailed claim","84 days passed: the Engineer has 14 days to declare a lapse")))</f>
        <v/>
      </c>
      <c r="V18" s="105" t="str">
        <f>IF(OR(B18="",C18=""),"",IF(G18="","Serve the Notice of Claim: identified as a Notice, to "&amp;Setup!$B$9&amp;", the stated way",IF(L18&lt;&gt;"✔ valid","Re-serve: the Notice fails a test",IF(R18="","Build the detailed claim: due "&amp;TEXT(P18,"d mmm yyyy"),IF(S18&lt;&gt;"Y","Add the contractual basis to the claim","Wait: consultation, then the determination")))))</f>
        <v/>
      </c>
      <c r="W18" s="99"/>
    </row>
    <row r="19" spans="1:23" x14ac:dyDescent="0.3">
      <c r="A19" s="98" t="s">
        <v>173</v>
      </c>
      <c r="B19" s="99"/>
      <c r="C19" s="100"/>
      <c r="D19" s="99"/>
      <c r="E19" s="101"/>
      <c r="F19" s="99"/>
      <c r="G19" s="100"/>
      <c r="H19" s="102"/>
      <c r="I19" s="102"/>
      <c r="J19" s="102"/>
      <c r="K19" s="102"/>
      <c r="L19" s="67" t="str">
        <f t="shared" si="0"/>
        <v/>
      </c>
      <c r="M19" s="103" t="str">
        <f t="shared" si="1"/>
        <v/>
      </c>
      <c r="N19" s="104" t="str">
        <f>IF(OR(C19="",G19&lt;&gt;""),"",M19-Setup!$B$7)</f>
        <v/>
      </c>
      <c r="O19" s="100"/>
      <c r="P19" s="103" t="str">
        <f t="shared" si="2"/>
        <v/>
      </c>
      <c r="Q19" s="104" t="str">
        <f>IF(OR(C19="",R19&lt;&gt;""),"",P19-Setup!$B$7)</f>
        <v/>
      </c>
      <c r="R19" s="100"/>
      <c r="S19" s="102"/>
      <c r="T19" s="105" t="str">
        <f>IF(OR(B19="",C19=""),"",IF(G19="",IF(Setup!$B$7&lt;=M19,"Notice due in "&amp;(M19-Setup!$B$7)&amp;" days",(Setup!$B$7-M19)&amp;" days past the 28: serve it now; the Engineer has 14 days to object"),IF(G19&lt;=M19,IF(L19="✔ valid","Served on time","Served on time, but it fails a test"),IF(O19&lt;&gt;"","Late, and the Engineer objected in time: argued in the determination",IF(Setup!$B$7&gt;G19+14,"Late, but no objection within 14 days: treated as valid","Late: the Engineer has until "&amp;TEXT(G19+14,"d mmm")&amp;" to object")))))</f>
        <v/>
      </c>
      <c r="U19" s="105" t="str">
        <f>IF(OR(B19="",C19=""),"",IF(R19&lt;&gt;"",IF(S19="Y","Detailed claim in, with its contractual basis","Claim in without the contractual basis: the Notice may lapse"),IF(Setup!$B$7&lt;=P19,(P19-Setup!$B$7)&amp;" days left for the detailed claim","84 days passed: the Engineer has 14 days to declare a lapse")))</f>
        <v/>
      </c>
      <c r="V19" s="105" t="str">
        <f>IF(OR(B19="",C19=""),"",IF(G19="","Serve the Notice of Claim: identified as a Notice, to "&amp;Setup!$B$9&amp;", the stated way",IF(L19&lt;&gt;"✔ valid","Re-serve: the Notice fails a test",IF(R19="","Build the detailed claim: due "&amp;TEXT(P19,"d mmm yyyy"),IF(S19&lt;&gt;"Y","Add the contractual basis to the claim","Wait: consultation, then the determination")))))</f>
        <v/>
      </c>
      <c r="W19" s="99"/>
    </row>
    <row r="20" spans="1:23" x14ac:dyDescent="0.3">
      <c r="A20" s="98" t="s">
        <v>174</v>
      </c>
      <c r="B20" s="99"/>
      <c r="C20" s="100"/>
      <c r="D20" s="99"/>
      <c r="E20" s="101"/>
      <c r="F20" s="99"/>
      <c r="G20" s="100"/>
      <c r="H20" s="102"/>
      <c r="I20" s="102"/>
      <c r="J20" s="102"/>
      <c r="K20" s="102"/>
      <c r="L20" s="67" t="str">
        <f t="shared" si="0"/>
        <v/>
      </c>
      <c r="M20" s="103" t="str">
        <f t="shared" si="1"/>
        <v/>
      </c>
      <c r="N20" s="104" t="str">
        <f>IF(OR(C20="",G20&lt;&gt;""),"",M20-Setup!$B$7)</f>
        <v/>
      </c>
      <c r="O20" s="100"/>
      <c r="P20" s="103" t="str">
        <f t="shared" si="2"/>
        <v/>
      </c>
      <c r="Q20" s="104" t="str">
        <f>IF(OR(C20="",R20&lt;&gt;""),"",P20-Setup!$B$7)</f>
        <v/>
      </c>
      <c r="R20" s="100"/>
      <c r="S20" s="102"/>
      <c r="T20" s="105" t="str">
        <f>IF(OR(B20="",C20=""),"",IF(G20="",IF(Setup!$B$7&lt;=M20,"Notice due in "&amp;(M20-Setup!$B$7)&amp;" days",(Setup!$B$7-M20)&amp;" days past the 28: serve it now; the Engineer has 14 days to object"),IF(G20&lt;=M20,IF(L20="✔ valid","Served on time","Served on time, but it fails a test"),IF(O20&lt;&gt;"","Late, and the Engineer objected in time: argued in the determination",IF(Setup!$B$7&gt;G20+14,"Late, but no objection within 14 days: treated as valid","Late: the Engineer has until "&amp;TEXT(G20+14,"d mmm")&amp;" to object")))))</f>
        <v/>
      </c>
      <c r="U20" s="105" t="str">
        <f>IF(OR(B20="",C20=""),"",IF(R20&lt;&gt;"",IF(S20="Y","Detailed claim in, with its contractual basis","Claim in without the contractual basis: the Notice may lapse"),IF(Setup!$B$7&lt;=P20,(P20-Setup!$B$7)&amp;" days left for the detailed claim","84 days passed: the Engineer has 14 days to declare a lapse")))</f>
        <v/>
      </c>
      <c r="V20" s="105" t="str">
        <f>IF(OR(B20="",C20=""),"",IF(G20="","Serve the Notice of Claim: identified as a Notice, to "&amp;Setup!$B$9&amp;", the stated way",IF(L20&lt;&gt;"✔ valid","Re-serve: the Notice fails a test",IF(R20="","Build the detailed claim: due "&amp;TEXT(P20,"d mmm yyyy"),IF(S20&lt;&gt;"Y","Add the contractual basis to the claim","Wait: consultation, then the determination")))))</f>
        <v/>
      </c>
      <c r="W20" s="99"/>
    </row>
    <row r="21" spans="1:23" x14ac:dyDescent="0.3">
      <c r="A21" s="98" t="s">
        <v>175</v>
      </c>
      <c r="B21" s="99"/>
      <c r="C21" s="100"/>
      <c r="D21" s="99"/>
      <c r="E21" s="101"/>
      <c r="F21" s="99"/>
      <c r="G21" s="100"/>
      <c r="H21" s="102"/>
      <c r="I21" s="102"/>
      <c r="J21" s="102"/>
      <c r="K21" s="102"/>
      <c r="L21" s="67" t="str">
        <f t="shared" si="0"/>
        <v/>
      </c>
      <c r="M21" s="103" t="str">
        <f t="shared" si="1"/>
        <v/>
      </c>
      <c r="N21" s="104" t="str">
        <f>IF(OR(C21="",G21&lt;&gt;""),"",M21-Setup!$B$7)</f>
        <v/>
      </c>
      <c r="O21" s="100"/>
      <c r="P21" s="103" t="str">
        <f t="shared" si="2"/>
        <v/>
      </c>
      <c r="Q21" s="104" t="str">
        <f>IF(OR(C21="",R21&lt;&gt;""),"",P21-Setup!$B$7)</f>
        <v/>
      </c>
      <c r="R21" s="100"/>
      <c r="S21" s="102"/>
      <c r="T21" s="105" t="str">
        <f>IF(OR(B21="",C21=""),"",IF(G21="",IF(Setup!$B$7&lt;=M21,"Notice due in "&amp;(M21-Setup!$B$7)&amp;" days",(Setup!$B$7-M21)&amp;" days past the 28: serve it now; the Engineer has 14 days to object"),IF(G21&lt;=M21,IF(L21="✔ valid","Served on time","Served on time, but it fails a test"),IF(O21&lt;&gt;"","Late, and the Engineer objected in time: argued in the determination",IF(Setup!$B$7&gt;G21+14,"Late, but no objection within 14 days: treated as valid","Late: the Engineer has until "&amp;TEXT(G21+14,"d mmm")&amp;" to object")))))</f>
        <v/>
      </c>
      <c r="U21" s="105" t="str">
        <f>IF(OR(B21="",C21=""),"",IF(R21&lt;&gt;"",IF(S21="Y","Detailed claim in, with its contractual basis","Claim in without the contractual basis: the Notice may lapse"),IF(Setup!$B$7&lt;=P21,(P21-Setup!$B$7)&amp;" days left for the detailed claim","84 days passed: the Engineer has 14 days to declare a lapse")))</f>
        <v/>
      </c>
      <c r="V21" s="105" t="str">
        <f>IF(OR(B21="",C21=""),"",IF(G21="","Serve the Notice of Claim: identified as a Notice, to "&amp;Setup!$B$9&amp;", the stated way",IF(L21&lt;&gt;"✔ valid","Re-serve: the Notice fails a test",IF(R21="","Build the detailed claim: due "&amp;TEXT(P21,"d mmm yyyy"),IF(S21&lt;&gt;"Y","Add the contractual basis to the claim","Wait: consultation, then the determination")))))</f>
        <v/>
      </c>
      <c r="W21" s="99"/>
    </row>
    <row r="22" spans="1:23" x14ac:dyDescent="0.3">
      <c r="A22" s="98" t="s">
        <v>176</v>
      </c>
      <c r="B22" s="99"/>
      <c r="C22" s="100"/>
      <c r="D22" s="99"/>
      <c r="E22" s="101"/>
      <c r="F22" s="99"/>
      <c r="G22" s="100"/>
      <c r="H22" s="102"/>
      <c r="I22" s="102"/>
      <c r="J22" s="102"/>
      <c r="K22" s="102"/>
      <c r="L22" s="67" t="str">
        <f t="shared" si="0"/>
        <v/>
      </c>
      <c r="M22" s="103" t="str">
        <f t="shared" si="1"/>
        <v/>
      </c>
      <c r="N22" s="104" t="str">
        <f>IF(OR(C22="",G22&lt;&gt;""),"",M22-Setup!$B$7)</f>
        <v/>
      </c>
      <c r="O22" s="100"/>
      <c r="P22" s="103" t="str">
        <f t="shared" si="2"/>
        <v/>
      </c>
      <c r="Q22" s="104" t="str">
        <f>IF(OR(C22="",R22&lt;&gt;""),"",P22-Setup!$B$7)</f>
        <v/>
      </c>
      <c r="R22" s="100"/>
      <c r="S22" s="102"/>
      <c r="T22" s="105" t="str">
        <f>IF(OR(B22="",C22=""),"",IF(G22="",IF(Setup!$B$7&lt;=M22,"Notice due in "&amp;(M22-Setup!$B$7)&amp;" days",(Setup!$B$7-M22)&amp;" days past the 28: serve it now; the Engineer has 14 days to object"),IF(G22&lt;=M22,IF(L22="✔ valid","Served on time","Served on time, but it fails a test"),IF(O22&lt;&gt;"","Late, and the Engineer objected in time: argued in the determination",IF(Setup!$B$7&gt;G22+14,"Late, but no objection within 14 days: treated as valid","Late: the Engineer has until "&amp;TEXT(G22+14,"d mmm")&amp;" to object")))))</f>
        <v/>
      </c>
      <c r="U22" s="105" t="str">
        <f>IF(OR(B22="",C22=""),"",IF(R22&lt;&gt;"",IF(S22="Y","Detailed claim in, with its contractual basis","Claim in without the contractual basis: the Notice may lapse"),IF(Setup!$B$7&lt;=P22,(P22-Setup!$B$7)&amp;" days left for the detailed claim","84 days passed: the Engineer has 14 days to declare a lapse")))</f>
        <v/>
      </c>
      <c r="V22" s="105" t="str">
        <f>IF(OR(B22="",C22=""),"",IF(G22="","Serve the Notice of Claim: identified as a Notice, to "&amp;Setup!$B$9&amp;", the stated way",IF(L22&lt;&gt;"✔ valid","Re-serve: the Notice fails a test",IF(R22="","Build the detailed claim: due "&amp;TEXT(P22,"d mmm yyyy"),IF(S22&lt;&gt;"Y","Add the contractual basis to the claim","Wait: consultation, then the determination")))))</f>
        <v/>
      </c>
      <c r="W22" s="99"/>
    </row>
    <row r="23" spans="1:23" x14ac:dyDescent="0.3">
      <c r="A23" s="98" t="s">
        <v>177</v>
      </c>
      <c r="B23" s="99"/>
      <c r="C23" s="100"/>
      <c r="D23" s="99"/>
      <c r="E23" s="101"/>
      <c r="F23" s="99"/>
      <c r="G23" s="100"/>
      <c r="H23" s="102"/>
      <c r="I23" s="102"/>
      <c r="J23" s="102"/>
      <c r="K23" s="102"/>
      <c r="L23" s="67" t="str">
        <f t="shared" si="0"/>
        <v/>
      </c>
      <c r="M23" s="103" t="str">
        <f t="shared" si="1"/>
        <v/>
      </c>
      <c r="N23" s="104" t="str">
        <f>IF(OR(C23="",G23&lt;&gt;""),"",M23-Setup!$B$7)</f>
        <v/>
      </c>
      <c r="O23" s="100"/>
      <c r="P23" s="103" t="str">
        <f t="shared" si="2"/>
        <v/>
      </c>
      <c r="Q23" s="104" t="str">
        <f>IF(OR(C23="",R23&lt;&gt;""),"",P23-Setup!$B$7)</f>
        <v/>
      </c>
      <c r="R23" s="100"/>
      <c r="S23" s="102"/>
      <c r="T23" s="105" t="str">
        <f>IF(OR(B23="",C23=""),"",IF(G23="",IF(Setup!$B$7&lt;=M23,"Notice due in "&amp;(M23-Setup!$B$7)&amp;" days",(Setup!$B$7-M23)&amp;" days past the 28: serve it now; the Engineer has 14 days to object"),IF(G23&lt;=M23,IF(L23="✔ valid","Served on time","Served on time, but it fails a test"),IF(O23&lt;&gt;"","Late, and the Engineer objected in time: argued in the determination",IF(Setup!$B$7&gt;G23+14,"Late, but no objection within 14 days: treated as valid","Late: the Engineer has until "&amp;TEXT(G23+14,"d mmm")&amp;" to object")))))</f>
        <v/>
      </c>
      <c r="U23" s="105" t="str">
        <f>IF(OR(B23="",C23=""),"",IF(R23&lt;&gt;"",IF(S23="Y","Detailed claim in, with its contractual basis","Claim in without the contractual basis: the Notice may lapse"),IF(Setup!$B$7&lt;=P23,(P23-Setup!$B$7)&amp;" days left for the detailed claim","84 days passed: the Engineer has 14 days to declare a lapse")))</f>
        <v/>
      </c>
      <c r="V23" s="105" t="str">
        <f>IF(OR(B23="",C23=""),"",IF(G23="","Serve the Notice of Claim: identified as a Notice, to "&amp;Setup!$B$9&amp;", the stated way",IF(L23&lt;&gt;"✔ valid","Re-serve: the Notice fails a test",IF(R23="","Build the detailed claim: due "&amp;TEXT(P23,"d mmm yyyy"),IF(S23&lt;&gt;"Y","Add the contractual basis to the claim","Wait: consultation, then the determination")))))</f>
        <v/>
      </c>
      <c r="W23" s="99"/>
    </row>
    <row r="24" spans="1:23" x14ac:dyDescent="0.3">
      <c r="A24" s="98" t="s">
        <v>178</v>
      </c>
      <c r="B24" s="99"/>
      <c r="C24" s="100"/>
      <c r="D24" s="99"/>
      <c r="E24" s="101"/>
      <c r="F24" s="99"/>
      <c r="G24" s="100"/>
      <c r="H24" s="102"/>
      <c r="I24" s="102"/>
      <c r="J24" s="102"/>
      <c r="K24" s="102"/>
      <c r="L24" s="67" t="str">
        <f t="shared" si="0"/>
        <v/>
      </c>
      <c r="M24" s="103" t="str">
        <f t="shared" si="1"/>
        <v/>
      </c>
      <c r="N24" s="104" t="str">
        <f>IF(OR(C24="",G24&lt;&gt;""),"",M24-Setup!$B$7)</f>
        <v/>
      </c>
      <c r="O24" s="100"/>
      <c r="P24" s="103" t="str">
        <f t="shared" si="2"/>
        <v/>
      </c>
      <c r="Q24" s="104" t="str">
        <f>IF(OR(C24="",R24&lt;&gt;""),"",P24-Setup!$B$7)</f>
        <v/>
      </c>
      <c r="R24" s="100"/>
      <c r="S24" s="102"/>
      <c r="T24" s="105" t="str">
        <f>IF(OR(B24="",C24=""),"",IF(G24="",IF(Setup!$B$7&lt;=M24,"Notice due in "&amp;(M24-Setup!$B$7)&amp;" days",(Setup!$B$7-M24)&amp;" days past the 28: serve it now; the Engineer has 14 days to object"),IF(G24&lt;=M24,IF(L24="✔ valid","Served on time","Served on time, but it fails a test"),IF(O24&lt;&gt;"","Late, and the Engineer objected in time: argued in the determination",IF(Setup!$B$7&gt;G24+14,"Late, but no objection within 14 days: treated as valid","Late: the Engineer has until "&amp;TEXT(G24+14,"d mmm")&amp;" to object")))))</f>
        <v/>
      </c>
      <c r="U24" s="105" t="str">
        <f>IF(OR(B24="",C24=""),"",IF(R24&lt;&gt;"",IF(S24="Y","Detailed claim in, with its contractual basis","Claim in without the contractual basis: the Notice may lapse"),IF(Setup!$B$7&lt;=P24,(P24-Setup!$B$7)&amp;" days left for the detailed claim","84 days passed: the Engineer has 14 days to declare a lapse")))</f>
        <v/>
      </c>
      <c r="V24" s="105" t="str">
        <f>IF(OR(B24="",C24=""),"",IF(G24="","Serve the Notice of Claim: identified as a Notice, to "&amp;Setup!$B$9&amp;", the stated way",IF(L24&lt;&gt;"✔ valid","Re-serve: the Notice fails a test",IF(R24="","Build the detailed claim: due "&amp;TEXT(P24,"d mmm yyyy"),IF(S24&lt;&gt;"Y","Add the contractual basis to the claim","Wait: consultation, then the determination")))))</f>
        <v/>
      </c>
      <c r="W24" s="99"/>
    </row>
    <row r="25" spans="1:23" x14ac:dyDescent="0.3">
      <c r="A25" s="98" t="s">
        <v>179</v>
      </c>
      <c r="B25" s="99"/>
      <c r="C25" s="100"/>
      <c r="D25" s="99"/>
      <c r="E25" s="101"/>
      <c r="F25" s="99"/>
      <c r="G25" s="100"/>
      <c r="H25" s="102"/>
      <c r="I25" s="102"/>
      <c r="J25" s="102"/>
      <c r="K25" s="102"/>
      <c r="L25" s="67" t="str">
        <f t="shared" si="0"/>
        <v/>
      </c>
      <c r="M25" s="103" t="str">
        <f t="shared" si="1"/>
        <v/>
      </c>
      <c r="N25" s="104" t="str">
        <f>IF(OR(C25="",G25&lt;&gt;""),"",M25-Setup!$B$7)</f>
        <v/>
      </c>
      <c r="O25" s="100"/>
      <c r="P25" s="103" t="str">
        <f t="shared" si="2"/>
        <v/>
      </c>
      <c r="Q25" s="104" t="str">
        <f>IF(OR(C25="",R25&lt;&gt;""),"",P25-Setup!$B$7)</f>
        <v/>
      </c>
      <c r="R25" s="100"/>
      <c r="S25" s="102"/>
      <c r="T25" s="105" t="str">
        <f>IF(OR(B25="",C25=""),"",IF(G25="",IF(Setup!$B$7&lt;=M25,"Notice due in "&amp;(M25-Setup!$B$7)&amp;" days",(Setup!$B$7-M25)&amp;" days past the 28: serve it now; the Engineer has 14 days to object"),IF(G25&lt;=M25,IF(L25="✔ valid","Served on time","Served on time, but it fails a test"),IF(O25&lt;&gt;"","Late, and the Engineer objected in time: argued in the determination",IF(Setup!$B$7&gt;G25+14,"Late, but no objection within 14 days: treated as valid","Late: the Engineer has until "&amp;TEXT(G25+14,"d mmm")&amp;" to object")))))</f>
        <v/>
      </c>
      <c r="U25" s="105" t="str">
        <f>IF(OR(B25="",C25=""),"",IF(R25&lt;&gt;"",IF(S25="Y","Detailed claim in, with its contractual basis","Claim in without the contractual basis: the Notice may lapse"),IF(Setup!$B$7&lt;=P25,(P25-Setup!$B$7)&amp;" days left for the detailed claim","84 days passed: the Engineer has 14 days to declare a lapse")))</f>
        <v/>
      </c>
      <c r="V25" s="105" t="str">
        <f>IF(OR(B25="",C25=""),"",IF(G25="","Serve the Notice of Claim: identified as a Notice, to "&amp;Setup!$B$9&amp;", the stated way",IF(L25&lt;&gt;"✔ valid","Re-serve: the Notice fails a test",IF(R25="","Build the detailed claim: due "&amp;TEXT(P25,"d mmm yyyy"),IF(S25&lt;&gt;"Y","Add the contractual basis to the claim","Wait: consultation, then the determination")))))</f>
        <v/>
      </c>
      <c r="W25" s="99"/>
    </row>
    <row r="26" spans="1:23" x14ac:dyDescent="0.3">
      <c r="A26" s="98" t="s">
        <v>180</v>
      </c>
      <c r="B26" s="99"/>
      <c r="C26" s="100"/>
      <c r="D26" s="99"/>
      <c r="E26" s="101"/>
      <c r="F26" s="99"/>
      <c r="G26" s="100"/>
      <c r="H26" s="102"/>
      <c r="I26" s="102"/>
      <c r="J26" s="102"/>
      <c r="K26" s="102"/>
      <c r="L26" s="67" t="str">
        <f t="shared" si="0"/>
        <v/>
      </c>
      <c r="M26" s="103" t="str">
        <f t="shared" si="1"/>
        <v/>
      </c>
      <c r="N26" s="104" t="str">
        <f>IF(OR(C26="",G26&lt;&gt;""),"",M26-Setup!$B$7)</f>
        <v/>
      </c>
      <c r="O26" s="100"/>
      <c r="P26" s="103" t="str">
        <f t="shared" si="2"/>
        <v/>
      </c>
      <c r="Q26" s="104" t="str">
        <f>IF(OR(C26="",R26&lt;&gt;""),"",P26-Setup!$B$7)</f>
        <v/>
      </c>
      <c r="R26" s="100"/>
      <c r="S26" s="102"/>
      <c r="T26" s="105" t="str">
        <f>IF(OR(B26="",C26=""),"",IF(G26="",IF(Setup!$B$7&lt;=M26,"Notice due in "&amp;(M26-Setup!$B$7)&amp;" days",(Setup!$B$7-M26)&amp;" days past the 28: serve it now; the Engineer has 14 days to object"),IF(G26&lt;=M26,IF(L26="✔ valid","Served on time","Served on time, but it fails a test"),IF(O26&lt;&gt;"","Late, and the Engineer objected in time: argued in the determination",IF(Setup!$B$7&gt;G26+14,"Late, but no objection within 14 days: treated as valid","Late: the Engineer has until "&amp;TEXT(G26+14,"d mmm")&amp;" to object")))))</f>
        <v/>
      </c>
      <c r="U26" s="105" t="str">
        <f>IF(OR(B26="",C26=""),"",IF(R26&lt;&gt;"",IF(S26="Y","Detailed claim in, with its contractual basis","Claim in without the contractual basis: the Notice may lapse"),IF(Setup!$B$7&lt;=P26,(P26-Setup!$B$7)&amp;" days left for the detailed claim","84 days passed: the Engineer has 14 days to declare a lapse")))</f>
        <v/>
      </c>
      <c r="V26" s="105" t="str">
        <f>IF(OR(B26="",C26=""),"",IF(G26="","Serve the Notice of Claim: identified as a Notice, to "&amp;Setup!$B$9&amp;", the stated way",IF(L26&lt;&gt;"✔ valid","Re-serve: the Notice fails a test",IF(R26="","Build the detailed claim: due "&amp;TEXT(P26,"d mmm yyyy"),IF(S26&lt;&gt;"Y","Add the contractual basis to the claim","Wait: consultation, then the determination")))))</f>
        <v/>
      </c>
      <c r="W26" s="99"/>
    </row>
    <row r="27" spans="1:23" x14ac:dyDescent="0.3">
      <c r="A27" s="98" t="s">
        <v>181</v>
      </c>
      <c r="B27" s="99"/>
      <c r="C27" s="100"/>
      <c r="D27" s="99"/>
      <c r="E27" s="101"/>
      <c r="F27" s="99"/>
      <c r="G27" s="100"/>
      <c r="H27" s="102"/>
      <c r="I27" s="102"/>
      <c r="J27" s="102"/>
      <c r="K27" s="102"/>
      <c r="L27" s="67" t="str">
        <f t="shared" si="0"/>
        <v/>
      </c>
      <c r="M27" s="103" t="str">
        <f t="shared" si="1"/>
        <v/>
      </c>
      <c r="N27" s="104" t="str">
        <f>IF(OR(C27="",G27&lt;&gt;""),"",M27-Setup!$B$7)</f>
        <v/>
      </c>
      <c r="O27" s="100"/>
      <c r="P27" s="103" t="str">
        <f t="shared" si="2"/>
        <v/>
      </c>
      <c r="Q27" s="104" t="str">
        <f>IF(OR(C27="",R27&lt;&gt;""),"",P27-Setup!$B$7)</f>
        <v/>
      </c>
      <c r="R27" s="100"/>
      <c r="S27" s="102"/>
      <c r="T27" s="105" t="str">
        <f>IF(OR(B27="",C27=""),"",IF(G27="",IF(Setup!$B$7&lt;=M27,"Notice due in "&amp;(M27-Setup!$B$7)&amp;" days",(Setup!$B$7-M27)&amp;" days past the 28: serve it now; the Engineer has 14 days to object"),IF(G27&lt;=M27,IF(L27="✔ valid","Served on time","Served on time, but it fails a test"),IF(O27&lt;&gt;"","Late, and the Engineer objected in time: argued in the determination",IF(Setup!$B$7&gt;G27+14,"Late, but no objection within 14 days: treated as valid","Late: the Engineer has until "&amp;TEXT(G27+14,"d mmm")&amp;" to object")))))</f>
        <v/>
      </c>
      <c r="U27" s="105" t="str">
        <f>IF(OR(B27="",C27=""),"",IF(R27&lt;&gt;"",IF(S27="Y","Detailed claim in, with its contractual basis","Claim in without the contractual basis: the Notice may lapse"),IF(Setup!$B$7&lt;=P27,(P27-Setup!$B$7)&amp;" days left for the detailed claim","84 days passed: the Engineer has 14 days to declare a lapse")))</f>
        <v/>
      </c>
      <c r="V27" s="105" t="str">
        <f>IF(OR(B27="",C27=""),"",IF(G27="","Serve the Notice of Claim: identified as a Notice, to "&amp;Setup!$B$9&amp;", the stated way",IF(L27&lt;&gt;"✔ valid","Re-serve: the Notice fails a test",IF(R27="","Build the detailed claim: due "&amp;TEXT(P27,"d mmm yyyy"),IF(S27&lt;&gt;"Y","Add the contractual basis to the claim","Wait: consultation, then the determination")))))</f>
        <v/>
      </c>
      <c r="W27" s="99"/>
    </row>
    <row r="28" spans="1:23" x14ac:dyDescent="0.3">
      <c r="A28" s="98" t="s">
        <v>182</v>
      </c>
      <c r="B28" s="99"/>
      <c r="C28" s="100"/>
      <c r="D28" s="99"/>
      <c r="E28" s="101"/>
      <c r="F28" s="99"/>
      <c r="G28" s="100"/>
      <c r="H28" s="102"/>
      <c r="I28" s="102"/>
      <c r="J28" s="102"/>
      <c r="K28" s="102"/>
      <c r="L28" s="67" t="str">
        <f t="shared" si="0"/>
        <v/>
      </c>
      <c r="M28" s="103" t="str">
        <f t="shared" si="1"/>
        <v/>
      </c>
      <c r="N28" s="104" t="str">
        <f>IF(OR(C28="",G28&lt;&gt;""),"",M28-Setup!$B$7)</f>
        <v/>
      </c>
      <c r="O28" s="100"/>
      <c r="P28" s="103" t="str">
        <f t="shared" si="2"/>
        <v/>
      </c>
      <c r="Q28" s="104" t="str">
        <f>IF(OR(C28="",R28&lt;&gt;""),"",P28-Setup!$B$7)</f>
        <v/>
      </c>
      <c r="R28" s="100"/>
      <c r="S28" s="102"/>
      <c r="T28" s="105" t="str">
        <f>IF(OR(B28="",C28=""),"",IF(G28="",IF(Setup!$B$7&lt;=M28,"Notice due in "&amp;(M28-Setup!$B$7)&amp;" days",(Setup!$B$7-M28)&amp;" days past the 28: serve it now; the Engineer has 14 days to object"),IF(G28&lt;=M28,IF(L28="✔ valid","Served on time","Served on time, but it fails a test"),IF(O28&lt;&gt;"","Late, and the Engineer objected in time: argued in the determination",IF(Setup!$B$7&gt;G28+14,"Late, but no objection within 14 days: treated as valid","Late: the Engineer has until "&amp;TEXT(G28+14,"d mmm")&amp;" to object")))))</f>
        <v/>
      </c>
      <c r="U28" s="105" t="str">
        <f>IF(OR(B28="",C28=""),"",IF(R28&lt;&gt;"",IF(S28="Y","Detailed claim in, with its contractual basis","Claim in without the contractual basis: the Notice may lapse"),IF(Setup!$B$7&lt;=P28,(P28-Setup!$B$7)&amp;" days left for the detailed claim","84 days passed: the Engineer has 14 days to declare a lapse")))</f>
        <v/>
      </c>
      <c r="V28" s="105" t="str">
        <f>IF(OR(B28="",C28=""),"",IF(G28="","Serve the Notice of Claim: identified as a Notice, to "&amp;Setup!$B$9&amp;", the stated way",IF(L28&lt;&gt;"✔ valid","Re-serve: the Notice fails a test",IF(R28="","Build the detailed claim: due "&amp;TEXT(P28,"d mmm yyyy"),IF(S28&lt;&gt;"Y","Add the contractual basis to the claim","Wait: consultation, then the determination")))))</f>
        <v/>
      </c>
      <c r="W28" s="99"/>
    </row>
    <row r="29" spans="1:23" x14ac:dyDescent="0.3">
      <c r="A29" s="98" t="s">
        <v>183</v>
      </c>
      <c r="B29" s="99"/>
      <c r="C29" s="100"/>
      <c r="D29" s="99"/>
      <c r="E29" s="101"/>
      <c r="F29" s="99"/>
      <c r="G29" s="100"/>
      <c r="H29" s="102"/>
      <c r="I29" s="102"/>
      <c r="J29" s="102"/>
      <c r="K29" s="102"/>
      <c r="L29" s="67" t="str">
        <f t="shared" si="0"/>
        <v/>
      </c>
      <c r="M29" s="103" t="str">
        <f t="shared" si="1"/>
        <v/>
      </c>
      <c r="N29" s="104" t="str">
        <f>IF(OR(C29="",G29&lt;&gt;""),"",M29-Setup!$B$7)</f>
        <v/>
      </c>
      <c r="O29" s="100"/>
      <c r="P29" s="103" t="str">
        <f t="shared" si="2"/>
        <v/>
      </c>
      <c r="Q29" s="104" t="str">
        <f>IF(OR(C29="",R29&lt;&gt;""),"",P29-Setup!$B$7)</f>
        <v/>
      </c>
      <c r="R29" s="100"/>
      <c r="S29" s="102"/>
      <c r="T29" s="105" t="str">
        <f>IF(OR(B29="",C29=""),"",IF(G29="",IF(Setup!$B$7&lt;=M29,"Notice due in "&amp;(M29-Setup!$B$7)&amp;" days",(Setup!$B$7-M29)&amp;" days past the 28: serve it now; the Engineer has 14 days to object"),IF(G29&lt;=M29,IF(L29="✔ valid","Served on time","Served on time, but it fails a test"),IF(O29&lt;&gt;"","Late, and the Engineer objected in time: argued in the determination",IF(Setup!$B$7&gt;G29+14,"Late, but no objection within 14 days: treated as valid","Late: the Engineer has until "&amp;TEXT(G29+14,"d mmm")&amp;" to object")))))</f>
        <v/>
      </c>
      <c r="U29" s="105" t="str">
        <f>IF(OR(B29="",C29=""),"",IF(R29&lt;&gt;"",IF(S29="Y","Detailed claim in, with its contractual basis","Claim in without the contractual basis: the Notice may lapse"),IF(Setup!$B$7&lt;=P29,(P29-Setup!$B$7)&amp;" days left for the detailed claim","84 days passed: the Engineer has 14 days to declare a lapse")))</f>
        <v/>
      </c>
      <c r="V29" s="105" t="str">
        <f>IF(OR(B29="",C29=""),"",IF(G29="","Serve the Notice of Claim: identified as a Notice, to "&amp;Setup!$B$9&amp;", the stated way",IF(L29&lt;&gt;"✔ valid","Re-serve: the Notice fails a test",IF(R29="","Build the detailed claim: due "&amp;TEXT(P29,"d mmm yyyy"),IF(S29&lt;&gt;"Y","Add the contractual basis to the claim","Wait: consultation, then the determination")))))</f>
        <v/>
      </c>
      <c r="W29" s="99"/>
    </row>
    <row r="30" spans="1:23" x14ac:dyDescent="0.3">
      <c r="A30" s="98" t="s">
        <v>184</v>
      </c>
      <c r="B30" s="99"/>
      <c r="C30" s="100"/>
      <c r="D30" s="99"/>
      <c r="E30" s="101"/>
      <c r="F30" s="99"/>
      <c r="G30" s="100"/>
      <c r="H30" s="102"/>
      <c r="I30" s="102"/>
      <c r="J30" s="102"/>
      <c r="K30" s="102"/>
      <c r="L30" s="67" t="str">
        <f t="shared" si="0"/>
        <v/>
      </c>
      <c r="M30" s="103" t="str">
        <f t="shared" si="1"/>
        <v/>
      </c>
      <c r="N30" s="104" t="str">
        <f>IF(OR(C30="",G30&lt;&gt;""),"",M30-Setup!$B$7)</f>
        <v/>
      </c>
      <c r="O30" s="100"/>
      <c r="P30" s="103" t="str">
        <f t="shared" si="2"/>
        <v/>
      </c>
      <c r="Q30" s="104" t="str">
        <f>IF(OR(C30="",R30&lt;&gt;""),"",P30-Setup!$B$7)</f>
        <v/>
      </c>
      <c r="R30" s="100"/>
      <c r="S30" s="102"/>
      <c r="T30" s="105" t="str">
        <f>IF(OR(B30="",C30=""),"",IF(G30="",IF(Setup!$B$7&lt;=M30,"Notice due in "&amp;(M30-Setup!$B$7)&amp;" days",(Setup!$B$7-M30)&amp;" days past the 28: serve it now; the Engineer has 14 days to object"),IF(G30&lt;=M30,IF(L30="✔ valid","Served on time","Served on time, but it fails a test"),IF(O30&lt;&gt;"","Late, and the Engineer objected in time: argued in the determination",IF(Setup!$B$7&gt;G30+14,"Late, but no objection within 14 days: treated as valid","Late: the Engineer has until "&amp;TEXT(G30+14,"d mmm")&amp;" to object")))))</f>
        <v/>
      </c>
      <c r="U30" s="105" t="str">
        <f>IF(OR(B30="",C30=""),"",IF(R30&lt;&gt;"",IF(S30="Y","Detailed claim in, with its contractual basis","Claim in without the contractual basis: the Notice may lapse"),IF(Setup!$B$7&lt;=P30,(P30-Setup!$B$7)&amp;" days left for the detailed claim","84 days passed: the Engineer has 14 days to declare a lapse")))</f>
        <v/>
      </c>
      <c r="V30" s="105" t="str">
        <f>IF(OR(B30="",C30=""),"",IF(G30="","Serve the Notice of Claim: identified as a Notice, to "&amp;Setup!$B$9&amp;", the stated way",IF(L30&lt;&gt;"✔ valid","Re-serve: the Notice fails a test",IF(R30="","Build the detailed claim: due "&amp;TEXT(P30,"d mmm yyyy"),IF(S30&lt;&gt;"Y","Add the contractual basis to the claim","Wait: consultation, then the determination")))))</f>
        <v/>
      </c>
      <c r="W30" s="99"/>
    </row>
    <row r="31" spans="1:23" x14ac:dyDescent="0.3">
      <c r="A31" s="98" t="s">
        <v>185</v>
      </c>
      <c r="B31" s="99"/>
      <c r="C31" s="100"/>
      <c r="D31" s="99"/>
      <c r="E31" s="101"/>
      <c r="F31" s="99"/>
      <c r="G31" s="100"/>
      <c r="H31" s="102"/>
      <c r="I31" s="102"/>
      <c r="J31" s="102"/>
      <c r="K31" s="102"/>
      <c r="L31" s="67" t="str">
        <f t="shared" si="0"/>
        <v/>
      </c>
      <c r="M31" s="103" t="str">
        <f t="shared" si="1"/>
        <v/>
      </c>
      <c r="N31" s="104" t="str">
        <f>IF(OR(C31="",G31&lt;&gt;""),"",M31-Setup!$B$7)</f>
        <v/>
      </c>
      <c r="O31" s="100"/>
      <c r="P31" s="103" t="str">
        <f t="shared" si="2"/>
        <v/>
      </c>
      <c r="Q31" s="104" t="str">
        <f>IF(OR(C31="",R31&lt;&gt;""),"",P31-Setup!$B$7)</f>
        <v/>
      </c>
      <c r="R31" s="100"/>
      <c r="S31" s="102"/>
      <c r="T31" s="105" t="str">
        <f>IF(OR(B31="",C31=""),"",IF(G31="",IF(Setup!$B$7&lt;=M31,"Notice due in "&amp;(M31-Setup!$B$7)&amp;" days",(Setup!$B$7-M31)&amp;" days past the 28: serve it now; the Engineer has 14 days to object"),IF(G31&lt;=M31,IF(L31="✔ valid","Served on time","Served on time, but it fails a test"),IF(O31&lt;&gt;"","Late, and the Engineer objected in time: argued in the determination",IF(Setup!$B$7&gt;G31+14,"Late, but no objection within 14 days: treated as valid","Late: the Engineer has until "&amp;TEXT(G31+14,"d mmm")&amp;" to object")))))</f>
        <v/>
      </c>
      <c r="U31" s="105" t="str">
        <f>IF(OR(B31="",C31=""),"",IF(R31&lt;&gt;"",IF(S31="Y","Detailed claim in, with its contractual basis","Claim in without the contractual basis: the Notice may lapse"),IF(Setup!$B$7&lt;=P31,(P31-Setup!$B$7)&amp;" days left for the detailed claim","84 days passed: the Engineer has 14 days to declare a lapse")))</f>
        <v/>
      </c>
      <c r="V31" s="105" t="str">
        <f>IF(OR(B31="",C31=""),"",IF(G31="","Serve the Notice of Claim: identified as a Notice, to "&amp;Setup!$B$9&amp;", the stated way",IF(L31&lt;&gt;"✔ valid","Re-serve: the Notice fails a test",IF(R31="","Build the detailed claim: due "&amp;TEXT(P31,"d mmm yyyy"),IF(S31&lt;&gt;"Y","Add the contractual basis to the claim","Wait: consultation, then the determination")))))</f>
        <v/>
      </c>
      <c r="W31" s="99"/>
    </row>
    <row r="32" spans="1:23" x14ac:dyDescent="0.3">
      <c r="A32" s="98" t="s">
        <v>186</v>
      </c>
      <c r="B32" s="99"/>
      <c r="C32" s="100"/>
      <c r="D32" s="99"/>
      <c r="E32" s="101"/>
      <c r="F32" s="99"/>
      <c r="G32" s="100"/>
      <c r="H32" s="102"/>
      <c r="I32" s="102"/>
      <c r="J32" s="102"/>
      <c r="K32" s="102"/>
      <c r="L32" s="67" t="str">
        <f t="shared" si="0"/>
        <v/>
      </c>
      <c r="M32" s="103" t="str">
        <f t="shared" si="1"/>
        <v/>
      </c>
      <c r="N32" s="104" t="str">
        <f>IF(OR(C32="",G32&lt;&gt;""),"",M32-Setup!$B$7)</f>
        <v/>
      </c>
      <c r="O32" s="100"/>
      <c r="P32" s="103" t="str">
        <f t="shared" si="2"/>
        <v/>
      </c>
      <c r="Q32" s="104" t="str">
        <f>IF(OR(C32="",R32&lt;&gt;""),"",P32-Setup!$B$7)</f>
        <v/>
      </c>
      <c r="R32" s="100"/>
      <c r="S32" s="102"/>
      <c r="T32" s="105" t="str">
        <f>IF(OR(B32="",C32=""),"",IF(G32="",IF(Setup!$B$7&lt;=M32,"Notice due in "&amp;(M32-Setup!$B$7)&amp;" days",(Setup!$B$7-M32)&amp;" days past the 28: serve it now; the Engineer has 14 days to object"),IF(G32&lt;=M32,IF(L32="✔ valid","Served on time","Served on time, but it fails a test"),IF(O32&lt;&gt;"","Late, and the Engineer objected in time: argued in the determination",IF(Setup!$B$7&gt;G32+14,"Late, but no objection within 14 days: treated as valid","Late: the Engineer has until "&amp;TEXT(G32+14,"d mmm")&amp;" to object")))))</f>
        <v/>
      </c>
      <c r="U32" s="105" t="str">
        <f>IF(OR(B32="",C32=""),"",IF(R32&lt;&gt;"",IF(S32="Y","Detailed claim in, with its contractual basis","Claim in without the contractual basis: the Notice may lapse"),IF(Setup!$B$7&lt;=P32,(P32-Setup!$B$7)&amp;" days left for the detailed claim","84 days passed: the Engineer has 14 days to declare a lapse")))</f>
        <v/>
      </c>
      <c r="V32" s="105" t="str">
        <f>IF(OR(B32="",C32=""),"",IF(G32="","Serve the Notice of Claim: identified as a Notice, to "&amp;Setup!$B$9&amp;", the stated way",IF(L32&lt;&gt;"✔ valid","Re-serve: the Notice fails a test",IF(R32="","Build the detailed claim: due "&amp;TEXT(P32,"d mmm yyyy"),IF(S32&lt;&gt;"Y","Add the contractual basis to the claim","Wait: consultation, then the determination")))))</f>
        <v/>
      </c>
      <c r="W32" s="99"/>
    </row>
    <row r="33" spans="1:23" x14ac:dyDescent="0.3">
      <c r="A33" s="98" t="s">
        <v>187</v>
      </c>
      <c r="B33" s="99"/>
      <c r="C33" s="100"/>
      <c r="D33" s="99"/>
      <c r="E33" s="101"/>
      <c r="F33" s="99"/>
      <c r="G33" s="100"/>
      <c r="H33" s="102"/>
      <c r="I33" s="102"/>
      <c r="J33" s="102"/>
      <c r="K33" s="102"/>
      <c r="L33" s="67" t="str">
        <f t="shared" si="0"/>
        <v/>
      </c>
      <c r="M33" s="103" t="str">
        <f t="shared" si="1"/>
        <v/>
      </c>
      <c r="N33" s="104" t="str">
        <f>IF(OR(C33="",G33&lt;&gt;""),"",M33-Setup!$B$7)</f>
        <v/>
      </c>
      <c r="O33" s="100"/>
      <c r="P33" s="103" t="str">
        <f t="shared" si="2"/>
        <v/>
      </c>
      <c r="Q33" s="104" t="str">
        <f>IF(OR(C33="",R33&lt;&gt;""),"",P33-Setup!$B$7)</f>
        <v/>
      </c>
      <c r="R33" s="100"/>
      <c r="S33" s="102"/>
      <c r="T33" s="105" t="str">
        <f>IF(OR(B33="",C33=""),"",IF(G33="",IF(Setup!$B$7&lt;=M33,"Notice due in "&amp;(M33-Setup!$B$7)&amp;" days",(Setup!$B$7-M33)&amp;" days past the 28: serve it now; the Engineer has 14 days to object"),IF(G33&lt;=M33,IF(L33="✔ valid","Served on time","Served on time, but it fails a test"),IF(O33&lt;&gt;"","Late, and the Engineer objected in time: argued in the determination",IF(Setup!$B$7&gt;G33+14,"Late, but no objection within 14 days: treated as valid","Late: the Engineer has until "&amp;TEXT(G33+14,"d mmm")&amp;" to object")))))</f>
        <v/>
      </c>
      <c r="U33" s="105" t="str">
        <f>IF(OR(B33="",C33=""),"",IF(R33&lt;&gt;"",IF(S33="Y","Detailed claim in, with its contractual basis","Claim in without the contractual basis: the Notice may lapse"),IF(Setup!$B$7&lt;=P33,(P33-Setup!$B$7)&amp;" days left for the detailed claim","84 days passed: the Engineer has 14 days to declare a lapse")))</f>
        <v/>
      </c>
      <c r="V33" s="105" t="str">
        <f>IF(OR(B33="",C33=""),"",IF(G33="","Serve the Notice of Claim: identified as a Notice, to "&amp;Setup!$B$9&amp;", the stated way",IF(L33&lt;&gt;"✔ valid","Re-serve: the Notice fails a test",IF(R33="","Build the detailed claim: due "&amp;TEXT(P33,"d mmm yyyy"),IF(S33&lt;&gt;"Y","Add the contractual basis to the claim","Wait: consultation, then the determination")))))</f>
        <v/>
      </c>
      <c r="W33" s="99"/>
    </row>
    <row r="34" spans="1:23" x14ac:dyDescent="0.3">
      <c r="A34" s="98" t="s">
        <v>188</v>
      </c>
      <c r="B34" s="99"/>
      <c r="C34" s="100"/>
      <c r="D34" s="99"/>
      <c r="E34" s="101"/>
      <c r="F34" s="99"/>
      <c r="G34" s="100"/>
      <c r="H34" s="102"/>
      <c r="I34" s="102"/>
      <c r="J34" s="102"/>
      <c r="K34" s="102"/>
      <c r="L34" s="67" t="str">
        <f t="shared" si="0"/>
        <v/>
      </c>
      <c r="M34" s="103" t="str">
        <f t="shared" si="1"/>
        <v/>
      </c>
      <c r="N34" s="104" t="str">
        <f>IF(OR(C34="",G34&lt;&gt;""),"",M34-Setup!$B$7)</f>
        <v/>
      </c>
      <c r="O34" s="100"/>
      <c r="P34" s="103" t="str">
        <f t="shared" si="2"/>
        <v/>
      </c>
      <c r="Q34" s="104" t="str">
        <f>IF(OR(C34="",R34&lt;&gt;""),"",P34-Setup!$B$7)</f>
        <v/>
      </c>
      <c r="R34" s="100"/>
      <c r="S34" s="102"/>
      <c r="T34" s="105" t="str">
        <f>IF(OR(B34="",C34=""),"",IF(G34="",IF(Setup!$B$7&lt;=M34,"Notice due in "&amp;(M34-Setup!$B$7)&amp;" days",(Setup!$B$7-M34)&amp;" days past the 28: serve it now; the Engineer has 14 days to object"),IF(G34&lt;=M34,IF(L34="✔ valid","Served on time","Served on time, but it fails a test"),IF(O34&lt;&gt;"","Late, and the Engineer objected in time: argued in the determination",IF(Setup!$B$7&gt;G34+14,"Late, but no objection within 14 days: treated as valid","Late: the Engineer has until "&amp;TEXT(G34+14,"d mmm")&amp;" to object")))))</f>
        <v/>
      </c>
      <c r="U34" s="105" t="str">
        <f>IF(OR(B34="",C34=""),"",IF(R34&lt;&gt;"",IF(S34="Y","Detailed claim in, with its contractual basis","Claim in without the contractual basis: the Notice may lapse"),IF(Setup!$B$7&lt;=P34,(P34-Setup!$B$7)&amp;" days left for the detailed claim","84 days passed: the Engineer has 14 days to declare a lapse")))</f>
        <v/>
      </c>
      <c r="V34" s="105" t="str">
        <f>IF(OR(B34="",C34=""),"",IF(G34="","Serve the Notice of Claim: identified as a Notice, to "&amp;Setup!$B$9&amp;", the stated way",IF(L34&lt;&gt;"✔ valid","Re-serve: the Notice fails a test",IF(R34="","Build the detailed claim: due "&amp;TEXT(P34,"d mmm yyyy"),IF(S34&lt;&gt;"Y","Add the contractual basis to the claim","Wait: consultation, then the determination")))))</f>
        <v/>
      </c>
      <c r="W34" s="99"/>
    </row>
    <row r="35" spans="1:23" x14ac:dyDescent="0.3">
      <c r="A35" s="98" t="s">
        <v>189</v>
      </c>
      <c r="B35" s="99"/>
      <c r="C35" s="100"/>
      <c r="D35" s="99"/>
      <c r="E35" s="101"/>
      <c r="F35" s="99"/>
      <c r="G35" s="100"/>
      <c r="H35" s="102"/>
      <c r="I35" s="102"/>
      <c r="J35" s="102"/>
      <c r="K35" s="102"/>
      <c r="L35" s="67" t="str">
        <f t="shared" si="0"/>
        <v/>
      </c>
      <c r="M35" s="103" t="str">
        <f t="shared" si="1"/>
        <v/>
      </c>
      <c r="N35" s="104" t="str">
        <f>IF(OR(C35="",G35&lt;&gt;""),"",M35-Setup!$B$7)</f>
        <v/>
      </c>
      <c r="O35" s="100"/>
      <c r="P35" s="103" t="str">
        <f t="shared" si="2"/>
        <v/>
      </c>
      <c r="Q35" s="104" t="str">
        <f>IF(OR(C35="",R35&lt;&gt;""),"",P35-Setup!$B$7)</f>
        <v/>
      </c>
      <c r="R35" s="100"/>
      <c r="S35" s="102"/>
      <c r="T35" s="105" t="str">
        <f>IF(OR(B35="",C35=""),"",IF(G35="",IF(Setup!$B$7&lt;=M35,"Notice due in "&amp;(M35-Setup!$B$7)&amp;" days",(Setup!$B$7-M35)&amp;" days past the 28: serve it now; the Engineer has 14 days to object"),IF(G35&lt;=M35,IF(L35="✔ valid","Served on time","Served on time, but it fails a test"),IF(O35&lt;&gt;"","Late, and the Engineer objected in time: argued in the determination",IF(Setup!$B$7&gt;G35+14,"Late, but no objection within 14 days: treated as valid","Late: the Engineer has until "&amp;TEXT(G35+14,"d mmm")&amp;" to object")))))</f>
        <v/>
      </c>
      <c r="U35" s="105" t="str">
        <f>IF(OR(B35="",C35=""),"",IF(R35&lt;&gt;"",IF(S35="Y","Detailed claim in, with its contractual basis","Claim in without the contractual basis: the Notice may lapse"),IF(Setup!$B$7&lt;=P35,(P35-Setup!$B$7)&amp;" days left for the detailed claim","84 days passed: the Engineer has 14 days to declare a lapse")))</f>
        <v/>
      </c>
      <c r="V35" s="105" t="str">
        <f>IF(OR(B35="",C35=""),"",IF(G35="","Serve the Notice of Claim: identified as a Notice, to "&amp;Setup!$B$9&amp;", the stated way",IF(L35&lt;&gt;"✔ valid","Re-serve: the Notice fails a test",IF(R35="","Build the detailed claim: due "&amp;TEXT(P35,"d mmm yyyy"),IF(S35&lt;&gt;"Y","Add the contractual basis to the claim","Wait: consultation, then the determination")))))</f>
        <v/>
      </c>
      <c r="W35" s="99"/>
    </row>
    <row r="36" spans="1:23" x14ac:dyDescent="0.3">
      <c r="A36" s="98" t="s">
        <v>190</v>
      </c>
      <c r="B36" s="99"/>
      <c r="C36" s="100"/>
      <c r="D36" s="99"/>
      <c r="E36" s="101"/>
      <c r="F36" s="99"/>
      <c r="G36" s="100"/>
      <c r="H36" s="102"/>
      <c r="I36" s="102"/>
      <c r="J36" s="102"/>
      <c r="K36" s="102"/>
      <c r="L36" s="67" t="str">
        <f t="shared" si="0"/>
        <v/>
      </c>
      <c r="M36" s="103" t="str">
        <f t="shared" si="1"/>
        <v/>
      </c>
      <c r="N36" s="104" t="str">
        <f>IF(OR(C36="",G36&lt;&gt;""),"",M36-Setup!$B$7)</f>
        <v/>
      </c>
      <c r="O36" s="100"/>
      <c r="P36" s="103" t="str">
        <f t="shared" si="2"/>
        <v/>
      </c>
      <c r="Q36" s="104" t="str">
        <f>IF(OR(C36="",R36&lt;&gt;""),"",P36-Setup!$B$7)</f>
        <v/>
      </c>
      <c r="R36" s="100"/>
      <c r="S36" s="102"/>
      <c r="T36" s="105" t="str">
        <f>IF(OR(B36="",C36=""),"",IF(G36="",IF(Setup!$B$7&lt;=M36,"Notice due in "&amp;(M36-Setup!$B$7)&amp;" days",(Setup!$B$7-M36)&amp;" days past the 28: serve it now; the Engineer has 14 days to object"),IF(G36&lt;=M36,IF(L36="✔ valid","Served on time","Served on time, but it fails a test"),IF(O36&lt;&gt;"","Late, and the Engineer objected in time: argued in the determination",IF(Setup!$B$7&gt;G36+14,"Late, but no objection within 14 days: treated as valid","Late: the Engineer has until "&amp;TEXT(G36+14,"d mmm")&amp;" to object")))))</f>
        <v/>
      </c>
      <c r="U36" s="105" t="str">
        <f>IF(OR(B36="",C36=""),"",IF(R36&lt;&gt;"",IF(S36="Y","Detailed claim in, with its contractual basis","Claim in without the contractual basis: the Notice may lapse"),IF(Setup!$B$7&lt;=P36,(P36-Setup!$B$7)&amp;" days left for the detailed claim","84 days passed: the Engineer has 14 days to declare a lapse")))</f>
        <v/>
      </c>
      <c r="V36" s="105" t="str">
        <f>IF(OR(B36="",C36=""),"",IF(G36="","Serve the Notice of Claim: identified as a Notice, to "&amp;Setup!$B$9&amp;", the stated way",IF(L36&lt;&gt;"✔ valid","Re-serve: the Notice fails a test",IF(R36="","Build the detailed claim: due "&amp;TEXT(P36,"d mmm yyyy"),IF(S36&lt;&gt;"Y","Add the contractual basis to the claim","Wait: consultation, then the determination")))))</f>
        <v/>
      </c>
      <c r="W36" s="99"/>
    </row>
  </sheetData>
  <sheetProtection sheet="1" formatCells="0" formatColumns="0" formatRows="0" insertColumns="0" insertRows="0" insertHyperlinks="0" deleteColumns="0" deleteRows="0" sort="0" autoFilter="0" pivotTables="0"/>
  <conditionalFormatting sqref="H7:K36">
    <cfRule type="cellIs" dxfId="16" priority="1" operator="equal">
      <formula>"Y"</formula>
    </cfRule>
    <cfRule type="cellIs" dxfId="15" priority="2" operator="equal">
      <formula>"N"</formula>
    </cfRule>
  </conditionalFormatting>
  <conditionalFormatting sqref="L7:L36">
    <cfRule type="expression" dxfId="14" priority="12">
      <formula>LEFT(L7,5)="Check"</formula>
    </cfRule>
  </conditionalFormatting>
  <conditionalFormatting sqref="N7:N36">
    <cfRule type="cellIs" dxfId="13" priority="5" operator="lessThan">
      <formula>0</formula>
    </cfRule>
  </conditionalFormatting>
  <conditionalFormatting sqref="Q7:Q36">
    <cfRule type="cellIs" dxfId="11" priority="7" operator="lessThan">
      <formula>0</formula>
    </cfRule>
  </conditionalFormatting>
  <conditionalFormatting sqref="S7:S36">
    <cfRule type="cellIs" dxfId="9" priority="3" operator="equal">
      <formula>"Y"</formula>
    </cfRule>
    <cfRule type="cellIs" dxfId="8" priority="4" operator="equal">
      <formula>"N"</formula>
    </cfRule>
  </conditionalFormatting>
  <conditionalFormatting sqref="T7:U36">
    <cfRule type="expression" dxfId="7" priority="9">
      <formula>OR(ISNUMBER(SEARCH("past the 28",T7)),ISNUMBER(SEARCH("lapse",T7)),ISNUMBER(SEARCH("fails",T7)))</formula>
    </cfRule>
    <cfRule type="expression" dxfId="6" priority="10">
      <formula>OR(LEFT(T7,7)="Late: t",LEFT(T7,12)="Notice due i")</formula>
    </cfRule>
    <cfRule type="expression" dxfId="5" priority="11">
      <formula>OR(T7="Served on time",LEFT(T7,11)="Late, but n",LEFT(T7,16)="Detailed claim i")</formula>
    </cfRule>
  </conditionalFormatting>
  <dataValidations count="1">
    <dataValidation type="list" allowBlank="1" sqref="H7:K36 S7:S36" xr:uid="{00000000-0002-0000-0400-000000000000}">
      <formula1>"Y,N"</formula1>
    </dataValidation>
  </dataValidations>
  <printOptions horizontalCentered="1"/>
  <pageMargins left="0.4" right="0.4" top="0.5" bottom="0.5" header="0.5" footer="0.5"/>
  <pageSetup paperSize="9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400-000006000000}">
            <xm:f>AND(ISNUMBER(N7),N7&gt;=0,N7&lt;=Setup!$B$10)</xm:f>
            <x14:dxf>
              <font>
                <b/>
                <color rgb="FFB45309"/>
                <name val="Arial"/>
              </font>
              <fill>
                <patternFill patternType="solid">
                  <fgColor rgb="FFFEF3C7"/>
                </patternFill>
              </fill>
            </x14:dxf>
          </x14:cfRule>
          <xm:sqref>N7:N36</xm:sqref>
        </x14:conditionalFormatting>
        <x14:conditionalFormatting xmlns:xm="http://schemas.microsoft.com/office/excel/2006/main">
          <x14:cfRule type="expression" priority="8" id="{00000000-000E-0000-0400-000008000000}">
            <xm:f>AND(ISNUMBER(Q7),Q7&gt;=0,Q7&lt;=Setup!$B$10)</xm:f>
            <x14:dxf>
              <font>
                <b/>
                <color rgb="FFB45309"/>
                <name val="Arial"/>
              </font>
              <fill>
                <patternFill patternType="solid">
                  <fgColor rgb="FFFEF3C7"/>
                </patternFill>
              </fill>
            </x14:dxf>
          </x14:cfRule>
          <xm:sqref>Q7:Q36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47857"/>
    <pageSetUpPr fitToPage="1"/>
  </sheetPr>
  <dimension ref="A1:I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6" sqref="A6:XFD6"/>
    </sheetView>
  </sheetViews>
  <sheetFormatPr defaultRowHeight="14.4" x14ac:dyDescent="0.3"/>
  <cols>
    <col min="1" max="1" width="7" style="11" customWidth="1"/>
    <col min="2" max="2" width="30" style="11" customWidth="1"/>
    <col min="3" max="3" width="34" style="11" customWidth="1"/>
    <col min="4" max="4" width="12" style="11" customWidth="1"/>
    <col min="5" max="5" width="7" style="11" customWidth="1"/>
    <col min="6" max="6" width="12" style="11" customWidth="1"/>
    <col min="7" max="7" width="10" style="11" customWidth="1"/>
    <col min="8" max="8" width="14" style="11" customWidth="1"/>
    <col min="9" max="9" width="50" style="11" customWidth="1"/>
    <col min="10" max="16384" width="8.88671875" style="11"/>
  </cols>
  <sheetData>
    <row r="1" spans="1:9" ht="28.05" customHeight="1" x14ac:dyDescent="0.4">
      <c r="A1" s="60" t="s">
        <v>42</v>
      </c>
      <c r="I1" s="118" t="s">
        <v>54</v>
      </c>
    </row>
    <row r="2" spans="1:9" x14ac:dyDescent="0.3">
      <c r="A2" s="61" t="s">
        <v>191</v>
      </c>
    </row>
    <row r="3" spans="1:9" x14ac:dyDescent="0.3">
      <c r="A3" s="62" t="s">
        <v>192</v>
      </c>
    </row>
    <row r="4" spans="1:9" x14ac:dyDescent="0.3">
      <c r="A4" s="106"/>
      <c r="B4" s="106"/>
      <c r="C4" s="106"/>
      <c r="D4" s="106"/>
      <c r="E4" s="106"/>
      <c r="F4" s="106"/>
      <c r="G4" s="106"/>
      <c r="H4" s="106"/>
      <c r="I4" s="106"/>
    </row>
    <row r="6" spans="1:9" s="71" customFormat="1" ht="31.95" customHeight="1" x14ac:dyDescent="0.3">
      <c r="A6" s="70" t="s">
        <v>193</v>
      </c>
      <c r="B6" s="70" t="s">
        <v>194</v>
      </c>
      <c r="C6" s="70" t="s">
        <v>65</v>
      </c>
      <c r="D6" s="70" t="s">
        <v>195</v>
      </c>
      <c r="E6" s="70" t="s">
        <v>89</v>
      </c>
      <c r="F6" s="70" t="s">
        <v>196</v>
      </c>
      <c r="G6" s="70" t="s">
        <v>63</v>
      </c>
      <c r="H6" s="70" t="s">
        <v>197</v>
      </c>
      <c r="I6" s="70" t="s">
        <v>198</v>
      </c>
    </row>
    <row r="7" spans="1:9" x14ac:dyDescent="0.3">
      <c r="A7" s="107" t="s">
        <v>199</v>
      </c>
      <c r="B7" s="99"/>
      <c r="C7" s="108"/>
      <c r="D7" s="100"/>
      <c r="E7" s="109" t="str">
        <f t="shared" ref="E7:E26" si="0">IF(C7="","",IF(LEFT(C7,6)="Answer",7,14))</f>
        <v/>
      </c>
      <c r="F7" s="110" t="str">
        <f t="shared" ref="F7:F26" si="1">IF(OR(D7="",E7=""),"",D7+E7)</f>
        <v/>
      </c>
      <c r="G7" s="111" t="str">
        <f>IF(OR(F7="",H7&lt;&gt;""),"",F7-Setup!$B$7)</f>
        <v/>
      </c>
      <c r="H7" s="100"/>
      <c r="I7" s="112" t="str">
        <f>IF(OR(C7="",D7=""),"",IF(H7&lt;&gt;"","The Engineer responded: deal with the substance",IF(Setup!$B$7&gt;F7,"Expired in your favour: "&amp;IF(LEFT(C7,4)="Late","your Notice is treated as valid",IF(LEFT(C7,5)="Lapse","your Notice survives","the instruction is revoked")),"Running: "&amp;G7&amp;" days left")))</f>
        <v/>
      </c>
    </row>
    <row r="8" spans="1:9" x14ac:dyDescent="0.3">
      <c r="A8" s="107" t="s">
        <v>200</v>
      </c>
      <c r="B8" s="99"/>
      <c r="C8" s="108"/>
      <c r="D8" s="100"/>
      <c r="E8" s="109" t="str">
        <f t="shared" si="0"/>
        <v/>
      </c>
      <c r="F8" s="110" t="str">
        <f t="shared" si="1"/>
        <v/>
      </c>
      <c r="G8" s="111" t="str">
        <f>IF(OR(F8="",H8&lt;&gt;""),"",F8-Setup!$B$7)</f>
        <v/>
      </c>
      <c r="H8" s="100"/>
      <c r="I8" s="112" t="str">
        <f>IF(OR(C8="",D8=""),"",IF(H8&lt;&gt;"","The Engineer responded: deal with the substance",IF(Setup!$B$7&gt;F8,"Expired in your favour: "&amp;IF(LEFT(C8,4)="Late","your Notice is treated as valid",IF(LEFT(C8,5)="Lapse","your Notice survives","the instruction is revoked")),"Running: "&amp;G8&amp;" days left")))</f>
        <v/>
      </c>
    </row>
    <row r="9" spans="1:9" x14ac:dyDescent="0.3">
      <c r="A9" s="107" t="s">
        <v>201</v>
      </c>
      <c r="B9" s="99"/>
      <c r="C9" s="108"/>
      <c r="D9" s="100"/>
      <c r="E9" s="109" t="str">
        <f t="shared" si="0"/>
        <v/>
      </c>
      <c r="F9" s="110" t="str">
        <f t="shared" si="1"/>
        <v/>
      </c>
      <c r="G9" s="111" t="str">
        <f>IF(OR(F9="",H9&lt;&gt;""),"",F9-Setup!$B$7)</f>
        <v/>
      </c>
      <c r="H9" s="100"/>
      <c r="I9" s="112" t="str">
        <f>IF(OR(C9="",D9=""),"",IF(H9&lt;&gt;"","The Engineer responded: deal with the substance",IF(Setup!$B$7&gt;F9,"Expired in your favour: "&amp;IF(LEFT(C9,4)="Late","your Notice is treated as valid",IF(LEFT(C9,5)="Lapse","your Notice survives","the instruction is revoked")),"Running: "&amp;G9&amp;" days left")))</f>
        <v/>
      </c>
    </row>
    <row r="10" spans="1:9" x14ac:dyDescent="0.3">
      <c r="A10" s="107" t="s">
        <v>202</v>
      </c>
      <c r="B10" s="99"/>
      <c r="C10" s="108"/>
      <c r="D10" s="100"/>
      <c r="E10" s="109" t="str">
        <f t="shared" si="0"/>
        <v/>
      </c>
      <c r="F10" s="110" t="str">
        <f t="shared" si="1"/>
        <v/>
      </c>
      <c r="G10" s="111" t="str">
        <f>IF(OR(F10="",H10&lt;&gt;""),"",F10-Setup!$B$7)</f>
        <v/>
      </c>
      <c r="H10" s="100"/>
      <c r="I10" s="112" t="str">
        <f>IF(OR(C10="",D10=""),"",IF(H10&lt;&gt;"","The Engineer responded: deal with the substance",IF(Setup!$B$7&gt;F10,"Expired in your favour: "&amp;IF(LEFT(C10,4)="Late","your Notice is treated as valid",IF(LEFT(C10,5)="Lapse","your Notice survives","the instruction is revoked")),"Running: "&amp;G10&amp;" days left")))</f>
        <v/>
      </c>
    </row>
    <row r="11" spans="1:9" x14ac:dyDescent="0.3">
      <c r="A11" s="107" t="s">
        <v>203</v>
      </c>
      <c r="B11" s="99"/>
      <c r="C11" s="108"/>
      <c r="D11" s="100"/>
      <c r="E11" s="109" t="str">
        <f t="shared" si="0"/>
        <v/>
      </c>
      <c r="F11" s="110" t="str">
        <f t="shared" si="1"/>
        <v/>
      </c>
      <c r="G11" s="111" t="str">
        <f>IF(OR(F11="",H11&lt;&gt;""),"",F11-Setup!$B$7)</f>
        <v/>
      </c>
      <c r="H11" s="100"/>
      <c r="I11" s="112" t="str">
        <f>IF(OR(C11="",D11=""),"",IF(H11&lt;&gt;"","The Engineer responded: deal with the substance",IF(Setup!$B$7&gt;F11,"Expired in your favour: "&amp;IF(LEFT(C11,4)="Late","your Notice is treated as valid",IF(LEFT(C11,5)="Lapse","your Notice survives","the instruction is revoked")),"Running: "&amp;G11&amp;" days left")))</f>
        <v/>
      </c>
    </row>
    <row r="12" spans="1:9" x14ac:dyDescent="0.3">
      <c r="A12" s="107" t="s">
        <v>204</v>
      </c>
      <c r="B12" s="99"/>
      <c r="C12" s="108"/>
      <c r="D12" s="100"/>
      <c r="E12" s="109" t="str">
        <f t="shared" si="0"/>
        <v/>
      </c>
      <c r="F12" s="110" t="str">
        <f t="shared" si="1"/>
        <v/>
      </c>
      <c r="G12" s="111" t="str">
        <f>IF(OR(F12="",H12&lt;&gt;""),"",F12-Setup!$B$7)</f>
        <v/>
      </c>
      <c r="H12" s="100"/>
      <c r="I12" s="112" t="str">
        <f>IF(OR(C12="",D12=""),"",IF(H12&lt;&gt;"","The Engineer responded: deal with the substance",IF(Setup!$B$7&gt;F12,"Expired in your favour: "&amp;IF(LEFT(C12,4)="Late","your Notice is treated as valid",IF(LEFT(C12,5)="Lapse","your Notice survives","the instruction is revoked")),"Running: "&amp;G12&amp;" days left")))</f>
        <v/>
      </c>
    </row>
    <row r="13" spans="1:9" x14ac:dyDescent="0.3">
      <c r="A13" s="107" t="s">
        <v>205</v>
      </c>
      <c r="B13" s="99"/>
      <c r="C13" s="108"/>
      <c r="D13" s="100"/>
      <c r="E13" s="109" t="str">
        <f t="shared" si="0"/>
        <v/>
      </c>
      <c r="F13" s="110" t="str">
        <f t="shared" si="1"/>
        <v/>
      </c>
      <c r="G13" s="111" t="str">
        <f>IF(OR(F13="",H13&lt;&gt;""),"",F13-Setup!$B$7)</f>
        <v/>
      </c>
      <c r="H13" s="100"/>
      <c r="I13" s="112" t="str">
        <f>IF(OR(C13="",D13=""),"",IF(H13&lt;&gt;"","The Engineer responded: deal with the substance",IF(Setup!$B$7&gt;F13,"Expired in your favour: "&amp;IF(LEFT(C13,4)="Late","your Notice is treated as valid",IF(LEFT(C13,5)="Lapse","your Notice survives","the instruction is revoked")),"Running: "&amp;G13&amp;" days left")))</f>
        <v/>
      </c>
    </row>
    <row r="14" spans="1:9" x14ac:dyDescent="0.3">
      <c r="A14" s="107" t="s">
        <v>206</v>
      </c>
      <c r="B14" s="99"/>
      <c r="C14" s="108"/>
      <c r="D14" s="100"/>
      <c r="E14" s="109" t="str">
        <f t="shared" si="0"/>
        <v/>
      </c>
      <c r="F14" s="110" t="str">
        <f t="shared" si="1"/>
        <v/>
      </c>
      <c r="G14" s="111" t="str">
        <f>IF(OR(F14="",H14&lt;&gt;""),"",F14-Setup!$B$7)</f>
        <v/>
      </c>
      <c r="H14" s="100"/>
      <c r="I14" s="112" t="str">
        <f>IF(OR(C14="",D14=""),"",IF(H14&lt;&gt;"","The Engineer responded: deal with the substance",IF(Setup!$B$7&gt;F14,"Expired in your favour: "&amp;IF(LEFT(C14,4)="Late","your Notice is treated as valid",IF(LEFT(C14,5)="Lapse","your Notice survives","the instruction is revoked")),"Running: "&amp;G14&amp;" days left")))</f>
        <v/>
      </c>
    </row>
    <row r="15" spans="1:9" x14ac:dyDescent="0.3">
      <c r="A15" s="107" t="s">
        <v>207</v>
      </c>
      <c r="B15" s="99"/>
      <c r="C15" s="108"/>
      <c r="D15" s="100"/>
      <c r="E15" s="109" t="str">
        <f t="shared" si="0"/>
        <v/>
      </c>
      <c r="F15" s="110" t="str">
        <f t="shared" si="1"/>
        <v/>
      </c>
      <c r="G15" s="111" t="str">
        <f>IF(OR(F15="",H15&lt;&gt;""),"",F15-Setup!$B$7)</f>
        <v/>
      </c>
      <c r="H15" s="100"/>
      <c r="I15" s="112" t="str">
        <f>IF(OR(C15="",D15=""),"",IF(H15&lt;&gt;"","The Engineer responded: deal with the substance",IF(Setup!$B$7&gt;F15,"Expired in your favour: "&amp;IF(LEFT(C15,4)="Late","your Notice is treated as valid",IF(LEFT(C15,5)="Lapse","your Notice survives","the instruction is revoked")),"Running: "&amp;G15&amp;" days left")))</f>
        <v/>
      </c>
    </row>
    <row r="16" spans="1:9" x14ac:dyDescent="0.3">
      <c r="A16" s="107" t="s">
        <v>208</v>
      </c>
      <c r="B16" s="99"/>
      <c r="C16" s="108"/>
      <c r="D16" s="100"/>
      <c r="E16" s="109" t="str">
        <f t="shared" si="0"/>
        <v/>
      </c>
      <c r="F16" s="110" t="str">
        <f t="shared" si="1"/>
        <v/>
      </c>
      <c r="G16" s="111" t="str">
        <f>IF(OR(F16="",H16&lt;&gt;""),"",F16-Setup!$B$7)</f>
        <v/>
      </c>
      <c r="H16" s="100"/>
      <c r="I16" s="112" t="str">
        <f>IF(OR(C16="",D16=""),"",IF(H16&lt;&gt;"","The Engineer responded: deal with the substance",IF(Setup!$B$7&gt;F16,"Expired in your favour: "&amp;IF(LEFT(C16,4)="Late","your Notice is treated as valid",IF(LEFT(C16,5)="Lapse","your Notice survives","the instruction is revoked")),"Running: "&amp;G16&amp;" days left")))</f>
        <v/>
      </c>
    </row>
    <row r="17" spans="1:9" x14ac:dyDescent="0.3">
      <c r="A17" s="107" t="s">
        <v>209</v>
      </c>
      <c r="B17" s="99"/>
      <c r="C17" s="108"/>
      <c r="D17" s="100"/>
      <c r="E17" s="109" t="str">
        <f t="shared" si="0"/>
        <v/>
      </c>
      <c r="F17" s="110" t="str">
        <f t="shared" si="1"/>
        <v/>
      </c>
      <c r="G17" s="111" t="str">
        <f>IF(OR(F17="",H17&lt;&gt;""),"",F17-Setup!$B$7)</f>
        <v/>
      </c>
      <c r="H17" s="100"/>
      <c r="I17" s="112" t="str">
        <f>IF(OR(C17="",D17=""),"",IF(H17&lt;&gt;"","The Engineer responded: deal with the substance",IF(Setup!$B$7&gt;F17,"Expired in your favour: "&amp;IF(LEFT(C17,4)="Late","your Notice is treated as valid",IF(LEFT(C17,5)="Lapse","your Notice survives","the instruction is revoked")),"Running: "&amp;G17&amp;" days left")))</f>
        <v/>
      </c>
    </row>
    <row r="18" spans="1:9" x14ac:dyDescent="0.3">
      <c r="A18" s="107" t="s">
        <v>210</v>
      </c>
      <c r="B18" s="99"/>
      <c r="C18" s="108"/>
      <c r="D18" s="100"/>
      <c r="E18" s="109" t="str">
        <f t="shared" si="0"/>
        <v/>
      </c>
      <c r="F18" s="110" t="str">
        <f t="shared" si="1"/>
        <v/>
      </c>
      <c r="G18" s="111" t="str">
        <f>IF(OR(F18="",H18&lt;&gt;""),"",F18-Setup!$B$7)</f>
        <v/>
      </c>
      <c r="H18" s="100"/>
      <c r="I18" s="112" t="str">
        <f>IF(OR(C18="",D18=""),"",IF(H18&lt;&gt;"","The Engineer responded: deal with the substance",IF(Setup!$B$7&gt;F18,"Expired in your favour: "&amp;IF(LEFT(C18,4)="Late","your Notice is treated as valid",IF(LEFT(C18,5)="Lapse","your Notice survives","the instruction is revoked")),"Running: "&amp;G18&amp;" days left")))</f>
        <v/>
      </c>
    </row>
    <row r="19" spans="1:9" x14ac:dyDescent="0.3">
      <c r="A19" s="107" t="s">
        <v>211</v>
      </c>
      <c r="B19" s="99"/>
      <c r="C19" s="108"/>
      <c r="D19" s="100"/>
      <c r="E19" s="109" t="str">
        <f t="shared" si="0"/>
        <v/>
      </c>
      <c r="F19" s="110" t="str">
        <f t="shared" si="1"/>
        <v/>
      </c>
      <c r="G19" s="111" t="str">
        <f>IF(OR(F19="",H19&lt;&gt;""),"",F19-Setup!$B$7)</f>
        <v/>
      </c>
      <c r="H19" s="100"/>
      <c r="I19" s="112" t="str">
        <f>IF(OR(C19="",D19=""),"",IF(H19&lt;&gt;"","The Engineer responded: deal with the substance",IF(Setup!$B$7&gt;F19,"Expired in your favour: "&amp;IF(LEFT(C19,4)="Late","your Notice is treated as valid",IF(LEFT(C19,5)="Lapse","your Notice survives","the instruction is revoked")),"Running: "&amp;G19&amp;" days left")))</f>
        <v/>
      </c>
    </row>
    <row r="20" spans="1:9" x14ac:dyDescent="0.3">
      <c r="A20" s="107" t="s">
        <v>212</v>
      </c>
      <c r="B20" s="99"/>
      <c r="C20" s="108"/>
      <c r="D20" s="100"/>
      <c r="E20" s="109" t="str">
        <f t="shared" si="0"/>
        <v/>
      </c>
      <c r="F20" s="110" t="str">
        <f t="shared" si="1"/>
        <v/>
      </c>
      <c r="G20" s="111" t="str">
        <f>IF(OR(F20="",H20&lt;&gt;""),"",F20-Setup!$B$7)</f>
        <v/>
      </c>
      <c r="H20" s="100"/>
      <c r="I20" s="112" t="str">
        <f>IF(OR(C20="",D20=""),"",IF(H20&lt;&gt;"","The Engineer responded: deal with the substance",IF(Setup!$B$7&gt;F20,"Expired in your favour: "&amp;IF(LEFT(C20,4)="Late","your Notice is treated as valid",IF(LEFT(C20,5)="Lapse","your Notice survives","the instruction is revoked")),"Running: "&amp;G20&amp;" days left")))</f>
        <v/>
      </c>
    </row>
    <row r="21" spans="1:9" x14ac:dyDescent="0.3">
      <c r="A21" s="107" t="s">
        <v>213</v>
      </c>
      <c r="B21" s="99"/>
      <c r="C21" s="108"/>
      <c r="D21" s="100"/>
      <c r="E21" s="109" t="str">
        <f t="shared" si="0"/>
        <v/>
      </c>
      <c r="F21" s="110" t="str">
        <f t="shared" si="1"/>
        <v/>
      </c>
      <c r="G21" s="111" t="str">
        <f>IF(OR(F21="",H21&lt;&gt;""),"",F21-Setup!$B$7)</f>
        <v/>
      </c>
      <c r="H21" s="100"/>
      <c r="I21" s="112" t="str">
        <f>IF(OR(C21="",D21=""),"",IF(H21&lt;&gt;"","The Engineer responded: deal with the substance",IF(Setup!$B$7&gt;F21,"Expired in your favour: "&amp;IF(LEFT(C21,4)="Late","your Notice is treated as valid",IF(LEFT(C21,5)="Lapse","your Notice survives","the instruction is revoked")),"Running: "&amp;G21&amp;" days left")))</f>
        <v/>
      </c>
    </row>
    <row r="22" spans="1:9" x14ac:dyDescent="0.3">
      <c r="A22" s="107" t="s">
        <v>214</v>
      </c>
      <c r="B22" s="99"/>
      <c r="C22" s="108"/>
      <c r="D22" s="100"/>
      <c r="E22" s="109" t="str">
        <f t="shared" si="0"/>
        <v/>
      </c>
      <c r="F22" s="110" t="str">
        <f t="shared" si="1"/>
        <v/>
      </c>
      <c r="G22" s="111" t="str">
        <f>IF(OR(F22="",H22&lt;&gt;""),"",F22-Setup!$B$7)</f>
        <v/>
      </c>
      <c r="H22" s="100"/>
      <c r="I22" s="112" t="str">
        <f>IF(OR(C22="",D22=""),"",IF(H22&lt;&gt;"","The Engineer responded: deal with the substance",IF(Setup!$B$7&gt;F22,"Expired in your favour: "&amp;IF(LEFT(C22,4)="Late","your Notice is treated as valid",IF(LEFT(C22,5)="Lapse","your Notice survives","the instruction is revoked")),"Running: "&amp;G22&amp;" days left")))</f>
        <v/>
      </c>
    </row>
    <row r="23" spans="1:9" x14ac:dyDescent="0.3">
      <c r="A23" s="107" t="s">
        <v>215</v>
      </c>
      <c r="B23" s="99"/>
      <c r="C23" s="108"/>
      <c r="D23" s="100"/>
      <c r="E23" s="109" t="str">
        <f t="shared" si="0"/>
        <v/>
      </c>
      <c r="F23" s="110" t="str">
        <f t="shared" si="1"/>
        <v/>
      </c>
      <c r="G23" s="111" t="str">
        <f>IF(OR(F23="",H23&lt;&gt;""),"",F23-Setup!$B$7)</f>
        <v/>
      </c>
      <c r="H23" s="100"/>
      <c r="I23" s="112" t="str">
        <f>IF(OR(C23="",D23=""),"",IF(H23&lt;&gt;"","The Engineer responded: deal with the substance",IF(Setup!$B$7&gt;F23,"Expired in your favour: "&amp;IF(LEFT(C23,4)="Late","your Notice is treated as valid",IF(LEFT(C23,5)="Lapse","your Notice survives","the instruction is revoked")),"Running: "&amp;G23&amp;" days left")))</f>
        <v/>
      </c>
    </row>
    <row r="24" spans="1:9" x14ac:dyDescent="0.3">
      <c r="A24" s="107" t="s">
        <v>216</v>
      </c>
      <c r="B24" s="99"/>
      <c r="C24" s="108"/>
      <c r="D24" s="100"/>
      <c r="E24" s="109" t="str">
        <f t="shared" si="0"/>
        <v/>
      </c>
      <c r="F24" s="110" t="str">
        <f t="shared" si="1"/>
        <v/>
      </c>
      <c r="G24" s="111" t="str">
        <f>IF(OR(F24="",H24&lt;&gt;""),"",F24-Setup!$B$7)</f>
        <v/>
      </c>
      <c r="H24" s="100"/>
      <c r="I24" s="112" t="str">
        <f>IF(OR(C24="",D24=""),"",IF(H24&lt;&gt;"","The Engineer responded: deal with the substance",IF(Setup!$B$7&gt;F24,"Expired in your favour: "&amp;IF(LEFT(C24,4)="Late","your Notice is treated as valid",IF(LEFT(C24,5)="Lapse","your Notice survives","the instruction is revoked")),"Running: "&amp;G24&amp;" days left")))</f>
        <v/>
      </c>
    </row>
    <row r="25" spans="1:9" x14ac:dyDescent="0.3">
      <c r="A25" s="107" t="s">
        <v>217</v>
      </c>
      <c r="B25" s="99"/>
      <c r="C25" s="108"/>
      <c r="D25" s="100"/>
      <c r="E25" s="109" t="str">
        <f t="shared" si="0"/>
        <v/>
      </c>
      <c r="F25" s="110" t="str">
        <f t="shared" si="1"/>
        <v/>
      </c>
      <c r="G25" s="111" t="str">
        <f>IF(OR(F25="",H25&lt;&gt;""),"",F25-Setup!$B$7)</f>
        <v/>
      </c>
      <c r="H25" s="100"/>
      <c r="I25" s="112" t="str">
        <f>IF(OR(C25="",D25=""),"",IF(H25&lt;&gt;"","The Engineer responded: deal with the substance",IF(Setup!$B$7&gt;F25,"Expired in your favour: "&amp;IF(LEFT(C25,4)="Late","your Notice is treated as valid",IF(LEFT(C25,5)="Lapse","your Notice survives","the instruction is revoked")),"Running: "&amp;G25&amp;" days left")))</f>
        <v/>
      </c>
    </row>
    <row r="26" spans="1:9" x14ac:dyDescent="0.3">
      <c r="A26" s="107" t="s">
        <v>218</v>
      </c>
      <c r="B26" s="99"/>
      <c r="C26" s="108"/>
      <c r="D26" s="100"/>
      <c r="E26" s="109" t="str">
        <f t="shared" si="0"/>
        <v/>
      </c>
      <c r="F26" s="110" t="str">
        <f t="shared" si="1"/>
        <v/>
      </c>
      <c r="G26" s="111" t="str">
        <f>IF(OR(F26="",H26&lt;&gt;""),"",F26-Setup!$B$7)</f>
        <v/>
      </c>
      <c r="H26" s="100"/>
      <c r="I26" s="112" t="str">
        <f>IF(OR(C26="",D26=""),"",IF(H26&lt;&gt;"","The Engineer responded: deal with the substance",IF(Setup!$B$7&gt;F26,"Expired in your favour: "&amp;IF(LEFT(C26,4)="Late","your Notice is treated as valid",IF(LEFT(C26,5)="Lapse","your Notice survives","the instruction is revoked")),"Running: "&amp;G26&amp;" days left")))</f>
        <v/>
      </c>
    </row>
  </sheetData>
  <sheetProtection sheet="1" formatCells="0" formatColumns="0" formatRows="0" insertColumns="0" insertRows="0" insertHyperlinks="0" deleteColumns="0" deleteRows="0" sort="0" autoFilter="0" pivotTables="0"/>
  <conditionalFormatting sqref="I7:I26">
    <cfRule type="expression" dxfId="4" priority="1">
      <formula>LEFT(I7,7)="Expired"</formula>
    </cfRule>
  </conditionalFormatting>
  <dataValidations count="1">
    <dataValidation type="list" allowBlank="1" sqref="C7:C26" xr:uid="{00000000-0002-0000-0500-000000000000}">
      <formula1>"Late Notice objection · 14 d · 20.2.2,Lapse declaration · 14 d · 20.2.4,Answer to a challenged instruction · 7 d · 3.5"</formula1>
    </dataValidation>
  </dataValidations>
  <printOptions horizontalCentered="1"/>
  <pageMargins left="0.4" right="0.4" top="0.5" bottom="0.5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E123C"/>
    <pageSetUpPr fitToPage="1"/>
  </sheetPr>
  <dimension ref="A1:H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6" sqref="A6:XFD6"/>
    </sheetView>
  </sheetViews>
  <sheetFormatPr defaultRowHeight="14.4" x14ac:dyDescent="0.3"/>
  <cols>
    <col min="1" max="1" width="7" style="11" customWidth="1"/>
    <col min="2" max="2" width="34" style="11" customWidth="1"/>
    <col min="3" max="3" width="9" style="11" customWidth="1"/>
    <col min="4" max="4" width="13" style="11" customWidth="1"/>
    <col min="5" max="5" width="16" style="11" customWidth="1"/>
    <col min="6" max="6" width="10" style="11" customWidth="1"/>
    <col min="7" max="7" width="16" style="11" customWidth="1"/>
    <col min="8" max="8" width="46" style="11" customWidth="1"/>
    <col min="9" max="16384" width="8.88671875" style="11"/>
  </cols>
  <sheetData>
    <row r="1" spans="1:8" ht="28.05" customHeight="1" x14ac:dyDescent="0.4">
      <c r="A1" s="60" t="s">
        <v>44</v>
      </c>
      <c r="H1" s="118" t="s">
        <v>54</v>
      </c>
    </row>
    <row r="2" spans="1:8" x14ac:dyDescent="0.3">
      <c r="A2" s="61" t="s">
        <v>219</v>
      </c>
    </row>
    <row r="3" spans="1:8" x14ac:dyDescent="0.3">
      <c r="A3" s="62" t="s">
        <v>220</v>
      </c>
    </row>
    <row r="4" spans="1:8" x14ac:dyDescent="0.3">
      <c r="A4" s="113"/>
      <c r="B4" s="113"/>
      <c r="C4" s="113"/>
      <c r="D4" s="113"/>
      <c r="E4" s="113"/>
      <c r="F4" s="113"/>
      <c r="G4" s="113"/>
      <c r="H4" s="113"/>
    </row>
    <row r="6" spans="1:8" s="114" customFormat="1" ht="40.200000000000003" customHeight="1" x14ac:dyDescent="0.2">
      <c r="A6" s="85" t="s">
        <v>193</v>
      </c>
      <c r="B6" s="85" t="s">
        <v>221</v>
      </c>
      <c r="C6" s="85" t="s">
        <v>222</v>
      </c>
      <c r="D6" s="85" t="s">
        <v>223</v>
      </c>
      <c r="E6" s="85" t="s">
        <v>224</v>
      </c>
      <c r="F6" s="85" t="s">
        <v>63</v>
      </c>
      <c r="G6" s="85" t="s">
        <v>225</v>
      </c>
      <c r="H6" s="85" t="s">
        <v>198</v>
      </c>
    </row>
    <row r="7" spans="1:8" x14ac:dyDescent="0.3">
      <c r="A7" s="107" t="s">
        <v>226</v>
      </c>
      <c r="B7" s="99"/>
      <c r="C7" s="108"/>
      <c r="D7" s="100"/>
      <c r="E7" s="110" t="str">
        <f t="shared" ref="E7:E26" si="0">IF(D7="","",D7+28)</f>
        <v/>
      </c>
      <c r="F7" s="115" t="str">
        <f>IF(OR(D7="",G7&lt;&gt;""),"",E7-Setup!$B$7)</f>
        <v/>
      </c>
      <c r="G7" s="100"/>
      <c r="H7" s="112" t="str">
        <f>IF(OR(B7="",D7=""),"",IF(G7&lt;&gt;"",IF(G7&lt;=E7,"Given in time","Given late: final and binding"),IF(Setup!$B$7&gt;E7,"Missed: final and binding. No rescue",(E7-Setup!$B$7)&amp;" days left. No rescue if missed")))</f>
        <v/>
      </c>
    </row>
    <row r="8" spans="1:8" x14ac:dyDescent="0.3">
      <c r="A8" s="107" t="s">
        <v>227</v>
      </c>
      <c r="B8" s="99"/>
      <c r="C8" s="108"/>
      <c r="D8" s="100"/>
      <c r="E8" s="110" t="str">
        <f t="shared" si="0"/>
        <v/>
      </c>
      <c r="F8" s="115" t="str">
        <f>IF(OR(D8="",G8&lt;&gt;""),"",E8-Setup!$B$7)</f>
        <v/>
      </c>
      <c r="G8" s="100"/>
      <c r="H8" s="112" t="str">
        <f>IF(OR(B8="",D8=""),"",IF(G8&lt;&gt;"",IF(G8&lt;=E8,"Given in time","Given late: final and binding"),IF(Setup!$B$7&gt;E8,"Missed: final and binding. No rescue",(E8-Setup!$B$7)&amp;" days left. No rescue if missed")))</f>
        <v/>
      </c>
    </row>
    <row r="9" spans="1:8" x14ac:dyDescent="0.3">
      <c r="A9" s="107" t="s">
        <v>228</v>
      </c>
      <c r="B9" s="99"/>
      <c r="C9" s="108"/>
      <c r="D9" s="100"/>
      <c r="E9" s="110" t="str">
        <f t="shared" si="0"/>
        <v/>
      </c>
      <c r="F9" s="115" t="str">
        <f>IF(OR(D9="",G9&lt;&gt;""),"",E9-Setup!$B$7)</f>
        <v/>
      </c>
      <c r="G9" s="100"/>
      <c r="H9" s="112" t="str">
        <f>IF(OR(B9="",D9=""),"",IF(G9&lt;&gt;"",IF(G9&lt;=E9,"Given in time","Given late: final and binding"),IF(Setup!$B$7&gt;E9,"Missed: final and binding. No rescue",(E9-Setup!$B$7)&amp;" days left. No rescue if missed")))</f>
        <v/>
      </c>
    </row>
    <row r="10" spans="1:8" x14ac:dyDescent="0.3">
      <c r="A10" s="107" t="s">
        <v>229</v>
      </c>
      <c r="B10" s="99"/>
      <c r="C10" s="108"/>
      <c r="D10" s="100"/>
      <c r="E10" s="110" t="str">
        <f t="shared" si="0"/>
        <v/>
      </c>
      <c r="F10" s="115" t="str">
        <f>IF(OR(D10="",G10&lt;&gt;""),"",E10-Setup!$B$7)</f>
        <v/>
      </c>
      <c r="G10" s="100"/>
      <c r="H10" s="112" t="str">
        <f>IF(OR(B10="",D10=""),"",IF(G10&lt;&gt;"",IF(G10&lt;=E10,"Given in time","Given late: final and binding"),IF(Setup!$B$7&gt;E10,"Missed: final and binding. No rescue",(E10-Setup!$B$7)&amp;" days left. No rescue if missed")))</f>
        <v/>
      </c>
    </row>
    <row r="11" spans="1:8" x14ac:dyDescent="0.3">
      <c r="A11" s="107" t="s">
        <v>230</v>
      </c>
      <c r="B11" s="99"/>
      <c r="C11" s="108"/>
      <c r="D11" s="100"/>
      <c r="E11" s="110" t="str">
        <f t="shared" si="0"/>
        <v/>
      </c>
      <c r="F11" s="115" t="str">
        <f>IF(OR(D11="",G11&lt;&gt;""),"",E11-Setup!$B$7)</f>
        <v/>
      </c>
      <c r="G11" s="100"/>
      <c r="H11" s="112" t="str">
        <f>IF(OR(B11="",D11=""),"",IF(G11&lt;&gt;"",IF(G11&lt;=E11,"Given in time","Given late: final and binding"),IF(Setup!$B$7&gt;E11,"Missed: final and binding. No rescue",(E11-Setup!$B$7)&amp;" days left. No rescue if missed")))</f>
        <v/>
      </c>
    </row>
    <row r="12" spans="1:8" x14ac:dyDescent="0.3">
      <c r="A12" s="107" t="s">
        <v>231</v>
      </c>
      <c r="B12" s="99"/>
      <c r="C12" s="108"/>
      <c r="D12" s="100"/>
      <c r="E12" s="110" t="str">
        <f t="shared" si="0"/>
        <v/>
      </c>
      <c r="F12" s="115" t="str">
        <f>IF(OR(D12="",G12&lt;&gt;""),"",E12-Setup!$B$7)</f>
        <v/>
      </c>
      <c r="G12" s="100"/>
      <c r="H12" s="112" t="str">
        <f>IF(OR(B12="",D12=""),"",IF(G12&lt;&gt;"",IF(G12&lt;=E12,"Given in time","Given late: final and binding"),IF(Setup!$B$7&gt;E12,"Missed: final and binding. No rescue",(E12-Setup!$B$7)&amp;" days left. No rescue if missed")))</f>
        <v/>
      </c>
    </row>
    <row r="13" spans="1:8" x14ac:dyDescent="0.3">
      <c r="A13" s="107" t="s">
        <v>232</v>
      </c>
      <c r="B13" s="99"/>
      <c r="C13" s="108"/>
      <c r="D13" s="100"/>
      <c r="E13" s="110" t="str">
        <f t="shared" si="0"/>
        <v/>
      </c>
      <c r="F13" s="115" t="str">
        <f>IF(OR(D13="",G13&lt;&gt;""),"",E13-Setup!$B$7)</f>
        <v/>
      </c>
      <c r="G13" s="100"/>
      <c r="H13" s="112" t="str">
        <f>IF(OR(B13="",D13=""),"",IF(G13&lt;&gt;"",IF(G13&lt;=E13,"Given in time","Given late: final and binding"),IF(Setup!$B$7&gt;E13,"Missed: final and binding. No rescue",(E13-Setup!$B$7)&amp;" days left. No rescue if missed")))</f>
        <v/>
      </c>
    </row>
    <row r="14" spans="1:8" x14ac:dyDescent="0.3">
      <c r="A14" s="107" t="s">
        <v>233</v>
      </c>
      <c r="B14" s="99"/>
      <c r="C14" s="108"/>
      <c r="D14" s="100"/>
      <c r="E14" s="110" t="str">
        <f t="shared" si="0"/>
        <v/>
      </c>
      <c r="F14" s="115" t="str">
        <f>IF(OR(D14="",G14&lt;&gt;""),"",E14-Setup!$B$7)</f>
        <v/>
      </c>
      <c r="G14" s="100"/>
      <c r="H14" s="112" t="str">
        <f>IF(OR(B14="",D14=""),"",IF(G14&lt;&gt;"",IF(G14&lt;=E14,"Given in time","Given late: final and binding"),IF(Setup!$B$7&gt;E14,"Missed: final and binding. No rescue",(E14-Setup!$B$7)&amp;" days left. No rescue if missed")))</f>
        <v/>
      </c>
    </row>
    <row r="15" spans="1:8" x14ac:dyDescent="0.3">
      <c r="A15" s="107" t="s">
        <v>234</v>
      </c>
      <c r="B15" s="99"/>
      <c r="C15" s="108"/>
      <c r="D15" s="100"/>
      <c r="E15" s="110" t="str">
        <f t="shared" si="0"/>
        <v/>
      </c>
      <c r="F15" s="115" t="str">
        <f>IF(OR(D15="",G15&lt;&gt;""),"",E15-Setup!$B$7)</f>
        <v/>
      </c>
      <c r="G15" s="100"/>
      <c r="H15" s="112" t="str">
        <f>IF(OR(B15="",D15=""),"",IF(G15&lt;&gt;"",IF(G15&lt;=E15,"Given in time","Given late: final and binding"),IF(Setup!$B$7&gt;E15,"Missed: final and binding. No rescue",(E15-Setup!$B$7)&amp;" days left. No rescue if missed")))</f>
        <v/>
      </c>
    </row>
    <row r="16" spans="1:8" x14ac:dyDescent="0.3">
      <c r="A16" s="107" t="s">
        <v>235</v>
      </c>
      <c r="B16" s="99"/>
      <c r="C16" s="108"/>
      <c r="D16" s="100"/>
      <c r="E16" s="110" t="str">
        <f t="shared" si="0"/>
        <v/>
      </c>
      <c r="F16" s="115" t="str">
        <f>IF(OR(D16="",G16&lt;&gt;""),"",E16-Setup!$B$7)</f>
        <v/>
      </c>
      <c r="G16" s="100"/>
      <c r="H16" s="112" t="str">
        <f>IF(OR(B16="",D16=""),"",IF(G16&lt;&gt;"",IF(G16&lt;=E16,"Given in time","Given late: final and binding"),IF(Setup!$B$7&gt;E16,"Missed: final and binding. No rescue",(E16-Setup!$B$7)&amp;" days left. No rescue if missed")))</f>
        <v/>
      </c>
    </row>
    <row r="17" spans="1:8" x14ac:dyDescent="0.3">
      <c r="A17" s="107" t="s">
        <v>236</v>
      </c>
      <c r="B17" s="99"/>
      <c r="C17" s="108"/>
      <c r="D17" s="100"/>
      <c r="E17" s="110" t="str">
        <f t="shared" si="0"/>
        <v/>
      </c>
      <c r="F17" s="115" t="str">
        <f>IF(OR(D17="",G17&lt;&gt;""),"",E17-Setup!$B$7)</f>
        <v/>
      </c>
      <c r="G17" s="100"/>
      <c r="H17" s="112" t="str">
        <f>IF(OR(B17="",D17=""),"",IF(G17&lt;&gt;"",IF(G17&lt;=E17,"Given in time","Given late: final and binding"),IF(Setup!$B$7&gt;E17,"Missed: final and binding. No rescue",(E17-Setup!$B$7)&amp;" days left. No rescue if missed")))</f>
        <v/>
      </c>
    </row>
    <row r="18" spans="1:8" x14ac:dyDescent="0.3">
      <c r="A18" s="107" t="s">
        <v>237</v>
      </c>
      <c r="B18" s="99"/>
      <c r="C18" s="108"/>
      <c r="D18" s="100"/>
      <c r="E18" s="110" t="str">
        <f t="shared" si="0"/>
        <v/>
      </c>
      <c r="F18" s="115" t="str">
        <f>IF(OR(D18="",G18&lt;&gt;""),"",E18-Setup!$B$7)</f>
        <v/>
      </c>
      <c r="G18" s="100"/>
      <c r="H18" s="112" t="str">
        <f>IF(OR(B18="",D18=""),"",IF(G18&lt;&gt;"",IF(G18&lt;=E18,"Given in time","Given late: final and binding"),IF(Setup!$B$7&gt;E18,"Missed: final and binding. No rescue",(E18-Setup!$B$7)&amp;" days left. No rescue if missed")))</f>
        <v/>
      </c>
    </row>
    <row r="19" spans="1:8" x14ac:dyDescent="0.3">
      <c r="A19" s="107" t="s">
        <v>238</v>
      </c>
      <c r="B19" s="99"/>
      <c r="C19" s="108"/>
      <c r="D19" s="100"/>
      <c r="E19" s="110" t="str">
        <f t="shared" si="0"/>
        <v/>
      </c>
      <c r="F19" s="115" t="str">
        <f>IF(OR(D19="",G19&lt;&gt;""),"",E19-Setup!$B$7)</f>
        <v/>
      </c>
      <c r="G19" s="100"/>
      <c r="H19" s="112" t="str">
        <f>IF(OR(B19="",D19=""),"",IF(G19&lt;&gt;"",IF(G19&lt;=E19,"Given in time","Given late: final and binding"),IF(Setup!$B$7&gt;E19,"Missed: final and binding. No rescue",(E19-Setup!$B$7)&amp;" days left. No rescue if missed")))</f>
        <v/>
      </c>
    </row>
    <row r="20" spans="1:8" x14ac:dyDescent="0.3">
      <c r="A20" s="107" t="s">
        <v>239</v>
      </c>
      <c r="B20" s="99"/>
      <c r="C20" s="108"/>
      <c r="D20" s="100"/>
      <c r="E20" s="110" t="str">
        <f t="shared" si="0"/>
        <v/>
      </c>
      <c r="F20" s="115" t="str">
        <f>IF(OR(D20="",G20&lt;&gt;""),"",E20-Setup!$B$7)</f>
        <v/>
      </c>
      <c r="G20" s="100"/>
      <c r="H20" s="112" t="str">
        <f>IF(OR(B20="",D20=""),"",IF(G20&lt;&gt;"",IF(G20&lt;=E20,"Given in time","Given late: final and binding"),IF(Setup!$B$7&gt;E20,"Missed: final and binding. No rescue",(E20-Setup!$B$7)&amp;" days left. No rescue if missed")))</f>
        <v/>
      </c>
    </row>
    <row r="21" spans="1:8" x14ac:dyDescent="0.3">
      <c r="A21" s="107" t="s">
        <v>240</v>
      </c>
      <c r="B21" s="99"/>
      <c r="C21" s="108"/>
      <c r="D21" s="100"/>
      <c r="E21" s="110" t="str">
        <f t="shared" si="0"/>
        <v/>
      </c>
      <c r="F21" s="115" t="str">
        <f>IF(OR(D21="",G21&lt;&gt;""),"",E21-Setup!$B$7)</f>
        <v/>
      </c>
      <c r="G21" s="100"/>
      <c r="H21" s="112" t="str">
        <f>IF(OR(B21="",D21=""),"",IF(G21&lt;&gt;"",IF(G21&lt;=E21,"Given in time","Given late: final and binding"),IF(Setup!$B$7&gt;E21,"Missed: final and binding. No rescue",(E21-Setup!$B$7)&amp;" days left. No rescue if missed")))</f>
        <v/>
      </c>
    </row>
    <row r="22" spans="1:8" x14ac:dyDescent="0.3">
      <c r="A22" s="107" t="s">
        <v>241</v>
      </c>
      <c r="B22" s="99"/>
      <c r="C22" s="108"/>
      <c r="D22" s="100"/>
      <c r="E22" s="110" t="str">
        <f t="shared" si="0"/>
        <v/>
      </c>
      <c r="F22" s="115" t="str">
        <f>IF(OR(D22="",G22&lt;&gt;""),"",E22-Setup!$B$7)</f>
        <v/>
      </c>
      <c r="G22" s="100"/>
      <c r="H22" s="112" t="str">
        <f>IF(OR(B22="",D22=""),"",IF(G22&lt;&gt;"",IF(G22&lt;=E22,"Given in time","Given late: final and binding"),IF(Setup!$B$7&gt;E22,"Missed: final and binding. No rescue",(E22-Setup!$B$7)&amp;" days left. No rescue if missed")))</f>
        <v/>
      </c>
    </row>
    <row r="23" spans="1:8" x14ac:dyDescent="0.3">
      <c r="A23" s="107" t="s">
        <v>242</v>
      </c>
      <c r="B23" s="99"/>
      <c r="C23" s="108"/>
      <c r="D23" s="100"/>
      <c r="E23" s="110" t="str">
        <f t="shared" si="0"/>
        <v/>
      </c>
      <c r="F23" s="115" t="str">
        <f>IF(OR(D23="",G23&lt;&gt;""),"",E23-Setup!$B$7)</f>
        <v/>
      </c>
      <c r="G23" s="100"/>
      <c r="H23" s="112" t="str">
        <f>IF(OR(B23="",D23=""),"",IF(G23&lt;&gt;"",IF(G23&lt;=E23,"Given in time","Given late: final and binding"),IF(Setup!$B$7&gt;E23,"Missed: final and binding. No rescue",(E23-Setup!$B$7)&amp;" days left. No rescue if missed")))</f>
        <v/>
      </c>
    </row>
    <row r="24" spans="1:8" x14ac:dyDescent="0.3">
      <c r="A24" s="107" t="s">
        <v>243</v>
      </c>
      <c r="B24" s="99"/>
      <c r="C24" s="108"/>
      <c r="D24" s="100"/>
      <c r="E24" s="110" t="str">
        <f t="shared" si="0"/>
        <v/>
      </c>
      <c r="F24" s="115" t="str">
        <f>IF(OR(D24="",G24&lt;&gt;""),"",E24-Setup!$B$7)</f>
        <v/>
      </c>
      <c r="G24" s="100"/>
      <c r="H24" s="112" t="str">
        <f>IF(OR(B24="",D24=""),"",IF(G24&lt;&gt;"",IF(G24&lt;=E24,"Given in time","Given late: final and binding"),IF(Setup!$B$7&gt;E24,"Missed: final and binding. No rescue",(E24-Setup!$B$7)&amp;" days left. No rescue if missed")))</f>
        <v/>
      </c>
    </row>
    <row r="25" spans="1:8" x14ac:dyDescent="0.3">
      <c r="A25" s="107" t="s">
        <v>244</v>
      </c>
      <c r="B25" s="99"/>
      <c r="C25" s="108"/>
      <c r="D25" s="100"/>
      <c r="E25" s="110" t="str">
        <f t="shared" si="0"/>
        <v/>
      </c>
      <c r="F25" s="115" t="str">
        <f>IF(OR(D25="",G25&lt;&gt;""),"",E25-Setup!$B$7)</f>
        <v/>
      </c>
      <c r="G25" s="100"/>
      <c r="H25" s="112" t="str">
        <f>IF(OR(B25="",D25=""),"",IF(G25&lt;&gt;"",IF(G25&lt;=E25,"Given in time","Given late: final and binding"),IF(Setup!$B$7&gt;E25,"Missed: final and binding. No rescue",(E25-Setup!$B$7)&amp;" days left. No rescue if missed")))</f>
        <v/>
      </c>
    </row>
    <row r="26" spans="1:8" x14ac:dyDescent="0.3">
      <c r="A26" s="107" t="s">
        <v>245</v>
      </c>
      <c r="B26" s="99"/>
      <c r="C26" s="108"/>
      <c r="D26" s="100"/>
      <c r="E26" s="110" t="str">
        <f t="shared" si="0"/>
        <v/>
      </c>
      <c r="F26" s="115" t="str">
        <f>IF(OR(D26="",G26&lt;&gt;""),"",E26-Setup!$B$7)</f>
        <v/>
      </c>
      <c r="G26" s="100"/>
      <c r="H26" s="112" t="str">
        <f>IF(OR(B26="",D26=""),"",IF(G26&lt;&gt;"",IF(G26&lt;=E26,"Given in time","Given late: final and binding"),IF(Setup!$B$7&gt;E26,"Missed: final and binding. No rescue",(E26-Setup!$B$7)&amp;" days left. No rescue if missed")))</f>
        <v/>
      </c>
    </row>
  </sheetData>
  <sheetProtection sheet="1" formatCells="0" formatColumns="0" formatRows="0" insertColumns="0" insertRows="0" insertHyperlinks="0" deleteColumns="0" deleteRows="0" sort="0" autoFilter="0" pivotTables="0"/>
  <conditionalFormatting sqref="F7:F26">
    <cfRule type="cellIs" dxfId="3" priority="1" operator="lessThan">
      <formula>0</formula>
    </cfRule>
  </conditionalFormatting>
  <conditionalFormatting sqref="H7:H26">
    <cfRule type="expression" dxfId="1" priority="3">
      <formula>OR(LEFT(H7,6)="Missed",LEFT(H7,10)="Given late")</formula>
    </cfRule>
    <cfRule type="cellIs" dxfId="0" priority="4" operator="equal">
      <formula>"Given in time"</formula>
    </cfRule>
  </conditionalFormatting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AND(ISNUMBER(F7),F7&gt;=0,F7&lt;=Setup!$B$10)</xm:f>
            <x14:dxf>
              <font>
                <b/>
                <color rgb="FFB45309"/>
                <name val="Arial"/>
              </font>
              <fill>
                <patternFill patternType="solid">
                  <fgColor rgb="FFFEF3C7"/>
                </patternFill>
              </fill>
            </x14:dxf>
          </x14:cfRule>
          <xm:sqref>F7:F26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4A3B8"/>
    <pageSetUpPr fitToPage="1"/>
  </sheetPr>
  <dimension ref="A1:F106"/>
  <sheetViews>
    <sheetView showGridLines="0" workbookViewId="0">
      <selection activeCell="B9" sqref="B9"/>
    </sheetView>
  </sheetViews>
  <sheetFormatPr defaultRowHeight="14.4" x14ac:dyDescent="0.3"/>
  <cols>
    <col min="1" max="1" width="12" customWidth="1"/>
    <col min="2" max="2" width="40" customWidth="1"/>
    <col min="3" max="3" width="34" customWidth="1"/>
    <col min="4" max="4" width="26" customWidth="1"/>
    <col min="5" max="5" width="12" customWidth="1"/>
  </cols>
  <sheetData>
    <row r="1" spans="1:6" ht="28.05" customHeight="1" x14ac:dyDescent="0.4">
      <c r="A1" s="1" t="s">
        <v>46</v>
      </c>
    </row>
    <row r="2" spans="1:6" x14ac:dyDescent="0.3">
      <c r="A2" s="2" t="s">
        <v>246</v>
      </c>
    </row>
    <row r="3" spans="1:6" x14ac:dyDescent="0.3">
      <c r="A3" s="3"/>
    </row>
    <row r="4" spans="1:6" x14ac:dyDescent="0.3">
      <c r="A4" s="7"/>
      <c r="B4" s="7"/>
      <c r="C4" s="7"/>
      <c r="D4" s="7"/>
      <c r="E4" s="7"/>
      <c r="F4" s="7"/>
    </row>
    <row r="6" spans="1:6" s="9" customFormat="1" ht="31.95" customHeight="1" x14ac:dyDescent="0.3">
      <c r="A6" s="5" t="s">
        <v>62</v>
      </c>
      <c r="B6" s="5" t="s">
        <v>64</v>
      </c>
      <c r="C6" s="5" t="s">
        <v>65</v>
      </c>
      <c r="D6" s="5" t="s">
        <v>66</v>
      </c>
      <c r="E6" s="5" t="s">
        <v>247</v>
      </c>
    </row>
    <row r="7" spans="1:6" x14ac:dyDescent="0.3">
      <c r="A7" s="6">
        <f>IF(AND(Events!B7&lt;&gt;"",Events!C7&lt;&gt;"",Events!G7=""),Events!M7,"")</f>
        <v>46112</v>
      </c>
      <c r="B7" s="4" t="str">
        <f>IF(A7="","",Events!A7&amp;" · "&amp;Events!B7)</f>
        <v>E01 · Rock in the north pile bores</v>
      </c>
      <c r="C7" s="4" t="s">
        <v>248</v>
      </c>
      <c r="D7" s="4" t="s">
        <v>249</v>
      </c>
      <c r="E7" s="8">
        <f t="shared" ref="E7:E38" si="0">IF(A7="","",A7+ROW()/100000)</f>
        <v>46112.000070000002</v>
      </c>
    </row>
    <row r="8" spans="1:6" x14ac:dyDescent="0.3">
      <c r="A8" s="6">
        <f>IF(AND(Events!B7&lt;&gt;"",Events!C7&lt;&gt;"",Events!R7=""),Events!P7,"")</f>
        <v>46168</v>
      </c>
      <c r="B8" s="4" t="str">
        <f>IF(A8="","",Events!A7&amp;" · "&amp;Events!B7)</f>
        <v>E01 · Rock in the north pile bores</v>
      </c>
      <c r="C8" s="4" t="s">
        <v>250</v>
      </c>
      <c r="D8" s="4" t="s">
        <v>249</v>
      </c>
      <c r="E8" s="8">
        <f t="shared" si="0"/>
        <v>46168.000079999998</v>
      </c>
    </row>
    <row r="9" spans="1:6" x14ac:dyDescent="0.3">
      <c r="A9" s="6" t="str">
        <f>IF(AND(Events!B8&lt;&gt;"",Events!C8&lt;&gt;"",Events!G8=""),Events!M8,"")</f>
        <v/>
      </c>
      <c r="B9" s="4" t="str">
        <f>IF(A9="","",Events!A8&amp;" · "&amp;Events!B8)</f>
        <v/>
      </c>
      <c r="C9" s="4" t="s">
        <v>248</v>
      </c>
      <c r="D9" s="4" t="s">
        <v>249</v>
      </c>
      <c r="E9" s="8" t="str">
        <f t="shared" si="0"/>
        <v/>
      </c>
    </row>
    <row r="10" spans="1:6" x14ac:dyDescent="0.3">
      <c r="A10" s="6">
        <f>IF(AND(Events!B8&lt;&gt;"",Events!C8&lt;&gt;"",Events!R8=""),Events!P8,"")</f>
        <v>46169</v>
      </c>
      <c r="B10" s="4" t="str">
        <f>IF(A10="","",Events!A8&amp;" · "&amp;Events!B8)</f>
        <v>E02 · Late bar schedule revision, raft bay 2</v>
      </c>
      <c r="C10" s="4" t="s">
        <v>250</v>
      </c>
      <c r="D10" s="4" t="s">
        <v>249</v>
      </c>
      <c r="E10" s="8">
        <f t="shared" si="0"/>
        <v>46169.000099999997</v>
      </c>
    </row>
    <row r="11" spans="1:6" x14ac:dyDescent="0.3">
      <c r="A11" s="6">
        <f>IF(AND(Events!B9&lt;&gt;"",Events!C9&lt;&gt;"",Events!G9=""),Events!M9,"")</f>
        <v>46129</v>
      </c>
      <c r="B11" s="4" t="str">
        <f>IF(A11="","",Events!A9&amp;" · "&amp;Events!B9)</f>
        <v>E03 · Groundwater in the raft excavation</v>
      </c>
      <c r="C11" s="4" t="s">
        <v>248</v>
      </c>
      <c r="D11" s="4" t="s">
        <v>249</v>
      </c>
      <c r="E11" s="8">
        <f t="shared" si="0"/>
        <v>46129.000110000001</v>
      </c>
    </row>
    <row r="12" spans="1:6" x14ac:dyDescent="0.3">
      <c r="A12" s="6">
        <f>IF(AND(Events!B9&lt;&gt;"",Events!C9&lt;&gt;"",Events!R9=""),Events!P9,"")</f>
        <v>46185</v>
      </c>
      <c r="B12" s="4" t="str">
        <f>IF(A12="","",Events!A9&amp;" · "&amp;Events!B9)</f>
        <v>E03 · Groundwater in the raft excavation</v>
      </c>
      <c r="C12" s="4" t="s">
        <v>250</v>
      </c>
      <c r="D12" s="4" t="s">
        <v>249</v>
      </c>
      <c r="E12" s="8">
        <f t="shared" si="0"/>
        <v>46185.000119999997</v>
      </c>
    </row>
    <row r="13" spans="1:6" x14ac:dyDescent="0.3">
      <c r="A13" s="6" t="str">
        <f>IF(AND(Events!B10&lt;&gt;"",Events!C10&lt;&gt;"",Events!G10=""),Events!M10,"")</f>
        <v/>
      </c>
      <c r="B13" s="4" t="str">
        <f>IF(A13="","",Events!A10&amp;" · "&amp;Events!B10)</f>
        <v/>
      </c>
      <c r="C13" s="4" t="s">
        <v>248</v>
      </c>
      <c r="D13" s="4" t="s">
        <v>249</v>
      </c>
      <c r="E13" s="8" t="str">
        <f t="shared" si="0"/>
        <v/>
      </c>
    </row>
    <row r="14" spans="1:6" x14ac:dyDescent="0.3">
      <c r="A14" s="6" t="str">
        <f>IF(AND(Events!B10&lt;&gt;"",Events!C10&lt;&gt;"",Events!R10=""),Events!P10,"")</f>
        <v/>
      </c>
      <c r="B14" s="4" t="str">
        <f>IF(A14="","",Events!A10&amp;" · "&amp;Events!B10)</f>
        <v/>
      </c>
      <c r="C14" s="4" t="s">
        <v>250</v>
      </c>
      <c r="D14" s="4" t="s">
        <v>249</v>
      </c>
      <c r="E14" s="8" t="str">
        <f t="shared" si="0"/>
        <v/>
      </c>
    </row>
    <row r="15" spans="1:6" x14ac:dyDescent="0.3">
      <c r="A15" s="6" t="str">
        <f>IF(AND(Events!B11&lt;&gt;"",Events!C11&lt;&gt;"",Events!G11=""),Events!M11,"")</f>
        <v/>
      </c>
      <c r="B15" s="4" t="str">
        <f>IF(A15="","",Events!A11&amp;" · "&amp;Events!B11)</f>
        <v/>
      </c>
      <c r="C15" s="4" t="s">
        <v>248</v>
      </c>
      <c r="D15" s="4" t="s">
        <v>249</v>
      </c>
      <c r="E15" s="8" t="str">
        <f t="shared" si="0"/>
        <v/>
      </c>
    </row>
    <row r="16" spans="1:6" x14ac:dyDescent="0.3">
      <c r="A16" s="6" t="str">
        <f>IF(AND(Events!B11&lt;&gt;"",Events!C11&lt;&gt;"",Events!R11=""),Events!P11,"")</f>
        <v/>
      </c>
      <c r="B16" s="4" t="str">
        <f>IF(A16="","",Events!A11&amp;" · "&amp;Events!B11)</f>
        <v/>
      </c>
      <c r="C16" s="4" t="s">
        <v>250</v>
      </c>
      <c r="D16" s="4" t="s">
        <v>249</v>
      </c>
      <c r="E16" s="8" t="str">
        <f t="shared" si="0"/>
        <v/>
      </c>
    </row>
    <row r="17" spans="1:5" x14ac:dyDescent="0.3">
      <c r="A17" s="6" t="str">
        <f>IF(AND(Events!B12&lt;&gt;"",Events!C12&lt;&gt;"",Events!G12=""),Events!M12,"")</f>
        <v/>
      </c>
      <c r="B17" s="4" t="str">
        <f>IF(A17="","",Events!A12&amp;" · "&amp;Events!B12)</f>
        <v/>
      </c>
      <c r="C17" s="4" t="s">
        <v>248</v>
      </c>
      <c r="D17" s="4" t="s">
        <v>249</v>
      </c>
      <c r="E17" s="8" t="str">
        <f t="shared" si="0"/>
        <v/>
      </c>
    </row>
    <row r="18" spans="1:5" x14ac:dyDescent="0.3">
      <c r="A18" s="6" t="str">
        <f>IF(AND(Events!B12&lt;&gt;"",Events!C12&lt;&gt;"",Events!R12=""),Events!P12,"")</f>
        <v/>
      </c>
      <c r="B18" s="4" t="str">
        <f>IF(A18="","",Events!A12&amp;" · "&amp;Events!B12)</f>
        <v/>
      </c>
      <c r="C18" s="4" t="s">
        <v>250</v>
      </c>
      <c r="D18" s="4" t="s">
        <v>249</v>
      </c>
      <c r="E18" s="8" t="str">
        <f t="shared" si="0"/>
        <v/>
      </c>
    </row>
    <row r="19" spans="1:5" x14ac:dyDescent="0.3">
      <c r="A19" s="6" t="str">
        <f>IF(AND(Events!B13&lt;&gt;"",Events!C13&lt;&gt;"",Events!G13=""),Events!M13,"")</f>
        <v/>
      </c>
      <c r="B19" s="4" t="str">
        <f>IF(A19="","",Events!A13&amp;" · "&amp;Events!B13)</f>
        <v/>
      </c>
      <c r="C19" s="4" t="s">
        <v>248</v>
      </c>
      <c r="D19" s="4" t="s">
        <v>249</v>
      </c>
      <c r="E19" s="8" t="str">
        <f t="shared" si="0"/>
        <v/>
      </c>
    </row>
    <row r="20" spans="1:5" x14ac:dyDescent="0.3">
      <c r="A20" s="6" t="str">
        <f>IF(AND(Events!B13&lt;&gt;"",Events!C13&lt;&gt;"",Events!R13=""),Events!P13,"")</f>
        <v/>
      </c>
      <c r="B20" s="4" t="str">
        <f>IF(A20="","",Events!A13&amp;" · "&amp;Events!B13)</f>
        <v/>
      </c>
      <c r="C20" s="4" t="s">
        <v>250</v>
      </c>
      <c r="D20" s="4" t="s">
        <v>249</v>
      </c>
      <c r="E20" s="8" t="str">
        <f t="shared" si="0"/>
        <v/>
      </c>
    </row>
    <row r="21" spans="1:5" x14ac:dyDescent="0.3">
      <c r="A21" s="6" t="str">
        <f>IF(AND(Events!B14&lt;&gt;"",Events!C14&lt;&gt;"",Events!G14=""),Events!M14,"")</f>
        <v/>
      </c>
      <c r="B21" s="4" t="str">
        <f>IF(A21="","",Events!A14&amp;" · "&amp;Events!B14)</f>
        <v/>
      </c>
      <c r="C21" s="4" t="s">
        <v>248</v>
      </c>
      <c r="D21" s="4" t="s">
        <v>249</v>
      </c>
      <c r="E21" s="8" t="str">
        <f t="shared" si="0"/>
        <v/>
      </c>
    </row>
    <row r="22" spans="1:5" x14ac:dyDescent="0.3">
      <c r="A22" s="6" t="str">
        <f>IF(AND(Events!B14&lt;&gt;"",Events!C14&lt;&gt;"",Events!R14=""),Events!P14,"")</f>
        <v/>
      </c>
      <c r="B22" s="4" t="str">
        <f>IF(A22="","",Events!A14&amp;" · "&amp;Events!B14)</f>
        <v/>
      </c>
      <c r="C22" s="4" t="s">
        <v>250</v>
      </c>
      <c r="D22" s="4" t="s">
        <v>249</v>
      </c>
      <c r="E22" s="8" t="str">
        <f t="shared" si="0"/>
        <v/>
      </c>
    </row>
    <row r="23" spans="1:5" x14ac:dyDescent="0.3">
      <c r="A23" s="6" t="str">
        <f>IF(AND(Events!B15&lt;&gt;"",Events!C15&lt;&gt;"",Events!G15=""),Events!M15,"")</f>
        <v/>
      </c>
      <c r="B23" s="4" t="str">
        <f>IF(A23="","",Events!A15&amp;" · "&amp;Events!B15)</f>
        <v/>
      </c>
      <c r="C23" s="4" t="s">
        <v>248</v>
      </c>
      <c r="D23" s="4" t="s">
        <v>249</v>
      </c>
      <c r="E23" s="8" t="str">
        <f t="shared" si="0"/>
        <v/>
      </c>
    </row>
    <row r="24" spans="1:5" x14ac:dyDescent="0.3">
      <c r="A24" s="6" t="str">
        <f>IF(AND(Events!B15&lt;&gt;"",Events!C15&lt;&gt;"",Events!R15=""),Events!P15,"")</f>
        <v/>
      </c>
      <c r="B24" s="4" t="str">
        <f>IF(A24="","",Events!A15&amp;" · "&amp;Events!B15)</f>
        <v/>
      </c>
      <c r="C24" s="4" t="s">
        <v>250</v>
      </c>
      <c r="D24" s="4" t="s">
        <v>249</v>
      </c>
      <c r="E24" s="8" t="str">
        <f t="shared" si="0"/>
        <v/>
      </c>
    </row>
    <row r="25" spans="1:5" x14ac:dyDescent="0.3">
      <c r="A25" s="6" t="str">
        <f>IF(AND(Events!B16&lt;&gt;"",Events!C16&lt;&gt;"",Events!G16=""),Events!M16,"")</f>
        <v/>
      </c>
      <c r="B25" s="4" t="str">
        <f>IF(A25="","",Events!A16&amp;" · "&amp;Events!B16)</f>
        <v/>
      </c>
      <c r="C25" s="4" t="s">
        <v>248</v>
      </c>
      <c r="D25" s="4" t="s">
        <v>249</v>
      </c>
      <c r="E25" s="8" t="str">
        <f t="shared" si="0"/>
        <v/>
      </c>
    </row>
    <row r="26" spans="1:5" x14ac:dyDescent="0.3">
      <c r="A26" s="6" t="str">
        <f>IF(AND(Events!B16&lt;&gt;"",Events!C16&lt;&gt;"",Events!R16=""),Events!P16,"")</f>
        <v/>
      </c>
      <c r="B26" s="4" t="str">
        <f>IF(A26="","",Events!A16&amp;" · "&amp;Events!B16)</f>
        <v/>
      </c>
      <c r="C26" s="4" t="s">
        <v>250</v>
      </c>
      <c r="D26" s="4" t="s">
        <v>249</v>
      </c>
      <c r="E26" s="8" t="str">
        <f t="shared" si="0"/>
        <v/>
      </c>
    </row>
    <row r="27" spans="1:5" x14ac:dyDescent="0.3">
      <c r="A27" s="6" t="str">
        <f>IF(AND(Events!B17&lt;&gt;"",Events!C17&lt;&gt;"",Events!G17=""),Events!M17,"")</f>
        <v/>
      </c>
      <c r="B27" s="4" t="str">
        <f>IF(A27="","",Events!A17&amp;" · "&amp;Events!B17)</f>
        <v/>
      </c>
      <c r="C27" s="4" t="s">
        <v>248</v>
      </c>
      <c r="D27" s="4" t="s">
        <v>249</v>
      </c>
      <c r="E27" s="8" t="str">
        <f t="shared" si="0"/>
        <v/>
      </c>
    </row>
    <row r="28" spans="1:5" x14ac:dyDescent="0.3">
      <c r="A28" s="6" t="str">
        <f>IF(AND(Events!B17&lt;&gt;"",Events!C17&lt;&gt;"",Events!R17=""),Events!P17,"")</f>
        <v/>
      </c>
      <c r="B28" s="4" t="str">
        <f>IF(A28="","",Events!A17&amp;" · "&amp;Events!B17)</f>
        <v/>
      </c>
      <c r="C28" s="4" t="s">
        <v>250</v>
      </c>
      <c r="D28" s="4" t="s">
        <v>249</v>
      </c>
      <c r="E28" s="8" t="str">
        <f t="shared" si="0"/>
        <v/>
      </c>
    </row>
    <row r="29" spans="1:5" x14ac:dyDescent="0.3">
      <c r="A29" s="6" t="str">
        <f>IF(AND(Events!B18&lt;&gt;"",Events!C18&lt;&gt;"",Events!G18=""),Events!M18,"")</f>
        <v/>
      </c>
      <c r="B29" s="4" t="str">
        <f>IF(A29="","",Events!A18&amp;" · "&amp;Events!B18)</f>
        <v/>
      </c>
      <c r="C29" s="4" t="s">
        <v>248</v>
      </c>
      <c r="D29" s="4" t="s">
        <v>249</v>
      </c>
      <c r="E29" s="8" t="str">
        <f t="shared" si="0"/>
        <v/>
      </c>
    </row>
    <row r="30" spans="1:5" x14ac:dyDescent="0.3">
      <c r="A30" s="6" t="str">
        <f>IF(AND(Events!B18&lt;&gt;"",Events!C18&lt;&gt;"",Events!R18=""),Events!P18,"")</f>
        <v/>
      </c>
      <c r="B30" s="4" t="str">
        <f>IF(A30="","",Events!A18&amp;" · "&amp;Events!B18)</f>
        <v/>
      </c>
      <c r="C30" s="4" t="s">
        <v>250</v>
      </c>
      <c r="D30" s="4" t="s">
        <v>249</v>
      </c>
      <c r="E30" s="8" t="str">
        <f t="shared" si="0"/>
        <v/>
      </c>
    </row>
    <row r="31" spans="1:5" x14ac:dyDescent="0.3">
      <c r="A31" s="6" t="str">
        <f>IF(AND(Events!B19&lt;&gt;"",Events!C19&lt;&gt;"",Events!G19=""),Events!M19,"")</f>
        <v/>
      </c>
      <c r="B31" s="4" t="str">
        <f>IF(A31="","",Events!A19&amp;" · "&amp;Events!B19)</f>
        <v/>
      </c>
      <c r="C31" s="4" t="s">
        <v>248</v>
      </c>
      <c r="D31" s="4" t="s">
        <v>249</v>
      </c>
      <c r="E31" s="8" t="str">
        <f t="shared" si="0"/>
        <v/>
      </c>
    </row>
    <row r="32" spans="1:5" x14ac:dyDescent="0.3">
      <c r="A32" s="6" t="str">
        <f>IF(AND(Events!B19&lt;&gt;"",Events!C19&lt;&gt;"",Events!R19=""),Events!P19,"")</f>
        <v/>
      </c>
      <c r="B32" s="4" t="str">
        <f>IF(A32="","",Events!A19&amp;" · "&amp;Events!B19)</f>
        <v/>
      </c>
      <c r="C32" s="4" t="s">
        <v>250</v>
      </c>
      <c r="D32" s="4" t="s">
        <v>249</v>
      </c>
      <c r="E32" s="8" t="str">
        <f t="shared" si="0"/>
        <v/>
      </c>
    </row>
    <row r="33" spans="1:5" x14ac:dyDescent="0.3">
      <c r="A33" s="6" t="str">
        <f>IF(AND(Events!B20&lt;&gt;"",Events!C20&lt;&gt;"",Events!G20=""),Events!M20,"")</f>
        <v/>
      </c>
      <c r="B33" s="4" t="str">
        <f>IF(A33="","",Events!A20&amp;" · "&amp;Events!B20)</f>
        <v/>
      </c>
      <c r="C33" s="4" t="s">
        <v>248</v>
      </c>
      <c r="D33" s="4" t="s">
        <v>249</v>
      </c>
      <c r="E33" s="8" t="str">
        <f t="shared" si="0"/>
        <v/>
      </c>
    </row>
    <row r="34" spans="1:5" x14ac:dyDescent="0.3">
      <c r="A34" s="6" t="str">
        <f>IF(AND(Events!B20&lt;&gt;"",Events!C20&lt;&gt;"",Events!R20=""),Events!P20,"")</f>
        <v/>
      </c>
      <c r="B34" s="4" t="str">
        <f>IF(A34="","",Events!A20&amp;" · "&amp;Events!B20)</f>
        <v/>
      </c>
      <c r="C34" s="4" t="s">
        <v>250</v>
      </c>
      <c r="D34" s="4" t="s">
        <v>249</v>
      </c>
      <c r="E34" s="8" t="str">
        <f t="shared" si="0"/>
        <v/>
      </c>
    </row>
    <row r="35" spans="1:5" x14ac:dyDescent="0.3">
      <c r="A35" s="6" t="str">
        <f>IF(AND(Events!B21&lt;&gt;"",Events!C21&lt;&gt;"",Events!G21=""),Events!M21,"")</f>
        <v/>
      </c>
      <c r="B35" s="4" t="str">
        <f>IF(A35="","",Events!A21&amp;" · "&amp;Events!B21)</f>
        <v/>
      </c>
      <c r="C35" s="4" t="s">
        <v>248</v>
      </c>
      <c r="D35" s="4" t="s">
        <v>249</v>
      </c>
      <c r="E35" s="8" t="str">
        <f t="shared" si="0"/>
        <v/>
      </c>
    </row>
    <row r="36" spans="1:5" x14ac:dyDescent="0.3">
      <c r="A36" s="6" t="str">
        <f>IF(AND(Events!B21&lt;&gt;"",Events!C21&lt;&gt;"",Events!R21=""),Events!P21,"")</f>
        <v/>
      </c>
      <c r="B36" s="4" t="str">
        <f>IF(A36="","",Events!A21&amp;" · "&amp;Events!B21)</f>
        <v/>
      </c>
      <c r="C36" s="4" t="s">
        <v>250</v>
      </c>
      <c r="D36" s="4" t="s">
        <v>249</v>
      </c>
      <c r="E36" s="8" t="str">
        <f t="shared" si="0"/>
        <v/>
      </c>
    </row>
    <row r="37" spans="1:5" x14ac:dyDescent="0.3">
      <c r="A37" s="6" t="str">
        <f>IF(AND(Events!B22&lt;&gt;"",Events!C22&lt;&gt;"",Events!G22=""),Events!M22,"")</f>
        <v/>
      </c>
      <c r="B37" s="4" t="str">
        <f>IF(A37="","",Events!A22&amp;" · "&amp;Events!B22)</f>
        <v/>
      </c>
      <c r="C37" s="4" t="s">
        <v>248</v>
      </c>
      <c r="D37" s="4" t="s">
        <v>249</v>
      </c>
      <c r="E37" s="8" t="str">
        <f t="shared" si="0"/>
        <v/>
      </c>
    </row>
    <row r="38" spans="1:5" x14ac:dyDescent="0.3">
      <c r="A38" s="6" t="str">
        <f>IF(AND(Events!B22&lt;&gt;"",Events!C22&lt;&gt;"",Events!R22=""),Events!P22,"")</f>
        <v/>
      </c>
      <c r="B38" s="4" t="str">
        <f>IF(A38="","",Events!A22&amp;" · "&amp;Events!B22)</f>
        <v/>
      </c>
      <c r="C38" s="4" t="s">
        <v>250</v>
      </c>
      <c r="D38" s="4" t="s">
        <v>249</v>
      </c>
      <c r="E38" s="8" t="str">
        <f t="shared" si="0"/>
        <v/>
      </c>
    </row>
    <row r="39" spans="1:5" x14ac:dyDescent="0.3">
      <c r="A39" s="6" t="str">
        <f>IF(AND(Events!B23&lt;&gt;"",Events!C23&lt;&gt;"",Events!G23=""),Events!M23,"")</f>
        <v/>
      </c>
      <c r="B39" s="4" t="str">
        <f>IF(A39="","",Events!A23&amp;" · "&amp;Events!B23)</f>
        <v/>
      </c>
      <c r="C39" s="4" t="s">
        <v>248</v>
      </c>
      <c r="D39" s="4" t="s">
        <v>249</v>
      </c>
      <c r="E39" s="8" t="str">
        <f t="shared" ref="E39:E70" si="1">IF(A39="","",A39+ROW()/100000)</f>
        <v/>
      </c>
    </row>
    <row r="40" spans="1:5" x14ac:dyDescent="0.3">
      <c r="A40" s="6" t="str">
        <f>IF(AND(Events!B23&lt;&gt;"",Events!C23&lt;&gt;"",Events!R23=""),Events!P23,"")</f>
        <v/>
      </c>
      <c r="B40" s="4" t="str">
        <f>IF(A40="","",Events!A23&amp;" · "&amp;Events!B23)</f>
        <v/>
      </c>
      <c r="C40" s="4" t="s">
        <v>250</v>
      </c>
      <c r="D40" s="4" t="s">
        <v>249</v>
      </c>
      <c r="E40" s="8" t="str">
        <f t="shared" si="1"/>
        <v/>
      </c>
    </row>
    <row r="41" spans="1:5" x14ac:dyDescent="0.3">
      <c r="A41" s="6" t="str">
        <f>IF(AND(Events!B24&lt;&gt;"",Events!C24&lt;&gt;"",Events!G24=""),Events!M24,"")</f>
        <v/>
      </c>
      <c r="B41" s="4" t="str">
        <f>IF(A41="","",Events!A24&amp;" · "&amp;Events!B24)</f>
        <v/>
      </c>
      <c r="C41" s="4" t="s">
        <v>248</v>
      </c>
      <c r="D41" s="4" t="s">
        <v>249</v>
      </c>
      <c r="E41" s="8" t="str">
        <f t="shared" si="1"/>
        <v/>
      </c>
    </row>
    <row r="42" spans="1:5" x14ac:dyDescent="0.3">
      <c r="A42" s="6" t="str">
        <f>IF(AND(Events!B24&lt;&gt;"",Events!C24&lt;&gt;"",Events!R24=""),Events!P24,"")</f>
        <v/>
      </c>
      <c r="B42" s="4" t="str">
        <f>IF(A42="","",Events!A24&amp;" · "&amp;Events!B24)</f>
        <v/>
      </c>
      <c r="C42" s="4" t="s">
        <v>250</v>
      </c>
      <c r="D42" s="4" t="s">
        <v>249</v>
      </c>
      <c r="E42" s="8" t="str">
        <f t="shared" si="1"/>
        <v/>
      </c>
    </row>
    <row r="43" spans="1:5" x14ac:dyDescent="0.3">
      <c r="A43" s="6" t="str">
        <f>IF(AND(Events!B25&lt;&gt;"",Events!C25&lt;&gt;"",Events!G25=""),Events!M25,"")</f>
        <v/>
      </c>
      <c r="B43" s="4" t="str">
        <f>IF(A43="","",Events!A25&amp;" · "&amp;Events!B25)</f>
        <v/>
      </c>
      <c r="C43" s="4" t="s">
        <v>248</v>
      </c>
      <c r="D43" s="4" t="s">
        <v>249</v>
      </c>
      <c r="E43" s="8" t="str">
        <f t="shared" si="1"/>
        <v/>
      </c>
    </row>
    <row r="44" spans="1:5" x14ac:dyDescent="0.3">
      <c r="A44" s="6" t="str">
        <f>IF(AND(Events!B25&lt;&gt;"",Events!C25&lt;&gt;"",Events!R25=""),Events!P25,"")</f>
        <v/>
      </c>
      <c r="B44" s="4" t="str">
        <f>IF(A44="","",Events!A25&amp;" · "&amp;Events!B25)</f>
        <v/>
      </c>
      <c r="C44" s="4" t="s">
        <v>250</v>
      </c>
      <c r="D44" s="4" t="s">
        <v>249</v>
      </c>
      <c r="E44" s="8" t="str">
        <f t="shared" si="1"/>
        <v/>
      </c>
    </row>
    <row r="45" spans="1:5" x14ac:dyDescent="0.3">
      <c r="A45" s="6" t="str">
        <f>IF(AND(Events!B26&lt;&gt;"",Events!C26&lt;&gt;"",Events!G26=""),Events!M26,"")</f>
        <v/>
      </c>
      <c r="B45" s="4" t="str">
        <f>IF(A45="","",Events!A26&amp;" · "&amp;Events!B26)</f>
        <v/>
      </c>
      <c r="C45" s="4" t="s">
        <v>248</v>
      </c>
      <c r="D45" s="4" t="s">
        <v>249</v>
      </c>
      <c r="E45" s="8" t="str">
        <f t="shared" si="1"/>
        <v/>
      </c>
    </row>
    <row r="46" spans="1:5" x14ac:dyDescent="0.3">
      <c r="A46" s="6" t="str">
        <f>IF(AND(Events!B26&lt;&gt;"",Events!C26&lt;&gt;"",Events!R26=""),Events!P26,"")</f>
        <v/>
      </c>
      <c r="B46" s="4" t="str">
        <f>IF(A46="","",Events!A26&amp;" · "&amp;Events!B26)</f>
        <v/>
      </c>
      <c r="C46" s="4" t="s">
        <v>250</v>
      </c>
      <c r="D46" s="4" t="s">
        <v>249</v>
      </c>
      <c r="E46" s="8" t="str">
        <f t="shared" si="1"/>
        <v/>
      </c>
    </row>
    <row r="47" spans="1:5" x14ac:dyDescent="0.3">
      <c r="A47" s="6" t="str">
        <f>IF(AND(Events!B27&lt;&gt;"",Events!C27&lt;&gt;"",Events!G27=""),Events!M27,"")</f>
        <v/>
      </c>
      <c r="B47" s="4" t="str">
        <f>IF(A47="","",Events!A27&amp;" · "&amp;Events!B27)</f>
        <v/>
      </c>
      <c r="C47" s="4" t="s">
        <v>248</v>
      </c>
      <c r="D47" s="4" t="s">
        <v>249</v>
      </c>
      <c r="E47" s="8" t="str">
        <f t="shared" si="1"/>
        <v/>
      </c>
    </row>
    <row r="48" spans="1:5" x14ac:dyDescent="0.3">
      <c r="A48" s="6" t="str">
        <f>IF(AND(Events!B27&lt;&gt;"",Events!C27&lt;&gt;"",Events!R27=""),Events!P27,"")</f>
        <v/>
      </c>
      <c r="B48" s="4" t="str">
        <f>IF(A48="","",Events!A27&amp;" · "&amp;Events!B27)</f>
        <v/>
      </c>
      <c r="C48" s="4" t="s">
        <v>250</v>
      </c>
      <c r="D48" s="4" t="s">
        <v>249</v>
      </c>
      <c r="E48" s="8" t="str">
        <f t="shared" si="1"/>
        <v/>
      </c>
    </row>
    <row r="49" spans="1:5" x14ac:dyDescent="0.3">
      <c r="A49" s="6" t="str">
        <f>IF(AND(Events!B28&lt;&gt;"",Events!C28&lt;&gt;"",Events!G28=""),Events!M28,"")</f>
        <v/>
      </c>
      <c r="B49" s="4" t="str">
        <f>IF(A49="","",Events!A28&amp;" · "&amp;Events!B28)</f>
        <v/>
      </c>
      <c r="C49" s="4" t="s">
        <v>248</v>
      </c>
      <c r="D49" s="4" t="s">
        <v>249</v>
      </c>
      <c r="E49" s="8" t="str">
        <f t="shared" si="1"/>
        <v/>
      </c>
    </row>
    <row r="50" spans="1:5" x14ac:dyDescent="0.3">
      <c r="A50" s="6" t="str">
        <f>IF(AND(Events!B28&lt;&gt;"",Events!C28&lt;&gt;"",Events!R28=""),Events!P28,"")</f>
        <v/>
      </c>
      <c r="B50" s="4" t="str">
        <f>IF(A50="","",Events!A28&amp;" · "&amp;Events!B28)</f>
        <v/>
      </c>
      <c r="C50" s="4" t="s">
        <v>250</v>
      </c>
      <c r="D50" s="4" t="s">
        <v>249</v>
      </c>
      <c r="E50" s="8" t="str">
        <f t="shared" si="1"/>
        <v/>
      </c>
    </row>
    <row r="51" spans="1:5" x14ac:dyDescent="0.3">
      <c r="A51" s="6" t="str">
        <f>IF(AND(Events!B29&lt;&gt;"",Events!C29&lt;&gt;"",Events!G29=""),Events!M29,"")</f>
        <v/>
      </c>
      <c r="B51" s="4" t="str">
        <f>IF(A51="","",Events!A29&amp;" · "&amp;Events!B29)</f>
        <v/>
      </c>
      <c r="C51" s="4" t="s">
        <v>248</v>
      </c>
      <c r="D51" s="4" t="s">
        <v>249</v>
      </c>
      <c r="E51" s="8" t="str">
        <f t="shared" si="1"/>
        <v/>
      </c>
    </row>
    <row r="52" spans="1:5" x14ac:dyDescent="0.3">
      <c r="A52" s="6" t="str">
        <f>IF(AND(Events!B29&lt;&gt;"",Events!C29&lt;&gt;"",Events!R29=""),Events!P29,"")</f>
        <v/>
      </c>
      <c r="B52" s="4" t="str">
        <f>IF(A52="","",Events!A29&amp;" · "&amp;Events!B29)</f>
        <v/>
      </c>
      <c r="C52" s="4" t="s">
        <v>250</v>
      </c>
      <c r="D52" s="4" t="s">
        <v>249</v>
      </c>
      <c r="E52" s="8" t="str">
        <f t="shared" si="1"/>
        <v/>
      </c>
    </row>
    <row r="53" spans="1:5" x14ac:dyDescent="0.3">
      <c r="A53" s="6" t="str">
        <f>IF(AND(Events!B30&lt;&gt;"",Events!C30&lt;&gt;"",Events!G30=""),Events!M30,"")</f>
        <v/>
      </c>
      <c r="B53" s="4" t="str">
        <f>IF(A53="","",Events!A30&amp;" · "&amp;Events!B30)</f>
        <v/>
      </c>
      <c r="C53" s="4" t="s">
        <v>248</v>
      </c>
      <c r="D53" s="4" t="s">
        <v>249</v>
      </c>
      <c r="E53" s="8" t="str">
        <f t="shared" si="1"/>
        <v/>
      </c>
    </row>
    <row r="54" spans="1:5" x14ac:dyDescent="0.3">
      <c r="A54" s="6" t="str">
        <f>IF(AND(Events!B30&lt;&gt;"",Events!C30&lt;&gt;"",Events!R30=""),Events!P30,"")</f>
        <v/>
      </c>
      <c r="B54" s="4" t="str">
        <f>IF(A54="","",Events!A30&amp;" · "&amp;Events!B30)</f>
        <v/>
      </c>
      <c r="C54" s="4" t="s">
        <v>250</v>
      </c>
      <c r="D54" s="4" t="s">
        <v>249</v>
      </c>
      <c r="E54" s="8" t="str">
        <f t="shared" si="1"/>
        <v/>
      </c>
    </row>
    <row r="55" spans="1:5" x14ac:dyDescent="0.3">
      <c r="A55" s="6" t="str">
        <f>IF(AND(Events!B31&lt;&gt;"",Events!C31&lt;&gt;"",Events!G31=""),Events!M31,"")</f>
        <v/>
      </c>
      <c r="B55" s="4" t="str">
        <f>IF(A55="","",Events!A31&amp;" · "&amp;Events!B31)</f>
        <v/>
      </c>
      <c r="C55" s="4" t="s">
        <v>248</v>
      </c>
      <c r="D55" s="4" t="s">
        <v>249</v>
      </c>
      <c r="E55" s="8" t="str">
        <f t="shared" si="1"/>
        <v/>
      </c>
    </row>
    <row r="56" spans="1:5" x14ac:dyDescent="0.3">
      <c r="A56" s="6" t="str">
        <f>IF(AND(Events!B31&lt;&gt;"",Events!C31&lt;&gt;"",Events!R31=""),Events!P31,"")</f>
        <v/>
      </c>
      <c r="B56" s="4" t="str">
        <f>IF(A56="","",Events!A31&amp;" · "&amp;Events!B31)</f>
        <v/>
      </c>
      <c r="C56" s="4" t="s">
        <v>250</v>
      </c>
      <c r="D56" s="4" t="s">
        <v>249</v>
      </c>
      <c r="E56" s="8" t="str">
        <f t="shared" si="1"/>
        <v/>
      </c>
    </row>
    <row r="57" spans="1:5" x14ac:dyDescent="0.3">
      <c r="A57" s="6" t="str">
        <f>IF(AND(Events!B32&lt;&gt;"",Events!C32&lt;&gt;"",Events!G32=""),Events!M32,"")</f>
        <v/>
      </c>
      <c r="B57" s="4" t="str">
        <f>IF(A57="","",Events!A32&amp;" · "&amp;Events!B32)</f>
        <v/>
      </c>
      <c r="C57" s="4" t="s">
        <v>248</v>
      </c>
      <c r="D57" s="4" t="s">
        <v>249</v>
      </c>
      <c r="E57" s="8" t="str">
        <f t="shared" si="1"/>
        <v/>
      </c>
    </row>
    <row r="58" spans="1:5" x14ac:dyDescent="0.3">
      <c r="A58" s="6" t="str">
        <f>IF(AND(Events!B32&lt;&gt;"",Events!C32&lt;&gt;"",Events!R32=""),Events!P32,"")</f>
        <v/>
      </c>
      <c r="B58" s="4" t="str">
        <f>IF(A58="","",Events!A32&amp;" · "&amp;Events!B32)</f>
        <v/>
      </c>
      <c r="C58" s="4" t="s">
        <v>250</v>
      </c>
      <c r="D58" s="4" t="s">
        <v>249</v>
      </c>
      <c r="E58" s="8" t="str">
        <f t="shared" si="1"/>
        <v/>
      </c>
    </row>
    <row r="59" spans="1:5" x14ac:dyDescent="0.3">
      <c r="A59" s="6" t="str">
        <f>IF(AND(Events!B33&lt;&gt;"",Events!C33&lt;&gt;"",Events!G33=""),Events!M33,"")</f>
        <v/>
      </c>
      <c r="B59" s="4" t="str">
        <f>IF(A59="","",Events!A33&amp;" · "&amp;Events!B33)</f>
        <v/>
      </c>
      <c r="C59" s="4" t="s">
        <v>248</v>
      </c>
      <c r="D59" s="4" t="s">
        <v>249</v>
      </c>
      <c r="E59" s="8" t="str">
        <f t="shared" si="1"/>
        <v/>
      </c>
    </row>
    <row r="60" spans="1:5" x14ac:dyDescent="0.3">
      <c r="A60" s="6" t="str">
        <f>IF(AND(Events!B33&lt;&gt;"",Events!C33&lt;&gt;"",Events!R33=""),Events!P33,"")</f>
        <v/>
      </c>
      <c r="B60" s="4" t="str">
        <f>IF(A60="","",Events!A33&amp;" · "&amp;Events!B33)</f>
        <v/>
      </c>
      <c r="C60" s="4" t="s">
        <v>250</v>
      </c>
      <c r="D60" s="4" t="s">
        <v>249</v>
      </c>
      <c r="E60" s="8" t="str">
        <f t="shared" si="1"/>
        <v/>
      </c>
    </row>
    <row r="61" spans="1:5" x14ac:dyDescent="0.3">
      <c r="A61" s="6" t="str">
        <f>IF(AND(Events!B34&lt;&gt;"",Events!C34&lt;&gt;"",Events!G34=""),Events!M34,"")</f>
        <v/>
      </c>
      <c r="B61" s="4" t="str">
        <f>IF(A61="","",Events!A34&amp;" · "&amp;Events!B34)</f>
        <v/>
      </c>
      <c r="C61" s="4" t="s">
        <v>248</v>
      </c>
      <c r="D61" s="4" t="s">
        <v>249</v>
      </c>
      <c r="E61" s="8" t="str">
        <f t="shared" si="1"/>
        <v/>
      </c>
    </row>
    <row r="62" spans="1:5" x14ac:dyDescent="0.3">
      <c r="A62" s="6" t="str">
        <f>IF(AND(Events!B34&lt;&gt;"",Events!C34&lt;&gt;"",Events!R34=""),Events!P34,"")</f>
        <v/>
      </c>
      <c r="B62" s="4" t="str">
        <f>IF(A62="","",Events!A34&amp;" · "&amp;Events!B34)</f>
        <v/>
      </c>
      <c r="C62" s="4" t="s">
        <v>250</v>
      </c>
      <c r="D62" s="4" t="s">
        <v>249</v>
      </c>
      <c r="E62" s="8" t="str">
        <f t="shared" si="1"/>
        <v/>
      </c>
    </row>
    <row r="63" spans="1:5" x14ac:dyDescent="0.3">
      <c r="A63" s="6" t="str">
        <f>IF(AND(Events!B35&lt;&gt;"",Events!C35&lt;&gt;"",Events!G35=""),Events!M35,"")</f>
        <v/>
      </c>
      <c r="B63" s="4" t="str">
        <f>IF(A63="","",Events!A35&amp;" · "&amp;Events!B35)</f>
        <v/>
      </c>
      <c r="C63" s="4" t="s">
        <v>248</v>
      </c>
      <c r="D63" s="4" t="s">
        <v>249</v>
      </c>
      <c r="E63" s="8" t="str">
        <f t="shared" si="1"/>
        <v/>
      </c>
    </row>
    <row r="64" spans="1:5" x14ac:dyDescent="0.3">
      <c r="A64" s="6" t="str">
        <f>IF(AND(Events!B35&lt;&gt;"",Events!C35&lt;&gt;"",Events!R35=""),Events!P35,"")</f>
        <v/>
      </c>
      <c r="B64" s="4" t="str">
        <f>IF(A64="","",Events!A35&amp;" · "&amp;Events!B35)</f>
        <v/>
      </c>
      <c r="C64" s="4" t="s">
        <v>250</v>
      </c>
      <c r="D64" s="4" t="s">
        <v>249</v>
      </c>
      <c r="E64" s="8" t="str">
        <f t="shared" si="1"/>
        <v/>
      </c>
    </row>
    <row r="65" spans="1:5" x14ac:dyDescent="0.3">
      <c r="A65" s="6" t="str">
        <f>IF(AND(Events!B36&lt;&gt;"",Events!C36&lt;&gt;"",Events!G36=""),Events!M36,"")</f>
        <v/>
      </c>
      <c r="B65" s="4" t="str">
        <f>IF(A65="","",Events!A36&amp;" · "&amp;Events!B36)</f>
        <v/>
      </c>
      <c r="C65" s="4" t="s">
        <v>248</v>
      </c>
      <c r="D65" s="4" t="s">
        <v>249</v>
      </c>
      <c r="E65" s="8" t="str">
        <f t="shared" si="1"/>
        <v/>
      </c>
    </row>
    <row r="66" spans="1:5" x14ac:dyDescent="0.3">
      <c r="A66" s="6" t="str">
        <f>IF(AND(Events!B36&lt;&gt;"",Events!C36&lt;&gt;"",Events!R36=""),Events!P36,"")</f>
        <v/>
      </c>
      <c r="B66" s="4" t="str">
        <f>IF(A66="","",Events!A36&amp;" · "&amp;Events!B36)</f>
        <v/>
      </c>
      <c r="C66" s="4" t="s">
        <v>250</v>
      </c>
      <c r="D66" s="4" t="s">
        <v>249</v>
      </c>
      <c r="E66" s="8" t="str">
        <f t="shared" si="1"/>
        <v/>
      </c>
    </row>
    <row r="67" spans="1:5" x14ac:dyDescent="0.3">
      <c r="A67" s="6" t="str">
        <f>IF(AND(Determinations!B7&lt;&gt;"",Determinations!D7&lt;&gt;"",Determinations!G7=""),Determinations!E7,"")</f>
        <v/>
      </c>
      <c r="B67" s="4" t="str">
        <f>IF(A67="","",Determinations!A7&amp;" · "&amp;Determinations!B7)</f>
        <v/>
      </c>
      <c r="C67" s="4" t="s">
        <v>251</v>
      </c>
      <c r="D67" s="4" t="s">
        <v>104</v>
      </c>
      <c r="E67" s="8" t="str">
        <f t="shared" si="1"/>
        <v/>
      </c>
    </row>
    <row r="68" spans="1:5" x14ac:dyDescent="0.3">
      <c r="A68" s="6" t="str">
        <f>IF(AND(Determinations!B8&lt;&gt;"",Determinations!D8&lt;&gt;"",Determinations!G8=""),Determinations!E8,"")</f>
        <v/>
      </c>
      <c r="B68" s="4" t="str">
        <f>IF(A68="","",Determinations!A8&amp;" · "&amp;Determinations!B8)</f>
        <v/>
      </c>
      <c r="C68" s="4" t="s">
        <v>251</v>
      </c>
      <c r="D68" s="4" t="s">
        <v>104</v>
      </c>
      <c r="E68" s="8" t="str">
        <f t="shared" si="1"/>
        <v/>
      </c>
    </row>
    <row r="69" spans="1:5" x14ac:dyDescent="0.3">
      <c r="A69" s="6" t="str">
        <f>IF(AND(Determinations!B9&lt;&gt;"",Determinations!D9&lt;&gt;"",Determinations!G9=""),Determinations!E9,"")</f>
        <v/>
      </c>
      <c r="B69" s="4" t="str">
        <f>IF(A69="","",Determinations!A9&amp;" · "&amp;Determinations!B9)</f>
        <v/>
      </c>
      <c r="C69" s="4" t="s">
        <v>251</v>
      </c>
      <c r="D69" s="4" t="s">
        <v>104</v>
      </c>
      <c r="E69" s="8" t="str">
        <f t="shared" si="1"/>
        <v/>
      </c>
    </row>
    <row r="70" spans="1:5" x14ac:dyDescent="0.3">
      <c r="A70" s="6" t="str">
        <f>IF(AND(Determinations!B10&lt;&gt;"",Determinations!D10&lt;&gt;"",Determinations!G10=""),Determinations!E10,"")</f>
        <v/>
      </c>
      <c r="B70" s="4" t="str">
        <f>IF(A70="","",Determinations!A10&amp;" · "&amp;Determinations!B10)</f>
        <v/>
      </c>
      <c r="C70" s="4" t="s">
        <v>251</v>
      </c>
      <c r="D70" s="4" t="s">
        <v>104</v>
      </c>
      <c r="E70" s="8" t="str">
        <f t="shared" si="1"/>
        <v/>
      </c>
    </row>
    <row r="71" spans="1:5" x14ac:dyDescent="0.3">
      <c r="A71" s="6" t="str">
        <f>IF(AND(Determinations!B11&lt;&gt;"",Determinations!D11&lt;&gt;"",Determinations!G11=""),Determinations!E11,"")</f>
        <v/>
      </c>
      <c r="B71" s="4" t="str">
        <f>IF(A71="","",Determinations!A11&amp;" · "&amp;Determinations!B11)</f>
        <v/>
      </c>
      <c r="C71" s="4" t="s">
        <v>251</v>
      </c>
      <c r="D71" s="4" t="s">
        <v>104</v>
      </c>
      <c r="E71" s="8" t="str">
        <f t="shared" ref="E71:E106" si="2">IF(A71="","",A71+ROW()/100000)</f>
        <v/>
      </c>
    </row>
    <row r="72" spans="1:5" x14ac:dyDescent="0.3">
      <c r="A72" s="6" t="str">
        <f>IF(AND(Determinations!B12&lt;&gt;"",Determinations!D12&lt;&gt;"",Determinations!G12=""),Determinations!E12,"")</f>
        <v/>
      </c>
      <c r="B72" s="4" t="str">
        <f>IF(A72="","",Determinations!A12&amp;" · "&amp;Determinations!B12)</f>
        <v/>
      </c>
      <c r="C72" s="4" t="s">
        <v>251</v>
      </c>
      <c r="D72" s="4" t="s">
        <v>104</v>
      </c>
      <c r="E72" s="8" t="str">
        <f t="shared" si="2"/>
        <v/>
      </c>
    </row>
    <row r="73" spans="1:5" x14ac:dyDescent="0.3">
      <c r="A73" s="6" t="str">
        <f>IF(AND(Determinations!B13&lt;&gt;"",Determinations!D13&lt;&gt;"",Determinations!G13=""),Determinations!E13,"")</f>
        <v/>
      </c>
      <c r="B73" s="4" t="str">
        <f>IF(A73="","",Determinations!A13&amp;" · "&amp;Determinations!B13)</f>
        <v/>
      </c>
      <c r="C73" s="4" t="s">
        <v>251</v>
      </c>
      <c r="D73" s="4" t="s">
        <v>104</v>
      </c>
      <c r="E73" s="8" t="str">
        <f t="shared" si="2"/>
        <v/>
      </c>
    </row>
    <row r="74" spans="1:5" x14ac:dyDescent="0.3">
      <c r="A74" s="6" t="str">
        <f>IF(AND(Determinations!B14&lt;&gt;"",Determinations!D14&lt;&gt;"",Determinations!G14=""),Determinations!E14,"")</f>
        <v/>
      </c>
      <c r="B74" s="4" t="str">
        <f>IF(A74="","",Determinations!A14&amp;" · "&amp;Determinations!B14)</f>
        <v/>
      </c>
      <c r="C74" s="4" t="s">
        <v>251</v>
      </c>
      <c r="D74" s="4" t="s">
        <v>104</v>
      </c>
      <c r="E74" s="8" t="str">
        <f t="shared" si="2"/>
        <v/>
      </c>
    </row>
    <row r="75" spans="1:5" x14ac:dyDescent="0.3">
      <c r="A75" s="6" t="str">
        <f>IF(AND(Determinations!B15&lt;&gt;"",Determinations!D15&lt;&gt;"",Determinations!G15=""),Determinations!E15,"")</f>
        <v/>
      </c>
      <c r="B75" s="4" t="str">
        <f>IF(A75="","",Determinations!A15&amp;" · "&amp;Determinations!B15)</f>
        <v/>
      </c>
      <c r="C75" s="4" t="s">
        <v>251</v>
      </c>
      <c r="D75" s="4" t="s">
        <v>104</v>
      </c>
      <c r="E75" s="8" t="str">
        <f t="shared" si="2"/>
        <v/>
      </c>
    </row>
    <row r="76" spans="1:5" x14ac:dyDescent="0.3">
      <c r="A76" s="6" t="str">
        <f>IF(AND(Determinations!B16&lt;&gt;"",Determinations!D16&lt;&gt;"",Determinations!G16=""),Determinations!E16,"")</f>
        <v/>
      </c>
      <c r="B76" s="4" t="str">
        <f>IF(A76="","",Determinations!A16&amp;" · "&amp;Determinations!B16)</f>
        <v/>
      </c>
      <c r="C76" s="4" t="s">
        <v>251</v>
      </c>
      <c r="D76" s="4" t="s">
        <v>104</v>
      </c>
      <c r="E76" s="8" t="str">
        <f t="shared" si="2"/>
        <v/>
      </c>
    </row>
    <row r="77" spans="1:5" x14ac:dyDescent="0.3">
      <c r="A77" s="6" t="str">
        <f>IF(AND(Determinations!B17&lt;&gt;"",Determinations!D17&lt;&gt;"",Determinations!G17=""),Determinations!E17,"")</f>
        <v/>
      </c>
      <c r="B77" s="4" t="str">
        <f>IF(A77="","",Determinations!A17&amp;" · "&amp;Determinations!B17)</f>
        <v/>
      </c>
      <c r="C77" s="4" t="s">
        <v>251</v>
      </c>
      <c r="D77" s="4" t="s">
        <v>104</v>
      </c>
      <c r="E77" s="8" t="str">
        <f t="shared" si="2"/>
        <v/>
      </c>
    </row>
    <row r="78" spans="1:5" x14ac:dyDescent="0.3">
      <c r="A78" s="6" t="str">
        <f>IF(AND(Determinations!B18&lt;&gt;"",Determinations!D18&lt;&gt;"",Determinations!G18=""),Determinations!E18,"")</f>
        <v/>
      </c>
      <c r="B78" s="4" t="str">
        <f>IF(A78="","",Determinations!A18&amp;" · "&amp;Determinations!B18)</f>
        <v/>
      </c>
      <c r="C78" s="4" t="s">
        <v>251</v>
      </c>
      <c r="D78" s="4" t="s">
        <v>104</v>
      </c>
      <c r="E78" s="8" t="str">
        <f t="shared" si="2"/>
        <v/>
      </c>
    </row>
    <row r="79" spans="1:5" x14ac:dyDescent="0.3">
      <c r="A79" s="6" t="str">
        <f>IF(AND(Determinations!B19&lt;&gt;"",Determinations!D19&lt;&gt;"",Determinations!G19=""),Determinations!E19,"")</f>
        <v/>
      </c>
      <c r="B79" s="4" t="str">
        <f>IF(A79="","",Determinations!A19&amp;" · "&amp;Determinations!B19)</f>
        <v/>
      </c>
      <c r="C79" s="4" t="s">
        <v>251</v>
      </c>
      <c r="D79" s="4" t="s">
        <v>104</v>
      </c>
      <c r="E79" s="8" t="str">
        <f t="shared" si="2"/>
        <v/>
      </c>
    </row>
    <row r="80" spans="1:5" x14ac:dyDescent="0.3">
      <c r="A80" s="6" t="str">
        <f>IF(AND(Determinations!B20&lt;&gt;"",Determinations!D20&lt;&gt;"",Determinations!G20=""),Determinations!E20,"")</f>
        <v/>
      </c>
      <c r="B80" s="4" t="str">
        <f>IF(A80="","",Determinations!A20&amp;" · "&amp;Determinations!B20)</f>
        <v/>
      </c>
      <c r="C80" s="4" t="s">
        <v>251</v>
      </c>
      <c r="D80" s="4" t="s">
        <v>104</v>
      </c>
      <c r="E80" s="8" t="str">
        <f t="shared" si="2"/>
        <v/>
      </c>
    </row>
    <row r="81" spans="1:5" x14ac:dyDescent="0.3">
      <c r="A81" s="6" t="str">
        <f>IF(AND(Determinations!B21&lt;&gt;"",Determinations!D21&lt;&gt;"",Determinations!G21=""),Determinations!E21,"")</f>
        <v/>
      </c>
      <c r="B81" s="4" t="str">
        <f>IF(A81="","",Determinations!A21&amp;" · "&amp;Determinations!B21)</f>
        <v/>
      </c>
      <c r="C81" s="4" t="s">
        <v>251</v>
      </c>
      <c r="D81" s="4" t="s">
        <v>104</v>
      </c>
      <c r="E81" s="8" t="str">
        <f t="shared" si="2"/>
        <v/>
      </c>
    </row>
    <row r="82" spans="1:5" x14ac:dyDescent="0.3">
      <c r="A82" s="6" t="str">
        <f>IF(AND(Determinations!B22&lt;&gt;"",Determinations!D22&lt;&gt;"",Determinations!G22=""),Determinations!E22,"")</f>
        <v/>
      </c>
      <c r="B82" s="4" t="str">
        <f>IF(A82="","",Determinations!A22&amp;" · "&amp;Determinations!B22)</f>
        <v/>
      </c>
      <c r="C82" s="4" t="s">
        <v>251</v>
      </c>
      <c r="D82" s="4" t="s">
        <v>104</v>
      </c>
      <c r="E82" s="8" t="str">
        <f t="shared" si="2"/>
        <v/>
      </c>
    </row>
    <row r="83" spans="1:5" x14ac:dyDescent="0.3">
      <c r="A83" s="6" t="str">
        <f>IF(AND(Determinations!B23&lt;&gt;"",Determinations!D23&lt;&gt;"",Determinations!G23=""),Determinations!E23,"")</f>
        <v/>
      </c>
      <c r="B83" s="4" t="str">
        <f>IF(A83="","",Determinations!A23&amp;" · "&amp;Determinations!B23)</f>
        <v/>
      </c>
      <c r="C83" s="4" t="s">
        <v>251</v>
      </c>
      <c r="D83" s="4" t="s">
        <v>104</v>
      </c>
      <c r="E83" s="8" t="str">
        <f t="shared" si="2"/>
        <v/>
      </c>
    </row>
    <row r="84" spans="1:5" x14ac:dyDescent="0.3">
      <c r="A84" s="6" t="str">
        <f>IF(AND(Determinations!B24&lt;&gt;"",Determinations!D24&lt;&gt;"",Determinations!G24=""),Determinations!E24,"")</f>
        <v/>
      </c>
      <c r="B84" s="4" t="str">
        <f>IF(A84="","",Determinations!A24&amp;" · "&amp;Determinations!B24)</f>
        <v/>
      </c>
      <c r="C84" s="4" t="s">
        <v>251</v>
      </c>
      <c r="D84" s="4" t="s">
        <v>104</v>
      </c>
      <c r="E84" s="8" t="str">
        <f t="shared" si="2"/>
        <v/>
      </c>
    </row>
    <row r="85" spans="1:5" x14ac:dyDescent="0.3">
      <c r="A85" s="6" t="str">
        <f>IF(AND(Determinations!B25&lt;&gt;"",Determinations!D25&lt;&gt;"",Determinations!G25=""),Determinations!E25,"")</f>
        <v/>
      </c>
      <c r="B85" s="4" t="str">
        <f>IF(A85="","",Determinations!A25&amp;" · "&amp;Determinations!B25)</f>
        <v/>
      </c>
      <c r="C85" s="4" t="s">
        <v>251</v>
      </c>
      <c r="D85" s="4" t="s">
        <v>104</v>
      </c>
      <c r="E85" s="8" t="str">
        <f t="shared" si="2"/>
        <v/>
      </c>
    </row>
    <row r="86" spans="1:5" x14ac:dyDescent="0.3">
      <c r="A86" s="6" t="str">
        <f>IF(AND(Determinations!B26&lt;&gt;"",Determinations!D26&lt;&gt;"",Determinations!G26=""),Determinations!E26,"")</f>
        <v/>
      </c>
      <c r="B86" s="4" t="str">
        <f>IF(A86="","",Determinations!A26&amp;" · "&amp;Determinations!B26)</f>
        <v/>
      </c>
      <c r="C86" s="4" t="s">
        <v>251</v>
      </c>
      <c r="D86" s="4" t="s">
        <v>104</v>
      </c>
      <c r="E86" s="8" t="str">
        <f t="shared" si="2"/>
        <v/>
      </c>
    </row>
    <row r="87" spans="1:5" x14ac:dyDescent="0.3">
      <c r="A87" s="6" t="str">
        <f>IF(AND('Engineer clocks'!C7&lt;&gt;"",'Engineer clocks'!D7&lt;&gt;"",'Engineer clocks'!H7=""),'Engineer clocks'!F7,"")</f>
        <v/>
      </c>
      <c r="B87" s="4" t="str">
        <f>IF(A87="","",'Engineer clocks'!A7&amp;" · "&amp;'Engineer clocks'!B7)</f>
        <v/>
      </c>
      <c r="C87" s="4" t="str">
        <f>'Engineer clocks'!C7&amp;""</f>
        <v/>
      </c>
      <c r="D87" s="4" t="s">
        <v>29</v>
      </c>
      <c r="E87" s="8" t="str">
        <f t="shared" si="2"/>
        <v/>
      </c>
    </row>
    <row r="88" spans="1:5" x14ac:dyDescent="0.3">
      <c r="A88" s="6" t="str">
        <f>IF(AND('Engineer clocks'!C8&lt;&gt;"",'Engineer clocks'!D8&lt;&gt;"",'Engineer clocks'!H8=""),'Engineer clocks'!F8,"")</f>
        <v/>
      </c>
      <c r="B88" s="4" t="str">
        <f>IF(A88="","",'Engineer clocks'!A8&amp;" · "&amp;'Engineer clocks'!B8)</f>
        <v/>
      </c>
      <c r="C88" s="4" t="str">
        <f>'Engineer clocks'!C8&amp;""</f>
        <v/>
      </c>
      <c r="D88" s="4" t="s">
        <v>29</v>
      </c>
      <c r="E88" s="8" t="str">
        <f t="shared" si="2"/>
        <v/>
      </c>
    </row>
    <row r="89" spans="1:5" x14ac:dyDescent="0.3">
      <c r="A89" s="6" t="str">
        <f>IF(AND('Engineer clocks'!C9&lt;&gt;"",'Engineer clocks'!D9&lt;&gt;"",'Engineer clocks'!H9=""),'Engineer clocks'!F9,"")</f>
        <v/>
      </c>
      <c r="B89" s="4" t="str">
        <f>IF(A89="","",'Engineer clocks'!A9&amp;" · "&amp;'Engineer clocks'!B9)</f>
        <v/>
      </c>
      <c r="C89" s="4" t="str">
        <f>'Engineer clocks'!C9&amp;""</f>
        <v/>
      </c>
      <c r="D89" s="4" t="s">
        <v>29</v>
      </c>
      <c r="E89" s="8" t="str">
        <f t="shared" si="2"/>
        <v/>
      </c>
    </row>
    <row r="90" spans="1:5" x14ac:dyDescent="0.3">
      <c r="A90" s="6" t="str">
        <f>IF(AND('Engineer clocks'!C10&lt;&gt;"",'Engineer clocks'!D10&lt;&gt;"",'Engineer clocks'!H10=""),'Engineer clocks'!F10,"")</f>
        <v/>
      </c>
      <c r="B90" s="4" t="str">
        <f>IF(A90="","",'Engineer clocks'!A10&amp;" · "&amp;'Engineer clocks'!B10)</f>
        <v/>
      </c>
      <c r="C90" s="4" t="str">
        <f>'Engineer clocks'!C10&amp;""</f>
        <v/>
      </c>
      <c r="D90" s="4" t="s">
        <v>29</v>
      </c>
      <c r="E90" s="8" t="str">
        <f t="shared" si="2"/>
        <v/>
      </c>
    </row>
    <row r="91" spans="1:5" x14ac:dyDescent="0.3">
      <c r="A91" s="6" t="str">
        <f>IF(AND('Engineer clocks'!C11&lt;&gt;"",'Engineer clocks'!D11&lt;&gt;"",'Engineer clocks'!H11=""),'Engineer clocks'!F11,"")</f>
        <v/>
      </c>
      <c r="B91" s="4" t="str">
        <f>IF(A91="","",'Engineer clocks'!A11&amp;" · "&amp;'Engineer clocks'!B11)</f>
        <v/>
      </c>
      <c r="C91" s="4" t="str">
        <f>'Engineer clocks'!C11&amp;""</f>
        <v/>
      </c>
      <c r="D91" s="4" t="s">
        <v>29</v>
      </c>
      <c r="E91" s="8" t="str">
        <f t="shared" si="2"/>
        <v/>
      </c>
    </row>
    <row r="92" spans="1:5" x14ac:dyDescent="0.3">
      <c r="A92" s="6" t="str">
        <f>IF(AND('Engineer clocks'!C12&lt;&gt;"",'Engineer clocks'!D12&lt;&gt;"",'Engineer clocks'!H12=""),'Engineer clocks'!F12,"")</f>
        <v/>
      </c>
      <c r="B92" s="4" t="str">
        <f>IF(A92="","",'Engineer clocks'!A12&amp;" · "&amp;'Engineer clocks'!B12)</f>
        <v/>
      </c>
      <c r="C92" s="4" t="str">
        <f>'Engineer clocks'!C12&amp;""</f>
        <v/>
      </c>
      <c r="D92" s="4" t="s">
        <v>29</v>
      </c>
      <c r="E92" s="8" t="str">
        <f t="shared" si="2"/>
        <v/>
      </c>
    </row>
    <row r="93" spans="1:5" x14ac:dyDescent="0.3">
      <c r="A93" s="6" t="str">
        <f>IF(AND('Engineer clocks'!C13&lt;&gt;"",'Engineer clocks'!D13&lt;&gt;"",'Engineer clocks'!H13=""),'Engineer clocks'!F13,"")</f>
        <v/>
      </c>
      <c r="B93" s="4" t="str">
        <f>IF(A93="","",'Engineer clocks'!A13&amp;" · "&amp;'Engineer clocks'!B13)</f>
        <v/>
      </c>
      <c r="C93" s="4" t="str">
        <f>'Engineer clocks'!C13&amp;""</f>
        <v/>
      </c>
      <c r="D93" s="4" t="s">
        <v>29</v>
      </c>
      <c r="E93" s="8" t="str">
        <f t="shared" si="2"/>
        <v/>
      </c>
    </row>
    <row r="94" spans="1:5" x14ac:dyDescent="0.3">
      <c r="A94" s="6" t="str">
        <f>IF(AND('Engineer clocks'!C14&lt;&gt;"",'Engineer clocks'!D14&lt;&gt;"",'Engineer clocks'!H14=""),'Engineer clocks'!F14,"")</f>
        <v/>
      </c>
      <c r="B94" s="4" t="str">
        <f>IF(A94="","",'Engineer clocks'!A14&amp;" · "&amp;'Engineer clocks'!B14)</f>
        <v/>
      </c>
      <c r="C94" s="4" t="str">
        <f>'Engineer clocks'!C14&amp;""</f>
        <v/>
      </c>
      <c r="D94" s="4" t="s">
        <v>29</v>
      </c>
      <c r="E94" s="8" t="str">
        <f t="shared" si="2"/>
        <v/>
      </c>
    </row>
    <row r="95" spans="1:5" x14ac:dyDescent="0.3">
      <c r="A95" s="6" t="str">
        <f>IF(AND('Engineer clocks'!C15&lt;&gt;"",'Engineer clocks'!D15&lt;&gt;"",'Engineer clocks'!H15=""),'Engineer clocks'!F15,"")</f>
        <v/>
      </c>
      <c r="B95" s="4" t="str">
        <f>IF(A95="","",'Engineer clocks'!A15&amp;" · "&amp;'Engineer clocks'!B15)</f>
        <v/>
      </c>
      <c r="C95" s="4" t="str">
        <f>'Engineer clocks'!C15&amp;""</f>
        <v/>
      </c>
      <c r="D95" s="4" t="s">
        <v>29</v>
      </c>
      <c r="E95" s="8" t="str">
        <f t="shared" si="2"/>
        <v/>
      </c>
    </row>
    <row r="96" spans="1:5" x14ac:dyDescent="0.3">
      <c r="A96" s="6" t="str">
        <f>IF(AND('Engineer clocks'!C16&lt;&gt;"",'Engineer clocks'!D16&lt;&gt;"",'Engineer clocks'!H16=""),'Engineer clocks'!F16,"")</f>
        <v/>
      </c>
      <c r="B96" s="4" t="str">
        <f>IF(A96="","",'Engineer clocks'!A16&amp;" · "&amp;'Engineer clocks'!B16)</f>
        <v/>
      </c>
      <c r="C96" s="4" t="str">
        <f>'Engineer clocks'!C16&amp;""</f>
        <v/>
      </c>
      <c r="D96" s="4" t="s">
        <v>29</v>
      </c>
      <c r="E96" s="8" t="str">
        <f t="shared" si="2"/>
        <v/>
      </c>
    </row>
    <row r="97" spans="1:5" x14ac:dyDescent="0.3">
      <c r="A97" s="6" t="str">
        <f>IF(AND('Engineer clocks'!C17&lt;&gt;"",'Engineer clocks'!D17&lt;&gt;"",'Engineer clocks'!H17=""),'Engineer clocks'!F17,"")</f>
        <v/>
      </c>
      <c r="B97" s="4" t="str">
        <f>IF(A97="","",'Engineer clocks'!A17&amp;" · "&amp;'Engineer clocks'!B17)</f>
        <v/>
      </c>
      <c r="C97" s="4" t="str">
        <f>'Engineer clocks'!C17&amp;""</f>
        <v/>
      </c>
      <c r="D97" s="4" t="s">
        <v>29</v>
      </c>
      <c r="E97" s="8" t="str">
        <f t="shared" si="2"/>
        <v/>
      </c>
    </row>
    <row r="98" spans="1:5" x14ac:dyDescent="0.3">
      <c r="A98" s="6" t="str">
        <f>IF(AND('Engineer clocks'!C18&lt;&gt;"",'Engineer clocks'!D18&lt;&gt;"",'Engineer clocks'!H18=""),'Engineer clocks'!F18,"")</f>
        <v/>
      </c>
      <c r="B98" s="4" t="str">
        <f>IF(A98="","",'Engineer clocks'!A18&amp;" · "&amp;'Engineer clocks'!B18)</f>
        <v/>
      </c>
      <c r="C98" s="4" t="str">
        <f>'Engineer clocks'!C18&amp;""</f>
        <v/>
      </c>
      <c r="D98" s="4" t="s">
        <v>29</v>
      </c>
      <c r="E98" s="8" t="str">
        <f t="shared" si="2"/>
        <v/>
      </c>
    </row>
    <row r="99" spans="1:5" x14ac:dyDescent="0.3">
      <c r="A99" s="6" t="str">
        <f>IF(AND('Engineer clocks'!C19&lt;&gt;"",'Engineer clocks'!D19&lt;&gt;"",'Engineer clocks'!H19=""),'Engineer clocks'!F19,"")</f>
        <v/>
      </c>
      <c r="B99" s="4" t="str">
        <f>IF(A99="","",'Engineer clocks'!A19&amp;" · "&amp;'Engineer clocks'!B19)</f>
        <v/>
      </c>
      <c r="C99" s="4" t="str">
        <f>'Engineer clocks'!C19&amp;""</f>
        <v/>
      </c>
      <c r="D99" s="4" t="s">
        <v>29</v>
      </c>
      <c r="E99" s="8" t="str">
        <f t="shared" si="2"/>
        <v/>
      </c>
    </row>
    <row r="100" spans="1:5" x14ac:dyDescent="0.3">
      <c r="A100" s="6" t="str">
        <f>IF(AND('Engineer clocks'!C20&lt;&gt;"",'Engineer clocks'!D20&lt;&gt;"",'Engineer clocks'!H20=""),'Engineer clocks'!F20,"")</f>
        <v/>
      </c>
      <c r="B100" s="4" t="str">
        <f>IF(A100="","",'Engineer clocks'!A20&amp;" · "&amp;'Engineer clocks'!B20)</f>
        <v/>
      </c>
      <c r="C100" s="4" t="str">
        <f>'Engineer clocks'!C20&amp;""</f>
        <v/>
      </c>
      <c r="D100" s="4" t="s">
        <v>29</v>
      </c>
      <c r="E100" s="8" t="str">
        <f t="shared" si="2"/>
        <v/>
      </c>
    </row>
    <row r="101" spans="1:5" x14ac:dyDescent="0.3">
      <c r="A101" s="6" t="str">
        <f>IF(AND('Engineer clocks'!C21&lt;&gt;"",'Engineer clocks'!D21&lt;&gt;"",'Engineer clocks'!H21=""),'Engineer clocks'!F21,"")</f>
        <v/>
      </c>
      <c r="B101" s="4" t="str">
        <f>IF(A101="","",'Engineer clocks'!A21&amp;" · "&amp;'Engineer clocks'!B21)</f>
        <v/>
      </c>
      <c r="C101" s="4" t="str">
        <f>'Engineer clocks'!C21&amp;""</f>
        <v/>
      </c>
      <c r="D101" s="4" t="s">
        <v>29</v>
      </c>
      <c r="E101" s="8" t="str">
        <f t="shared" si="2"/>
        <v/>
      </c>
    </row>
    <row r="102" spans="1:5" x14ac:dyDescent="0.3">
      <c r="A102" s="6" t="str">
        <f>IF(AND('Engineer clocks'!C22&lt;&gt;"",'Engineer clocks'!D22&lt;&gt;"",'Engineer clocks'!H22=""),'Engineer clocks'!F22,"")</f>
        <v/>
      </c>
      <c r="B102" s="4" t="str">
        <f>IF(A102="","",'Engineer clocks'!A22&amp;" · "&amp;'Engineer clocks'!B22)</f>
        <v/>
      </c>
      <c r="C102" s="4" t="str">
        <f>'Engineer clocks'!C22&amp;""</f>
        <v/>
      </c>
      <c r="D102" s="4" t="s">
        <v>29</v>
      </c>
      <c r="E102" s="8" t="str">
        <f t="shared" si="2"/>
        <v/>
      </c>
    </row>
    <row r="103" spans="1:5" x14ac:dyDescent="0.3">
      <c r="A103" s="6" t="str">
        <f>IF(AND('Engineer clocks'!C23&lt;&gt;"",'Engineer clocks'!D23&lt;&gt;"",'Engineer clocks'!H23=""),'Engineer clocks'!F23,"")</f>
        <v/>
      </c>
      <c r="B103" s="4" t="str">
        <f>IF(A103="","",'Engineer clocks'!A23&amp;" · "&amp;'Engineer clocks'!B23)</f>
        <v/>
      </c>
      <c r="C103" s="4" t="str">
        <f>'Engineer clocks'!C23&amp;""</f>
        <v/>
      </c>
      <c r="D103" s="4" t="s">
        <v>29</v>
      </c>
      <c r="E103" s="8" t="str">
        <f t="shared" si="2"/>
        <v/>
      </c>
    </row>
    <row r="104" spans="1:5" x14ac:dyDescent="0.3">
      <c r="A104" s="6" t="str">
        <f>IF(AND('Engineer clocks'!C24&lt;&gt;"",'Engineer clocks'!D24&lt;&gt;"",'Engineer clocks'!H24=""),'Engineer clocks'!F24,"")</f>
        <v/>
      </c>
      <c r="B104" s="4" t="str">
        <f>IF(A104="","",'Engineer clocks'!A24&amp;" · "&amp;'Engineer clocks'!B24)</f>
        <v/>
      </c>
      <c r="C104" s="4" t="str">
        <f>'Engineer clocks'!C24&amp;""</f>
        <v/>
      </c>
      <c r="D104" s="4" t="s">
        <v>29</v>
      </c>
      <c r="E104" s="8" t="str">
        <f t="shared" si="2"/>
        <v/>
      </c>
    </row>
    <row r="105" spans="1:5" x14ac:dyDescent="0.3">
      <c r="A105" s="6" t="str">
        <f>IF(AND('Engineer clocks'!C25&lt;&gt;"",'Engineer clocks'!D25&lt;&gt;"",'Engineer clocks'!H25=""),'Engineer clocks'!F25,"")</f>
        <v/>
      </c>
      <c r="B105" s="4" t="str">
        <f>IF(A105="","",'Engineer clocks'!A25&amp;" · "&amp;'Engineer clocks'!B25)</f>
        <v/>
      </c>
      <c r="C105" s="4" t="str">
        <f>'Engineer clocks'!C25&amp;""</f>
        <v/>
      </c>
      <c r="D105" s="4" t="s">
        <v>29</v>
      </c>
      <c r="E105" s="8" t="str">
        <f t="shared" si="2"/>
        <v/>
      </c>
    </row>
    <row r="106" spans="1:5" x14ac:dyDescent="0.3">
      <c r="A106" s="6" t="str">
        <f>IF(AND('Engineer clocks'!C26&lt;&gt;"",'Engineer clocks'!D26&lt;&gt;"",'Engineer clocks'!H26=""),'Engineer clocks'!F26,"")</f>
        <v/>
      </c>
      <c r="B106" s="4" t="str">
        <f>IF(A106="","",'Engineer clocks'!A26&amp;" · "&amp;'Engineer clocks'!B26)</f>
        <v/>
      </c>
      <c r="C106" s="4" t="str">
        <f>'Engineer clocks'!C26&amp;""</f>
        <v/>
      </c>
      <c r="D106" s="4" t="s">
        <v>29</v>
      </c>
      <c r="E106" s="8" t="str">
        <f t="shared" si="2"/>
        <v/>
      </c>
    </row>
  </sheetData>
  <printOptions horizontalCentered="1"/>
  <pageMargins left="0.4" right="0.4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Start</vt:lpstr>
      <vt:lpstr>Dashboard</vt:lpstr>
      <vt:lpstr>Setup</vt:lpstr>
      <vt:lpstr>The clocks</vt:lpstr>
      <vt:lpstr>Events</vt:lpstr>
      <vt:lpstr>Engineer clocks</vt:lpstr>
      <vt:lpstr>Determinations</vt:lpstr>
      <vt:lpstr>Deadlines</vt:lpstr>
      <vt:lpstr>Dashboard!Print_Area</vt:lpstr>
      <vt:lpstr>Deadlines!Print_Area</vt:lpstr>
      <vt:lpstr>Determinations!Print_Area</vt:lpstr>
      <vt:lpstr>'Engineer clocks'!Print_Area</vt:lpstr>
      <vt:lpstr>Events!Print_Area</vt:lpstr>
      <vt:lpstr>Setup!Print_Area</vt:lpstr>
      <vt:lpstr>Start!Print_Area</vt:lpstr>
      <vt:lpstr>'The clocks'!Print_Area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2026-10-12T09:07:32Z</dcterms:created>
  <dcterms:modified xsi:type="dcterms:W3CDTF">2026-10-12T09:15:28Z</dcterms:modified>
</cp:coreProperties>
</file>