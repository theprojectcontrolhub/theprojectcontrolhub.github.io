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0" documentId="8_{5C9A9037-EDF9-46D2-BA47-6AB2CAE05113}" xr6:coauthVersionLast="47" xr6:coauthVersionMax="47" xr10:uidLastSave="{00000000-0000-0000-0000-000000000000}"/>
  <bookViews>
    <workbookView xWindow="-28920" yWindow="-45" windowWidth="29040" windowHeight="15720" xr2:uid="{00000000-000D-0000-FFFF-FFFF00000000}"/>
  </bookViews>
  <sheets>
    <sheet name="Start" sheetId="1" r:id="rId1"/>
    <sheet name="Dashboard" sheetId="2" r:id="rId2"/>
    <sheet name="Actions" sheetId="3" r:id="rId3"/>
    <sheet name="Meetings" sheetId="4" r:id="rId4"/>
    <sheet name="Discrepancies" sheetId="5" r:id="rId5"/>
    <sheet name="Decisions" sheetId="6" r:id="rId6"/>
    <sheet name="Setup" sheetId="7" r:id="rId7"/>
  </sheets>
  <definedNames>
    <definedName name="_xlnm.Print_Area" localSheetId="2">Actions!$A$1:$T$108</definedName>
    <definedName name="_xlnm.Print_Area" localSheetId="1">Dashboard!$A$1:$P$63</definedName>
    <definedName name="_xlnm.Print_Area" localSheetId="5">Decisions!$A$1:$I$58</definedName>
    <definedName name="_xlnm.Print_Area" localSheetId="4">Discrepancies!$A$1:$N$38</definedName>
    <definedName name="_xlnm.Print_Area" localSheetId="3">Meetings!$A$1:$K$58</definedName>
    <definedName name="_xlnm.Print_Area" localSheetId="6">Setup!$A$1:$L$42</definedName>
    <definedName name="_xlnm.Print_Area" localSheetId="0">Start!$A$1:$F$48</definedName>
    <definedName name="_xlnm.Print_Titles" localSheetId="2">Actions!$6:$6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7" l="1"/>
  <c r="N36" i="5"/>
  <c r="M36" i="5"/>
  <c r="N35" i="5"/>
  <c r="M35" i="5"/>
  <c r="N34" i="5"/>
  <c r="M34" i="5"/>
  <c r="N33" i="5"/>
  <c r="M33" i="5"/>
  <c r="N32" i="5"/>
  <c r="M32" i="5"/>
  <c r="N31" i="5"/>
  <c r="M31" i="5"/>
  <c r="N30" i="5"/>
  <c r="M30" i="5"/>
  <c r="N29" i="5"/>
  <c r="M29" i="5"/>
  <c r="N28" i="5"/>
  <c r="M28" i="5"/>
  <c r="N27" i="5"/>
  <c r="M27" i="5"/>
  <c r="N26" i="5"/>
  <c r="M26" i="5"/>
  <c r="N25" i="5"/>
  <c r="M25" i="5"/>
  <c r="N24" i="5"/>
  <c r="M24" i="5"/>
  <c r="N23" i="5"/>
  <c r="M23" i="5"/>
  <c r="N22" i="5"/>
  <c r="M22" i="5"/>
  <c r="N21" i="5"/>
  <c r="M21" i="5"/>
  <c r="N20" i="5"/>
  <c r="M20" i="5"/>
  <c r="N19" i="5"/>
  <c r="M19" i="5"/>
  <c r="N18" i="5"/>
  <c r="M18" i="5"/>
  <c r="N17" i="5"/>
  <c r="M17" i="5"/>
  <c r="N16" i="5"/>
  <c r="M16" i="5"/>
  <c r="N15" i="5"/>
  <c r="M15" i="5"/>
  <c r="N14" i="5"/>
  <c r="M14" i="5"/>
  <c r="N13" i="5"/>
  <c r="M13" i="5"/>
  <c r="N12" i="5"/>
  <c r="M12" i="5"/>
  <c r="N11" i="5"/>
  <c r="M11" i="5"/>
  <c r="N10" i="5"/>
  <c r="M10" i="5"/>
  <c r="N9" i="5"/>
  <c r="M9" i="5"/>
  <c r="N8" i="5"/>
  <c r="M8" i="5"/>
  <c r="N7" i="5"/>
  <c r="M7" i="5"/>
  <c r="J56" i="4"/>
  <c r="I56" i="4"/>
  <c r="H56" i="4"/>
  <c r="G56" i="4"/>
  <c r="F56" i="4"/>
  <c r="J55" i="4"/>
  <c r="I55" i="4"/>
  <c r="H55" i="4"/>
  <c r="G55" i="4"/>
  <c r="F55" i="4"/>
  <c r="J54" i="4"/>
  <c r="I54" i="4"/>
  <c r="H54" i="4"/>
  <c r="G54" i="4"/>
  <c r="F54" i="4"/>
  <c r="J53" i="4"/>
  <c r="I53" i="4"/>
  <c r="H53" i="4"/>
  <c r="G53" i="4"/>
  <c r="F53" i="4"/>
  <c r="J52" i="4"/>
  <c r="I52" i="4"/>
  <c r="H52" i="4"/>
  <c r="G52" i="4"/>
  <c r="F52" i="4"/>
  <c r="J51" i="4"/>
  <c r="I51" i="4"/>
  <c r="H51" i="4"/>
  <c r="G51" i="4"/>
  <c r="F51" i="4"/>
  <c r="J50" i="4"/>
  <c r="I50" i="4"/>
  <c r="H50" i="4"/>
  <c r="G50" i="4"/>
  <c r="F50" i="4"/>
  <c r="J49" i="4"/>
  <c r="I49" i="4"/>
  <c r="H49" i="4"/>
  <c r="G49" i="4"/>
  <c r="F49" i="4"/>
  <c r="J48" i="4"/>
  <c r="I48" i="4"/>
  <c r="H48" i="4"/>
  <c r="G48" i="4"/>
  <c r="F48" i="4"/>
  <c r="J47" i="4"/>
  <c r="I47" i="4"/>
  <c r="H47" i="4"/>
  <c r="G47" i="4"/>
  <c r="F47" i="4"/>
  <c r="J46" i="4"/>
  <c r="I46" i="4"/>
  <c r="H46" i="4"/>
  <c r="G46" i="4"/>
  <c r="F46" i="4"/>
  <c r="J45" i="4"/>
  <c r="I45" i="4"/>
  <c r="H45" i="4"/>
  <c r="G45" i="4"/>
  <c r="F45" i="4"/>
  <c r="J44" i="4"/>
  <c r="I44" i="4"/>
  <c r="H44" i="4"/>
  <c r="G44" i="4"/>
  <c r="F44" i="4"/>
  <c r="J43" i="4"/>
  <c r="I43" i="4"/>
  <c r="H43" i="4"/>
  <c r="G43" i="4"/>
  <c r="F43" i="4"/>
  <c r="J42" i="4"/>
  <c r="I42" i="4"/>
  <c r="H42" i="4"/>
  <c r="G42" i="4"/>
  <c r="F42" i="4"/>
  <c r="J41" i="4"/>
  <c r="I41" i="4"/>
  <c r="H41" i="4"/>
  <c r="G41" i="4"/>
  <c r="F41" i="4"/>
  <c r="J40" i="4"/>
  <c r="I40" i="4"/>
  <c r="H40" i="4"/>
  <c r="G40" i="4"/>
  <c r="F40" i="4"/>
  <c r="J39" i="4"/>
  <c r="I39" i="4"/>
  <c r="H39" i="4"/>
  <c r="G39" i="4"/>
  <c r="F39" i="4"/>
  <c r="J38" i="4"/>
  <c r="I38" i="4"/>
  <c r="H38" i="4"/>
  <c r="G38" i="4"/>
  <c r="F38" i="4"/>
  <c r="J37" i="4"/>
  <c r="I37" i="4"/>
  <c r="H37" i="4"/>
  <c r="G37" i="4"/>
  <c r="F37" i="4"/>
  <c r="J36" i="4"/>
  <c r="I36" i="4"/>
  <c r="H36" i="4"/>
  <c r="G36" i="4"/>
  <c r="F36" i="4"/>
  <c r="J35" i="4"/>
  <c r="I35" i="4"/>
  <c r="H35" i="4"/>
  <c r="G35" i="4"/>
  <c r="F35" i="4"/>
  <c r="J34" i="4"/>
  <c r="I34" i="4"/>
  <c r="H34" i="4"/>
  <c r="G34" i="4"/>
  <c r="F34" i="4"/>
  <c r="J33" i="4"/>
  <c r="I33" i="4"/>
  <c r="H33" i="4"/>
  <c r="G33" i="4"/>
  <c r="F33" i="4"/>
  <c r="J32" i="4"/>
  <c r="I32" i="4"/>
  <c r="H32" i="4"/>
  <c r="G32" i="4"/>
  <c r="F32" i="4"/>
  <c r="J31" i="4"/>
  <c r="I31" i="4"/>
  <c r="H31" i="4"/>
  <c r="G31" i="4"/>
  <c r="F31" i="4"/>
  <c r="J30" i="4"/>
  <c r="I30" i="4"/>
  <c r="H30" i="4"/>
  <c r="G30" i="4"/>
  <c r="F30" i="4"/>
  <c r="J29" i="4"/>
  <c r="I29" i="4"/>
  <c r="H29" i="4"/>
  <c r="G29" i="4"/>
  <c r="F29" i="4"/>
  <c r="J28" i="4"/>
  <c r="I28" i="4"/>
  <c r="H28" i="4"/>
  <c r="G28" i="4"/>
  <c r="F28" i="4"/>
  <c r="J27" i="4"/>
  <c r="I27" i="4"/>
  <c r="H27" i="4"/>
  <c r="G27" i="4"/>
  <c r="F27" i="4"/>
  <c r="J26" i="4"/>
  <c r="I26" i="4"/>
  <c r="H26" i="4"/>
  <c r="G26" i="4"/>
  <c r="F26" i="4"/>
  <c r="J25" i="4"/>
  <c r="I25" i="4"/>
  <c r="H25" i="4"/>
  <c r="G25" i="4"/>
  <c r="F25" i="4"/>
  <c r="J24" i="4"/>
  <c r="I24" i="4"/>
  <c r="H24" i="4"/>
  <c r="G24" i="4"/>
  <c r="F24" i="4"/>
  <c r="J23" i="4"/>
  <c r="I23" i="4"/>
  <c r="H23" i="4"/>
  <c r="G23" i="4"/>
  <c r="F23" i="4"/>
  <c r="J22" i="4"/>
  <c r="I22" i="4"/>
  <c r="H22" i="4"/>
  <c r="G22" i="4"/>
  <c r="F22" i="4"/>
  <c r="J21" i="4"/>
  <c r="I21" i="4"/>
  <c r="H21" i="4"/>
  <c r="G21" i="4"/>
  <c r="F21" i="4"/>
  <c r="J20" i="4"/>
  <c r="I20" i="4"/>
  <c r="H20" i="4"/>
  <c r="G20" i="4"/>
  <c r="F20" i="4"/>
  <c r="J19" i="4"/>
  <c r="I19" i="4"/>
  <c r="H19" i="4"/>
  <c r="G19" i="4"/>
  <c r="F19" i="4"/>
  <c r="J18" i="4"/>
  <c r="I18" i="4"/>
  <c r="H18" i="4"/>
  <c r="G18" i="4"/>
  <c r="F18" i="4"/>
  <c r="J17" i="4"/>
  <c r="I17" i="4"/>
  <c r="H17" i="4"/>
  <c r="G17" i="4"/>
  <c r="F17" i="4"/>
  <c r="J16" i="4"/>
  <c r="I16" i="4"/>
  <c r="H16" i="4"/>
  <c r="G16" i="4"/>
  <c r="F16" i="4"/>
  <c r="J15" i="4"/>
  <c r="N38" i="2" s="1"/>
  <c r="I15" i="4"/>
  <c r="M38" i="2" s="1"/>
  <c r="H15" i="4"/>
  <c r="L38" i="2" s="1"/>
  <c r="G15" i="4"/>
  <c r="K38" i="2" s="1"/>
  <c r="F15" i="4"/>
  <c r="O38" i="2" s="1"/>
  <c r="J14" i="4"/>
  <c r="N37" i="2" s="1"/>
  <c r="I14" i="4"/>
  <c r="M37" i="2" s="1"/>
  <c r="H14" i="4"/>
  <c r="L37" i="2" s="1"/>
  <c r="G14" i="4"/>
  <c r="K37" i="2" s="1"/>
  <c r="F14" i="4"/>
  <c r="O37" i="2" s="1"/>
  <c r="J13" i="4"/>
  <c r="N36" i="2" s="1"/>
  <c r="I13" i="4"/>
  <c r="M36" i="2" s="1"/>
  <c r="H13" i="4"/>
  <c r="L36" i="2" s="1"/>
  <c r="G13" i="4"/>
  <c r="K36" i="2" s="1"/>
  <c r="F13" i="4"/>
  <c r="O36" i="2" s="1"/>
  <c r="J12" i="4"/>
  <c r="N35" i="2" s="1"/>
  <c r="I12" i="4"/>
  <c r="M35" i="2" s="1"/>
  <c r="H12" i="4"/>
  <c r="G12" i="4"/>
  <c r="F12" i="4"/>
  <c r="O35" i="2" s="1"/>
  <c r="J11" i="4"/>
  <c r="N34" i="2" s="1"/>
  <c r="I11" i="4"/>
  <c r="M34" i="2" s="1"/>
  <c r="H11" i="4"/>
  <c r="L34" i="2" s="1"/>
  <c r="G11" i="4"/>
  <c r="K34" i="2" s="1"/>
  <c r="F11" i="4"/>
  <c r="O34" i="2" s="1"/>
  <c r="J10" i="4"/>
  <c r="N33" i="2" s="1"/>
  <c r="I10" i="4"/>
  <c r="M33" i="2" s="1"/>
  <c r="H10" i="4"/>
  <c r="L33" i="2" s="1"/>
  <c r="G10" i="4"/>
  <c r="K33" i="2" s="1"/>
  <c r="F10" i="4"/>
  <c r="O33" i="2" s="1"/>
  <c r="G9" i="4"/>
  <c r="K32" i="2" s="1"/>
  <c r="F9" i="4"/>
  <c r="O32" i="2" s="1"/>
  <c r="G8" i="4"/>
  <c r="K31" i="2" s="1"/>
  <c r="F8" i="4"/>
  <c r="O31" i="2" s="1"/>
  <c r="G7" i="4"/>
  <c r="K30" i="2" s="1"/>
  <c r="F7" i="4"/>
  <c r="O30" i="2" s="1"/>
  <c r="T106" i="3"/>
  <c r="S106" i="3"/>
  <c r="R106" i="3"/>
  <c r="C106" i="3"/>
  <c r="Q106" i="3" s="1"/>
  <c r="T105" i="3"/>
  <c r="S105" i="3"/>
  <c r="C105" i="3"/>
  <c r="Q105" i="3" s="1"/>
  <c r="T104" i="3"/>
  <c r="S104" i="3"/>
  <c r="R104" i="3"/>
  <c r="C104" i="3"/>
  <c r="Q104" i="3" s="1"/>
  <c r="T103" i="3"/>
  <c r="S103" i="3"/>
  <c r="R103" i="3"/>
  <c r="C103" i="3"/>
  <c r="Q103" i="3" s="1"/>
  <c r="T102" i="3"/>
  <c r="S102" i="3"/>
  <c r="C102" i="3"/>
  <c r="Q102" i="3" s="1"/>
  <c r="T101" i="3"/>
  <c r="S101" i="3"/>
  <c r="C101" i="3"/>
  <c r="Q101" i="3" s="1"/>
  <c r="T100" i="3"/>
  <c r="S100" i="3"/>
  <c r="C100" i="3"/>
  <c r="Q100" i="3" s="1"/>
  <c r="T99" i="3"/>
  <c r="S99" i="3"/>
  <c r="C99" i="3"/>
  <c r="Q99" i="3" s="1"/>
  <c r="T98" i="3"/>
  <c r="S98" i="3"/>
  <c r="C98" i="3"/>
  <c r="Q98" i="3" s="1"/>
  <c r="T97" i="3"/>
  <c r="S97" i="3"/>
  <c r="R97" i="3"/>
  <c r="C97" i="3"/>
  <c r="Q97" i="3" s="1"/>
  <c r="T96" i="3"/>
  <c r="S96" i="3"/>
  <c r="R96" i="3"/>
  <c r="C96" i="3"/>
  <c r="Q96" i="3" s="1"/>
  <c r="T95" i="3"/>
  <c r="S95" i="3"/>
  <c r="R95" i="3"/>
  <c r="C95" i="3"/>
  <c r="Q95" i="3" s="1"/>
  <c r="T94" i="3"/>
  <c r="S94" i="3"/>
  <c r="R94" i="3"/>
  <c r="C94" i="3"/>
  <c r="Q94" i="3" s="1"/>
  <c r="T93" i="3"/>
  <c r="S93" i="3"/>
  <c r="R93" i="3"/>
  <c r="C93" i="3"/>
  <c r="Q93" i="3" s="1"/>
  <c r="T92" i="3"/>
  <c r="S92" i="3"/>
  <c r="R92" i="3"/>
  <c r="C92" i="3"/>
  <c r="Q92" i="3" s="1"/>
  <c r="T91" i="3"/>
  <c r="S91" i="3"/>
  <c r="R91" i="3"/>
  <c r="C91" i="3"/>
  <c r="Q91" i="3" s="1"/>
  <c r="T90" i="3"/>
  <c r="S90" i="3"/>
  <c r="R90" i="3"/>
  <c r="C90" i="3"/>
  <c r="Q90" i="3" s="1"/>
  <c r="T89" i="3"/>
  <c r="S89" i="3"/>
  <c r="R89" i="3"/>
  <c r="C89" i="3"/>
  <c r="Q89" i="3" s="1"/>
  <c r="T88" i="3"/>
  <c r="S88" i="3"/>
  <c r="R88" i="3"/>
  <c r="C88" i="3"/>
  <c r="Q88" i="3" s="1"/>
  <c r="T87" i="3"/>
  <c r="S87" i="3"/>
  <c r="R87" i="3"/>
  <c r="C87" i="3"/>
  <c r="Q87" i="3" s="1"/>
  <c r="T86" i="3"/>
  <c r="S86" i="3"/>
  <c r="R86" i="3"/>
  <c r="C86" i="3"/>
  <c r="Q86" i="3" s="1"/>
  <c r="T85" i="3"/>
  <c r="S85" i="3"/>
  <c r="R85" i="3"/>
  <c r="C85" i="3"/>
  <c r="Q85" i="3" s="1"/>
  <c r="T84" i="3"/>
  <c r="S84" i="3"/>
  <c r="R84" i="3"/>
  <c r="C84" i="3"/>
  <c r="Q84" i="3" s="1"/>
  <c r="T83" i="3"/>
  <c r="S83" i="3"/>
  <c r="C83" i="3"/>
  <c r="Q83" i="3" s="1"/>
  <c r="T82" i="3"/>
  <c r="S82" i="3"/>
  <c r="R82" i="3"/>
  <c r="C82" i="3"/>
  <c r="Q82" i="3" s="1"/>
  <c r="T81" i="3"/>
  <c r="S81" i="3"/>
  <c r="R81" i="3"/>
  <c r="C81" i="3"/>
  <c r="Q81" i="3" s="1"/>
  <c r="T80" i="3"/>
  <c r="S80" i="3"/>
  <c r="R80" i="3"/>
  <c r="C80" i="3"/>
  <c r="Q80" i="3" s="1"/>
  <c r="T79" i="3"/>
  <c r="S79" i="3"/>
  <c r="R79" i="3"/>
  <c r="C79" i="3"/>
  <c r="Q79" i="3" s="1"/>
  <c r="T78" i="3"/>
  <c r="S78" i="3"/>
  <c r="R78" i="3"/>
  <c r="C78" i="3"/>
  <c r="Q78" i="3" s="1"/>
  <c r="T77" i="3"/>
  <c r="S77" i="3"/>
  <c r="R77" i="3"/>
  <c r="C77" i="3"/>
  <c r="Q77" i="3" s="1"/>
  <c r="T76" i="3"/>
  <c r="S76" i="3"/>
  <c r="R76" i="3"/>
  <c r="C76" i="3"/>
  <c r="Q76" i="3" s="1"/>
  <c r="T75" i="3"/>
  <c r="S75" i="3"/>
  <c r="R75" i="3"/>
  <c r="C75" i="3"/>
  <c r="Q75" i="3" s="1"/>
  <c r="T74" i="3"/>
  <c r="S74" i="3"/>
  <c r="R74" i="3"/>
  <c r="C74" i="3"/>
  <c r="Q74" i="3" s="1"/>
  <c r="T73" i="3"/>
  <c r="S73" i="3"/>
  <c r="R73" i="3"/>
  <c r="C73" i="3"/>
  <c r="Q73" i="3" s="1"/>
  <c r="T72" i="3"/>
  <c r="S72" i="3"/>
  <c r="R72" i="3"/>
  <c r="C72" i="3"/>
  <c r="Q72" i="3" s="1"/>
  <c r="T71" i="3"/>
  <c r="S71" i="3"/>
  <c r="R71" i="3"/>
  <c r="C71" i="3"/>
  <c r="Q71" i="3" s="1"/>
  <c r="T70" i="3"/>
  <c r="S70" i="3"/>
  <c r="R70" i="3"/>
  <c r="C70" i="3"/>
  <c r="Q70" i="3" s="1"/>
  <c r="T69" i="3"/>
  <c r="S69" i="3"/>
  <c r="R69" i="3"/>
  <c r="C69" i="3"/>
  <c r="Q69" i="3" s="1"/>
  <c r="T68" i="3"/>
  <c r="S68" i="3"/>
  <c r="R68" i="3"/>
  <c r="C68" i="3"/>
  <c r="Q68" i="3" s="1"/>
  <c r="T67" i="3"/>
  <c r="S67" i="3"/>
  <c r="R67" i="3"/>
  <c r="C67" i="3"/>
  <c r="Q67" i="3" s="1"/>
  <c r="T66" i="3"/>
  <c r="S66" i="3"/>
  <c r="R66" i="3"/>
  <c r="C66" i="3"/>
  <c r="Q66" i="3" s="1"/>
  <c r="T65" i="3"/>
  <c r="S65" i="3"/>
  <c r="R65" i="3"/>
  <c r="C65" i="3"/>
  <c r="Q65" i="3" s="1"/>
  <c r="T64" i="3"/>
  <c r="S64" i="3"/>
  <c r="R64" i="3"/>
  <c r="C64" i="3"/>
  <c r="Q64" i="3" s="1"/>
  <c r="T63" i="3"/>
  <c r="S63" i="3"/>
  <c r="R63" i="3"/>
  <c r="C63" i="3"/>
  <c r="Q63" i="3" s="1"/>
  <c r="T62" i="3"/>
  <c r="S62" i="3"/>
  <c r="C62" i="3"/>
  <c r="Q62" i="3" s="1"/>
  <c r="T61" i="3"/>
  <c r="S61" i="3"/>
  <c r="R61" i="3" s="1"/>
  <c r="C61" i="3"/>
  <c r="Q61" i="3" s="1"/>
  <c r="T60" i="3"/>
  <c r="S60" i="3"/>
  <c r="R60" i="3"/>
  <c r="C60" i="3"/>
  <c r="Q60" i="3" s="1"/>
  <c r="T59" i="3"/>
  <c r="S59" i="3"/>
  <c r="R59" i="3"/>
  <c r="C59" i="3"/>
  <c r="Q59" i="3" s="1"/>
  <c r="T58" i="3"/>
  <c r="S58" i="3"/>
  <c r="C58" i="3"/>
  <c r="Q58" i="3" s="1"/>
  <c r="T57" i="3"/>
  <c r="S57" i="3"/>
  <c r="R57" i="3"/>
  <c r="C57" i="3"/>
  <c r="Q57" i="3" s="1"/>
  <c r="T56" i="3"/>
  <c r="S56" i="3"/>
  <c r="C56" i="3"/>
  <c r="Q56" i="3" s="1"/>
  <c r="T55" i="3"/>
  <c r="S55" i="3"/>
  <c r="R55" i="3"/>
  <c r="C55" i="3"/>
  <c r="Q55" i="3" s="1"/>
  <c r="T54" i="3"/>
  <c r="S54" i="3"/>
  <c r="R54" i="3"/>
  <c r="C54" i="3"/>
  <c r="Q54" i="3" s="1"/>
  <c r="T53" i="3"/>
  <c r="S53" i="3"/>
  <c r="R53" i="3"/>
  <c r="C53" i="3"/>
  <c r="Q53" i="3" s="1"/>
  <c r="T52" i="3"/>
  <c r="S52" i="3"/>
  <c r="R52" i="3"/>
  <c r="C52" i="3"/>
  <c r="Q52" i="3" s="1"/>
  <c r="T51" i="3"/>
  <c r="S51" i="3"/>
  <c r="R51" i="3"/>
  <c r="C51" i="3"/>
  <c r="Q51" i="3" s="1"/>
  <c r="T50" i="3"/>
  <c r="S50" i="3"/>
  <c r="R50" i="3"/>
  <c r="C50" i="3"/>
  <c r="Q50" i="3" s="1"/>
  <c r="T49" i="3"/>
  <c r="S49" i="3"/>
  <c r="R49" i="3"/>
  <c r="C49" i="3"/>
  <c r="Q49" i="3" s="1"/>
  <c r="T48" i="3"/>
  <c r="S48" i="3"/>
  <c r="U48" i="3" s="1"/>
  <c r="R48" i="3"/>
  <c r="C48" i="3"/>
  <c r="Q48" i="3" s="1"/>
  <c r="T47" i="3"/>
  <c r="S47" i="3"/>
  <c r="R47" i="3"/>
  <c r="C47" i="3"/>
  <c r="Q47" i="3" s="1"/>
  <c r="T46" i="3"/>
  <c r="S46" i="3"/>
  <c r="R46" i="3"/>
  <c r="C46" i="3"/>
  <c r="Q46" i="3" s="1"/>
  <c r="T45" i="3"/>
  <c r="S45" i="3"/>
  <c r="R45" i="3"/>
  <c r="C45" i="3"/>
  <c r="Q45" i="3" s="1"/>
  <c r="T44" i="3"/>
  <c r="S44" i="3"/>
  <c r="R44" i="3"/>
  <c r="C44" i="3"/>
  <c r="Q44" i="3" s="1"/>
  <c r="T43" i="3"/>
  <c r="S43" i="3"/>
  <c r="U43" i="3" s="1"/>
  <c r="R43" i="3"/>
  <c r="C43" i="3"/>
  <c r="Q43" i="3" s="1"/>
  <c r="T42" i="3"/>
  <c r="S42" i="3"/>
  <c r="R42" i="3"/>
  <c r="C42" i="3"/>
  <c r="Q42" i="3" s="1"/>
  <c r="T41" i="3"/>
  <c r="S41" i="3"/>
  <c r="R41" i="3"/>
  <c r="C41" i="3"/>
  <c r="Q41" i="3" s="1"/>
  <c r="T40" i="3"/>
  <c r="S40" i="3"/>
  <c r="R40" i="3"/>
  <c r="C40" i="3"/>
  <c r="Q40" i="3" s="1"/>
  <c r="T39" i="3"/>
  <c r="S39" i="3"/>
  <c r="R39" i="3"/>
  <c r="C39" i="3"/>
  <c r="Q39" i="3" s="1"/>
  <c r="T38" i="3"/>
  <c r="S38" i="3"/>
  <c r="R38" i="3"/>
  <c r="C38" i="3"/>
  <c r="Q38" i="3" s="1"/>
  <c r="T37" i="3"/>
  <c r="S37" i="3"/>
  <c r="R37" i="3"/>
  <c r="C37" i="3"/>
  <c r="Q37" i="3" s="1"/>
  <c r="T36" i="3"/>
  <c r="S36" i="3"/>
  <c r="R36" i="3"/>
  <c r="C36" i="3"/>
  <c r="Q36" i="3" s="1"/>
  <c r="T35" i="3"/>
  <c r="S35" i="3"/>
  <c r="R35" i="3"/>
  <c r="C35" i="3"/>
  <c r="Q35" i="3" s="1"/>
  <c r="T34" i="3"/>
  <c r="S34" i="3"/>
  <c r="R34" i="3"/>
  <c r="C34" i="3"/>
  <c r="Q34" i="3" s="1"/>
  <c r="T33" i="3"/>
  <c r="S33" i="3"/>
  <c r="R33" i="3"/>
  <c r="C33" i="3"/>
  <c r="Q33" i="3" s="1"/>
  <c r="T32" i="3"/>
  <c r="S32" i="3"/>
  <c r="R32" i="3"/>
  <c r="C32" i="3"/>
  <c r="T31" i="3"/>
  <c r="S31" i="3"/>
  <c r="R31" i="3"/>
  <c r="C31" i="3"/>
  <c r="Q31" i="3" s="1"/>
  <c r="T30" i="3"/>
  <c r="S30" i="3"/>
  <c r="R30" i="3"/>
  <c r="C30" i="3"/>
  <c r="Q30" i="3" s="1"/>
  <c r="T29" i="3"/>
  <c r="S29" i="3"/>
  <c r="R29" i="3"/>
  <c r="C29" i="3"/>
  <c r="Q29" i="3" s="1"/>
  <c r="T28" i="3"/>
  <c r="S28" i="3"/>
  <c r="R28" i="3"/>
  <c r="C28" i="3"/>
  <c r="Q28" i="3" s="1"/>
  <c r="T27" i="3"/>
  <c r="S27" i="3"/>
  <c r="R27" i="3"/>
  <c r="C27" i="3"/>
  <c r="Q27" i="3" s="1"/>
  <c r="T26" i="3"/>
  <c r="S26" i="3"/>
  <c r="R26" i="3"/>
  <c r="C26" i="3"/>
  <c r="Q26" i="3" s="1"/>
  <c r="T25" i="3"/>
  <c r="S25" i="3"/>
  <c r="R25" i="3" s="1"/>
  <c r="C25" i="3"/>
  <c r="Q25" i="3" s="1"/>
  <c r="T24" i="3"/>
  <c r="S24" i="3"/>
  <c r="R24" i="3" s="1"/>
  <c r="C24" i="3"/>
  <c r="Q24" i="3" s="1"/>
  <c r="T23" i="3"/>
  <c r="S23" i="3"/>
  <c r="R23" i="3"/>
  <c r="C23" i="3"/>
  <c r="Q23" i="3" s="1"/>
  <c r="S22" i="3"/>
  <c r="R22" i="3" s="1"/>
  <c r="C22" i="3"/>
  <c r="Q22" i="3" s="1"/>
  <c r="S21" i="3"/>
  <c r="R21" i="3" s="1"/>
  <c r="C21" i="3"/>
  <c r="Q21" i="3" s="1"/>
  <c r="S20" i="3"/>
  <c r="R20" i="3" s="1"/>
  <c r="C20" i="3"/>
  <c r="Q20" i="3" s="1"/>
  <c r="S19" i="3"/>
  <c r="R19" i="3" s="1"/>
  <c r="C19" i="3"/>
  <c r="Q19" i="3" s="1"/>
  <c r="S18" i="3"/>
  <c r="R18" i="3"/>
  <c r="C18" i="3"/>
  <c r="Q18" i="3" s="1"/>
  <c r="S17" i="3"/>
  <c r="R17" i="3" s="1"/>
  <c r="C17" i="3"/>
  <c r="Q17" i="3" s="1"/>
  <c r="S16" i="3"/>
  <c r="R16" i="3" s="1"/>
  <c r="C16" i="3"/>
  <c r="Q16" i="3" s="1"/>
  <c r="S15" i="3"/>
  <c r="R15" i="3" s="1"/>
  <c r="C15" i="3"/>
  <c r="Q15" i="3" s="1"/>
  <c r="S14" i="3"/>
  <c r="R14" i="3" s="1"/>
  <c r="C14" i="3"/>
  <c r="Q14" i="3" s="1"/>
  <c r="S13" i="3"/>
  <c r="C13" i="3"/>
  <c r="Q13" i="3" s="1"/>
  <c r="S12" i="3"/>
  <c r="R12" i="3" s="1"/>
  <c r="C12" i="3"/>
  <c r="S11" i="3"/>
  <c r="R11" i="3" s="1"/>
  <c r="C11" i="3"/>
  <c r="Q11" i="3" s="1"/>
  <c r="S10" i="3"/>
  <c r="C10" i="3"/>
  <c r="Q10" i="3" s="1"/>
  <c r="S9" i="3"/>
  <c r="C9" i="3"/>
  <c r="S8" i="3"/>
  <c r="R8" i="3"/>
  <c r="C8" i="3"/>
  <c r="Q8" i="3" s="1"/>
  <c r="S7" i="3"/>
  <c r="C7" i="3"/>
  <c r="Q7" i="3" s="1"/>
  <c r="O41" i="2"/>
  <c r="N41" i="2"/>
  <c r="M41" i="2"/>
  <c r="L41" i="2"/>
  <c r="K41" i="2"/>
  <c r="J41" i="2"/>
  <c r="I41" i="2"/>
  <c r="B41" i="2"/>
  <c r="O40" i="2"/>
  <c r="N40" i="2"/>
  <c r="M40" i="2"/>
  <c r="L40" i="2"/>
  <c r="K40" i="2"/>
  <c r="J40" i="2"/>
  <c r="I40" i="2"/>
  <c r="B40" i="2"/>
  <c r="O39" i="2"/>
  <c r="N39" i="2"/>
  <c r="M39" i="2"/>
  <c r="L39" i="2"/>
  <c r="K39" i="2"/>
  <c r="J39" i="2"/>
  <c r="I39" i="2"/>
  <c r="B39" i="2"/>
  <c r="J38" i="2"/>
  <c r="I38" i="2"/>
  <c r="B38" i="2"/>
  <c r="J37" i="2"/>
  <c r="I37" i="2"/>
  <c r="B37" i="2"/>
  <c r="J36" i="2"/>
  <c r="I36" i="2"/>
  <c r="B36" i="2"/>
  <c r="L35" i="2"/>
  <c r="K35" i="2"/>
  <c r="J35" i="2"/>
  <c r="I35" i="2"/>
  <c r="B35" i="2"/>
  <c r="J34" i="2"/>
  <c r="I34" i="2"/>
  <c r="B34" i="2"/>
  <c r="J33" i="2"/>
  <c r="I33" i="2"/>
  <c r="B33" i="2"/>
  <c r="J32" i="2"/>
  <c r="I32" i="2"/>
  <c r="B32" i="2"/>
  <c r="J31" i="2"/>
  <c r="I31" i="2"/>
  <c r="B31" i="2"/>
  <c r="J30" i="2"/>
  <c r="I30" i="2"/>
  <c r="B30" i="2"/>
  <c r="L8" i="2"/>
  <c r="J8" i="2"/>
  <c r="H8" i="2"/>
  <c r="F8" i="2"/>
  <c r="B8" i="2"/>
  <c r="N6" i="2"/>
  <c r="J6" i="2"/>
  <c r="U106" i="3" l="1"/>
  <c r="U104" i="3"/>
  <c r="U103" i="3"/>
  <c r="U97" i="3"/>
  <c r="U95" i="3"/>
  <c r="U94" i="3"/>
  <c r="U93" i="3"/>
  <c r="U92" i="3"/>
  <c r="U91" i="3"/>
  <c r="U90" i="3"/>
  <c r="U89" i="3"/>
  <c r="U88" i="3"/>
  <c r="U87" i="3"/>
  <c r="U86" i="3"/>
  <c r="U85" i="3"/>
  <c r="U84" i="3"/>
  <c r="U66" i="3"/>
  <c r="U64" i="3"/>
  <c r="U63" i="3"/>
  <c r="U59" i="3"/>
  <c r="U24" i="3"/>
  <c r="U23" i="3"/>
  <c r="U82" i="3"/>
  <c r="U81" i="3"/>
  <c r="U80" i="3"/>
  <c r="U79" i="3"/>
  <c r="U78" i="3"/>
  <c r="U77" i="3"/>
  <c r="U76" i="3"/>
  <c r="U75" i="3"/>
  <c r="U74" i="3"/>
  <c r="U73" i="3"/>
  <c r="U72" i="3"/>
  <c r="U71" i="3"/>
  <c r="U70" i="3"/>
  <c r="U69" i="3"/>
  <c r="U68" i="3"/>
  <c r="U67" i="3"/>
  <c r="U65" i="3"/>
  <c r="U61" i="3"/>
  <c r="U60" i="3"/>
  <c r="U57" i="3"/>
  <c r="Q12" i="3"/>
  <c r="U55" i="3"/>
  <c r="U54" i="3"/>
  <c r="U53" i="3"/>
  <c r="U52" i="3"/>
  <c r="U51" i="3"/>
  <c r="U50" i="3"/>
  <c r="U49" i="3"/>
  <c r="U47" i="3"/>
  <c r="U46" i="3"/>
  <c r="U45" i="3"/>
  <c r="U44" i="3"/>
  <c r="U26" i="3"/>
  <c r="U25" i="3"/>
  <c r="Q9" i="3"/>
  <c r="U42" i="3"/>
  <c r="U41" i="3"/>
  <c r="U40" i="3"/>
  <c r="U39" i="3"/>
  <c r="U38" i="3"/>
  <c r="U37" i="3"/>
  <c r="U36" i="3"/>
  <c r="U35" i="3"/>
  <c r="U34" i="3"/>
  <c r="U33" i="3"/>
  <c r="U31" i="3"/>
  <c r="U30" i="3"/>
  <c r="U29" i="3"/>
  <c r="U28" i="3"/>
  <c r="U27" i="3"/>
  <c r="U83" i="3"/>
  <c r="R83" i="3"/>
  <c r="U62" i="3"/>
  <c r="R62" i="3"/>
  <c r="U58" i="3"/>
  <c r="R58" i="3"/>
  <c r="U56" i="3"/>
  <c r="R56" i="3"/>
  <c r="J9" i="4"/>
  <c r="N32" i="2" s="1"/>
  <c r="I9" i="4"/>
  <c r="M32" i="2" s="1"/>
  <c r="H9" i="4"/>
  <c r="L32" i="2" s="1"/>
  <c r="R13" i="3"/>
  <c r="J8" i="4"/>
  <c r="N31" i="2" s="1"/>
  <c r="I8" i="4"/>
  <c r="M31" i="2" s="1"/>
  <c r="H8" i="4"/>
  <c r="L31" i="2" s="1"/>
  <c r="J7" i="4"/>
  <c r="N30" i="2" s="1"/>
  <c r="I7" i="4"/>
  <c r="M30" i="2" s="1"/>
  <c r="H7" i="4"/>
  <c r="L30" i="2" s="1"/>
  <c r="R7" i="3"/>
  <c r="B10" i="7"/>
  <c r="B3" i="2"/>
  <c r="U105" i="3"/>
  <c r="R105" i="3"/>
  <c r="R102" i="3"/>
  <c r="U102" i="3"/>
  <c r="U101" i="3"/>
  <c r="R101" i="3"/>
  <c r="R100" i="3"/>
  <c r="U100" i="3"/>
  <c r="U99" i="3"/>
  <c r="R99" i="3"/>
  <c r="U98" i="3"/>
  <c r="R98" i="3"/>
  <c r="B6" i="2"/>
  <c r="H6" i="2"/>
  <c r="U96" i="3"/>
  <c r="E42" i="2"/>
  <c r="L6" i="2"/>
  <c r="U32" i="3"/>
  <c r="Q32" i="3"/>
  <c r="T22" i="3"/>
  <c r="U22" i="3"/>
  <c r="T21" i="3"/>
  <c r="U21" i="3"/>
  <c r="U20" i="3"/>
  <c r="T20" i="3"/>
  <c r="U19" i="3"/>
  <c r="T19" i="3"/>
  <c r="U18" i="3"/>
  <c r="T18" i="3"/>
  <c r="T17" i="3"/>
  <c r="U17" i="3"/>
  <c r="T16" i="3"/>
  <c r="U16" i="3"/>
  <c r="U15" i="3"/>
  <c r="T15" i="3"/>
  <c r="U14" i="3"/>
  <c r="T14" i="3"/>
  <c r="U13" i="3"/>
  <c r="T13" i="3"/>
  <c r="T12" i="3"/>
  <c r="U12" i="3"/>
  <c r="U11" i="3"/>
  <c r="T11" i="3"/>
  <c r="R10" i="3"/>
  <c r="U10" i="3"/>
  <c r="T10" i="3"/>
  <c r="U9" i="3"/>
  <c r="R9" i="3"/>
  <c r="T9" i="3" s="1"/>
  <c r="S47" i="2"/>
  <c r="S49" i="2"/>
  <c r="S46" i="2"/>
  <c r="S48" i="2"/>
  <c r="T8" i="3"/>
  <c r="U8" i="3"/>
  <c r="U7" i="3"/>
  <c r="T7" i="3"/>
  <c r="G41" i="2"/>
  <c r="F41" i="2"/>
  <c r="E41" i="2"/>
  <c r="E40" i="2"/>
  <c r="G40" i="2"/>
  <c r="F40" i="2"/>
  <c r="G39" i="2"/>
  <c r="E39" i="2"/>
  <c r="F39" i="2"/>
  <c r="F38" i="2"/>
  <c r="G38" i="2"/>
  <c r="E38" i="2"/>
  <c r="E37" i="2"/>
  <c r="F37" i="2"/>
  <c r="G37" i="2"/>
  <c r="G36" i="2"/>
  <c r="F36" i="2"/>
  <c r="E36" i="2"/>
  <c r="E35" i="2"/>
  <c r="F35" i="2"/>
  <c r="G35" i="2"/>
  <c r="E34" i="2"/>
  <c r="F34" i="2"/>
  <c r="G34" i="2"/>
  <c r="E33" i="2"/>
  <c r="F33" i="2"/>
  <c r="G33" i="2"/>
  <c r="E32" i="2"/>
  <c r="G32" i="2"/>
  <c r="F32" i="2"/>
  <c r="F31" i="2"/>
  <c r="G31" i="2"/>
  <c r="E31" i="2"/>
  <c r="G30" i="2"/>
  <c r="F30" i="2"/>
  <c r="E30" i="2"/>
  <c r="N8" i="2" l="1"/>
  <c r="D6" i="2"/>
  <c r="F6" i="2"/>
  <c r="B16" i="2"/>
  <c r="I16" i="2"/>
  <c r="K16" i="2"/>
  <c r="C17" i="2"/>
  <c r="J17" i="2"/>
  <c r="G18" i="2"/>
  <c r="J20" i="2"/>
  <c r="B26" i="2"/>
  <c r="C16" i="2"/>
  <c r="J16" i="2"/>
  <c r="B17" i="2"/>
  <c r="G17" i="2"/>
  <c r="K17" i="2"/>
  <c r="C18" i="2"/>
  <c r="J18" i="2"/>
  <c r="L18" i="2"/>
  <c r="C19" i="2"/>
  <c r="I19" i="2"/>
  <c r="K19" i="2"/>
  <c r="B20" i="2"/>
  <c r="G20" i="2"/>
  <c r="L20" i="2"/>
  <c r="G21" i="2"/>
  <c r="K21" i="2"/>
  <c r="G22" i="2"/>
  <c r="J22" i="2"/>
  <c r="K22" i="2"/>
  <c r="B23" i="2"/>
  <c r="I23" i="2"/>
  <c r="J23" i="2"/>
  <c r="K23" i="2"/>
  <c r="L23" i="2"/>
  <c r="B24" i="2"/>
  <c r="C24" i="2"/>
  <c r="G24" i="2"/>
  <c r="I24" i="2"/>
  <c r="J24" i="2"/>
  <c r="K24" i="2"/>
  <c r="L24" i="2"/>
  <c r="B25" i="2"/>
  <c r="C25" i="2"/>
  <c r="G25" i="2"/>
  <c r="I25" i="2"/>
  <c r="J25" i="2"/>
  <c r="K25" i="2"/>
  <c r="L25" i="2"/>
  <c r="G16" i="2"/>
  <c r="L16" i="2"/>
  <c r="I17" i="2"/>
  <c r="L17" i="2"/>
  <c r="B18" i="2"/>
  <c r="I18" i="2"/>
  <c r="K18" i="2"/>
  <c r="B19" i="2"/>
  <c r="G19" i="2"/>
  <c r="J19" i="2"/>
  <c r="L19" i="2"/>
  <c r="C20" i="2"/>
  <c r="K20" i="2"/>
  <c r="C21" i="2"/>
  <c r="J21" i="2"/>
  <c r="L21" i="2"/>
  <c r="C22" i="2"/>
  <c r="I22" i="2"/>
  <c r="L22" i="2"/>
  <c r="G23" i="2"/>
  <c r="I20" i="2"/>
  <c r="B21" i="2"/>
  <c r="I21" i="2"/>
  <c r="B22" i="2"/>
  <c r="C23" i="2"/>
  <c r="B11" i="2" l="1"/>
  <c r="D8" i="2"/>
</calcChain>
</file>

<file path=xl/sharedStrings.xml><?xml version="1.0" encoding="utf-8"?>
<sst xmlns="http://schemas.openxmlformats.org/spreadsheetml/2006/main" count="626" uniqueCount="481">
  <si>
    <t>Action log</t>
  </si>
  <si>
    <t>Minutes that end in an owner and a date, followed up until somebody closes them with evidence.</t>
  </si>
  <si>
    <t>The Project Control Hub · free template · example: four weeks of the example project’s meetings</t>
  </si>
  <si>
    <t>THE CHAIN · meeting, minutes, action, follow-up, closed</t>
  </si>
  <si>
    <t>Meetings  →</t>
  </si>
  <si>
    <t>One line per meeting: the date and the day the minutes went out.</t>
  </si>
  <si>
    <t>Meeting</t>
  </si>
  <si>
    <t>Actions  →</t>
  </si>
  <si>
    <t>Each action as a verb, with a person (never a department), a date, what done looks like and, if you can, what happens if it is not done.</t>
  </si>
  <si>
    <t>Minutes · action</t>
  </si>
  <si>
    <t>At every meeting, every open action comes up whether or not anybody raises it. Write the meeting ID in "Last followed up at".</t>
  </si>
  <si>
    <t>Follow-up</t>
  </si>
  <si>
    <t>Closed means a name, a date and the evidence. Anything without a status shows as "Can’t tell".</t>
  </si>
  <si>
    <t>Closed</t>
  </si>
  <si>
    <t>Discrepancies  →</t>
  </si>
  <si>
    <t>Two records disagree? Write it down, copy the record holders, then ring.</t>
  </si>
  <si>
    <t>Write, then call</t>
  </si>
  <si>
    <t>WHAT AN ACTION NEEDS</t>
  </si>
  <si>
    <t>A person</t>
  </si>
  <si>
    <t>Not a department. Departments don’t do things; people do.</t>
  </si>
  <si>
    <t>A date</t>
  </si>
  <si>
    <t>What makes follow-up possible at all.</t>
  </si>
  <si>
    <t>Done looks like</t>
  </si>
  <si>
    <t>Half of all disputed closures are two people with different pictures of completion.</t>
  </si>
  <si>
    <t>If not done</t>
  </si>
  <si>
    <t>Optional, and changes behaviour more than the other three together.</t>
  </si>
  <si>
    <t>THREE NUMBERS · count them in your last four sets of minutes</t>
  </si>
  <si>
    <t>Open</t>
  </si>
  <si>
    <t>Somebody is doing it, and the date says when.</t>
  </si>
  <si>
    <t>Somebody said it is done, and what proves it.</t>
  </si>
  <si>
    <t>Can’t tell</t>
  </si>
  <si>
    <t>The one that matters. An action nobody can categorise was never really an action.</t>
  </si>
  <si>
    <t>HOW TO READ THE CELLS</t>
  </si>
  <si>
    <t>Yellow, blue text</t>
  </si>
  <si>
    <t>Yours to fill in: Setup, Meetings, Actions, Discrepancies, Decisions.</t>
  </si>
  <si>
    <t>White, black text</t>
  </si>
  <si>
    <t>A formula. Leave it alone and it keeps working. The Dashboard is all formulas.</t>
  </si>
  <si>
    <t>Red / amber</t>
  </si>
  <si>
    <t>Overdue, no owner, a department as owner, no status, closed without proof, or something missing.</t>
  </si>
  <si>
    <t>WHAT IS IN THIS FILE</t>
  </si>
  <si>
    <t>Dashboard</t>
  </si>
  <si>
    <t>Seven numbers, a paragraph, the oldest open actions, owners, meetings and two charts.</t>
  </si>
  <si>
    <t>Actions</t>
  </si>
  <si>
    <t>A hundred rows: person, date, done looks like, follow-up, closure, and what is missing.</t>
  </si>
  <si>
    <t>Meetings</t>
  </si>
  <si>
    <t>Fifty meetings: when the minutes went out, and what each one left open.</t>
  </si>
  <si>
    <t>Discrepancies</t>
  </si>
  <si>
    <t>Thirty disagreements between records: did you write first, and who did you copy?</t>
  </si>
  <si>
    <t>Decisions</t>
  </si>
  <si>
    <t>Fifty decisions: who, where it is written, what it replaced, what it created.</t>
  </si>
  <si>
    <t>Setup</t>
  </si>
  <si>
    <t>As at, the due-soon window, people, departments and the other lists.</t>
  </si>
  <si>
    <t>EXPLAINED IN</t>
  </si>
  <si>
    <t>Reporting Topic 23 · The call solved it. The email proved it.</t>
  </si>
  <si>
    <t>Reporting Topic 9 · Ready means six different things</t>
  </si>
  <si>
    <t>Example: the example project’s meetings from 20 February to 13 March 2026, as at Friday 13 March. The wayleave letter was "sorted" on 27 February with nothing on file, and came back three weeks later as a new action. Two actions belong to departments and one to nobody. The Notice of Claim for the rock is due by 31 March. The owners, dates and the three discrepancies are illustrative.</t>
  </si>
  <si>
    <t>Free to use and adapt on your own projects. https://theprojectcontrolhub.com/</t>
  </si>
  <si>
    <t>The Project Control Hub</t>
  </si>
  <si>
    <t>OPEN</t>
  </si>
  <si>
    <t>OVERDUE</t>
  </si>
  <si>
    <t>DUE SOON</t>
  </si>
  <si>
    <t>CAN’T TELL</t>
  </si>
  <si>
    <t>NOT A PERSON</t>
  </si>
  <si>
    <t>CLOSED, NO PROOF</t>
  </si>
  <si>
    <t>CAME BACK</t>
  </si>
  <si>
    <t>OLDEST OPEN FIRST · close the top one this week</t>
  </si>
  <si>
    <t>ID</t>
  </si>
  <si>
    <t>Action</t>
  </si>
  <si>
    <t>Owner</t>
  </si>
  <si>
    <t>Raised</t>
  </si>
  <si>
    <t>Due</t>
  </si>
  <si>
    <t>Days to due</t>
  </si>
  <si>
    <t>What is missing</t>
  </si>
  <si>
    <t>BY OWNER · people, not departments</t>
  </si>
  <si>
    <t>MEETING BY MEETING · what each one produced</t>
  </si>
  <si>
    <t>Overdue</t>
  </si>
  <si>
    <t>Date</t>
  </si>
  <si>
    <t>Minutes in</t>
  </si>
  <si>
    <t>Departments, or nobody</t>
  </si>
  <si>
    <t>HOW OLD THE OPEN ACTIONS ARE, AND WHERE THEY CAME FROM</t>
  </si>
  <si>
    <t>Age</t>
  </si>
  <si>
    <t>Open actions</t>
  </si>
  <si>
    <t>0-7 days</t>
  </si>
  <si>
    <t>8-14 days</t>
  </si>
  <si>
    <t>15-28 days</t>
  </si>
  <si>
    <t>Over 28 days</t>
  </si>
  <si>
    <t>Everything on this page reads from Setup, Meetings and Actions.</t>
  </si>
  <si>
    <t>A person, a date, and what done looks like. Then the follow-up, and a closure with a name and evidence.</t>
  </si>
  <si>
    <t>One action per row, written as a verb. The grey columns work themselves out. Column order is fixed; add new fields to the right.</t>
  </si>
  <si>
    <t>Raised at (meeting)</t>
  </si>
  <si>
    <t>Raised on</t>
  </si>
  <si>
    <t>Type</t>
  </si>
  <si>
    <t>Owner (a person)</t>
  </si>
  <si>
    <t>Status</t>
  </si>
  <si>
    <t>Closed by</t>
  </si>
  <si>
    <t>Closed on</t>
  </si>
  <si>
    <t>Evidence</t>
  </si>
  <si>
    <t>Last followed up at</t>
  </si>
  <si>
    <t>Reappears from</t>
  </si>
  <si>
    <t>Note</t>
  </si>
  <si>
    <t>Days open</t>
  </si>
  <si>
    <t>Category</t>
  </si>
  <si>
    <t>Sort key</t>
  </si>
  <si>
    <t>A001</t>
  </si>
  <si>
    <t>M01</t>
  </si>
  <si>
    <t>Issue the wayleave letter</t>
  </si>
  <si>
    <t>Ahmet</t>
  </si>
  <si>
    <t>M02</t>
  </si>
  <si>
    <t>"Sorted" at the 27 Feb meeting. Nothing on file, no name against it.</t>
  </si>
  <si>
    <t>A002</t>
  </si>
  <si>
    <t>Confirm the crane booking for the north pile caps</t>
  </si>
  <si>
    <t>Site</t>
  </si>
  <si>
    <t>Booking confirmation for 17 Mar on file</t>
  </si>
  <si>
    <t>Site manager</t>
  </si>
  <si>
    <t>M03</t>
  </si>
  <si>
    <t>Closed on a call. The crane is now booked to another zone on 17 Mar.</t>
  </si>
  <si>
    <t>A003</t>
  </si>
  <si>
    <t>Submit the method statement for the raft pours</t>
  </si>
  <si>
    <t>Engineering</t>
  </si>
  <si>
    <t>Method statement accepted by the resident engineer</t>
  </si>
  <si>
    <t>Raft pours cannot start</t>
  </si>
  <si>
    <t>M05</t>
  </si>
  <si>
    <t>A004</t>
  </si>
  <si>
    <t>Check the levels at the substation slab formation</t>
  </si>
  <si>
    <t>Minuted as "Engineering to look at the levels". Nobody, no date.</t>
  </si>
  <si>
    <t>A005</t>
  </si>
  <si>
    <t>Run a credit check on the steel supplier</t>
  </si>
  <si>
    <t>Buyer</t>
  </si>
  <si>
    <t>Report on file and read</t>
  </si>
  <si>
    <t>Report filed in the supplier folder</t>
  </si>
  <si>
    <t>A006</t>
  </si>
  <si>
    <t>Send the pre-application enquiry for the discharge consent</t>
  </si>
  <si>
    <t>Engineer</t>
  </si>
  <si>
    <t>Enquiry acknowledged by the authority</t>
  </si>
  <si>
    <t>The outfall cannot be connected</t>
  </si>
  <si>
    <t>A007</t>
  </si>
  <si>
    <t>Approve two boreholes in the north half ($6,800)</t>
  </si>
  <si>
    <t>Project manager</t>
  </si>
  <si>
    <t>Instruction issued to the drilling contractor</t>
  </si>
  <si>
    <t>Piling continues on assumed ground</t>
  </si>
  <si>
    <t>A008</t>
  </si>
  <si>
    <t>Drill two boreholes in the north half</t>
  </si>
  <si>
    <t>Two logs filed against the pile layout</t>
  </si>
  <si>
    <t>A009</t>
  </si>
  <si>
    <t>Confirm the switchgear lead time in writing</t>
  </si>
  <si>
    <t>Supplier’s written date on file</t>
  </si>
  <si>
    <t>The long-lead path loses float with no warning</t>
  </si>
  <si>
    <t>Not raised on 13 Mar.</t>
  </si>
  <si>
    <t>A010</t>
  </si>
  <si>
    <t>Issue the bar schedule revision for raft bay 2</t>
  </si>
  <si>
    <t>Design manager</t>
  </si>
  <si>
    <t>Revision issued for construction</t>
  </si>
  <si>
    <t>Raft rebar, bay 2 stops</t>
  </si>
  <si>
    <t>A011</t>
  </si>
  <si>
    <t>Letter sent to the stated address, receipt on file</t>
  </si>
  <si>
    <t>Deliveries cannot use the access road</t>
  </si>
  <si>
    <t>The same action, three weeks later.</t>
  </si>
  <si>
    <t>A012</t>
  </si>
  <si>
    <t>M04</t>
  </si>
  <si>
    <t>Recovery action</t>
  </si>
  <si>
    <t>Second shift on the piling rig for P18 to P24</t>
  </si>
  <si>
    <t>Two shifts on the daily report for five days</t>
  </si>
  <si>
    <t>North piling stays 3 days late</t>
  </si>
  <si>
    <t>A013</t>
  </si>
  <si>
    <t>Re-sequence pile caps PC1 to PC3 behind P18</t>
  </si>
  <si>
    <t>Planner</t>
  </si>
  <si>
    <t>Look-ahead reissued</t>
  </si>
  <si>
    <t>Look-ahead revision 3, issued 10 Mar</t>
  </si>
  <si>
    <t>A014</t>
  </si>
  <si>
    <t>Raise the inspection request for the piles under PC1 to PC3</t>
  </si>
  <si>
    <t>Request logged with the resident engineer</t>
  </si>
  <si>
    <t>Pile caps cannot start on 17 Mar</t>
  </si>
  <si>
    <t>A015</t>
  </si>
  <si>
    <t>Serve the Notice of Claim for the rock at P17</t>
  </si>
  <si>
    <t>Commercial manager</t>
  </si>
  <si>
    <t>Notice identified as a Notice, sent to the stated address</t>
  </si>
  <si>
    <t>The entitlement to the rock ($48,450) ends</t>
  </si>
  <si>
    <t>Contract Topic 1: 28 days from 3 March.</t>
  </si>
  <si>
    <t>A016</t>
  </si>
  <si>
    <t>Discrepancy</t>
  </si>
  <si>
    <t>Reconcile the GB3 concrete volume: pour record against the delivery tickets</t>
  </si>
  <si>
    <t>Site engineer</t>
  </si>
  <si>
    <t>One figure agreed by both record holders, daily report revised</t>
  </si>
  <si>
    <t>A017</t>
  </si>
  <si>
    <t>A018</t>
  </si>
  <si>
    <t>A019</t>
  </si>
  <si>
    <t>A020</t>
  </si>
  <si>
    <t>A021</t>
  </si>
  <si>
    <t>A022</t>
  </si>
  <si>
    <t>A023</t>
  </si>
  <si>
    <t>A024</t>
  </si>
  <si>
    <t>A025</t>
  </si>
  <si>
    <t>A026</t>
  </si>
  <si>
    <t>A027</t>
  </si>
  <si>
    <t>A028</t>
  </si>
  <si>
    <t>A029</t>
  </si>
  <si>
    <t>A030</t>
  </si>
  <si>
    <t>A031</t>
  </si>
  <si>
    <t>A032</t>
  </si>
  <si>
    <t>A033</t>
  </si>
  <si>
    <t>A034</t>
  </si>
  <si>
    <t>A035</t>
  </si>
  <si>
    <t>A036</t>
  </si>
  <si>
    <t>A037</t>
  </si>
  <si>
    <t>A038</t>
  </si>
  <si>
    <t>A039</t>
  </si>
  <si>
    <t>A040</t>
  </si>
  <si>
    <t>A041</t>
  </si>
  <si>
    <t>A042</t>
  </si>
  <si>
    <t>A043</t>
  </si>
  <si>
    <t>A044</t>
  </si>
  <si>
    <t>A045</t>
  </si>
  <si>
    <t>A046</t>
  </si>
  <si>
    <t>A047</t>
  </si>
  <si>
    <t>A048</t>
  </si>
  <si>
    <t>A049</t>
  </si>
  <si>
    <t>A050</t>
  </si>
  <si>
    <t>A051</t>
  </si>
  <si>
    <t>A052</t>
  </si>
  <si>
    <t>A053</t>
  </si>
  <si>
    <t>A054</t>
  </si>
  <si>
    <t>A055</t>
  </si>
  <si>
    <t>A056</t>
  </si>
  <si>
    <t>A057</t>
  </si>
  <si>
    <t>A058</t>
  </si>
  <si>
    <t>A059</t>
  </si>
  <si>
    <t>A060</t>
  </si>
  <si>
    <t>A061</t>
  </si>
  <si>
    <t>A062</t>
  </si>
  <si>
    <t>A063</t>
  </si>
  <si>
    <t>A064</t>
  </si>
  <si>
    <t>A065</t>
  </si>
  <si>
    <t>A066</t>
  </si>
  <si>
    <t>A067</t>
  </si>
  <si>
    <t>A068</t>
  </si>
  <si>
    <t>A069</t>
  </si>
  <si>
    <t>A070</t>
  </si>
  <si>
    <t>A071</t>
  </si>
  <si>
    <t>A072</t>
  </si>
  <si>
    <t>A073</t>
  </si>
  <si>
    <t>A074</t>
  </si>
  <si>
    <t>A075</t>
  </si>
  <si>
    <t>A076</t>
  </si>
  <si>
    <t>A077</t>
  </si>
  <si>
    <t>A078</t>
  </si>
  <si>
    <t>A079</t>
  </si>
  <si>
    <t>A080</t>
  </si>
  <si>
    <t>A081</t>
  </si>
  <si>
    <t>A082</t>
  </si>
  <si>
    <t>A083</t>
  </si>
  <si>
    <t>A084</t>
  </si>
  <si>
    <t>A085</t>
  </si>
  <si>
    <t>A086</t>
  </si>
  <si>
    <t>A087</t>
  </si>
  <si>
    <t>A088</t>
  </si>
  <si>
    <t>A089</t>
  </si>
  <si>
    <t>A090</t>
  </si>
  <si>
    <t>A091</t>
  </si>
  <si>
    <t>A092</t>
  </si>
  <si>
    <t>A093</t>
  </si>
  <si>
    <t>A094</t>
  </si>
  <si>
    <t>A095</t>
  </si>
  <si>
    <t>A096</t>
  </si>
  <si>
    <t>A097</t>
  </si>
  <si>
    <t>A098</t>
  </si>
  <si>
    <t>A099</t>
  </si>
  <si>
    <t>A100</t>
  </si>
  <si>
    <t>Category: an action with no status is "Can’t tell", the number Topic 23 says matters most. Reopened counts as open. "Missed at the last meeting": still open, and not followed up at the latest meeting in Setup.</t>
  </si>
  <si>
    <t>Meeting, minutes, action, follow-up, closed. The fourth step is the one that gets skipped.</t>
  </si>
  <si>
    <t>One line per meeting. The counts show what each meeting produced and what is still open from it.</t>
  </si>
  <si>
    <t>Chair</t>
  </si>
  <si>
    <t>Minutes issued on</t>
  </si>
  <si>
    <t>Days to issue</t>
  </si>
  <si>
    <t>Actions raised</t>
  </si>
  <si>
    <t>Still open</t>
  </si>
  <si>
    <t>Weekly meeting</t>
  </si>
  <si>
    <t>Recovery meeting</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</si>
  <si>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</si>
  <si>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</si>
  <si>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</si>
  <si>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</si>
  <si>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</si>
  <si>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</si>
  <si>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</si>
  <si>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</si>
  <si>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</si>
  <si>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</si>
  <si>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</si>
  <si>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</si>
  <si>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</si>
  <si>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</si>
  <si>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</si>
  <si>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</si>
  <si>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</si>
  <si>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</si>
  <si>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</si>
  <si>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</si>
  <si>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</si>
  <si>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</si>
  <si>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</si>
  <si>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</si>
  <si>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</si>
  <si>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</si>
  <si>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</si>
  <si>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</si>
  <si>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</si>
  <si>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</si>
  <si>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</si>
  <si>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</si>
  <si>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</si>
  <si>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</si>
  <si>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</si>
  <si>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</si>
  <si>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</si>
  <si>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</si>
  <si>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</si>
  <si>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</si>
  <si>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</si>
  <si>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</si>
  <si>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</si>
  <si>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</si>
  <si>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</si>
  <si>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Days to issue: working days from the meeting to the minutes. Minutes a week late are a memory, not a record.</t>
  </si>
  <si>
    <t>Write it down first, copy the record holders, then ring. The call solves it; the email proves it.</t>
  </si>
  <si>
    <t>One line per disagreement between two records. The sheet checks the order and the distribution.</t>
  </si>
  <si>
    <t>What disagrees</t>
  </si>
  <si>
    <t>Record A says</t>
  </si>
  <si>
    <t>Record B says</t>
  </si>
  <si>
    <t>Copied (the record holders)</t>
  </si>
  <si>
    <t>Copied anyone holding neither record?</t>
  </si>
  <si>
    <t>Email sent at</t>
  </si>
  <si>
    <t>Call at</t>
  </si>
  <si>
    <t>Resolved how</t>
  </si>
  <si>
    <t>Action ID</t>
  </si>
  <si>
    <t>Order</t>
  </si>
  <si>
    <t>Distribution</t>
  </si>
  <si>
    <t>X01</t>
  </si>
  <si>
    <t>Blinding quantity on 3 March</t>
  </si>
  <si>
    <t>Daily report 41: not yet reported</t>
  </si>
  <si>
    <t>Delivery note DN-0457: 20 t</t>
  </si>
  <si>
    <t>Site engineer, Buyer</t>
  </si>
  <si>
    <t>N</t>
  </si>
  <si>
    <t>Surveyed 38 m². Daily report 41 revised (revision 1).</t>
  </si>
  <si>
    <t>X02</t>
  </si>
  <si>
    <t>GB3 concrete volume</t>
  </si>
  <si>
    <t>Pour record: 14.5 m³</t>
  </si>
  <si>
    <t>Ready-mix tickets: 16.0 m³</t>
  </si>
  <si>
    <t>Site engineer, Project manager</t>
  </si>
  <si>
    <t>Y</t>
  </si>
  <si>
    <t>X03</t>
  </si>
  <si>
    <t>Rebar fixed in raft bay 1</t>
  </si>
  <si>
    <t>Timesheets: 56 man-hours</t>
  </si>
  <si>
    <t>Foreman’s count: 4.5 t</t>
  </si>
  <si>
    <t>Site engineer, Rebar sub</t>
  </si>
  <si>
    <t>3.5 t on the survey; the foreman counted bay 2 bars on site as fixed.</t>
  </si>
  <si>
    <t>X04</t>
  </si>
  <si>
    <t>X05</t>
  </si>
  <si>
    <t>X06</t>
  </si>
  <si>
    <t>X07</t>
  </si>
  <si>
    <t>X08</t>
  </si>
  <si>
    <t>X09</t>
  </si>
  <si>
    <t>X10</t>
  </si>
  <si>
    <t>X11</t>
  </si>
  <si>
    <t>X12</t>
  </si>
  <si>
    <t>X13</t>
  </si>
  <si>
    <t>X14</t>
  </si>
  <si>
    <t>X15</t>
  </si>
  <si>
    <t>X16</t>
  </si>
  <si>
    <t>X17</t>
  </si>
  <si>
    <t>X18</t>
  </si>
  <si>
    <t>X19</t>
  </si>
  <si>
    <t>X20</t>
  </si>
  <si>
    <t>X21</t>
  </si>
  <si>
    <t>X22</t>
  </si>
  <si>
    <t>X23</t>
  </si>
  <si>
    <t>X24</t>
  </si>
  <si>
    <t>X25</t>
  </si>
  <si>
    <t>X26</t>
  </si>
  <si>
    <t>X27</t>
  </si>
  <si>
    <t>X28</t>
  </si>
  <si>
    <t>X29</t>
  </si>
  <si>
    <t>X30</t>
  </si>
  <si>
    <t>Copy the record holder, not the hierarchy: escalation works because it is rare. If the mistake turns out to be yours, the same rule applies.</t>
  </si>
  <si>
    <t>What was decided, by whom, and where it is written. A decision with no record is a memory.</t>
  </si>
  <si>
    <t>One line per decision. Point to the minutes it is in and the actions it created.</t>
  </si>
  <si>
    <t>Decision</t>
  </si>
  <si>
    <t>Decided by</t>
  </si>
  <si>
    <t>Recorded in</t>
  </si>
  <si>
    <t>Replaces decision</t>
  </si>
  <si>
    <t>Actions it created</t>
  </si>
  <si>
    <t>D01</t>
  </si>
  <si>
    <t>Treat the boreholes as an investigation response, judged at P80, not on expected value</t>
  </si>
  <si>
    <t>Minutes of the weekly meeting, 6 Mar</t>
  </si>
  <si>
    <t>A007, A008</t>
  </si>
  <si>
    <t>Risk Topic 13</t>
  </si>
  <si>
    <t>D02</t>
  </si>
  <si>
    <t>A second shift on the existing rig, not a second rig</t>
  </si>
  <si>
    <t>Recovery meeting minutes, 9 Mar</t>
  </si>
  <si>
    <t>A second rig: five days to mobilise.</t>
  </si>
  <si>
    <t>D03</t>
  </si>
  <si>
    <t>D04</t>
  </si>
  <si>
    <t>D05</t>
  </si>
  <si>
    <t>D06</t>
  </si>
  <si>
    <t>D07</t>
  </si>
  <si>
    <t>D08</t>
  </si>
  <si>
    <t>D09</t>
  </si>
  <si>
    <t>D10</t>
  </si>
  <si>
    <t>D11</t>
  </si>
  <si>
    <t>D12</t>
  </si>
  <si>
    <t>D13</t>
  </si>
  <si>
    <t>D14</t>
  </si>
  <si>
    <t>D15</t>
  </si>
  <si>
    <t>D16</t>
  </si>
  <si>
    <t>D17</t>
  </si>
  <si>
    <t>D18</t>
  </si>
  <si>
    <t>D19</t>
  </si>
  <si>
    <t>D20</t>
  </si>
  <si>
    <t>D21</t>
  </si>
  <si>
    <t>D22</t>
  </si>
  <si>
    <t>D23</t>
  </si>
  <si>
    <t>D24</t>
  </si>
  <si>
    <t>D25</t>
  </si>
  <si>
    <t>D26</t>
  </si>
  <si>
    <t>D27</t>
  </si>
  <si>
    <t>D28</t>
  </si>
  <si>
    <t>D29</t>
  </si>
  <si>
    <t>D30</t>
  </si>
  <si>
    <t>D31</t>
  </si>
  <si>
    <t>D32</t>
  </si>
  <si>
    <t>D33</t>
  </si>
  <si>
    <t>D34</t>
  </si>
  <si>
    <t>D35</t>
  </si>
  <si>
    <t>D36</t>
  </si>
  <si>
    <t>D37</t>
  </si>
  <si>
    <t>D38</t>
  </si>
  <si>
    <t>D39</t>
  </si>
  <si>
    <t>D40</t>
  </si>
  <si>
    <t>D41</t>
  </si>
  <si>
    <t>D42</t>
  </si>
  <si>
    <t>D43</t>
  </si>
  <si>
    <t>D44</t>
  </si>
  <si>
    <t>D45</t>
  </si>
  <si>
    <t>D46</t>
  </si>
  <si>
    <t>D47</t>
  </si>
  <si>
    <t>D48</t>
  </si>
  <si>
    <t>D49</t>
  </si>
  <si>
    <t>D50</t>
  </si>
  <si>
    <t>A red "Recorded in" cell: the decision is not written anywhere yet.</t>
  </si>
  <si>
    <t>The date the log counts from, and the lists the drop-downs use.</t>
  </si>
  <si>
    <t>"As at" is today unless you type a date. Put people in the People list, never departments.</t>
  </si>
  <si>
    <t>Project</t>
  </si>
  <si>
    <t>Example project</t>
  </si>
  <si>
    <t>As at</t>
  </si>
  <si>
    <t>Today by default. The example is fixed at Friday 13 March 2026, week 11.</t>
  </si>
  <si>
    <t>Due soon window (days)</t>
  </si>
  <si>
    <t>Latest meeting on or before "as at"</t>
  </si>
  <si>
    <t>The meeting every open action should have been followed up at.</t>
  </si>
  <si>
    <t>Its ID</t>
  </si>
  <si>
    <t>LISTS · the drop-downs read from here</t>
  </si>
  <si>
    <t>People (owners)</t>
  </si>
  <si>
    <t>Departments: never an owner</t>
  </si>
  <si>
    <t>Meeting types</t>
  </si>
  <si>
    <t>Action types</t>
  </si>
  <si>
    <t>Procurement</t>
  </si>
  <si>
    <t>Design review</t>
  </si>
  <si>
    <t>Reopened</t>
  </si>
  <si>
    <t>Design</t>
  </si>
  <si>
    <t>Client meeting</t>
  </si>
  <si>
    <t>Dropped</t>
  </si>
  <si>
    <t>Decision follow-up</t>
  </si>
  <si>
    <t>Commercial</t>
  </si>
  <si>
    <t>Subcontractor meeting</t>
  </si>
  <si>
    <t>Planning</t>
  </si>
  <si>
    <t>Other</t>
  </si>
  <si>
    <t>Management</t>
  </si>
  <si>
    <t>Subcontractor</t>
  </si>
  <si>
    <t>Client</t>
  </si>
  <si>
    <t>HSE officer</t>
  </si>
  <si>
    <t>Everyone</t>
  </si>
  <si>
    <t>Resident engineer</t>
  </si>
  <si>
    <t>An owner from the Departments list is flagged in Actions: "an action assigned to engineering belongs to nobody" (Topic 23). Add your own people and departments; keep the two lists apart.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</si>
</sst>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5" formatCode="d\ mmm\ yyyy"/>
    <numFmt numFmtId="166" formatCode="d\ mmm\ yy"/>
    <numFmt numFmtId="167" formatCode="0;[Red]\-0"/>
    <numFmt numFmtId="168" formatCode="0.0000"/>
    <numFmt numFmtId="169" formatCode="hh:mm"/>
    <numFmt numFmtId="170" formatCode="d\ mmm"/>
    <numFmt numFmtId="171" formatCode="d\ mmm;;"/>
    <numFmt numFmtId="172" formatCode="0;;"/>
  </numFmts>
  <fonts count="36" x14ac:knownFonts="1">
    <font>
      <sz val="11"/>
      <color theme="1"/>
      <name val="Calibri"/>
      <family val="2"/>
      <scheme val="minor"/>
    </font>
    <font>
      <b/>
      <sz val="18"/>
      <color rgb="FF0F172A"/>
      <name val="Arial"/>
    </font>
    <font>
      <sz val="10"/>
      <color rgb="FF64748B"/>
      <name val="Arial"/>
    </font>
    <font>
      <i/>
      <sz val="9.5"/>
      <color rgb="FF1D4ED8"/>
      <name val="Arial"/>
    </font>
    <font>
      <b/>
      <sz val="10"/>
      <color rgb="FF0F172A"/>
      <name val="Arial"/>
    </font>
    <font>
      <sz val="10"/>
      <color rgb="FF1D4ED8"/>
      <name val="Arial"/>
    </font>
    <font>
      <sz val="10"/>
      <color rgb="FF0F172A"/>
      <name val="Arial"/>
    </font>
    <font>
      <sz val="9"/>
      <color rgb="FF64748B"/>
      <name val="Arial"/>
    </font>
    <font>
      <b/>
      <sz val="9.5"/>
      <color rgb="FF1D4ED8"/>
      <name val="Arial"/>
    </font>
    <font>
      <b/>
      <sz val="9.5"/>
      <color rgb="FFFFFFFF"/>
      <name val="Arial"/>
    </font>
    <font>
      <b/>
      <sz val="10"/>
      <color rgb="FF1D4ED8"/>
      <name val="Arial"/>
    </font>
    <font>
      <i/>
      <sz val="9"/>
      <color rgb="FF64748B"/>
      <name val="Arial"/>
    </font>
    <font>
      <sz val="8"/>
      <color rgb="FF94A3B8"/>
      <name val="Arial"/>
    </font>
    <font>
      <b/>
      <sz val="20"/>
      <color rgb="FFFFFFFF"/>
      <name val="Arial"/>
    </font>
    <font>
      <sz val="10.5"/>
      <color rgb="FF94A3B8"/>
      <name val="Arial"/>
    </font>
    <font>
      <b/>
      <sz val="8"/>
      <color rgb="FF1D4ED8"/>
      <name val="Arial"/>
    </font>
    <font>
      <b/>
      <sz val="24"/>
      <color rgb="FF0F172A"/>
      <name val="Arial"/>
    </font>
    <font>
      <sz val="8"/>
      <color rgb="FF475569"/>
      <name val="Arial"/>
    </font>
    <font>
      <b/>
      <sz val="8"/>
      <color rgb="FFBE123C"/>
      <name val="Arial"/>
    </font>
    <font>
      <b/>
      <sz val="8"/>
      <color rgb="FFB45309"/>
      <name val="Arial"/>
    </font>
    <font>
      <b/>
      <sz val="8"/>
      <color rgb="FF334155"/>
      <name val="Arial"/>
    </font>
    <font>
      <sz val="10.5"/>
      <color rgb="FF0F172A"/>
      <name val="Arial"/>
    </font>
    <font>
      <sz val="9.5"/>
      <color rgb="FF0F172A"/>
      <name val="Arial"/>
    </font>
    <font>
      <b/>
      <sz val="9.5"/>
      <color rgb="FFBE123C"/>
      <name val="Arial"/>
    </font>
    <font>
      <b/>
      <sz val="9"/>
      <color rgb="FFFFFFFF"/>
      <name val="Arial"/>
    </font>
    <font>
      <b/>
      <sz val="24"/>
      <color rgb="FFFFFFFF"/>
      <name val="Arial"/>
    </font>
    <font>
      <sz val="11"/>
      <color rgb="FFCBD5E1"/>
      <name val="Arial"/>
    </font>
    <font>
      <b/>
      <sz val="16"/>
      <color rgb="FFFFFFFF"/>
      <name val="Arial"/>
    </font>
    <font>
      <b/>
      <u/>
      <sz val="10"/>
      <color rgb="FF1D4ED8"/>
      <name val="Arial"/>
    </font>
    <font>
      <b/>
      <sz val="10"/>
      <color rgb="FFB45309"/>
      <name val="Arial"/>
    </font>
    <font>
      <b/>
      <sz val="10"/>
      <color rgb="FF047857"/>
      <name val="Arial"/>
    </font>
    <font>
      <b/>
      <sz val="10"/>
      <color rgb="FFBE123C"/>
      <name val="Arial"/>
    </font>
    <font>
      <sz val="10"/>
      <name val="Arial"/>
    </font>
    <font>
      <u/>
      <sz val="10"/>
      <color rgb="FF1D4ED8"/>
      <name val="Arial"/>
    </font>
    <font>
      <b/>
      <sz val="9"/>
      <color rgb="FF5EEAD4"/>
      <name val="Arial"/>
    </font>
    <font>
      <b/>
      <sz val="9.5"/>
      <color rgb="FF5EEAD4"/>
      <name val="Arial"/>
    </font>
  </fonts>
  <fills count="16">
    <fill>
      <patternFill patternType="none"/>
    </fill>
    <fill>
      <patternFill patternType="gray125"/>
    </fill>
    <fill>
      <patternFill patternType="solid">
        <fgColor rgb="FFFFF7D6"/>
      </patternFill>
    </fill>
    <fill>
      <patternFill patternType="solid">
        <fgColor rgb="FF0F172A"/>
      </patternFill>
    </fill>
    <fill>
      <patternFill patternType="solid">
        <fgColor rgb="FFBE123C"/>
      </patternFill>
    </fill>
    <fill>
      <patternFill patternType="solid">
        <fgColor rgb="FF334155"/>
      </patternFill>
    </fill>
    <fill>
      <patternFill patternType="solid">
        <fgColor rgb="FFEFF6FF"/>
      </patternFill>
    </fill>
    <fill>
      <patternFill patternType="solid">
        <fgColor rgb="FFFFE4E6"/>
      </patternFill>
    </fill>
    <fill>
      <patternFill patternType="solid">
        <fgColor rgb="FFFEF3C7"/>
      </patternFill>
    </fill>
    <fill>
      <patternFill patternType="solid">
        <fgColor rgb="FFF1F5F9"/>
      </patternFill>
    </fill>
    <fill>
      <patternFill patternType="solid">
        <fgColor rgb="FF1D4ED8"/>
      </patternFill>
    </fill>
    <fill>
      <patternFill patternType="solid">
        <fgColor rgb="FFB45309"/>
      </patternFill>
    </fill>
    <fill>
      <patternFill patternType="solid">
        <fgColor rgb="FF047857"/>
      </patternFill>
    </fill>
    <fill>
      <patternFill patternType="solid">
        <fgColor rgb="FF3B82F6"/>
      </patternFill>
    </fill>
    <fill>
      <patternFill patternType="solid">
        <fgColor rgb="FFDBEAFE"/>
      </patternFill>
    </fill>
    <fill>
      <patternFill patternType="solid">
        <fgColor rgb="FFD1FAE5"/>
      </patternFill>
    </fill>
  </fills>
  <borders count="9">
    <border>
      <left/>
      <right/>
      <top/>
      <bottom/>
      <diagonal/>
    </border>
    <border>
      <left/>
      <right/>
      <top/>
      <bottom style="medium">
        <color rgb="FF0F172A"/>
      </bottom>
      <diagonal/>
    </border>
    <border>
      <left style="thin">
        <color rgb="FFE2E8F0"/>
      </left>
      <right style="thin">
        <color rgb="FFE2E8F0"/>
      </right>
      <top style="thin">
        <color rgb="FFE2E8F0"/>
      </top>
      <bottom style="thin">
        <color rgb="FFE2E8F0"/>
      </bottom>
      <diagonal/>
    </border>
    <border>
      <left/>
      <right/>
      <top/>
      <bottom style="medium">
        <color rgb="FF3B82F6"/>
      </bottom>
      <diagonal/>
    </border>
    <border>
      <left/>
      <right/>
      <top style="thick">
        <color rgb="FF1D4ED8"/>
      </top>
      <bottom/>
      <diagonal/>
    </border>
    <border>
      <left/>
      <right/>
      <top style="thick">
        <color rgb="FFBE123C"/>
      </top>
      <bottom/>
      <diagonal/>
    </border>
    <border>
      <left/>
      <right/>
      <top style="thick">
        <color rgb="FFB45309"/>
      </top>
      <bottom/>
      <diagonal/>
    </border>
    <border>
      <left/>
      <right/>
      <top style="thick">
        <color rgb="FF334155"/>
      </top>
      <bottom/>
      <diagonal/>
    </border>
    <border>
      <left/>
      <right/>
      <top/>
      <bottom style="thin">
        <color rgb="FFE2E8F0"/>
      </bottom>
      <diagonal/>
    </border>
  </borders>
  <cellStyleXfs count="1">
    <xf numFmtId="0" fontId="0" fillId="0" borderId="0"/>
  </cellStyleXfs>
  <cellXfs count="97">
    <xf numFmtId="0" fontId="0" fillId="0" borderId="0" xfId="0"/>
    <xf numFmtId="0" fontId="0" fillId="3" borderId="0" xfId="0" applyFill="1"/>
    <xf numFmtId="0" fontId="25" fillId="3" borderId="0" xfId="0" applyFont="1" applyFill="1"/>
    <xf numFmtId="0" fontId="26" fillId="3" borderId="0" xfId="0" applyFont="1" applyFill="1"/>
    <xf numFmtId="0" fontId="10" fillId="0" borderId="0" xfId="0" applyFont="1" applyAlignment="1">
      <alignment vertical="top"/>
    </xf>
    <xf numFmtId="0" fontId="27" fillId="3" borderId="8" xfId="0" applyFont="1" applyFill="1" applyBorder="1" applyAlignment="1">
      <alignment horizontal="center" vertical="center"/>
    </xf>
    <xf numFmtId="0" fontId="28" fillId="0" borderId="8" xfId="0" applyFont="1" applyBorder="1" applyAlignment="1">
      <alignment vertical="center"/>
    </xf>
    <xf numFmtId="0" fontId="6" fillId="0" borderId="8" xfId="0" applyFont="1" applyBorder="1" applyAlignment="1">
      <alignment vertical="center" wrapText="1"/>
    </xf>
    <xf numFmtId="0" fontId="7" fillId="0" borderId="8" xfId="0" applyFont="1" applyBorder="1" applyAlignment="1">
      <alignment vertical="center"/>
    </xf>
    <xf numFmtId="0" fontId="27" fillId="10" borderId="8" xfId="0" applyFont="1" applyFill="1" applyBorder="1" applyAlignment="1">
      <alignment horizontal="center" vertical="center"/>
    </xf>
    <xf numFmtId="0" fontId="27" fillId="11" borderId="8" xfId="0" applyFont="1" applyFill="1" applyBorder="1" applyAlignment="1">
      <alignment horizontal="center" vertical="center"/>
    </xf>
    <xf numFmtId="0" fontId="27" fillId="12" borderId="8" xfId="0" applyFont="1" applyFill="1" applyBorder="1" applyAlignment="1">
      <alignment horizontal="center" vertical="center"/>
    </xf>
    <xf numFmtId="0" fontId="27" fillId="13" borderId="8" xfId="0" applyFont="1" applyFill="1" applyBorder="1" applyAlignment="1">
      <alignment horizontal="center" vertical="center"/>
    </xf>
    <xf numFmtId="0" fontId="10" fillId="6" borderId="2" xfId="0" applyFont="1" applyFill="1" applyBorder="1"/>
    <xf numFmtId="0" fontId="6" fillId="0" borderId="0" xfId="0" applyFont="1" applyAlignment="1">
      <alignment vertical="top"/>
    </xf>
    <xf numFmtId="0" fontId="29" fillId="8" borderId="2" xfId="0" applyFont="1" applyFill="1" applyBorder="1"/>
    <xf numFmtId="0" fontId="10" fillId="14" borderId="2" xfId="0" applyFont="1" applyFill="1" applyBorder="1"/>
    <xf numFmtId="0" fontId="30" fillId="15" borderId="2" xfId="0" applyFont="1" applyFill="1" applyBorder="1"/>
    <xf numFmtId="0" fontId="31" fillId="7" borderId="2" xfId="0" applyFont="1" applyFill="1" applyBorder="1"/>
    <xf numFmtId="0" fontId="5" fillId="2" borderId="2" xfId="0" applyFont="1" applyFill="1" applyBorder="1" applyAlignment="1">
      <alignment vertical="top"/>
    </xf>
    <xf numFmtId="0" fontId="32" fillId="0" borderId="2" xfId="0" applyFont="1" applyBorder="1"/>
    <xf numFmtId="0" fontId="28" fillId="0" borderId="0" xfId="0" applyFont="1"/>
    <xf numFmtId="0" fontId="33" fillId="0" borderId="0" xfId="0" applyFont="1"/>
    <xf numFmtId="0" fontId="7" fillId="0" borderId="0" xfId="0" applyFont="1" applyAlignment="1">
      <alignment vertical="top"/>
    </xf>
    <xf numFmtId="0" fontId="13" fillId="3" borderId="0" xfId="0" applyFont="1" applyFill="1"/>
    <xf numFmtId="0" fontId="14" fillId="3" borderId="0" xfId="0" applyFont="1" applyFill="1"/>
    <xf numFmtId="0" fontId="0" fillId="0" borderId="4" xfId="0" applyBorder="1"/>
    <xf numFmtId="0" fontId="0" fillId="0" borderId="5" xfId="0" applyBorder="1"/>
    <xf numFmtId="0" fontId="0" fillId="0" borderId="6" xfId="0" applyBorder="1"/>
    <xf numFmtId="0" fontId="0" fillId="0" borderId="7" xfId="0" applyBorder="1"/>
    <xf numFmtId="0" fontId="8" fillId="0" borderId="0" xfId="0" applyFont="1" applyAlignment="1">
      <alignment vertical="top"/>
    </xf>
    <xf numFmtId="0" fontId="9" fillId="3" borderId="0" xfId="0" applyFont="1" applyFill="1" applyAlignment="1">
      <alignment horizontal="center" vertical="center"/>
    </xf>
    <xf numFmtId="0" fontId="22" fillId="0" borderId="8" xfId="0" applyFont="1" applyBorder="1" applyAlignment="1">
      <alignment horizontal="center" vertical="center"/>
    </xf>
    <xf numFmtId="170" fontId="22" fillId="0" borderId="8" xfId="0" applyNumberFormat="1" applyFont="1" applyBorder="1" applyAlignment="1">
      <alignment horizontal="center" vertical="center"/>
    </xf>
    <xf numFmtId="171" fontId="22" fillId="0" borderId="8" xfId="0" applyNumberFormat="1" applyFont="1" applyBorder="1" applyAlignment="1">
      <alignment horizontal="center" vertical="center"/>
    </xf>
    <xf numFmtId="167" fontId="22" fillId="0" borderId="8" xfId="0" applyNumberFormat="1" applyFont="1" applyBorder="1" applyAlignment="1">
      <alignment horizontal="center" vertical="center"/>
    </xf>
    <xf numFmtId="0" fontId="11" fillId="0" borderId="0" xfId="0" applyFont="1" applyAlignment="1">
      <alignment vertical="top"/>
    </xf>
    <xf numFmtId="0" fontId="24" fillId="3" borderId="0" xfId="0" applyFont="1" applyFill="1" applyAlignment="1">
      <alignment horizontal="center" vertical="center" wrapText="1"/>
    </xf>
    <xf numFmtId="172" fontId="22" fillId="0" borderId="8" xfId="0" applyNumberFormat="1" applyFont="1" applyBorder="1" applyAlignment="1">
      <alignment horizontal="center" vertical="center"/>
    </xf>
    <xf numFmtId="1" fontId="22" fillId="0" borderId="8" xfId="0" applyNumberFormat="1" applyFont="1" applyBorder="1" applyAlignment="1">
      <alignment horizontal="center" vertical="center"/>
    </xf>
    <xf numFmtId="1" fontId="23" fillId="7" borderId="8" xfId="0" applyNumberFormat="1" applyFont="1" applyFill="1" applyBorder="1" applyAlignment="1">
      <alignment horizontal="center" vertical="center"/>
    </xf>
    <xf numFmtId="0" fontId="23" fillId="7" borderId="8" xfId="0" applyFont="1" applyFill="1" applyBorder="1" applyAlignment="1">
      <alignment horizontal="center" vertical="center"/>
    </xf>
    <xf numFmtId="0" fontId="12" fillId="0" borderId="0" xfId="0" applyFont="1"/>
    <xf numFmtId="0" fontId="1" fillId="0" borderId="0" xfId="0" applyFont="1"/>
    <xf numFmtId="0" fontId="2" fillId="0" borderId="0" xfId="0" applyFont="1"/>
    <xf numFmtId="0" fontId="3" fillId="0" borderId="0" xfId="0" applyFont="1"/>
    <xf numFmtId="0" fontId="0" fillId="0" borderId="3" xfId="0" applyBorder="1"/>
    <xf numFmtId="0" fontId="9" fillId="3" borderId="2" xfId="0" applyFont="1" applyFill="1" applyBorder="1" applyAlignment="1">
      <alignment horizontal="center" vertical="center" wrapText="1"/>
    </xf>
    <xf numFmtId="0" fontId="9" fillId="3" borderId="2" xfId="0" applyFont="1" applyFill="1" applyBorder="1" applyAlignment="1">
      <alignment horizontal="left" vertical="center" wrapText="1"/>
    </xf>
    <xf numFmtId="0" fontId="9" fillId="5" borderId="2" xfId="0" applyFont="1" applyFill="1" applyBorder="1" applyAlignment="1">
      <alignment horizontal="left" vertical="center" wrapText="1"/>
    </xf>
    <xf numFmtId="0" fontId="9" fillId="5" borderId="2" xfId="0" applyFont="1" applyFill="1" applyBorder="1" applyAlignment="1">
      <alignment horizontal="center" vertical="center" wrapText="1"/>
    </xf>
    <xf numFmtId="0" fontId="8" fillId="0" borderId="2" xfId="0" applyFont="1" applyBorder="1" applyAlignment="1">
      <alignment vertical="top"/>
    </xf>
    <xf numFmtId="166" fontId="6" fillId="0" borderId="2" xfId="0" applyNumberFormat="1" applyFont="1" applyBorder="1" applyAlignment="1">
      <alignment vertical="top"/>
    </xf>
    <xf numFmtId="0" fontId="5" fillId="2" borderId="2" xfId="0" applyFont="1" applyFill="1" applyBorder="1" applyAlignment="1">
      <alignment vertical="top" wrapText="1"/>
    </xf>
    <xf numFmtId="166" fontId="5" fillId="2" borderId="2" xfId="0" applyNumberFormat="1" applyFont="1" applyFill="1" applyBorder="1" applyAlignment="1">
      <alignment vertical="top"/>
    </xf>
    <xf numFmtId="1" fontId="6" fillId="0" borderId="2" xfId="0" applyNumberFormat="1" applyFont="1" applyBorder="1" applyAlignment="1">
      <alignment horizontal="center" vertical="top"/>
    </xf>
    <xf numFmtId="167" fontId="6" fillId="0" borderId="2" xfId="0" applyNumberFormat="1" applyFont="1" applyBorder="1" applyAlignment="1">
      <alignment horizontal="center" vertical="top"/>
    </xf>
    <xf numFmtId="0" fontId="6" fillId="0" borderId="2" xfId="0" applyFont="1" applyBorder="1" applyAlignment="1">
      <alignment horizontal="center" vertical="top"/>
    </xf>
    <xf numFmtId="0" fontId="6" fillId="0" borderId="2" xfId="0" applyFont="1" applyBorder="1" applyAlignment="1">
      <alignment vertical="top" wrapText="1"/>
    </xf>
    <xf numFmtId="168" fontId="12" fillId="0" borderId="2" xfId="0" applyNumberFormat="1" applyFont="1" applyBorder="1" applyAlignment="1">
      <alignment vertical="top"/>
    </xf>
    <xf numFmtId="0" fontId="10" fillId="0" borderId="2" xfId="0" applyFont="1" applyBorder="1"/>
    <xf numFmtId="0" fontId="8" fillId="0" borderId="2" xfId="0" applyFont="1" applyBorder="1"/>
    <xf numFmtId="0" fontId="5" fillId="2" borderId="2" xfId="0" applyFont="1" applyFill="1" applyBorder="1" applyAlignment="1">
      <alignment horizontal="center" vertical="top"/>
    </xf>
    <xf numFmtId="169" fontId="5" fillId="2" borderId="2" xfId="0" applyNumberFormat="1" applyFont="1" applyFill="1" applyBorder="1" applyAlignment="1">
      <alignment vertical="top"/>
    </xf>
    <xf numFmtId="0" fontId="0" fillId="0" borderId="1" xfId="0" applyBorder="1"/>
    <xf numFmtId="0" fontId="4" fillId="0" borderId="0" xfId="0" applyFont="1" applyAlignment="1">
      <alignment vertical="top"/>
    </xf>
    <xf numFmtId="165" fontId="5" fillId="2" borderId="2" xfId="0" applyNumberFormat="1" applyFont="1" applyFill="1" applyBorder="1" applyAlignment="1">
      <alignment vertical="top"/>
    </xf>
    <xf numFmtId="1" fontId="5" fillId="2" borderId="2" xfId="0" applyNumberFormat="1" applyFont="1" applyFill="1" applyBorder="1" applyAlignment="1">
      <alignment vertical="top"/>
    </xf>
    <xf numFmtId="165" fontId="6" fillId="0" borderId="2" xfId="0" applyNumberFormat="1" applyFont="1" applyBorder="1" applyAlignment="1">
      <alignment vertical="top"/>
    </xf>
    <xf numFmtId="0" fontId="6" fillId="0" borderId="2" xfId="0" applyFont="1" applyBorder="1" applyAlignment="1">
      <alignment vertical="top"/>
    </xf>
    <xf numFmtId="0" fontId="9" fillId="3" borderId="0" xfId="0" applyFont="1" applyFill="1"/>
    <xf numFmtId="0" fontId="9" fillId="4" borderId="0" xfId="0" applyFont="1" applyFill="1"/>
    <xf numFmtId="0" fontId="7" fillId="0" borderId="0" xfId="0" applyFont="1" applyAlignment="1">
      <alignment vertical="top" wrapText="1"/>
    </xf>
    <xf numFmtId="0" fontId="0" fillId="0" borderId="0" xfId="0"/>
    <xf numFmtId="0" fontId="22" fillId="0" borderId="8" xfId="0" applyFont="1" applyBorder="1" applyAlignment="1">
      <alignment horizontal="left" vertical="center" wrapText="1"/>
    </xf>
    <xf numFmtId="0" fontId="0" fillId="0" borderId="8" xfId="0" applyBorder="1"/>
    <xf numFmtId="0" fontId="23" fillId="7" borderId="8" xfId="0" applyFont="1" applyFill="1" applyBorder="1" applyAlignment="1">
      <alignment horizontal="left" vertical="center" wrapText="1"/>
    </xf>
    <xf numFmtId="0" fontId="23" fillId="7" borderId="8" xfId="0" applyFont="1" applyFill="1" applyBorder="1"/>
    <xf numFmtId="0" fontId="19" fillId="8" borderId="0" xfId="0" applyFont="1" applyFill="1" applyAlignment="1">
      <alignment horizontal="center" wrapText="1"/>
    </xf>
    <xf numFmtId="1" fontId="16" fillId="6" borderId="0" xfId="0" applyNumberFormat="1" applyFont="1" applyFill="1" applyAlignment="1">
      <alignment horizontal="center" vertical="center"/>
    </xf>
    <xf numFmtId="0" fontId="9" fillId="3" borderId="0" xfId="0" applyFont="1" applyFill="1" applyAlignment="1">
      <alignment horizontal="left" vertical="center"/>
    </xf>
    <xf numFmtId="1" fontId="16" fillId="8" borderId="0" xfId="0" applyNumberFormat="1" applyFont="1" applyFill="1" applyAlignment="1">
      <alignment horizontal="center" vertical="center"/>
    </xf>
    <xf numFmtId="1" fontId="16" fillId="9" borderId="0" xfId="0" applyNumberFormat="1" applyFont="1" applyFill="1" applyAlignment="1">
      <alignment horizontal="center" vertical="center"/>
    </xf>
    <xf numFmtId="0" fontId="20" fillId="9" borderId="0" xfId="0" applyFont="1" applyFill="1" applyAlignment="1">
      <alignment horizontal="center" wrapText="1"/>
    </xf>
    <xf numFmtId="0" fontId="17" fillId="8" borderId="0" xfId="0" applyFont="1" applyFill="1" applyAlignment="1">
      <alignment horizontal="center" vertical="top" wrapText="1"/>
    </xf>
    <xf numFmtId="0" fontId="17" fillId="6" borderId="0" xfId="0" applyFont="1" applyFill="1" applyAlignment="1">
      <alignment horizontal="center" vertical="top" wrapText="1"/>
    </xf>
    <xf numFmtId="0" fontId="17" fillId="9" borderId="0" xfId="0" applyFont="1" applyFill="1" applyAlignment="1">
      <alignment horizontal="center" vertical="top" wrapText="1"/>
    </xf>
    <xf numFmtId="1" fontId="16" fillId="7" borderId="0" xfId="0" applyNumberFormat="1" applyFont="1" applyFill="1" applyAlignment="1">
      <alignment horizontal="center" vertical="center"/>
    </xf>
    <xf numFmtId="0" fontId="17" fillId="7" borderId="0" xfId="0" applyFont="1" applyFill="1" applyAlignment="1">
      <alignment horizontal="center" vertical="top" wrapText="1"/>
    </xf>
    <xf numFmtId="0" fontId="15" fillId="6" borderId="0" xfId="0" applyFont="1" applyFill="1" applyAlignment="1">
      <alignment horizontal="center" wrapText="1"/>
    </xf>
    <xf numFmtId="0" fontId="18" fillId="7" borderId="0" xfId="0" applyFont="1" applyFill="1" applyAlignment="1">
      <alignment horizontal="center" wrapText="1"/>
    </xf>
    <xf numFmtId="0" fontId="21" fillId="6" borderId="0" xfId="0" applyFont="1" applyFill="1" applyAlignment="1">
      <alignment vertical="center" wrapText="1"/>
    </xf>
    <xf numFmtId="0" fontId="0" fillId="6" borderId="0" xfId="0" applyFill="1"/>
    <xf numFmtId="0" fontId="34" fillId="3" borderId="0" xfId="0" applyFont="1" applyFill="1" applyAlignment="1">
      <alignment horizontal="right"/>
    </xf>
    <xf numFmtId="0" fontId="0" fillId="0" borderId="0" xfId="0" applyProtection="1">
      <protection locked="0"/>
    </xf>
    <xf numFmtId="0" fontId="34" fillId="0" borderId="0" xfId="0" applyFont="1" applyAlignment="1">
      <alignment horizontal="right"/>
    </xf>
    <xf numFmtId="0" fontId="35" fillId="3" borderId="0" xfId="0" applyFont="1" applyFill="1"/>
  </cellXfs>
  <cellStyles count="1">
    <cellStyle name="Normal" xfId="0" builtinId="0"/>
  </cellStyles>
  <dxfs count="19">
    <dxf>
      <fill>
        <patternFill patternType="solid">
          <fgColor rgb="FFFFE4E6"/>
        </patternFill>
      </fill>
    </dxf>
    <dxf>
      <font>
        <b/>
        <color rgb="FFB45309"/>
        <name val="Arial"/>
      </font>
      <fill>
        <patternFill patternType="solid">
          <fgColor rgb="FFFEF3C7"/>
        </patternFill>
      </fill>
    </dxf>
    <dxf>
      <font>
        <b/>
        <color rgb="FF047857"/>
        <name val="Arial"/>
      </font>
      <fill>
        <patternFill patternType="solid">
          <fgColor rgb="FFD1FAE5"/>
        </patternFill>
      </fill>
    </dxf>
    <dxf>
      <font>
        <b/>
        <color rgb="FFBE123C"/>
        <name val="Arial"/>
      </font>
      <fill>
        <patternFill patternType="solid">
          <fgColor rgb="FFFFE4E6"/>
        </patternFill>
      </fill>
    </dxf>
    <dxf>
      <font>
        <b/>
        <color rgb="FFB45309"/>
        <name val="Arial"/>
      </font>
    </dxf>
    <dxf>
      <font>
        <b/>
        <color rgb="FFB45309"/>
        <name val="Arial"/>
      </font>
      <fill>
        <patternFill patternType="solid">
          <fgColor rgb="FFFEF3C7"/>
        </patternFill>
      </fill>
    </dxf>
    <dxf>
      <font>
        <b/>
        <color rgb="FF475569"/>
        <name val="Arial"/>
      </font>
      <fill>
        <patternFill patternType="solid">
          <fgColor rgb="FFF1F5F9"/>
        </patternFill>
      </fill>
    </dxf>
    <dxf>
      <font>
        <b/>
        <color rgb="FFBE123C"/>
        <name val="Arial"/>
      </font>
      <fill>
        <patternFill patternType="solid">
          <fgColor rgb="FFFFE4E6"/>
        </patternFill>
      </fill>
    </dxf>
    <dxf>
      <font>
        <b/>
        <color rgb="FF047857"/>
        <name val="Arial"/>
      </font>
      <fill>
        <patternFill patternType="solid">
          <fgColor rgb="FFD1FAE5"/>
        </patternFill>
      </fill>
    </dxf>
    <dxf>
      <font>
        <b/>
        <color rgb="FF1D4ED8"/>
        <name val="Arial"/>
      </font>
      <fill>
        <patternFill patternType="solid">
          <fgColor rgb="FFDBEAFE"/>
        </patternFill>
      </fill>
    </dxf>
    <dxf>
      <font>
        <b/>
        <color rgb="FFB45309"/>
        <name val="Arial"/>
      </font>
      <fill>
        <patternFill patternType="solid">
          <fgColor rgb="FFFEF3C7"/>
        </patternFill>
      </fill>
    </dxf>
    <dxf>
      <font>
        <b/>
        <color rgb="FFBE123C"/>
        <name val="Arial"/>
      </font>
      <fill>
        <patternFill patternType="solid">
          <fgColor rgb="FFFFE4E6"/>
        </patternFill>
      </fill>
    </dxf>
    <dxf>
      <font>
        <b/>
        <color rgb="FFBE123C"/>
        <name val="Arial"/>
      </font>
      <fill>
        <patternFill patternType="solid">
          <fgColor rgb="FFFFE4E6"/>
        </patternFill>
      </fill>
    </dxf>
    <dxf>
      <font>
        <b/>
        <color rgb="FFBE123C"/>
        <name val="Arial"/>
      </font>
      <fill>
        <patternFill patternType="solid">
          <fgColor rgb="FFFFE4E6"/>
        </patternFill>
      </fill>
    </dxf>
    <dxf>
      <font>
        <color rgb="FFB45309"/>
        <name val="Arial"/>
      </font>
    </dxf>
    <dxf>
      <font>
        <b/>
        <color rgb="FFBE123C"/>
        <name val="Arial"/>
      </font>
      <fill>
        <patternFill patternType="solid">
          <fgColor rgb="FFFFE4E6"/>
        </patternFill>
      </fill>
    </dxf>
    <dxf>
      <font>
        <b/>
        <sz val="24"/>
        <color rgb="FFBE123C"/>
        <name val="Arial"/>
      </font>
    </dxf>
    <dxf>
      <font>
        <b/>
        <color rgb="FFBE123C"/>
        <name val="Arial"/>
      </font>
    </dxf>
    <dxf>
      <font>
        <b/>
        <sz val="24"/>
        <color rgb="FFBE123C"/>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tr-TR"/>
              <a:t>Open actions by age</a:t>
            </a:r>
          </a:p>
        </c:rich>
      </c:tx>
      <c:overlay val="1"/>
    </c:title>
    <c:autoTitleDeleted val="0"/>
    <c:plotArea>
      <c:layout/>
      <c:barChart>
        <c:barDir val="col"/>
        <c:grouping val="clustered"/>
        <c:varyColors val="1"/>
        <c:ser>
          <c:idx val="0"/>
          <c:order val="0"/>
          <c:tx>
            <c:strRef>
              <c:f>Dashboard!$S$45</c:f>
              <c:strCache>
                <c:ptCount val="1"/>
                <c:pt idx="0">
                  <c:v>Open actions</c:v>
                </c:pt>
              </c:strCache>
            </c:strRef>
          </c:tx>
          <c:spPr>
            <a:solidFill>
              <a:srgbClr val="1D4ED8"/>
            </a:solidFill>
            <a:ln>
              <a:solidFill>
                <a:srgbClr val="1D4ED8"/>
              </a:solidFill>
              <a:prstDash val="solid"/>
            </a:ln>
          </c:spPr>
          <c:invertIfNegative val="1"/>
          <c:dLbls>
            <c:spPr>
              <a:noFill/>
              <a:ln>
                <a:noFill/>
              </a:ln>
              <a:effectLst/>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Dashboard!$R$46:$R$49</c:f>
              <c:strCache>
                <c:ptCount val="4"/>
                <c:pt idx="0">
                  <c:v>0-7 days</c:v>
                </c:pt>
                <c:pt idx="1">
                  <c:v>8-14 days</c:v>
                </c:pt>
                <c:pt idx="2">
                  <c:v>15-28 days</c:v>
                </c:pt>
                <c:pt idx="3">
                  <c:v>Over 28 days</c:v>
                </c:pt>
              </c:strCache>
            </c:strRef>
          </c:cat>
          <c:val>
            <c:numRef>
              <c:f>Dashboard!$S$46:$S$49</c:f>
              <c:numCache>
                <c:formatCode>General</c:formatCode>
                <c:ptCount val="4"/>
                <c:pt idx="0">
                  <c:v>9</c:v>
                </c:pt>
                <c:pt idx="1">
                  <c:v>2</c:v>
                </c:pt>
                <c:pt idx="2">
                  <c:v>1</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1D4ED8"/>
                    </a:solidFill>
                    <a:prstDash val="solid"/>
                  </a:ln>
                </c14:spPr>
              </c14:invertSolidFillFmt>
            </c:ext>
            <c:ext xmlns:c16="http://schemas.microsoft.com/office/drawing/2014/chart" uri="{C3380CC4-5D6E-409C-BE32-E72D297353CC}">
              <c16:uniqueId val="{00000000-C680-4666-854D-BFF3EB01268E}"/>
            </c:ext>
          </c:extLst>
        </c:ser>
        <c:dLbls>
          <c:showLegendKey val="0"/>
          <c:showVal val="1"/>
          <c:showCatName val="0"/>
          <c:showSerName val="0"/>
          <c:showPercent val="1"/>
          <c:showBubbleSize val="1"/>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tr-TR"/>
              <a:t>Actions raised per meeting: where they stand</a:t>
            </a:r>
          </a:p>
        </c:rich>
      </c:tx>
      <c:overlay val="1"/>
    </c:title>
    <c:autoTitleDeleted val="0"/>
    <c:plotArea>
      <c:layout/>
      <c:barChart>
        <c:barDir val="col"/>
        <c:grouping val="stacked"/>
        <c:varyColors val="1"/>
        <c:ser>
          <c:idx val="0"/>
          <c:order val="0"/>
          <c:tx>
            <c:strRef>
              <c:f>Dashboard!$L$29</c:f>
              <c:strCache>
                <c:ptCount val="1"/>
                <c:pt idx="0">
                  <c:v>Open</c:v>
                </c:pt>
              </c:strCache>
            </c:strRef>
          </c:tx>
          <c:spPr>
            <a:solidFill>
              <a:srgbClr val="1D4ED8"/>
            </a:solidFill>
            <a:ln>
              <a:solidFill>
                <a:srgbClr val="1D4ED8"/>
              </a:solidFill>
              <a:prstDash val="solid"/>
            </a:ln>
          </c:spPr>
          <c:invertIfNegative val="1"/>
          <c:cat>
            <c:strRef>
              <c:f>Dashboard!$I$30:$I$34</c:f>
              <c:strCache>
                <c:ptCount val="5"/>
                <c:pt idx="0">
                  <c:v>M01</c:v>
                </c:pt>
                <c:pt idx="1">
                  <c:v>M02</c:v>
                </c:pt>
                <c:pt idx="2">
                  <c:v>M03</c:v>
                </c:pt>
                <c:pt idx="3">
                  <c:v>M04</c:v>
                </c:pt>
                <c:pt idx="4">
                  <c:v>M05</c:v>
                </c:pt>
              </c:strCache>
            </c:strRef>
          </c:cat>
          <c:val>
            <c:numRef>
              <c:f>Dashboard!$L$30:$L$34</c:f>
              <c:numCache>
                <c:formatCode>0</c:formatCode>
                <c:ptCount val="5"/>
                <c:pt idx="0">
                  <c:v>1</c:v>
                </c:pt>
                <c:pt idx="1">
                  <c:v>2</c:v>
                </c:pt>
                <c:pt idx="2">
                  <c:v>5</c:v>
                </c:pt>
                <c:pt idx="3">
                  <c:v>1</c:v>
                </c:pt>
                <c:pt idx="4">
                  <c:v>3</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1D4ED8"/>
                    </a:solidFill>
                    <a:prstDash val="solid"/>
                  </a:ln>
                </c14:spPr>
              </c14:invertSolidFillFmt>
            </c:ext>
            <c:ext xmlns:c16="http://schemas.microsoft.com/office/drawing/2014/chart" uri="{C3380CC4-5D6E-409C-BE32-E72D297353CC}">
              <c16:uniqueId val="{00000000-C22A-44AC-9BD5-7CE83FC45A36}"/>
            </c:ext>
          </c:extLst>
        </c:ser>
        <c:ser>
          <c:idx val="1"/>
          <c:order val="1"/>
          <c:tx>
            <c:strRef>
              <c:f>Dashboard!$M$29</c:f>
              <c:strCache>
                <c:ptCount val="1"/>
                <c:pt idx="0">
                  <c:v>Closed</c:v>
                </c:pt>
              </c:strCache>
            </c:strRef>
          </c:tx>
          <c:spPr>
            <a:solidFill>
              <a:srgbClr val="047857"/>
            </a:solidFill>
            <a:ln>
              <a:solidFill>
                <a:srgbClr val="047857"/>
              </a:solidFill>
              <a:prstDash val="solid"/>
            </a:ln>
          </c:spPr>
          <c:invertIfNegative val="1"/>
          <c:cat>
            <c:strRef>
              <c:f>Dashboard!$I$30:$I$34</c:f>
              <c:strCache>
                <c:ptCount val="5"/>
                <c:pt idx="0">
                  <c:v>M01</c:v>
                </c:pt>
                <c:pt idx="1">
                  <c:v>M02</c:v>
                </c:pt>
                <c:pt idx="2">
                  <c:v>M03</c:v>
                </c:pt>
                <c:pt idx="3">
                  <c:v>M04</c:v>
                </c:pt>
                <c:pt idx="4">
                  <c:v>M05</c:v>
                </c:pt>
              </c:strCache>
            </c:strRef>
          </c:cat>
          <c:val>
            <c:numRef>
              <c:f>Dashboard!$M$30:$M$34</c:f>
              <c:numCache>
                <c:formatCode>0</c:formatCode>
                <c:ptCount val="5"/>
                <c:pt idx="0">
                  <c:v>1</c:v>
                </c:pt>
                <c:pt idx="1">
                  <c:v>1</c:v>
                </c:pt>
                <c:pt idx="2">
                  <c:v>0</c:v>
                </c:pt>
                <c:pt idx="3">
                  <c:v>1</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047857"/>
                    </a:solidFill>
                    <a:prstDash val="solid"/>
                  </a:ln>
                </c14:spPr>
              </c14:invertSolidFillFmt>
            </c:ext>
            <c:ext xmlns:c16="http://schemas.microsoft.com/office/drawing/2014/chart" uri="{C3380CC4-5D6E-409C-BE32-E72D297353CC}">
              <c16:uniqueId val="{00000001-C22A-44AC-9BD5-7CE83FC45A36}"/>
            </c:ext>
          </c:extLst>
        </c:ser>
        <c:ser>
          <c:idx val="2"/>
          <c:order val="2"/>
          <c:tx>
            <c:strRef>
              <c:f>Dashboard!$N$29</c:f>
              <c:strCache>
                <c:ptCount val="1"/>
                <c:pt idx="0">
                  <c:v>Can’t tell</c:v>
                </c:pt>
              </c:strCache>
            </c:strRef>
          </c:tx>
          <c:spPr>
            <a:solidFill>
              <a:srgbClr val="BE123C"/>
            </a:solidFill>
            <a:ln>
              <a:solidFill>
                <a:srgbClr val="BE123C"/>
              </a:solidFill>
              <a:prstDash val="solid"/>
            </a:ln>
          </c:spPr>
          <c:invertIfNegative val="1"/>
          <c:cat>
            <c:strRef>
              <c:f>Dashboard!$I$30:$I$34</c:f>
              <c:strCache>
                <c:ptCount val="5"/>
                <c:pt idx="0">
                  <c:v>M01</c:v>
                </c:pt>
                <c:pt idx="1">
                  <c:v>M02</c:v>
                </c:pt>
                <c:pt idx="2">
                  <c:v>M03</c:v>
                </c:pt>
                <c:pt idx="3">
                  <c:v>M04</c:v>
                </c:pt>
                <c:pt idx="4">
                  <c:v>M05</c:v>
                </c:pt>
              </c:strCache>
            </c:strRef>
          </c:cat>
          <c:val>
            <c:numRef>
              <c:f>Dashboard!$N$30:$N$34</c:f>
              <c:numCache>
                <c:formatCode>0;;</c:formatCode>
                <c:ptCount val="5"/>
                <c:pt idx="0">
                  <c:v>1</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BE123C"/>
                    </a:solidFill>
                    <a:prstDash val="solid"/>
                  </a:ln>
                </c14:spPr>
              </c14:invertSolidFillFmt>
            </c:ext>
            <c:ext xmlns:c16="http://schemas.microsoft.com/office/drawing/2014/chart" uri="{C3380CC4-5D6E-409C-BE32-E72D297353CC}">
              <c16:uniqueId val="{00000002-C22A-44AC-9BD5-7CE83FC45A36}"/>
            </c:ext>
          </c:extLst>
        </c:ser>
        <c:dLbls>
          <c:showLegendKey val="0"/>
          <c:showVal val="0"/>
          <c:showCatName val="0"/>
          <c:showSerName val="0"/>
          <c:showPercent val="0"/>
          <c:showBubbleSize val="0"/>
        </c:dLbls>
        <c:gapWidth val="5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0" sourceLinked="1"/>
        <c:majorTickMark val="none"/>
        <c:minorTickMark val="none"/>
        <c:tickLblPos val="nextTo"/>
        <c:crossAx val="10"/>
        <c:crosses val="autoZero"/>
        <c:crossBetween val="between"/>
      </c:valAx>
    </c:plotArea>
    <c:legend>
      <c:legendPos val="b"/>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0</xdr:colOff>
      <xdr:row>45</xdr:row>
      <xdr:rowOff>0</xdr:rowOff>
    </xdr:from>
    <xdr:ext cx="4500000" cy="288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45</xdr:row>
      <xdr:rowOff>0</xdr:rowOff>
    </xdr:from>
    <xdr:ext cx="5400000" cy="288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theprojectcontrolhub.com/reporting-week-9.html" TargetMode="External"/><Relationship Id="rId1" Type="http://schemas.openxmlformats.org/officeDocument/2006/relationships/hyperlink" Target="https://theprojectcontrolhub.com/reporting-week-23.htm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B82F6"/>
    <pageSetUpPr fitToPage="1"/>
  </sheetPr>
  <dimension ref="A1:F47"/>
  <sheetViews>
    <sheetView showGridLines="0" tabSelected="1" view="pageBreakPreview" zoomScale="60" zoomScaleNormal="100" workbookViewId="0">
      <selection activeCell="J25" sqref="J25"/>
    </sheetView>
  </sheetViews>
  <sheetFormatPr defaultRowHeight="14.4" x14ac:dyDescent="0.3"/>
  <cols>
    <col min="1" max="1" width="3" customWidth="1"/>
    <col min="2" max="2" width="7" customWidth="1"/>
    <col min="3" max="3" width="28" customWidth="1"/>
    <col min="4" max="4" width="74" customWidth="1"/>
    <col min="5" max="5" width="16" customWidth="1"/>
    <col min="6" max="6" width="3" customWidth="1"/>
  </cols>
  <sheetData>
    <row r="1" spans="1:6" ht="12" customHeight="1" x14ac:dyDescent="0.3">
      <c r="A1" s="1"/>
      <c r="B1" s="1"/>
      <c r="C1" s="1"/>
      <c r="D1" s="1"/>
      <c r="E1" s="1"/>
      <c r="F1" s="1"/>
    </row>
    <row r="2" spans="1:6" ht="36" customHeight="1" x14ac:dyDescent="0.5">
      <c r="A2" s="1"/>
      <c r="B2" s="2" t="s">
        <v>0</v>
      </c>
      <c r="C2" s="1"/>
      <c r="D2" s="1"/>
      <c r="E2" s="1"/>
      <c r="F2" s="1"/>
    </row>
    <row r="3" spans="1:6" x14ac:dyDescent="0.3">
      <c r="A3" s="1"/>
      <c r="B3" s="3" t="s">
        <v>1</v>
      </c>
      <c r="C3" s="1"/>
      <c r="D3" s="1"/>
      <c r="E3" s="1"/>
      <c r="F3" s="1"/>
    </row>
    <row r="4" spans="1:6" x14ac:dyDescent="0.3">
      <c r="A4" s="1"/>
      <c r="B4" s="96" t="s">
        <v>2</v>
      </c>
      <c r="C4" s="1"/>
      <c r="D4" s="1"/>
      <c r="E4" s="1"/>
      <c r="F4" s="1"/>
    </row>
    <row r="5" spans="1:6" ht="10.050000000000001" customHeight="1" x14ac:dyDescent="0.3">
      <c r="A5" s="1"/>
      <c r="B5" s="1"/>
      <c r="C5" s="1"/>
      <c r="D5" s="1"/>
      <c r="E5" s="1"/>
      <c r="F5" s="1"/>
    </row>
    <row r="7" spans="1:6" x14ac:dyDescent="0.3">
      <c r="B7" s="4" t="s">
        <v>3</v>
      </c>
    </row>
    <row r="8" spans="1:6" ht="34.049999999999997" customHeight="1" x14ac:dyDescent="0.3">
      <c r="B8" s="5">
        <v>1</v>
      </c>
      <c r="C8" s="6" t="s">
        <v>4</v>
      </c>
      <c r="D8" s="7" t="s">
        <v>5</v>
      </c>
      <c r="E8" s="8" t="s">
        <v>6</v>
      </c>
    </row>
    <row r="9" spans="1:6" ht="34.049999999999997" customHeight="1" x14ac:dyDescent="0.3">
      <c r="B9" s="9">
        <v>2</v>
      </c>
      <c r="C9" s="6" t="s">
        <v>7</v>
      </c>
      <c r="D9" s="7" t="s">
        <v>8</v>
      </c>
      <c r="E9" s="8" t="s">
        <v>9</v>
      </c>
    </row>
    <row r="10" spans="1:6" ht="34.049999999999997" customHeight="1" x14ac:dyDescent="0.3">
      <c r="B10" s="10">
        <v>3</v>
      </c>
      <c r="C10" s="6" t="s">
        <v>7</v>
      </c>
      <c r="D10" s="7" t="s">
        <v>10</v>
      </c>
      <c r="E10" s="8" t="s">
        <v>11</v>
      </c>
    </row>
    <row r="11" spans="1:6" ht="34.049999999999997" customHeight="1" x14ac:dyDescent="0.3">
      <c r="B11" s="11">
        <v>4</v>
      </c>
      <c r="C11" s="6" t="s">
        <v>7</v>
      </c>
      <c r="D11" s="7" t="s">
        <v>12</v>
      </c>
      <c r="E11" s="8" t="s">
        <v>13</v>
      </c>
    </row>
    <row r="12" spans="1:6" ht="34.049999999999997" customHeight="1" x14ac:dyDescent="0.3">
      <c r="B12" s="12">
        <v>5</v>
      </c>
      <c r="C12" s="6" t="s">
        <v>14</v>
      </c>
      <c r="D12" s="7" t="s">
        <v>15</v>
      </c>
      <c r="E12" s="8" t="s">
        <v>16</v>
      </c>
    </row>
    <row r="14" spans="1:6" x14ac:dyDescent="0.3">
      <c r="B14" s="4" t="s">
        <v>17</v>
      </c>
    </row>
    <row r="15" spans="1:6" x14ac:dyDescent="0.3">
      <c r="C15" s="13" t="s">
        <v>18</v>
      </c>
      <c r="D15" s="14" t="s">
        <v>19</v>
      </c>
    </row>
    <row r="16" spans="1:6" x14ac:dyDescent="0.3">
      <c r="C16" s="13" t="s">
        <v>20</v>
      </c>
      <c r="D16" s="14" t="s">
        <v>21</v>
      </c>
    </row>
    <row r="17" spans="2:4" x14ac:dyDescent="0.3">
      <c r="C17" s="13" t="s">
        <v>22</v>
      </c>
      <c r="D17" s="14" t="s">
        <v>23</v>
      </c>
    </row>
    <row r="18" spans="2:4" x14ac:dyDescent="0.3">
      <c r="C18" s="15" t="s">
        <v>24</v>
      </c>
      <c r="D18" s="14" t="s">
        <v>25</v>
      </c>
    </row>
    <row r="20" spans="2:4" x14ac:dyDescent="0.3">
      <c r="B20" s="4" t="s">
        <v>26</v>
      </c>
    </row>
    <row r="21" spans="2:4" x14ac:dyDescent="0.3">
      <c r="C21" s="16" t="s">
        <v>27</v>
      </c>
      <c r="D21" s="14" t="s">
        <v>28</v>
      </c>
    </row>
    <row r="22" spans="2:4" x14ac:dyDescent="0.3">
      <c r="C22" s="17" t="s">
        <v>13</v>
      </c>
      <c r="D22" s="14" t="s">
        <v>29</v>
      </c>
    </row>
    <row r="23" spans="2:4" x14ac:dyDescent="0.3">
      <c r="C23" s="18" t="s">
        <v>30</v>
      </c>
      <c r="D23" s="14" t="s">
        <v>31</v>
      </c>
    </row>
    <row r="25" spans="2:4" x14ac:dyDescent="0.3">
      <c r="B25" s="4" t="s">
        <v>32</v>
      </c>
    </row>
    <row r="26" spans="2:4" x14ac:dyDescent="0.3">
      <c r="C26" s="19" t="s">
        <v>33</v>
      </c>
      <c r="D26" s="14" t="s">
        <v>34</v>
      </c>
    </row>
    <row r="27" spans="2:4" x14ac:dyDescent="0.3">
      <c r="C27" s="20" t="s">
        <v>35</v>
      </c>
      <c r="D27" s="14" t="s">
        <v>36</v>
      </c>
    </row>
    <row r="28" spans="2:4" x14ac:dyDescent="0.3">
      <c r="C28" s="18" t="s">
        <v>37</v>
      </c>
      <c r="D28" s="14" t="s">
        <v>38</v>
      </c>
    </row>
    <row r="30" spans="2:4" x14ac:dyDescent="0.3">
      <c r="B30" s="4" t="s">
        <v>39</v>
      </c>
    </row>
    <row r="31" spans="2:4" x14ac:dyDescent="0.3">
      <c r="C31" s="21" t="s">
        <v>40</v>
      </c>
      <c r="D31" s="14" t="s">
        <v>41</v>
      </c>
    </row>
    <row r="32" spans="2:4" x14ac:dyDescent="0.3">
      <c r="C32" s="21" t="s">
        <v>42</v>
      </c>
      <c r="D32" s="14" t="s">
        <v>43</v>
      </c>
    </row>
    <row r="33" spans="2:5" x14ac:dyDescent="0.3">
      <c r="C33" s="21" t="s">
        <v>44</v>
      </c>
      <c r="D33" s="14" t="s">
        <v>45</v>
      </c>
    </row>
    <row r="34" spans="2:5" x14ac:dyDescent="0.3">
      <c r="C34" s="21" t="s">
        <v>46</v>
      </c>
      <c r="D34" s="14" t="s">
        <v>47</v>
      </c>
    </row>
    <row r="35" spans="2:5" x14ac:dyDescent="0.3">
      <c r="C35" s="21" t="s">
        <v>48</v>
      </c>
      <c r="D35" s="14" t="s">
        <v>49</v>
      </c>
    </row>
    <row r="36" spans="2:5" x14ac:dyDescent="0.3">
      <c r="C36" s="21" t="s">
        <v>50</v>
      </c>
      <c r="D36" s="14" t="s">
        <v>51</v>
      </c>
    </row>
    <row r="38" spans="2:5" x14ac:dyDescent="0.3">
      <c r="B38" s="4" t="s">
        <v>52</v>
      </c>
    </row>
    <row r="39" spans="2:5" x14ac:dyDescent="0.3">
      <c r="C39" s="22" t="s">
        <v>53</v>
      </c>
    </row>
    <row r="40" spans="2:5" x14ac:dyDescent="0.3">
      <c r="C40" s="22" t="s">
        <v>54</v>
      </c>
    </row>
    <row r="42" spans="2:5" ht="25.95" customHeight="1" x14ac:dyDescent="0.3">
      <c r="B42" s="72" t="s">
        <v>55</v>
      </c>
      <c r="C42" s="73"/>
      <c r="D42" s="73"/>
      <c r="E42" s="73"/>
    </row>
    <row r="43" spans="2:5" x14ac:dyDescent="0.3">
      <c r="B43" s="73"/>
      <c r="C43" s="73"/>
      <c r="D43" s="73"/>
      <c r="E43" s="73"/>
    </row>
    <row r="44" spans="2:5" x14ac:dyDescent="0.3">
      <c r="B44" s="73"/>
      <c r="C44" s="73"/>
      <c r="D44" s="73"/>
      <c r="E44" s="73"/>
    </row>
    <row r="45" spans="2:5" x14ac:dyDescent="0.3">
      <c r="B45" s="73"/>
      <c r="C45" s="73"/>
      <c r="D45" s="73"/>
      <c r="E45" s="73"/>
    </row>
    <row r="47" spans="2:5" x14ac:dyDescent="0.3">
      <c r="B47" s="23" t="s">
        <v>56</v>
      </c>
    </row>
  </sheetData>
  <mergeCells count="1">
    <mergeCell ref="B42:E45"/>
  </mergeCells>
  <hyperlinks>
    <hyperlink ref="C8" location="'Meetings'!A1" display="Meetings  →" xr:uid="{00000000-0004-0000-0000-000000000000}"/>
    <hyperlink ref="C9" location="'Actions'!A1" display="Actions  →" xr:uid="{00000000-0004-0000-0000-000001000000}"/>
    <hyperlink ref="C10" location="'Actions'!A1" display="Actions  →" xr:uid="{00000000-0004-0000-0000-000002000000}"/>
    <hyperlink ref="C11" location="'Actions'!A1" display="Actions  →" xr:uid="{00000000-0004-0000-0000-000003000000}"/>
    <hyperlink ref="C12" location="'Discrepancies'!A1" display="Discrepancies  →" xr:uid="{00000000-0004-0000-0000-000004000000}"/>
    <hyperlink ref="C31" location="'Dashboard'!A1" display="Dashboard" xr:uid="{00000000-0004-0000-0000-000005000000}"/>
    <hyperlink ref="C32" location="'Actions'!A1" display="Actions" xr:uid="{00000000-0004-0000-0000-000006000000}"/>
    <hyperlink ref="C33" location="'Meetings'!A1" display="Meetings" xr:uid="{00000000-0004-0000-0000-000007000000}"/>
    <hyperlink ref="C34" location="'Discrepancies'!A1" display="Discrepancies" xr:uid="{00000000-0004-0000-0000-000008000000}"/>
    <hyperlink ref="C35" location="'Decisions'!A1" display="Decisions" xr:uid="{00000000-0004-0000-0000-000009000000}"/>
    <hyperlink ref="C36" location="'Setup'!A1" display="Setup" xr:uid="{00000000-0004-0000-0000-00000A000000}"/>
    <hyperlink ref="C39" r:id="rId1" xr:uid="{00000000-0004-0000-0000-00000B000000}"/>
    <hyperlink ref="C40" r:id="rId2" xr:uid="{00000000-0004-0000-0000-00000C000000}"/>
  </hyperlinks>
  <printOptions horizontalCentered="1"/>
  <pageMargins left="0.4" right="0.4" top="0.5" bottom="0.5" header="0.5" footer="0.5"/>
  <pageSetup paperSize="9" scale="73"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D4ED8"/>
    <pageSetUpPr fitToPage="1"/>
  </sheetPr>
  <dimension ref="A1:S63"/>
  <sheetViews>
    <sheetView showGridLines="0" view="pageBreakPreview" zoomScale="85" zoomScaleNormal="100" zoomScaleSheetLayoutView="85" workbookViewId="0">
      <pane ySplit="3" topLeftCell="A4" activePane="bottomLeft" state="frozen"/>
      <selection pane="bottomLeft" activeCell="L2" sqref="L2:O2"/>
    </sheetView>
  </sheetViews>
  <sheetFormatPr defaultRowHeight="14.4" x14ac:dyDescent="0.3"/>
  <cols>
    <col min="1" max="1" width="2" customWidth="1"/>
    <col min="2" max="15" width="11.44140625" customWidth="1"/>
    <col min="16" max="16" width="2" customWidth="1"/>
  </cols>
  <sheetData>
    <row r="1" spans="1:16" ht="10.050000000000001" customHeight="1" x14ac:dyDescent="0.3">
      <c r="A1" s="1"/>
      <c r="B1" s="1"/>
      <c r="C1" s="1"/>
      <c r="D1" s="1"/>
      <c r="E1" s="1"/>
      <c r="F1" s="1"/>
      <c r="G1" s="1"/>
      <c r="H1" s="1"/>
      <c r="I1" s="1"/>
      <c r="J1" s="1"/>
      <c r="K1" s="1"/>
      <c r="L1" s="1"/>
      <c r="M1" s="1"/>
      <c r="N1" s="1"/>
      <c r="O1" s="1"/>
      <c r="P1" s="1"/>
    </row>
    <row r="2" spans="1:16" ht="31.95" customHeight="1" x14ac:dyDescent="0.4">
      <c r="A2" s="1"/>
      <c r="B2" s="24" t="s">
        <v>0</v>
      </c>
      <c r="C2" s="1"/>
      <c r="D2" s="1"/>
      <c r="E2" s="1"/>
      <c r="F2" s="1"/>
      <c r="G2" s="1"/>
      <c r="H2" s="1"/>
      <c r="I2" s="1"/>
      <c r="J2" s="1"/>
      <c r="K2" s="1"/>
      <c r="L2" s="93" t="s">
        <v>57</v>
      </c>
      <c r="M2" s="94"/>
      <c r="N2" s="94"/>
      <c r="O2" s="94"/>
      <c r="P2" s="1"/>
    </row>
    <row r="3" spans="1:16" ht="22.05" customHeight="1" x14ac:dyDescent="0.3">
      <c r="A3" s="1"/>
      <c r="B3" s="25" t="str">
        <f>IF(Setup!B6="","",Setup!B6&amp;"   ·   ")&amp;"as at "&amp;TEXT(Setup!$B$7,"d mmm yyyy")&amp;IF(Setup!$B$9="","","   ·   latest meeting "&amp;TEXT(Setup!$B$9,"d mmm")&amp;" ("&amp;Setup!B10&amp;")")</f>
        <v>Example project   ·   as at 13 Mar 2026   ·   latest meeting 13 Mar (M05)</v>
      </c>
      <c r="C3" s="1"/>
      <c r="D3" s="1"/>
      <c r="E3" s="1"/>
      <c r="F3" s="1"/>
      <c r="G3" s="1"/>
      <c r="H3" s="1"/>
      <c r="I3" s="1"/>
      <c r="J3" s="1"/>
      <c r="K3" s="1"/>
      <c r="L3" s="1"/>
      <c r="M3" s="1"/>
      <c r="N3" s="1"/>
      <c r="O3" s="1"/>
      <c r="P3" s="1"/>
    </row>
    <row r="5" spans="1:16" ht="22.05" customHeight="1" x14ac:dyDescent="0.3">
      <c r="B5" s="89" t="s">
        <v>58</v>
      </c>
      <c r="C5" s="73"/>
      <c r="D5" s="90" t="s">
        <v>59</v>
      </c>
      <c r="E5" s="73"/>
      <c r="F5" s="78" t="s">
        <v>60</v>
      </c>
      <c r="G5" s="73"/>
      <c r="H5" s="90" t="s">
        <v>61</v>
      </c>
      <c r="I5" s="73"/>
      <c r="J5" s="78" t="s">
        <v>62</v>
      </c>
      <c r="K5" s="73"/>
      <c r="L5" s="78" t="s">
        <v>63</v>
      </c>
      <c r="M5" s="73"/>
      <c r="N5" s="83" t="s">
        <v>64</v>
      </c>
      <c r="O5" s="73"/>
    </row>
    <row r="6" spans="1:16" ht="22.05" customHeight="1" x14ac:dyDescent="0.3">
      <c r="B6" s="79">
        <f>COUNTIF(Actions!$S$7:$S$106,"Open")</f>
        <v>12</v>
      </c>
      <c r="C6" s="73"/>
      <c r="D6" s="87">
        <f>COUNTIF(Actions!$R$7:$R$106,"&lt;0")</f>
        <v>4</v>
      </c>
      <c r="E6" s="73"/>
      <c r="F6" s="81">
        <f>COUNTIFS(Actions!$R$7:$R$106,"&gt;=0",Actions!$R$7:$R$106,"&lt;="&amp;Setup!$B$8)</f>
        <v>7</v>
      </c>
      <c r="G6" s="73"/>
      <c r="H6" s="87">
        <f>COUNTIF(Actions!$S$7:$S$106,"Can’t tell")</f>
        <v>1</v>
      </c>
      <c r="I6" s="73"/>
      <c r="J6" s="81">
        <f>COUNTIFS(Actions!$E$7:$E$106,"&lt;&gt;",Actions!$F$7:$F$106,"")+SUMPRODUCT((Actions!$E$7:$E$106&lt;&gt;"")*(COUNTIF(Setup!$D$20:$D$39,Actions!$F$7:$F$106)&gt;0))</f>
        <v>3</v>
      </c>
      <c r="K6" s="73"/>
      <c r="L6" s="81">
        <f>COUNTIFS(Actions!$S$7:$S$106,"Closed",Actions!$M$7:$M$106,"")+COUNTIFS(Actions!$S$7:$S$106,"Closed",Actions!$M$7:$M$106,"&lt;&gt;",Actions!$K$7:$K$106,"")</f>
        <v>1</v>
      </c>
      <c r="M6" s="73"/>
      <c r="N6" s="82">
        <f>COUNTIF(Actions!$O$7:$O$106,"?*")</f>
        <v>1</v>
      </c>
      <c r="O6" s="73"/>
    </row>
    <row r="7" spans="1:16" ht="22.05" customHeight="1" x14ac:dyDescent="0.3">
      <c r="B7" s="73"/>
      <c r="C7" s="73"/>
      <c r="D7" s="73"/>
      <c r="E7" s="73"/>
      <c r="F7" s="73"/>
      <c r="G7" s="73"/>
      <c r="H7" s="73"/>
      <c r="I7" s="73"/>
      <c r="J7" s="73"/>
      <c r="K7" s="73"/>
      <c r="L7" s="73"/>
      <c r="M7" s="73"/>
      <c r="N7" s="73"/>
      <c r="O7" s="73"/>
    </row>
    <row r="8" spans="1:16" ht="24" customHeight="1" x14ac:dyDescent="0.3">
      <c r="B8" s="85" t="str">
        <f>COUNTIF(Actions!$J$7:$J$106,"Reopened")&amp;" reopened"</f>
        <v>0 reopened</v>
      </c>
      <c r="C8" s="73"/>
      <c r="D8" s="88" t="str">
        <f>IF(D6=0,"none late","oldest "&amp;-MIN(Actions!$R$7:$R$106)&amp;" days late")</f>
        <v>oldest 14 days late</v>
      </c>
      <c r="E8" s="73"/>
      <c r="F8" s="84" t="str">
        <f>"within "&amp;Setup!$B$8&amp;" days"</f>
        <v>within 7 days</v>
      </c>
      <c r="G8" s="73"/>
      <c r="H8" s="88" t="str">
        <f>"open or closed? the number that matters"</f>
        <v>open or closed? the number that matters</v>
      </c>
      <c r="I8" s="73"/>
      <c r="J8" s="84" t="str">
        <f>"no owner, or a department"</f>
        <v>no owner, or a department</v>
      </c>
      <c r="K8" s="73"/>
      <c r="L8" s="84" t="str">
        <f>"of "&amp;COUNTIF(Actions!$S$7:$S$106,"Closed")&amp;" closed"</f>
        <v>of 3 closed</v>
      </c>
      <c r="M8" s="73"/>
      <c r="N8" s="86" t="str">
        <f>COUNTIF(Actions!$T$7:$T$106,"*Missed at the last*")&amp;" missed at the last meeting"</f>
        <v>3 missed at the last meeting</v>
      </c>
      <c r="O8" s="73"/>
    </row>
    <row r="9" spans="1:16" x14ac:dyDescent="0.3">
      <c r="B9" s="26"/>
      <c r="C9" s="26"/>
      <c r="D9" s="27"/>
      <c r="E9" s="27"/>
      <c r="F9" s="28"/>
      <c r="G9" s="28"/>
      <c r="H9" s="27"/>
      <c r="I9" s="27"/>
      <c r="J9" s="28"/>
      <c r="K9" s="28"/>
      <c r="L9" s="28"/>
      <c r="M9" s="28"/>
      <c r="N9" s="29"/>
      <c r="O9" s="29"/>
    </row>
    <row r="11" spans="1:16" ht="22.05" customHeight="1" x14ac:dyDescent="0.3">
      <c r="B11" s="91" t="str">
        <f>IF(COUNTA(Actions!$E$7:$E$106)=0,"Add the meeting in Meetings, then its actions in Actions.","Of "&amp;COUNTA(Actions!$E$7:$E$106)&amp;" actions, "&amp;B6&amp;" are open, "&amp;COUNTIF(Actions!$S$7:$S$106,"Closed")&amp;" closed and "&amp;H6&amp;" nobody can say. "&amp;D6&amp;" are overdue"&amp;IF(D6=0,"",", the oldest by "&amp;-MIN(Actions!$R$7:$R$106)&amp;" days")&amp;". "&amp;J6&amp;" have no person against them, and "&amp;N6&amp;" came back after being called done. Close the oldest open one this week, with a name against the closure.")</f>
        <v>Of 16 actions, 12 are open, 3 closed and 1 nobody can say. 4 are overdue, the oldest by 14 days. 3 have no person against them, and 1 came back after being called done. Close the oldest open one this week, with a name against the closure.</v>
      </c>
      <c r="C11" s="92"/>
      <c r="D11" s="92"/>
      <c r="E11" s="92"/>
      <c r="F11" s="92"/>
      <c r="G11" s="92"/>
      <c r="H11" s="92"/>
      <c r="I11" s="92"/>
      <c r="J11" s="92"/>
      <c r="K11" s="92"/>
      <c r="L11" s="92"/>
      <c r="M11" s="92"/>
      <c r="N11" s="92"/>
      <c r="O11" s="92"/>
    </row>
    <row r="12" spans="1:16" ht="22.05" customHeight="1" x14ac:dyDescent="0.3">
      <c r="B12" s="92"/>
      <c r="C12" s="92"/>
      <c r="D12" s="92"/>
      <c r="E12" s="92"/>
      <c r="F12" s="92"/>
      <c r="G12" s="92"/>
      <c r="H12" s="92"/>
      <c r="I12" s="92"/>
      <c r="J12" s="92"/>
      <c r="K12" s="92"/>
      <c r="L12" s="92"/>
      <c r="M12" s="92"/>
      <c r="N12" s="92"/>
      <c r="O12" s="92"/>
    </row>
    <row r="14" spans="1:16" x14ac:dyDescent="0.3">
      <c r="B14" s="30" t="s">
        <v>65</v>
      </c>
    </row>
    <row r="15" spans="1:16" x14ac:dyDescent="0.3">
      <c r="B15" s="31" t="s">
        <v>66</v>
      </c>
      <c r="C15" s="80" t="s">
        <v>67</v>
      </c>
      <c r="D15" s="73"/>
      <c r="E15" s="73"/>
      <c r="F15" s="73"/>
      <c r="G15" s="80" t="s">
        <v>68</v>
      </c>
      <c r="H15" s="73"/>
      <c r="I15" s="31" t="s">
        <v>69</v>
      </c>
      <c r="J15" s="31" t="s">
        <v>70</v>
      </c>
      <c r="K15" s="31" t="s">
        <v>71</v>
      </c>
      <c r="L15" s="80" t="s">
        <v>72</v>
      </c>
      <c r="M15" s="73"/>
      <c r="N15" s="73"/>
      <c r="O15" s="73"/>
    </row>
    <row r="16" spans="1:16" ht="30" customHeight="1" x14ac:dyDescent="0.3">
      <c r="B16" s="32" t="str">
        <f>IFERROR(IF(INDEX(Actions!$A$7:$A$106,MATCH(SMALL(Actions!$U$7:$U$106,1),Actions!$U$7:$U$106,0))="","",INDEX(Actions!$A$7:$A$106,MATCH(SMALL(Actions!$U$7:$U$106,1),Actions!$U$7:$U$106,0))),"")</f>
        <v>A001</v>
      </c>
      <c r="C16" s="74" t="str">
        <f>IFERROR(IF(INDEX(Actions!$E$7:$E$106,MATCH(SMALL(Actions!$U$7:$U$106,1),Actions!$U$7:$U$106,0))="","",INDEX(Actions!$E$7:$E$106,MATCH(SMALL(Actions!$U$7:$U$106,1),Actions!$U$7:$U$106,0))),"")</f>
        <v>Issue the wayleave letter</v>
      </c>
      <c r="D16" s="75"/>
      <c r="E16" s="75"/>
      <c r="F16" s="75"/>
      <c r="G16" s="74" t="str">
        <f>IFERROR(INDEX(Actions!$F$7:$F$106,MATCH(SMALL(Actions!$U$7:$U$106,1),Actions!$U$7:$U$106,0))&amp;"","")</f>
        <v>Ahmet</v>
      </c>
      <c r="H16" s="75"/>
      <c r="I16" s="33">
        <f>IFERROR(IF(INDEX(Actions!$C$7:$C$106,MATCH(SMALL(Actions!$U$7:$U$106,1),Actions!$U$7:$U$106,0))="","",INDEX(Actions!$C$7:$C$106,MATCH(SMALL(Actions!$U$7:$U$106,1),Actions!$U$7:$U$106,0))),"")</f>
        <v>46073</v>
      </c>
      <c r="J16" s="34">
        <f>IFERROR(IF(INDEX(Actions!$G$7:$G$106,MATCH(SMALL(Actions!$U$7:$U$106,1),Actions!$U$7:$U$106,0))="","",INDEX(Actions!$G$7:$G$106,MATCH(SMALL(Actions!$U$7:$U$106,1),Actions!$U$7:$U$106,0))),"")</f>
        <v>46080</v>
      </c>
      <c r="K16" s="35">
        <f>IFERROR(IF(INDEX(Actions!$R$7:$R$106,MATCH(SMALL(Actions!$U$7:$U$106,1),Actions!$U$7:$U$106,0))="","",INDEX(Actions!$R$7:$R$106,MATCH(SMALL(Actions!$U$7:$U$106,1),Actions!$U$7:$U$106,0))),"")</f>
        <v>-14</v>
      </c>
      <c r="L16" s="74" t="str">
        <f>IFERROR(IF(INDEX(Actions!$T$7:$T$106,MATCH(SMALL(Actions!$U$7:$U$106,1),Actions!$U$7:$U$106,0))="","",INDEX(Actions!$T$7:$T$106,MATCH(SMALL(Actions!$U$7:$U$106,1),Actions!$U$7:$U$106,0))),"")</f>
        <v xml:space="preserve">No picture of done. No status: open or closed? Missed at the last meeting. Overdue 14 days. </v>
      </c>
      <c r="M16" s="75"/>
      <c r="N16" s="75"/>
      <c r="O16" s="75"/>
    </row>
    <row r="17" spans="2:15" ht="30" customHeight="1" x14ac:dyDescent="0.3">
      <c r="B17" s="32" t="str">
        <f>IFERROR(IF(INDEX(Actions!$A$7:$A$106,MATCH(SMALL(Actions!$U$7:$U$106,2),Actions!$U$7:$U$106,0))="","",INDEX(Actions!$A$7:$A$106,MATCH(SMALL(Actions!$U$7:$U$106,2),Actions!$U$7:$U$106,0))),"")</f>
        <v>A003</v>
      </c>
      <c r="C17" s="74" t="str">
        <f>IFERROR(IF(INDEX(Actions!$E$7:$E$106,MATCH(SMALL(Actions!$U$7:$U$106,2),Actions!$U$7:$U$106,0))="","",INDEX(Actions!$E$7:$E$106,MATCH(SMALL(Actions!$U$7:$U$106,2),Actions!$U$7:$U$106,0))),"")</f>
        <v>Submit the method statement for the raft pours</v>
      </c>
      <c r="D17" s="75"/>
      <c r="E17" s="75"/>
      <c r="F17" s="75"/>
      <c r="G17" s="74" t="str">
        <f>IFERROR(INDEX(Actions!$F$7:$F$106,MATCH(SMALL(Actions!$U$7:$U$106,2),Actions!$U$7:$U$106,0))&amp;"","")</f>
        <v>Engineering</v>
      </c>
      <c r="H17" s="75"/>
      <c r="I17" s="33">
        <f>IFERROR(IF(INDEX(Actions!$C$7:$C$106,MATCH(SMALL(Actions!$U$7:$U$106,2),Actions!$U$7:$U$106,0))="","",INDEX(Actions!$C$7:$C$106,MATCH(SMALL(Actions!$U$7:$U$106,2),Actions!$U$7:$U$106,0))),"")</f>
        <v>46073</v>
      </c>
      <c r="J17" s="34">
        <f>IFERROR(IF(INDEX(Actions!$G$7:$G$106,MATCH(SMALL(Actions!$U$7:$U$106,2),Actions!$U$7:$U$106,0))="","",INDEX(Actions!$G$7:$G$106,MATCH(SMALL(Actions!$U$7:$U$106,2),Actions!$U$7:$U$106,0))),"")</f>
        <v>46087</v>
      </c>
      <c r="K17" s="35">
        <f>IFERROR(IF(INDEX(Actions!$R$7:$R$106,MATCH(SMALL(Actions!$U$7:$U$106,2),Actions!$U$7:$U$106,0))="","",INDEX(Actions!$R$7:$R$106,MATCH(SMALL(Actions!$U$7:$U$106,2),Actions!$U$7:$U$106,0))),"")</f>
        <v>-7</v>
      </c>
      <c r="L17" s="74" t="str">
        <f>IFERROR(IF(INDEX(Actions!$T$7:$T$106,MATCH(SMALL(Actions!$U$7:$U$106,2),Actions!$U$7:$U$106,0))="","",INDEX(Actions!$T$7:$T$106,MATCH(SMALL(Actions!$U$7:$U$106,2),Actions!$U$7:$U$106,0))),"")</f>
        <v xml:space="preserve">A department: belongs to nobody. Overdue 7 days. </v>
      </c>
      <c r="M17" s="75"/>
      <c r="N17" s="75"/>
      <c r="O17" s="75"/>
    </row>
    <row r="18" spans="2:15" ht="30" customHeight="1" x14ac:dyDescent="0.3">
      <c r="B18" s="32" t="str">
        <f>IFERROR(IF(INDEX(Actions!$A$7:$A$106,MATCH(SMALL(Actions!$U$7:$U$106,3),Actions!$U$7:$U$106,0))="","",INDEX(Actions!$A$7:$A$106,MATCH(SMALL(Actions!$U$7:$U$106,3),Actions!$U$7:$U$106,0))),"")</f>
        <v>A004</v>
      </c>
      <c r="C18" s="74" t="str">
        <f>IFERROR(IF(INDEX(Actions!$E$7:$E$106,MATCH(SMALL(Actions!$U$7:$U$106,3),Actions!$U$7:$U$106,0))="","",INDEX(Actions!$E$7:$E$106,MATCH(SMALL(Actions!$U$7:$U$106,3),Actions!$U$7:$U$106,0))),"")</f>
        <v>Check the levels at the substation slab formation</v>
      </c>
      <c r="D18" s="75"/>
      <c r="E18" s="75"/>
      <c r="F18" s="75"/>
      <c r="G18" s="74" t="str">
        <f>IFERROR(INDEX(Actions!$F$7:$F$106,MATCH(SMALL(Actions!$U$7:$U$106,3),Actions!$U$7:$U$106,0))&amp;"","")</f>
        <v/>
      </c>
      <c r="H18" s="75"/>
      <c r="I18" s="33">
        <f>IFERROR(IF(INDEX(Actions!$C$7:$C$106,MATCH(SMALL(Actions!$U$7:$U$106,3),Actions!$U$7:$U$106,0))="","",INDEX(Actions!$C$7:$C$106,MATCH(SMALL(Actions!$U$7:$U$106,3),Actions!$U$7:$U$106,0))),"")</f>
        <v>46080</v>
      </c>
      <c r="J18" s="34" t="str">
        <f>IFERROR(IF(INDEX(Actions!$G$7:$G$106,MATCH(SMALL(Actions!$U$7:$U$106,3),Actions!$U$7:$U$106,0))="","",INDEX(Actions!$G$7:$G$106,MATCH(SMALL(Actions!$U$7:$U$106,3),Actions!$U$7:$U$106,0))),"")</f>
        <v/>
      </c>
      <c r="K18" s="35" t="str">
        <f>IFERROR(IF(INDEX(Actions!$R$7:$R$106,MATCH(SMALL(Actions!$U$7:$U$106,3),Actions!$U$7:$U$106,0))="","",INDEX(Actions!$R$7:$R$106,MATCH(SMALL(Actions!$U$7:$U$106,3),Actions!$U$7:$U$106,0))),"")</f>
        <v/>
      </c>
      <c r="L18" s="74" t="str">
        <f>IFERROR(IF(INDEX(Actions!$T$7:$T$106,MATCH(SMALL(Actions!$U$7:$U$106,3),Actions!$U$7:$U$106,0))="","",INDEX(Actions!$T$7:$T$106,MATCH(SMALL(Actions!$U$7:$U$106,3),Actions!$U$7:$U$106,0))),"")</f>
        <v xml:space="preserve">No owner. No date. No picture of done. Missed at the last meeting. </v>
      </c>
      <c r="M18" s="75"/>
      <c r="N18" s="75"/>
      <c r="O18" s="75"/>
    </row>
    <row r="19" spans="2:15" ht="30" customHeight="1" x14ac:dyDescent="0.3">
      <c r="B19" s="32" t="str">
        <f>IFERROR(IF(INDEX(Actions!$A$7:$A$106,MATCH(SMALL(Actions!$U$7:$U$106,4),Actions!$U$7:$U$106,0))="","",INDEX(Actions!$A$7:$A$106,MATCH(SMALL(Actions!$U$7:$U$106,4),Actions!$U$7:$U$106,0))),"")</f>
        <v>A006</v>
      </c>
      <c r="C19" s="74" t="str">
        <f>IFERROR(IF(INDEX(Actions!$E$7:$E$106,MATCH(SMALL(Actions!$U$7:$U$106,4),Actions!$U$7:$U$106,0))="","",INDEX(Actions!$E$7:$E$106,MATCH(SMALL(Actions!$U$7:$U$106,4),Actions!$U$7:$U$106,0))),"")</f>
        <v>Send the pre-application enquiry for the discharge consent</v>
      </c>
      <c r="D19" s="75"/>
      <c r="E19" s="75"/>
      <c r="F19" s="75"/>
      <c r="G19" s="74" t="str">
        <f>IFERROR(INDEX(Actions!$F$7:$F$106,MATCH(SMALL(Actions!$U$7:$U$106,4),Actions!$U$7:$U$106,0))&amp;"","")</f>
        <v>Engineer</v>
      </c>
      <c r="H19" s="75"/>
      <c r="I19" s="33">
        <f>IFERROR(IF(INDEX(Actions!$C$7:$C$106,MATCH(SMALL(Actions!$U$7:$U$106,4),Actions!$U$7:$U$106,0))="","",INDEX(Actions!$C$7:$C$106,MATCH(SMALL(Actions!$U$7:$U$106,4),Actions!$U$7:$U$106,0))),"")</f>
        <v>46080</v>
      </c>
      <c r="J19" s="34">
        <f>IFERROR(IF(INDEX(Actions!$G$7:$G$106,MATCH(SMALL(Actions!$U$7:$U$106,4),Actions!$U$7:$U$106,0))="","",INDEX(Actions!$G$7:$G$106,MATCH(SMALL(Actions!$U$7:$U$106,4),Actions!$U$7:$U$106,0))),"")</f>
        <v>46101</v>
      </c>
      <c r="K19" s="35">
        <f>IFERROR(IF(INDEX(Actions!$R$7:$R$106,MATCH(SMALL(Actions!$U$7:$U$106,4),Actions!$U$7:$U$106,0))="","",INDEX(Actions!$R$7:$R$106,MATCH(SMALL(Actions!$U$7:$U$106,4),Actions!$U$7:$U$106,0))),"")</f>
        <v>7</v>
      </c>
      <c r="L19" s="74" t="str">
        <f>IFERROR(IF(INDEX(Actions!$T$7:$T$106,MATCH(SMALL(Actions!$U$7:$U$106,4),Actions!$U$7:$U$106,0))="","",INDEX(Actions!$T$7:$T$106,MATCH(SMALL(Actions!$U$7:$U$106,4),Actions!$U$7:$U$106,0))),"")</f>
        <v>✔</v>
      </c>
      <c r="M19" s="75"/>
      <c r="N19" s="75"/>
      <c r="O19" s="75"/>
    </row>
    <row r="20" spans="2:15" ht="30" customHeight="1" x14ac:dyDescent="0.3">
      <c r="B20" s="32" t="str">
        <f>IFERROR(IF(INDEX(Actions!$A$7:$A$106,MATCH(SMALL(Actions!$U$7:$U$106,5),Actions!$U$7:$U$106,0))="","",INDEX(Actions!$A$7:$A$106,MATCH(SMALL(Actions!$U$7:$U$106,5),Actions!$U$7:$U$106,0))),"")</f>
        <v>A007</v>
      </c>
      <c r="C20" s="74" t="str">
        <f>IFERROR(IF(INDEX(Actions!$E$7:$E$106,MATCH(SMALL(Actions!$U$7:$U$106,5),Actions!$U$7:$U$106,0))="","",INDEX(Actions!$E$7:$E$106,MATCH(SMALL(Actions!$U$7:$U$106,5),Actions!$U$7:$U$106,0))),"")</f>
        <v>Approve two boreholes in the north half ($6,800)</v>
      </c>
      <c r="D20" s="75"/>
      <c r="E20" s="75"/>
      <c r="F20" s="75"/>
      <c r="G20" s="74" t="str">
        <f>IFERROR(INDEX(Actions!$F$7:$F$106,MATCH(SMALL(Actions!$U$7:$U$106,5),Actions!$U$7:$U$106,0))&amp;"","")</f>
        <v>Project manager</v>
      </c>
      <c r="H20" s="75"/>
      <c r="I20" s="33">
        <f>IFERROR(IF(INDEX(Actions!$C$7:$C$106,MATCH(SMALL(Actions!$U$7:$U$106,5),Actions!$U$7:$U$106,0))="","",INDEX(Actions!$C$7:$C$106,MATCH(SMALL(Actions!$U$7:$U$106,5),Actions!$U$7:$U$106,0))),"")</f>
        <v>46087</v>
      </c>
      <c r="J20" s="34">
        <f>IFERROR(IF(INDEX(Actions!$G$7:$G$106,MATCH(SMALL(Actions!$U$7:$U$106,5),Actions!$U$7:$U$106,0))="","",INDEX(Actions!$G$7:$G$106,MATCH(SMALL(Actions!$U$7:$U$106,5),Actions!$U$7:$U$106,0))),"")</f>
        <v>46094</v>
      </c>
      <c r="K20" s="35">
        <f>IFERROR(IF(INDEX(Actions!$R$7:$R$106,MATCH(SMALL(Actions!$U$7:$U$106,5),Actions!$U$7:$U$106,0))="","",INDEX(Actions!$R$7:$R$106,MATCH(SMALL(Actions!$U$7:$U$106,5),Actions!$U$7:$U$106,0))),"")</f>
        <v>0</v>
      </c>
      <c r="L20" s="74" t="str">
        <f>IFERROR(IF(INDEX(Actions!$T$7:$T$106,MATCH(SMALL(Actions!$U$7:$U$106,5),Actions!$U$7:$U$106,0))="","",INDEX(Actions!$T$7:$T$106,MATCH(SMALL(Actions!$U$7:$U$106,5),Actions!$U$7:$U$106,0))),"")</f>
        <v>✔</v>
      </c>
      <c r="M20" s="75"/>
      <c r="N20" s="75"/>
      <c r="O20" s="75"/>
    </row>
    <row r="21" spans="2:15" ht="30" customHeight="1" x14ac:dyDescent="0.3">
      <c r="B21" s="32" t="str">
        <f>IFERROR(IF(INDEX(Actions!$A$7:$A$106,MATCH(SMALL(Actions!$U$7:$U$106,6),Actions!$U$7:$U$106,0))="","",INDEX(Actions!$A$7:$A$106,MATCH(SMALL(Actions!$U$7:$U$106,6),Actions!$U$7:$U$106,0))),"")</f>
        <v>A008</v>
      </c>
      <c r="C21" s="74" t="str">
        <f>IFERROR(IF(INDEX(Actions!$E$7:$E$106,MATCH(SMALL(Actions!$U$7:$U$106,6),Actions!$U$7:$U$106,0))="","",INDEX(Actions!$E$7:$E$106,MATCH(SMALL(Actions!$U$7:$U$106,6),Actions!$U$7:$U$106,0))),"")</f>
        <v>Drill two boreholes in the north half</v>
      </c>
      <c r="D21" s="75"/>
      <c r="E21" s="75"/>
      <c r="F21" s="75"/>
      <c r="G21" s="74" t="str">
        <f>IFERROR(INDEX(Actions!$F$7:$F$106,MATCH(SMALL(Actions!$U$7:$U$106,6),Actions!$U$7:$U$106,0))&amp;"","")</f>
        <v>Engineer</v>
      </c>
      <c r="H21" s="75"/>
      <c r="I21" s="33">
        <f>IFERROR(IF(INDEX(Actions!$C$7:$C$106,MATCH(SMALL(Actions!$U$7:$U$106,6),Actions!$U$7:$U$106,0))="","",INDEX(Actions!$C$7:$C$106,MATCH(SMALL(Actions!$U$7:$U$106,6),Actions!$U$7:$U$106,0))),"")</f>
        <v>46087</v>
      </c>
      <c r="J21" s="34">
        <f>IFERROR(IF(INDEX(Actions!$G$7:$G$106,MATCH(SMALL(Actions!$U$7:$U$106,6),Actions!$U$7:$U$106,0))="","",INDEX(Actions!$G$7:$G$106,MATCH(SMALL(Actions!$U$7:$U$106,6),Actions!$U$7:$U$106,0))),"")</f>
        <v>46101</v>
      </c>
      <c r="K21" s="35">
        <f>IFERROR(IF(INDEX(Actions!$R$7:$R$106,MATCH(SMALL(Actions!$U$7:$U$106,6),Actions!$U$7:$U$106,0))="","",INDEX(Actions!$R$7:$R$106,MATCH(SMALL(Actions!$U$7:$U$106,6),Actions!$U$7:$U$106,0))),"")</f>
        <v>7</v>
      </c>
      <c r="L21" s="74" t="str">
        <f>IFERROR(IF(INDEX(Actions!$T$7:$T$106,MATCH(SMALL(Actions!$U$7:$U$106,6),Actions!$U$7:$U$106,0))="","",INDEX(Actions!$T$7:$T$106,MATCH(SMALL(Actions!$U$7:$U$106,6),Actions!$U$7:$U$106,0))),"")</f>
        <v>✔</v>
      </c>
      <c r="M21" s="75"/>
      <c r="N21" s="75"/>
      <c r="O21" s="75"/>
    </row>
    <row r="22" spans="2:15" ht="30" customHeight="1" x14ac:dyDescent="0.3">
      <c r="B22" s="32" t="str">
        <f>IFERROR(IF(INDEX(Actions!$A$7:$A$106,MATCH(SMALL(Actions!$U$7:$U$106,7),Actions!$U$7:$U$106,0))="","",INDEX(Actions!$A$7:$A$106,MATCH(SMALL(Actions!$U$7:$U$106,7),Actions!$U$7:$U$106,0))),"")</f>
        <v>A009</v>
      </c>
      <c r="C22" s="74" t="str">
        <f>IFERROR(IF(INDEX(Actions!$E$7:$E$106,MATCH(SMALL(Actions!$U$7:$U$106,7),Actions!$U$7:$U$106,0))="","",INDEX(Actions!$E$7:$E$106,MATCH(SMALL(Actions!$U$7:$U$106,7),Actions!$U$7:$U$106,0))),"")</f>
        <v>Confirm the switchgear lead time in writing</v>
      </c>
      <c r="D22" s="75"/>
      <c r="E22" s="75"/>
      <c r="F22" s="75"/>
      <c r="G22" s="74" t="str">
        <f>IFERROR(INDEX(Actions!$F$7:$F$106,MATCH(SMALL(Actions!$U$7:$U$106,7),Actions!$U$7:$U$106,0))&amp;"","")</f>
        <v>Buyer</v>
      </c>
      <c r="H22" s="75"/>
      <c r="I22" s="33">
        <f>IFERROR(IF(INDEX(Actions!$C$7:$C$106,MATCH(SMALL(Actions!$U$7:$U$106,7),Actions!$U$7:$U$106,0))="","",INDEX(Actions!$C$7:$C$106,MATCH(SMALL(Actions!$U$7:$U$106,7),Actions!$U$7:$U$106,0))),"")</f>
        <v>46087</v>
      </c>
      <c r="J22" s="34">
        <f>IFERROR(IF(INDEX(Actions!$G$7:$G$106,MATCH(SMALL(Actions!$U$7:$U$106,7),Actions!$U$7:$U$106,0))="","",INDEX(Actions!$G$7:$G$106,MATCH(SMALL(Actions!$U$7:$U$106,7),Actions!$U$7:$U$106,0))),"")</f>
        <v>46092</v>
      </c>
      <c r="K22" s="35">
        <f>IFERROR(IF(INDEX(Actions!$R$7:$R$106,MATCH(SMALL(Actions!$U$7:$U$106,7),Actions!$U$7:$U$106,0))="","",INDEX(Actions!$R$7:$R$106,MATCH(SMALL(Actions!$U$7:$U$106,7),Actions!$U$7:$U$106,0))),"")</f>
        <v>-2</v>
      </c>
      <c r="L22" s="74" t="str">
        <f>IFERROR(IF(INDEX(Actions!$T$7:$T$106,MATCH(SMALL(Actions!$U$7:$U$106,7),Actions!$U$7:$U$106,0))="","",INDEX(Actions!$T$7:$T$106,MATCH(SMALL(Actions!$U$7:$U$106,7),Actions!$U$7:$U$106,0))),"")</f>
        <v xml:space="preserve">Missed at the last meeting. Overdue 2 days. </v>
      </c>
      <c r="M22" s="75"/>
      <c r="N22" s="75"/>
      <c r="O22" s="75"/>
    </row>
    <row r="23" spans="2:15" ht="30" customHeight="1" x14ac:dyDescent="0.3">
      <c r="B23" s="32" t="str">
        <f>IFERROR(IF(INDEX(Actions!$A$7:$A$106,MATCH(SMALL(Actions!$U$7:$U$106,8),Actions!$U$7:$U$106,0))="","",INDEX(Actions!$A$7:$A$106,MATCH(SMALL(Actions!$U$7:$U$106,8),Actions!$U$7:$U$106,0))),"")</f>
        <v>A010</v>
      </c>
      <c r="C23" s="74" t="str">
        <f>IFERROR(IF(INDEX(Actions!$E$7:$E$106,MATCH(SMALL(Actions!$U$7:$U$106,8),Actions!$U$7:$U$106,0))="","",INDEX(Actions!$E$7:$E$106,MATCH(SMALL(Actions!$U$7:$U$106,8),Actions!$U$7:$U$106,0))),"")</f>
        <v>Issue the bar schedule revision for raft bay 2</v>
      </c>
      <c r="D23" s="75"/>
      <c r="E23" s="75"/>
      <c r="F23" s="75"/>
      <c r="G23" s="74" t="str">
        <f>IFERROR(INDEX(Actions!$F$7:$F$106,MATCH(SMALL(Actions!$U$7:$U$106,8),Actions!$U$7:$U$106,0))&amp;"","")</f>
        <v>Design manager</v>
      </c>
      <c r="H23" s="75"/>
      <c r="I23" s="33">
        <f>IFERROR(IF(INDEX(Actions!$C$7:$C$106,MATCH(SMALL(Actions!$U$7:$U$106,8),Actions!$U$7:$U$106,0))="","",INDEX(Actions!$C$7:$C$106,MATCH(SMALL(Actions!$U$7:$U$106,8),Actions!$U$7:$U$106,0))),"")</f>
        <v>46087</v>
      </c>
      <c r="J23" s="34">
        <f>IFERROR(IF(INDEX(Actions!$G$7:$G$106,MATCH(SMALL(Actions!$U$7:$U$106,8),Actions!$U$7:$U$106,0))="","",INDEX(Actions!$G$7:$G$106,MATCH(SMALL(Actions!$U$7:$U$106,8),Actions!$U$7:$U$106,0))),"")</f>
        <v>46093</v>
      </c>
      <c r="K23" s="35">
        <f>IFERROR(IF(INDEX(Actions!$R$7:$R$106,MATCH(SMALL(Actions!$U$7:$U$106,8),Actions!$U$7:$U$106,0))="","",INDEX(Actions!$R$7:$R$106,MATCH(SMALL(Actions!$U$7:$U$106,8),Actions!$U$7:$U$106,0))),"")</f>
        <v>-1</v>
      </c>
      <c r="L23" s="74" t="str">
        <f>IFERROR(IF(INDEX(Actions!$T$7:$T$106,MATCH(SMALL(Actions!$U$7:$U$106,8),Actions!$U$7:$U$106,0))="","",INDEX(Actions!$T$7:$T$106,MATCH(SMALL(Actions!$U$7:$U$106,8),Actions!$U$7:$U$106,0))),"")</f>
        <v xml:space="preserve">Overdue 1 day. </v>
      </c>
      <c r="M23" s="75"/>
      <c r="N23" s="75"/>
      <c r="O23" s="75"/>
    </row>
    <row r="24" spans="2:15" ht="30" customHeight="1" x14ac:dyDescent="0.3">
      <c r="B24" s="32" t="str">
        <f>IFERROR(IF(INDEX(Actions!$A$7:$A$106,MATCH(SMALL(Actions!$U$7:$U$106,9),Actions!$U$7:$U$106,0))="","",INDEX(Actions!$A$7:$A$106,MATCH(SMALL(Actions!$U$7:$U$106,9),Actions!$U$7:$U$106,0))),"")</f>
        <v>A011</v>
      </c>
      <c r="C24" s="74" t="str">
        <f>IFERROR(IF(INDEX(Actions!$E$7:$E$106,MATCH(SMALL(Actions!$U$7:$U$106,9),Actions!$U$7:$U$106,0))="","",INDEX(Actions!$E$7:$E$106,MATCH(SMALL(Actions!$U$7:$U$106,9),Actions!$U$7:$U$106,0))),"")</f>
        <v>Issue the wayleave letter</v>
      </c>
      <c r="D24" s="75"/>
      <c r="E24" s="75"/>
      <c r="F24" s="75"/>
      <c r="G24" s="74" t="str">
        <f>IFERROR(INDEX(Actions!$F$7:$F$106,MATCH(SMALL(Actions!$U$7:$U$106,9),Actions!$U$7:$U$106,0))&amp;"","")</f>
        <v>Ahmet</v>
      </c>
      <c r="H24" s="75"/>
      <c r="I24" s="33">
        <f>IFERROR(IF(INDEX(Actions!$C$7:$C$106,MATCH(SMALL(Actions!$U$7:$U$106,9),Actions!$U$7:$U$106,0))="","",INDEX(Actions!$C$7:$C$106,MATCH(SMALL(Actions!$U$7:$U$106,9),Actions!$U$7:$U$106,0))),"")</f>
        <v>46087</v>
      </c>
      <c r="J24" s="34">
        <f>IFERROR(IF(INDEX(Actions!$G$7:$G$106,MATCH(SMALL(Actions!$U$7:$U$106,9),Actions!$U$7:$U$106,0))="","",INDEX(Actions!$G$7:$G$106,MATCH(SMALL(Actions!$U$7:$U$106,9),Actions!$U$7:$U$106,0))),"")</f>
        <v>46095</v>
      </c>
      <c r="K24" s="35">
        <f>IFERROR(IF(INDEX(Actions!$R$7:$R$106,MATCH(SMALL(Actions!$U$7:$U$106,9),Actions!$U$7:$U$106,0))="","",INDEX(Actions!$R$7:$R$106,MATCH(SMALL(Actions!$U$7:$U$106,9),Actions!$U$7:$U$106,0))),"")</f>
        <v>1</v>
      </c>
      <c r="L24" s="74" t="str">
        <f>IFERROR(IF(INDEX(Actions!$T$7:$T$106,MATCH(SMALL(Actions!$U$7:$U$106,9),Actions!$U$7:$U$106,0))="","",INDEX(Actions!$T$7:$T$106,MATCH(SMALL(Actions!$U$7:$U$106,9),Actions!$U$7:$U$106,0))),"")</f>
        <v xml:space="preserve">Came back from A001. </v>
      </c>
      <c r="M24" s="75"/>
      <c r="N24" s="75"/>
      <c r="O24" s="75"/>
    </row>
    <row r="25" spans="2:15" ht="30" customHeight="1" x14ac:dyDescent="0.3">
      <c r="B25" s="32" t="str">
        <f>IFERROR(IF(INDEX(Actions!$A$7:$A$106,MATCH(SMALL(Actions!$U$7:$U$106,10),Actions!$U$7:$U$106,0))="","",INDEX(Actions!$A$7:$A$106,MATCH(SMALL(Actions!$U$7:$U$106,10),Actions!$U$7:$U$106,0))),"")</f>
        <v>A012</v>
      </c>
      <c r="C25" s="74" t="str">
        <f>IFERROR(IF(INDEX(Actions!$E$7:$E$106,MATCH(SMALL(Actions!$U$7:$U$106,10),Actions!$U$7:$U$106,0))="","",INDEX(Actions!$E$7:$E$106,MATCH(SMALL(Actions!$U$7:$U$106,10),Actions!$U$7:$U$106,0))),"")</f>
        <v>Second shift on the piling rig for P18 to P24</v>
      </c>
      <c r="D25" s="75"/>
      <c r="E25" s="75"/>
      <c r="F25" s="75"/>
      <c r="G25" s="74" t="str">
        <f>IFERROR(INDEX(Actions!$F$7:$F$106,MATCH(SMALL(Actions!$U$7:$U$106,10),Actions!$U$7:$U$106,0))&amp;"","")</f>
        <v>Site manager</v>
      </c>
      <c r="H25" s="75"/>
      <c r="I25" s="33">
        <f>IFERROR(IF(INDEX(Actions!$C$7:$C$106,MATCH(SMALL(Actions!$U$7:$U$106,10),Actions!$U$7:$U$106,0))="","",INDEX(Actions!$C$7:$C$106,MATCH(SMALL(Actions!$U$7:$U$106,10),Actions!$U$7:$U$106,0))),"")</f>
        <v>46090</v>
      </c>
      <c r="J25" s="34">
        <f>IFERROR(IF(INDEX(Actions!$G$7:$G$106,MATCH(SMALL(Actions!$U$7:$U$106,10),Actions!$U$7:$U$106,0))="","",INDEX(Actions!$G$7:$G$106,MATCH(SMALL(Actions!$U$7:$U$106,10),Actions!$U$7:$U$106,0))),"")</f>
        <v>46097</v>
      </c>
      <c r="K25" s="35">
        <f>IFERROR(IF(INDEX(Actions!$R$7:$R$106,MATCH(SMALL(Actions!$U$7:$U$106,10),Actions!$U$7:$U$106,0))="","",INDEX(Actions!$R$7:$R$106,MATCH(SMALL(Actions!$U$7:$U$106,10),Actions!$U$7:$U$106,0))),"")</f>
        <v>3</v>
      </c>
      <c r="L25" s="74" t="str">
        <f>IFERROR(IF(INDEX(Actions!$T$7:$T$106,MATCH(SMALL(Actions!$U$7:$U$106,10),Actions!$U$7:$U$106,0))="","",INDEX(Actions!$T$7:$T$106,MATCH(SMALL(Actions!$U$7:$U$106,10),Actions!$U$7:$U$106,0))),"")</f>
        <v>✔</v>
      </c>
      <c r="M25" s="75"/>
      <c r="N25" s="75"/>
      <c r="O25" s="75"/>
    </row>
    <row r="26" spans="2:15" x14ac:dyDescent="0.3">
      <c r="B26" s="36" t="str">
        <f>IF(COUNT(Actions!$U$7:$U$106)&gt;10,"…and "&amp;(COUNT(Actions!$U$7:$U$106)-10)&amp;" more open in Actions.","")</f>
        <v>…and 3 more open in Actions.</v>
      </c>
    </row>
    <row r="28" spans="2:15" x14ac:dyDescent="0.3">
      <c r="B28" s="30" t="s">
        <v>73</v>
      </c>
      <c r="I28" s="30" t="s">
        <v>74</v>
      </c>
    </row>
    <row r="29" spans="2:15" x14ac:dyDescent="0.3">
      <c r="B29" s="80" t="s">
        <v>68</v>
      </c>
      <c r="C29" s="73"/>
      <c r="D29" s="73"/>
      <c r="E29" s="31" t="s">
        <v>27</v>
      </c>
      <c r="F29" s="31" t="s">
        <v>75</v>
      </c>
      <c r="G29" s="31" t="s">
        <v>13</v>
      </c>
      <c r="I29" s="37" t="s">
        <v>6</v>
      </c>
      <c r="J29" s="37" t="s">
        <v>76</v>
      </c>
      <c r="K29" s="37" t="s">
        <v>69</v>
      </c>
      <c r="L29" s="37" t="s">
        <v>27</v>
      </c>
      <c r="M29" s="37" t="s">
        <v>13</v>
      </c>
      <c r="N29" s="37" t="s">
        <v>30</v>
      </c>
      <c r="O29" s="37" t="s">
        <v>77</v>
      </c>
    </row>
    <row r="30" spans="2:15" ht="18" customHeight="1" x14ac:dyDescent="0.3">
      <c r="B30" s="74" t="str">
        <f>IF(Setup!$A$20="","",Setup!$A$20)</f>
        <v>Ahmet</v>
      </c>
      <c r="C30" s="75"/>
      <c r="D30" s="75"/>
      <c r="E30" s="38">
        <f>IF(B30="","",COUNTIFS(Actions!$F$7:$F$106,B30,Actions!$S$7:$S$106,"Open"))</f>
        <v>1</v>
      </c>
      <c r="F30" s="38">
        <f>IF(B30="","",COUNTIFS(Actions!$F$7:$F$106,B30,Actions!$R$7:$R$106,"&lt;0"))</f>
        <v>1</v>
      </c>
      <c r="G30" s="38">
        <f>IF(B30="","",COUNTIFS(Actions!$F$7:$F$106,B30,Actions!$S$7:$S$106,"Closed"))</f>
        <v>0</v>
      </c>
      <c r="I30" s="32" t="str">
        <f>IF(Meetings!B7="","",Meetings!A7)</f>
        <v>M01</v>
      </c>
      <c r="J30" s="33">
        <f>IF(Meetings!B7="","",Meetings!B7)</f>
        <v>46073</v>
      </c>
      <c r="K30" s="39">
        <f>Meetings!G7</f>
        <v>3</v>
      </c>
      <c r="L30" s="39">
        <f>Meetings!H7</f>
        <v>1</v>
      </c>
      <c r="M30" s="39">
        <f>Meetings!I7</f>
        <v>1</v>
      </c>
      <c r="N30" s="38">
        <f>Meetings!J7</f>
        <v>1</v>
      </c>
      <c r="O30" s="32" t="str">
        <f>IF(Meetings!F7="","",Meetings!F7&amp;" d")</f>
        <v>2 d</v>
      </c>
    </row>
    <row r="31" spans="2:15" ht="18" customHeight="1" x14ac:dyDescent="0.3">
      <c r="B31" s="74" t="str">
        <f>IF(Setup!$A$21="","",Setup!$A$21)</f>
        <v>Project manager</v>
      </c>
      <c r="C31" s="75"/>
      <c r="D31" s="75"/>
      <c r="E31" s="38">
        <f>IF(B31="","",COUNTIFS(Actions!$F$7:$F$106,B31,Actions!$S$7:$S$106,"Open"))</f>
        <v>1</v>
      </c>
      <c r="F31" s="38">
        <f>IF(B31="","",COUNTIFS(Actions!$F$7:$F$106,B31,Actions!$R$7:$R$106,"&lt;0"))</f>
        <v>0</v>
      </c>
      <c r="G31" s="38">
        <f>IF(B31="","",COUNTIFS(Actions!$F$7:$F$106,B31,Actions!$S$7:$S$106,"Closed"))</f>
        <v>0</v>
      </c>
      <c r="I31" s="32" t="str">
        <f>IF(Meetings!B8="","",Meetings!A8)</f>
        <v>M02</v>
      </c>
      <c r="J31" s="33">
        <f>IF(Meetings!B8="","",Meetings!B8)</f>
        <v>46080</v>
      </c>
      <c r="K31" s="39">
        <f>Meetings!G8</f>
        <v>3</v>
      </c>
      <c r="L31" s="39">
        <f>Meetings!H8</f>
        <v>2</v>
      </c>
      <c r="M31" s="39">
        <f>Meetings!I8</f>
        <v>1</v>
      </c>
      <c r="N31" s="38">
        <f>Meetings!J8</f>
        <v>0</v>
      </c>
      <c r="O31" s="32" t="str">
        <f>IF(Meetings!F8="","",Meetings!F8&amp;" d")</f>
        <v>1 d</v>
      </c>
    </row>
    <row r="32" spans="2:15" ht="18" customHeight="1" x14ac:dyDescent="0.3">
      <c r="B32" s="74" t="str">
        <f>IF(Setup!$A$22="","",Setup!$A$22)</f>
        <v>Site manager</v>
      </c>
      <c r="C32" s="75"/>
      <c r="D32" s="75"/>
      <c r="E32" s="38">
        <f>IF(B32="","",COUNTIFS(Actions!$F$7:$F$106,B32,Actions!$S$7:$S$106,"Open"))</f>
        <v>1</v>
      </c>
      <c r="F32" s="38">
        <f>IF(B32="","",COUNTIFS(Actions!$F$7:$F$106,B32,Actions!$R$7:$R$106,"&lt;0"))</f>
        <v>0</v>
      </c>
      <c r="G32" s="38">
        <f>IF(B32="","",COUNTIFS(Actions!$F$7:$F$106,B32,Actions!$S$7:$S$106,"Closed"))</f>
        <v>0</v>
      </c>
      <c r="I32" s="32" t="str">
        <f>IF(Meetings!B9="","",Meetings!A9)</f>
        <v>M03</v>
      </c>
      <c r="J32" s="33">
        <f>IF(Meetings!B9="","",Meetings!B9)</f>
        <v>46087</v>
      </c>
      <c r="K32" s="39">
        <f>Meetings!G9</f>
        <v>5</v>
      </c>
      <c r="L32" s="39">
        <f>Meetings!H9</f>
        <v>5</v>
      </c>
      <c r="M32" s="39">
        <f>Meetings!I9</f>
        <v>0</v>
      </c>
      <c r="N32" s="38">
        <f>Meetings!J9</f>
        <v>0</v>
      </c>
      <c r="O32" s="32" t="str">
        <f>IF(Meetings!F9="","",Meetings!F9&amp;" d")</f>
        <v>0 d</v>
      </c>
    </row>
    <row r="33" spans="2:19" ht="18" customHeight="1" x14ac:dyDescent="0.3">
      <c r="B33" s="74" t="str">
        <f>IF(Setup!$A$23="","",Setup!$A$23)</f>
        <v>Site engineer</v>
      </c>
      <c r="C33" s="75"/>
      <c r="D33" s="75"/>
      <c r="E33" s="38">
        <f>IF(B33="","",COUNTIFS(Actions!$F$7:$F$106,B33,Actions!$S$7:$S$106,"Open"))</f>
        <v>1</v>
      </c>
      <c r="F33" s="38">
        <f>IF(B33="","",COUNTIFS(Actions!$F$7:$F$106,B33,Actions!$R$7:$R$106,"&lt;0"))</f>
        <v>0</v>
      </c>
      <c r="G33" s="38">
        <f>IF(B33="","",COUNTIFS(Actions!$F$7:$F$106,B33,Actions!$S$7:$S$106,"Closed"))</f>
        <v>0</v>
      </c>
      <c r="I33" s="32" t="str">
        <f>IF(Meetings!B10="","",Meetings!A10)</f>
        <v>M04</v>
      </c>
      <c r="J33" s="33">
        <f>IF(Meetings!B10="","",Meetings!B10)</f>
        <v>46090</v>
      </c>
      <c r="K33" s="39">
        <f>Meetings!G10</f>
        <v>2</v>
      </c>
      <c r="L33" s="39">
        <f>Meetings!H10</f>
        <v>1</v>
      </c>
      <c r="M33" s="39">
        <f>Meetings!I10</f>
        <v>1</v>
      </c>
      <c r="N33" s="38">
        <f>Meetings!J10</f>
        <v>0</v>
      </c>
      <c r="O33" s="32" t="str">
        <f>IF(Meetings!F10="","",Meetings!F10&amp;" d")</f>
        <v>0 d</v>
      </c>
    </row>
    <row r="34" spans="2:19" ht="18" customHeight="1" x14ac:dyDescent="0.3">
      <c r="B34" s="74" t="str">
        <f>IF(Setup!$A$24="","",Setup!$A$24)</f>
        <v>Engineer</v>
      </c>
      <c r="C34" s="75"/>
      <c r="D34" s="75"/>
      <c r="E34" s="38">
        <f>IF(B34="","",COUNTIFS(Actions!$F$7:$F$106,B34,Actions!$S$7:$S$106,"Open"))</f>
        <v>3</v>
      </c>
      <c r="F34" s="38">
        <f>IF(B34="","",COUNTIFS(Actions!$F$7:$F$106,B34,Actions!$R$7:$R$106,"&lt;0"))</f>
        <v>0</v>
      </c>
      <c r="G34" s="38">
        <f>IF(B34="","",COUNTIFS(Actions!$F$7:$F$106,B34,Actions!$S$7:$S$106,"Closed"))</f>
        <v>0</v>
      </c>
      <c r="I34" s="32" t="str">
        <f>IF(Meetings!B11="","",Meetings!A11)</f>
        <v>M05</v>
      </c>
      <c r="J34" s="33">
        <f>IF(Meetings!B11="","",Meetings!B11)</f>
        <v>46094</v>
      </c>
      <c r="K34" s="39">
        <f>Meetings!G11</f>
        <v>3</v>
      </c>
      <c r="L34" s="39">
        <f>Meetings!H11</f>
        <v>3</v>
      </c>
      <c r="M34" s="39">
        <f>Meetings!I11</f>
        <v>0</v>
      </c>
      <c r="N34" s="38">
        <f>Meetings!J11</f>
        <v>0</v>
      </c>
      <c r="O34" s="32" t="str">
        <f>IF(Meetings!F11="","",Meetings!F11&amp;" d")</f>
        <v>0 d</v>
      </c>
    </row>
    <row r="35" spans="2:19" ht="18" customHeight="1" x14ac:dyDescent="0.3">
      <c r="B35" s="74" t="str">
        <f>IF(Setup!$A$25="","",Setup!$A$25)</f>
        <v>Design manager</v>
      </c>
      <c r="C35" s="75"/>
      <c r="D35" s="75"/>
      <c r="E35" s="38">
        <f>IF(B35="","",COUNTIFS(Actions!$F$7:$F$106,B35,Actions!$S$7:$S$106,"Open"))</f>
        <v>1</v>
      </c>
      <c r="F35" s="38">
        <f>IF(B35="","",COUNTIFS(Actions!$F$7:$F$106,B35,Actions!$R$7:$R$106,"&lt;0"))</f>
        <v>1</v>
      </c>
      <c r="G35" s="38">
        <f>IF(B35="","",COUNTIFS(Actions!$F$7:$F$106,B35,Actions!$S$7:$S$106,"Closed"))</f>
        <v>0</v>
      </c>
      <c r="I35" s="32" t="str">
        <f>IF(Meetings!B12="","",Meetings!A12)</f>
        <v/>
      </c>
      <c r="J35" s="33" t="str">
        <f>IF(Meetings!B12="","",Meetings!B12)</f>
        <v/>
      </c>
      <c r="K35" s="39" t="str">
        <f>Meetings!G12</f>
        <v/>
      </c>
      <c r="L35" s="39" t="str">
        <f>Meetings!H12</f>
        <v/>
      </c>
      <c r="M35" s="39" t="str">
        <f>Meetings!I12</f>
        <v/>
      </c>
      <c r="N35" s="38" t="str">
        <f>Meetings!J12</f>
        <v/>
      </c>
      <c r="O35" s="32" t="str">
        <f>IF(Meetings!F12="","",Meetings!F12&amp;" d")</f>
        <v/>
      </c>
    </row>
    <row r="36" spans="2:19" ht="18" customHeight="1" x14ac:dyDescent="0.3">
      <c r="B36" s="74" t="str">
        <f>IF(Setup!$A$26="","",Setup!$A$26)</f>
        <v>Planner</v>
      </c>
      <c r="C36" s="75"/>
      <c r="D36" s="75"/>
      <c r="E36" s="38">
        <f>IF(B36="","",COUNTIFS(Actions!$F$7:$F$106,B36,Actions!$S$7:$S$106,"Open"))</f>
        <v>0</v>
      </c>
      <c r="F36" s="38">
        <f>IF(B36="","",COUNTIFS(Actions!$F$7:$F$106,B36,Actions!$R$7:$R$106,"&lt;0"))</f>
        <v>0</v>
      </c>
      <c r="G36" s="38">
        <f>IF(B36="","",COUNTIFS(Actions!$F$7:$F$106,B36,Actions!$S$7:$S$106,"Closed"))</f>
        <v>1</v>
      </c>
      <c r="I36" s="32" t="str">
        <f>IF(Meetings!B13="","",Meetings!A13)</f>
        <v/>
      </c>
      <c r="J36" s="33" t="str">
        <f>IF(Meetings!B13="","",Meetings!B13)</f>
        <v/>
      </c>
      <c r="K36" s="39" t="str">
        <f>Meetings!G13</f>
        <v/>
      </c>
      <c r="L36" s="39" t="str">
        <f>Meetings!H13</f>
        <v/>
      </c>
      <c r="M36" s="39" t="str">
        <f>Meetings!I13</f>
        <v/>
      </c>
      <c r="N36" s="38" t="str">
        <f>Meetings!J13</f>
        <v/>
      </c>
      <c r="O36" s="32" t="str">
        <f>IF(Meetings!F13="","",Meetings!F13&amp;" d")</f>
        <v/>
      </c>
    </row>
    <row r="37" spans="2:19" ht="18" customHeight="1" x14ac:dyDescent="0.3">
      <c r="B37" s="74" t="str">
        <f>IF(Setup!$A$27="","",Setup!$A$27)</f>
        <v>Buyer</v>
      </c>
      <c r="C37" s="75"/>
      <c r="D37" s="75"/>
      <c r="E37" s="38">
        <f>IF(B37="","",COUNTIFS(Actions!$F$7:$F$106,B37,Actions!$S$7:$S$106,"Open"))</f>
        <v>1</v>
      </c>
      <c r="F37" s="38">
        <f>IF(B37="","",COUNTIFS(Actions!$F$7:$F$106,B37,Actions!$R$7:$R$106,"&lt;0"))</f>
        <v>1</v>
      </c>
      <c r="G37" s="38">
        <f>IF(B37="","",COUNTIFS(Actions!$F$7:$F$106,B37,Actions!$S$7:$S$106,"Closed"))</f>
        <v>1</v>
      </c>
      <c r="I37" s="32" t="str">
        <f>IF(Meetings!B14="","",Meetings!A14)</f>
        <v/>
      </c>
      <c r="J37" s="33" t="str">
        <f>IF(Meetings!B14="","",Meetings!B14)</f>
        <v/>
      </c>
      <c r="K37" s="39" t="str">
        <f>Meetings!G14</f>
        <v/>
      </c>
      <c r="L37" s="39" t="str">
        <f>Meetings!H14</f>
        <v/>
      </c>
      <c r="M37" s="39" t="str">
        <f>Meetings!I14</f>
        <v/>
      </c>
      <c r="N37" s="38" t="str">
        <f>Meetings!J14</f>
        <v/>
      </c>
      <c r="O37" s="32" t="str">
        <f>IF(Meetings!F14="","",Meetings!F14&amp;" d")</f>
        <v/>
      </c>
    </row>
    <row r="38" spans="2:19" ht="18" customHeight="1" x14ac:dyDescent="0.3">
      <c r="B38" s="74" t="str">
        <f>IF(Setup!$A$28="","",Setup!$A$28)</f>
        <v>Commercial manager</v>
      </c>
      <c r="C38" s="75"/>
      <c r="D38" s="75"/>
      <c r="E38" s="38">
        <f>IF(B38="","",COUNTIFS(Actions!$F$7:$F$106,B38,Actions!$S$7:$S$106,"Open"))</f>
        <v>1</v>
      </c>
      <c r="F38" s="38">
        <f>IF(B38="","",COUNTIFS(Actions!$F$7:$F$106,B38,Actions!$R$7:$R$106,"&lt;0"))</f>
        <v>0</v>
      </c>
      <c r="G38" s="38">
        <f>IF(B38="","",COUNTIFS(Actions!$F$7:$F$106,B38,Actions!$S$7:$S$106,"Closed"))</f>
        <v>0</v>
      </c>
      <c r="I38" s="32" t="str">
        <f>IF(Meetings!B15="","",Meetings!A15)</f>
        <v/>
      </c>
      <c r="J38" s="33" t="str">
        <f>IF(Meetings!B15="","",Meetings!B15)</f>
        <v/>
      </c>
      <c r="K38" s="39" t="str">
        <f>Meetings!G15</f>
        <v/>
      </c>
      <c r="L38" s="39" t="str">
        <f>Meetings!H15</f>
        <v/>
      </c>
      <c r="M38" s="39" t="str">
        <f>Meetings!I15</f>
        <v/>
      </c>
      <c r="N38" s="38" t="str">
        <f>Meetings!J15</f>
        <v/>
      </c>
      <c r="O38" s="32" t="str">
        <f>IF(Meetings!F15="","",Meetings!F15&amp;" d")</f>
        <v/>
      </c>
    </row>
    <row r="39" spans="2:19" ht="18" customHeight="1" x14ac:dyDescent="0.3">
      <c r="B39" s="74" t="str">
        <f>IF(Setup!$A$29="","",Setup!$A$29)</f>
        <v>HSE officer</v>
      </c>
      <c r="C39" s="75"/>
      <c r="D39" s="75"/>
      <c r="E39" s="38">
        <f>IF(B39="","",COUNTIFS(Actions!$F$7:$F$106,B39,Actions!$S$7:$S$106,"Open"))</f>
        <v>0</v>
      </c>
      <c r="F39" s="38">
        <f>IF(B39="","",COUNTIFS(Actions!$F$7:$F$106,B39,Actions!$R$7:$R$106,"&lt;0"))</f>
        <v>0</v>
      </c>
      <c r="G39" s="38">
        <f>IF(B39="","",COUNTIFS(Actions!$F$7:$F$106,B39,Actions!$S$7:$S$106,"Closed"))</f>
        <v>0</v>
      </c>
      <c r="I39" s="32" t="str">
        <f>IF(Meetings!B16="","",Meetings!A16)</f>
        <v/>
      </c>
      <c r="J39" s="33" t="str">
        <f>IF(Meetings!B16="","",Meetings!B16)</f>
        <v/>
      </c>
      <c r="K39" s="39" t="str">
        <f>Meetings!G16</f>
        <v/>
      </c>
      <c r="L39" s="39" t="str">
        <f>Meetings!H16</f>
        <v/>
      </c>
      <c r="M39" s="39" t="str">
        <f>Meetings!I16</f>
        <v/>
      </c>
      <c r="N39" s="38" t="str">
        <f>Meetings!J16</f>
        <v/>
      </c>
      <c r="O39" s="32" t="str">
        <f>IF(Meetings!F16="","",Meetings!F16&amp;" d")</f>
        <v/>
      </c>
    </row>
    <row r="40" spans="2:19" ht="18" customHeight="1" x14ac:dyDescent="0.3">
      <c r="B40" s="74" t="str">
        <f>IF(Setup!$A$30="","",Setup!$A$30)</f>
        <v>Resident engineer</v>
      </c>
      <c r="C40" s="75"/>
      <c r="D40" s="75"/>
      <c r="E40" s="38">
        <f>IF(B40="","",COUNTIFS(Actions!$F$7:$F$106,B40,Actions!$S$7:$S$106,"Open"))</f>
        <v>0</v>
      </c>
      <c r="F40" s="38">
        <f>IF(B40="","",COUNTIFS(Actions!$F$7:$F$106,B40,Actions!$R$7:$R$106,"&lt;0"))</f>
        <v>0</v>
      </c>
      <c r="G40" s="38">
        <f>IF(B40="","",COUNTIFS(Actions!$F$7:$F$106,B40,Actions!$S$7:$S$106,"Closed"))</f>
        <v>0</v>
      </c>
      <c r="I40" s="32" t="str">
        <f>IF(Meetings!B17="","",Meetings!A17)</f>
        <v/>
      </c>
      <c r="J40" s="33" t="str">
        <f>IF(Meetings!B17="","",Meetings!B17)</f>
        <v/>
      </c>
      <c r="K40" s="39" t="str">
        <f>Meetings!G17</f>
        <v/>
      </c>
      <c r="L40" s="39" t="str">
        <f>Meetings!H17</f>
        <v/>
      </c>
      <c r="M40" s="39" t="str">
        <f>Meetings!I17</f>
        <v/>
      </c>
      <c r="N40" s="38" t="str">
        <f>Meetings!J17</f>
        <v/>
      </c>
      <c r="O40" s="32" t="str">
        <f>IF(Meetings!F17="","",Meetings!F17&amp;" d")</f>
        <v/>
      </c>
    </row>
    <row r="41" spans="2:19" ht="18" customHeight="1" x14ac:dyDescent="0.3">
      <c r="B41" s="74" t="str">
        <f>IF(Setup!$A$31="","",Setup!$A$31)</f>
        <v/>
      </c>
      <c r="C41" s="75"/>
      <c r="D41" s="75"/>
      <c r="E41" s="38" t="str">
        <f>IF(B41="","",COUNTIFS(Actions!$F$7:$F$106,B41,Actions!$S$7:$S$106,"Open"))</f>
        <v/>
      </c>
      <c r="F41" s="38" t="str">
        <f>IF(B41="","",COUNTIFS(Actions!$F$7:$F$106,B41,Actions!$R$7:$R$106,"&lt;0"))</f>
        <v/>
      </c>
      <c r="G41" s="38" t="str">
        <f>IF(B41="","",COUNTIFS(Actions!$F$7:$F$106,B41,Actions!$S$7:$S$106,"Closed"))</f>
        <v/>
      </c>
      <c r="I41" s="32" t="str">
        <f>IF(Meetings!B18="","",Meetings!A18)</f>
        <v/>
      </c>
      <c r="J41" s="33" t="str">
        <f>IF(Meetings!B18="","",Meetings!B18)</f>
        <v/>
      </c>
      <c r="K41" s="39" t="str">
        <f>Meetings!G18</f>
        <v/>
      </c>
      <c r="L41" s="39" t="str">
        <f>Meetings!H18</f>
        <v/>
      </c>
      <c r="M41" s="39" t="str">
        <f>Meetings!I18</f>
        <v/>
      </c>
      <c r="N41" s="38" t="str">
        <f>Meetings!J18</f>
        <v/>
      </c>
      <c r="O41" s="32" t="str">
        <f>IF(Meetings!F18="","",Meetings!F18&amp;" d")</f>
        <v/>
      </c>
    </row>
    <row r="42" spans="2:19" ht="18" customHeight="1" x14ac:dyDescent="0.3">
      <c r="B42" s="76" t="s">
        <v>78</v>
      </c>
      <c r="C42" s="77"/>
      <c r="D42" s="77"/>
      <c r="E42" s="40">
        <f>COUNTIFS(Actions!$E$7:$E$106,"&lt;&gt;",Actions!$F$7:$F$106,"",Actions!$S$7:$S$106,"Open")+SUMPRODUCT((Actions!$S$7:$S$106="Open")*(COUNTIF(Setup!$D$20:$D$39,Actions!$F$7:$F$106)&gt;0))</f>
        <v>2</v>
      </c>
      <c r="F42" s="41"/>
      <c r="G42" s="41"/>
    </row>
    <row r="45" spans="2:19" x14ac:dyDescent="0.3">
      <c r="B45" s="30" t="s">
        <v>79</v>
      </c>
      <c r="R45" s="42" t="s">
        <v>80</v>
      </c>
      <c r="S45" s="42" t="s">
        <v>81</v>
      </c>
    </row>
    <row r="46" spans="2:19" x14ac:dyDescent="0.3">
      <c r="R46" s="42" t="s">
        <v>82</v>
      </c>
      <c r="S46" s="42">
        <f>COUNTIFS(Actions!$S$7:$S$106,"Open",Actions!$Q$7:$Q$106,"&gt;=0",Actions!$Q$7:$Q$106,"&lt;=7")</f>
        <v>9</v>
      </c>
    </row>
    <row r="47" spans="2:19" x14ac:dyDescent="0.3">
      <c r="R47" s="42" t="s">
        <v>83</v>
      </c>
      <c r="S47" s="42">
        <f>COUNTIFS(Actions!$S$7:$S$106,"Open",Actions!$Q$7:$Q$106,"&gt;=8",Actions!$Q$7:$Q$106,"&lt;=14")</f>
        <v>2</v>
      </c>
    </row>
    <row r="48" spans="2:19" x14ac:dyDescent="0.3">
      <c r="R48" s="42" t="s">
        <v>84</v>
      </c>
      <c r="S48" s="42">
        <f>COUNTIFS(Actions!$S$7:$S$106,"Open",Actions!$Q$7:$Q$106,"&gt;=15",Actions!$Q$7:$Q$106,"&lt;=28")</f>
        <v>1</v>
      </c>
    </row>
    <row r="49" spans="2:19" x14ac:dyDescent="0.3">
      <c r="R49" s="42" t="s">
        <v>85</v>
      </c>
      <c r="S49" s="42">
        <f>COUNTIFS(Actions!$S$7:$S$106,"Open",Actions!$Q$7:$Q$106,"&gt;=29",Actions!$Q$7:$Q$106,"&lt;=100000")</f>
        <v>0</v>
      </c>
    </row>
    <row r="63" spans="2:19" x14ac:dyDescent="0.3">
      <c r="B63" s="36" t="s">
        <v>86</v>
      </c>
    </row>
  </sheetData>
  <mergeCells count="70">
    <mergeCell ref="B5:C5"/>
    <mergeCell ref="J6:K7"/>
    <mergeCell ref="G25:H25"/>
    <mergeCell ref="D5:E5"/>
    <mergeCell ref="C21:F21"/>
    <mergeCell ref="H5:I5"/>
    <mergeCell ref="B11:O12"/>
    <mergeCell ref="L20:O20"/>
    <mergeCell ref="H8:I8"/>
    <mergeCell ref="J8:K8"/>
    <mergeCell ref="L25:O25"/>
    <mergeCell ref="F6:G7"/>
    <mergeCell ref="C25:F25"/>
    <mergeCell ref="L24:O24"/>
    <mergeCell ref="L15:O15"/>
    <mergeCell ref="L18:O18"/>
    <mergeCell ref="D8:E8"/>
    <mergeCell ref="C22:F22"/>
    <mergeCell ref="L23:O23"/>
    <mergeCell ref="G20:H20"/>
    <mergeCell ref="H6:I7"/>
    <mergeCell ref="G16:H16"/>
    <mergeCell ref="L2:O2"/>
    <mergeCell ref="C15:F15"/>
    <mergeCell ref="L5:M5"/>
    <mergeCell ref="L16:O16"/>
    <mergeCell ref="B30:D30"/>
    <mergeCell ref="N5:O5"/>
    <mergeCell ref="L8:M8"/>
    <mergeCell ref="B8:C8"/>
    <mergeCell ref="G18:H18"/>
    <mergeCell ref="N8:O8"/>
    <mergeCell ref="C24:F24"/>
    <mergeCell ref="F8:G8"/>
    <mergeCell ref="L19:O19"/>
    <mergeCell ref="G24:H24"/>
    <mergeCell ref="G15:H15"/>
    <mergeCell ref="C20:F20"/>
    <mergeCell ref="J5:K5"/>
    <mergeCell ref="L21:O21"/>
    <mergeCell ref="B6:C7"/>
    <mergeCell ref="G23:H23"/>
    <mergeCell ref="B29:D29"/>
    <mergeCell ref="C19:F19"/>
    <mergeCell ref="G17:H17"/>
    <mergeCell ref="C18:F18"/>
    <mergeCell ref="G22:H22"/>
    <mergeCell ref="L6:M7"/>
    <mergeCell ref="L17:O17"/>
    <mergeCell ref="F5:G5"/>
    <mergeCell ref="N6:O7"/>
    <mergeCell ref="G19:H19"/>
    <mergeCell ref="D6:E7"/>
    <mergeCell ref="C16:F16"/>
    <mergeCell ref="G21:H21"/>
    <mergeCell ref="B42:D42"/>
    <mergeCell ref="C17:F17"/>
    <mergeCell ref="C23:F23"/>
    <mergeCell ref="L22:O22"/>
    <mergeCell ref="B38:D38"/>
    <mergeCell ref="B34:D34"/>
    <mergeCell ref="B37:D37"/>
    <mergeCell ref="B40:D40"/>
    <mergeCell ref="B33:D33"/>
    <mergeCell ref="B36:D36"/>
    <mergeCell ref="B41:D41"/>
    <mergeCell ref="B32:D32"/>
    <mergeCell ref="B35:D35"/>
    <mergeCell ref="B31:D31"/>
    <mergeCell ref="B39:D39"/>
  </mergeCells>
  <conditionalFormatting sqref="D6">
    <cfRule type="cellIs" dxfId="18" priority="1" operator="greaterThan">
      <formula>0</formula>
    </cfRule>
  </conditionalFormatting>
  <conditionalFormatting sqref="F30:F41">
    <cfRule type="cellIs" dxfId="17" priority="5" operator="greaterThan">
      <formula>0</formula>
    </cfRule>
  </conditionalFormatting>
  <conditionalFormatting sqref="H6">
    <cfRule type="cellIs" dxfId="16" priority="2" operator="greaterThan">
      <formula>0</formula>
    </cfRule>
  </conditionalFormatting>
  <conditionalFormatting sqref="K16:K25">
    <cfRule type="cellIs" dxfId="15" priority="3" operator="lessThan">
      <formula>0</formula>
    </cfRule>
  </conditionalFormatting>
  <conditionalFormatting sqref="L16:O25">
    <cfRule type="expression" dxfId="14" priority="4">
      <formula>AND($L16&lt;&gt;"",$L16&lt;&gt;"✔")</formula>
    </cfRule>
  </conditionalFormatting>
  <conditionalFormatting sqref="N30:N41">
    <cfRule type="cellIs" dxfId="13" priority="6" operator="greaterThan">
      <formula>0</formula>
    </cfRule>
  </conditionalFormatting>
  <printOptions horizontalCentered="1"/>
  <pageMargins left="0.4" right="0.4" top="0.5" bottom="0.5" header="0.5" footer="0.5"/>
  <pageSetup paperSize="9" scale="58"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B82F6"/>
    <pageSetUpPr fitToPage="1"/>
  </sheetPr>
  <dimension ref="A1:U108"/>
  <sheetViews>
    <sheetView showGridLines="0" view="pageBreakPreview" zoomScale="60" zoomScaleNormal="100" workbookViewId="0">
      <pane xSplit="5" ySplit="6" topLeftCell="F7" activePane="bottomRight" state="frozen"/>
      <selection pane="topRight"/>
      <selection pane="bottomLeft"/>
      <selection pane="bottomRight" activeCell="R15" sqref="R15"/>
    </sheetView>
  </sheetViews>
  <sheetFormatPr defaultRowHeight="14.4" x14ac:dyDescent="0.3"/>
  <cols>
    <col min="1" max="1" width="7" customWidth="1"/>
    <col min="2" max="2" width="10" customWidth="1"/>
    <col min="3" max="3" width="11" customWidth="1"/>
    <col min="4" max="4" width="13" customWidth="1"/>
    <col min="5" max="5" width="40" customWidth="1"/>
    <col min="6" max="6" width="17" customWidth="1"/>
    <col min="7" max="7" width="11" customWidth="1"/>
    <col min="8" max="8" width="32" customWidth="1"/>
    <col min="9" max="9" width="30" customWidth="1"/>
    <col min="10" max="10" width="10" customWidth="1"/>
    <col min="11" max="11" width="15" customWidth="1"/>
    <col min="12" max="12" width="11" customWidth="1"/>
    <col min="13" max="13" width="30" customWidth="1"/>
    <col min="14" max="15" width="10" customWidth="1"/>
    <col min="16" max="16" width="34" customWidth="1"/>
    <col min="17" max="17" width="8" customWidth="1"/>
    <col min="18" max="18" width="9" customWidth="1"/>
    <col min="19" max="19" width="11" customWidth="1"/>
    <col min="20" max="20" width="40" customWidth="1"/>
    <col min="21" max="21" width="8" customWidth="1"/>
  </cols>
  <sheetData>
    <row r="1" spans="1:21" ht="28.05" customHeight="1" x14ac:dyDescent="0.4">
      <c r="A1" s="43" t="s">
        <v>42</v>
      </c>
      <c r="T1" s="95" t="s">
        <v>57</v>
      </c>
    </row>
    <row r="2" spans="1:21" x14ac:dyDescent="0.3">
      <c r="A2" s="44" t="s">
        <v>87</v>
      </c>
    </row>
    <row r="3" spans="1:21" x14ac:dyDescent="0.3">
      <c r="A3" s="45" t="s">
        <v>88</v>
      </c>
    </row>
    <row r="4" spans="1:21" x14ac:dyDescent="0.3">
      <c r="A4" s="46"/>
      <c r="B4" s="46"/>
      <c r="C4" s="46"/>
      <c r="D4" s="46"/>
      <c r="E4" s="46"/>
      <c r="F4" s="46"/>
      <c r="G4" s="46"/>
      <c r="H4" s="46"/>
      <c r="I4" s="46"/>
      <c r="J4" s="46"/>
      <c r="K4" s="46"/>
      <c r="L4" s="46"/>
      <c r="M4" s="46"/>
      <c r="N4" s="46"/>
      <c r="O4" s="46"/>
      <c r="P4" s="46"/>
      <c r="Q4" s="46"/>
      <c r="R4" s="46"/>
      <c r="S4" s="46"/>
      <c r="T4" s="46"/>
    </row>
    <row r="6" spans="1:21" ht="31.95" customHeight="1" x14ac:dyDescent="0.3">
      <c r="A6" s="47" t="s">
        <v>66</v>
      </c>
      <c r="B6" s="48" t="s">
        <v>89</v>
      </c>
      <c r="C6" s="48" t="s">
        <v>90</v>
      </c>
      <c r="D6" s="47" t="s">
        <v>91</v>
      </c>
      <c r="E6" s="47" t="s">
        <v>67</v>
      </c>
      <c r="F6" s="48" t="s">
        <v>92</v>
      </c>
      <c r="G6" s="47" t="s">
        <v>70</v>
      </c>
      <c r="H6" s="48" t="s">
        <v>22</v>
      </c>
      <c r="I6" s="48" t="s">
        <v>24</v>
      </c>
      <c r="J6" s="47" t="s">
        <v>93</v>
      </c>
      <c r="K6" s="48" t="s">
        <v>94</v>
      </c>
      <c r="L6" s="48" t="s">
        <v>95</v>
      </c>
      <c r="M6" s="47" t="s">
        <v>96</v>
      </c>
      <c r="N6" s="48" t="s">
        <v>97</v>
      </c>
      <c r="O6" s="48" t="s">
        <v>98</v>
      </c>
      <c r="P6" s="47" t="s">
        <v>99</v>
      </c>
      <c r="Q6" s="49" t="s">
        <v>100</v>
      </c>
      <c r="R6" s="49" t="s">
        <v>71</v>
      </c>
      <c r="S6" s="50" t="s">
        <v>101</v>
      </c>
      <c r="T6" s="49" t="s">
        <v>72</v>
      </c>
      <c r="U6" s="42" t="s">
        <v>102</v>
      </c>
    </row>
    <row r="7" spans="1:21" ht="30" customHeight="1" x14ac:dyDescent="0.3">
      <c r="A7" s="51" t="s">
        <v>103</v>
      </c>
      <c r="B7" s="19" t="s">
        <v>104</v>
      </c>
      <c r="C7" s="52">
        <f>IF(B7="","",IFERROR(INDEX(Meetings!$B$7:$B$56,MATCH(B7,Meetings!$A$7:$A$56,0)),"?"))</f>
        <v>46073</v>
      </c>
      <c r="D7" s="19" t="s">
        <v>67</v>
      </c>
      <c r="E7" s="53" t="s">
        <v>105</v>
      </c>
      <c r="F7" s="19" t="s">
        <v>106</v>
      </c>
      <c r="G7" s="54">
        <v>46080</v>
      </c>
      <c r="H7" s="53"/>
      <c r="I7" s="53"/>
      <c r="J7" s="19"/>
      <c r="K7" s="19"/>
      <c r="L7" s="54"/>
      <c r="M7" s="53"/>
      <c r="N7" s="19" t="s">
        <v>107</v>
      </c>
      <c r="O7" s="19"/>
      <c r="P7" s="53" t="s">
        <v>108</v>
      </c>
      <c r="Q7" s="55">
        <f>IF(OR(E7="",NOT(ISNUMBER(C7))),"",IF(S7="Closed",IF(L7="","",L7-C7),Setup!$B$7-C7))</f>
        <v>21</v>
      </c>
      <c r="R7" s="56">
        <f>IF(OR(E7="",G7="",S7="Closed",S7="Dropped"),"",G7-Setup!$B$7)</f>
        <v>-14</v>
      </c>
      <c r="S7" s="57" t="str">
        <f t="shared" ref="S7:S38" si="0">IF(E7="","",IF(J7="","Can’t tell",IF(J7="Reopened","Open",J7)))</f>
        <v>Can’t tell</v>
      </c>
      <c r="T7" s="58" t="str">
        <f>IF(E7="","",IF(IF(E7="","",IF(S7="Dropped","Dropped"&amp;IF(P7="",": write why",""),IF(F7="","No owner. ",IF(COUNTIF(Setup!$D$20:$D$39,F7)&gt;0,"A department: belongs to nobody. ",""))&amp;IF(G7="","No date. ","")&amp;IF(H7="","No picture of done. ","")&amp;IF(S7="Can’t tell","No status: open or closed? ","")&amp;IF(AND(S7="Closed",OR(K7="",M7="")),"Closed with no "&amp;IF(K7="","name","")&amp;IF(AND(K7="",M7=""),", no ","")&amp;IF(M7="","evidence","")&amp;". ","")&amp;IF(AND(S7&lt;&gt;"Closed",ISNUMBER(C7),Setup!$B$9&lt;&gt;"",C7&lt;Setup!$B$9,IFERROR(INDEX(Meetings!$B$7:$B$56,MATCH(N7,Meetings!$A$7:$A$56,0)),0)&lt;Setup!$B$9),"Missed at the last meeting. ","")&amp;IF(AND(ISNUMBER(R7),R7&lt;0),"Overdue "&amp;-R7&amp;IF(R7=-1," day. "," days. "),"")&amp;IF(O7&lt;&gt;"","Came back from "&amp;O7&amp;". ","")))="","✔",IF(E7="","",IF(S7="Dropped","Dropped"&amp;IF(P7="",": write why",""),IF(F7="","No owner. ",IF(COUNTIF(Setup!$D$20:$D$39,F7)&gt;0,"A department: belongs to nobody. ",""))&amp;IF(G7="","No date. ","")&amp;IF(H7="","No picture of done. ","")&amp;IF(S7="Can’t tell","No status: open or closed? ","")&amp;IF(AND(S7="Closed",OR(K7="",M7="")),"Closed with no "&amp;IF(K7="","name","")&amp;IF(AND(K7="",M7=""),", no ","")&amp;IF(M7="","evidence","")&amp;". ","")&amp;IF(AND(S7&lt;&gt;"Closed",ISNUMBER(C7),Setup!$B$9&lt;&gt;"",C7&lt;Setup!$B$9,IFERROR(INDEX(Meetings!$B$7:$B$56,MATCH(N7,Meetings!$A$7:$A$56,0)),0)&lt;Setup!$B$9),"Missed at the last meeting. ","")&amp;IF(AND(ISNUMBER(R7),R7&lt;0),"Overdue "&amp;-R7&amp;IF(R7=-1," day. "," days. "),"")&amp;IF(O7&lt;&gt;"","Came back from "&amp;O7&amp;". ","")))))</f>
        <v xml:space="preserve">No picture of done. No status: open or closed? Missed at the last meeting. Overdue 14 days. </v>
      </c>
      <c r="U7" s="59">
        <f t="shared" ref="U7:U38" si="1">IF(OR(E7="",S7="Closed",S7="Dropped",NOT(ISNUMBER(C7))),"",C7+ROW()/10000)</f>
        <v>46073.000699999997</v>
      </c>
    </row>
    <row r="8" spans="1:21" ht="30" customHeight="1" x14ac:dyDescent="0.3">
      <c r="A8" s="51" t="s">
        <v>109</v>
      </c>
      <c r="B8" s="19" t="s">
        <v>104</v>
      </c>
      <c r="C8" s="52">
        <f>IF(B8="","",IFERROR(INDEX(Meetings!$B$7:$B$56,MATCH(B8,Meetings!$A$7:$A$56,0)),"?"))</f>
        <v>46073</v>
      </c>
      <c r="D8" s="19" t="s">
        <v>67</v>
      </c>
      <c r="E8" s="53" t="s">
        <v>110</v>
      </c>
      <c r="F8" s="19" t="s">
        <v>111</v>
      </c>
      <c r="G8" s="54">
        <v>46087</v>
      </c>
      <c r="H8" s="53" t="s">
        <v>112</v>
      </c>
      <c r="I8" s="53"/>
      <c r="J8" s="19" t="s">
        <v>13</v>
      </c>
      <c r="K8" s="19" t="s">
        <v>113</v>
      </c>
      <c r="L8" s="54">
        <v>46086</v>
      </c>
      <c r="M8" s="53"/>
      <c r="N8" s="19" t="s">
        <v>114</v>
      </c>
      <c r="O8" s="19"/>
      <c r="P8" s="53" t="s">
        <v>115</v>
      </c>
      <c r="Q8" s="55">
        <f>IF(OR(E8="",NOT(ISNUMBER(C8))),"",IF(S8="Closed",IF(L8="","",L8-C8),Setup!$B$7-C8))</f>
        <v>13</v>
      </c>
      <c r="R8" s="56" t="str">
        <f>IF(OR(E8="",G8="",S8="Closed",S8="Dropped"),"",G8-Setup!$B$7)</f>
        <v/>
      </c>
      <c r="S8" s="57" t="str">
        <f t="shared" si="0"/>
        <v>Closed</v>
      </c>
      <c r="T8" s="58" t="str">
        <f>IF(E8="","",IF(IF(E8="","",IF(S8="Dropped","Dropped"&amp;IF(P8="",": write why",""),IF(F8="","No owner. ",IF(COUNTIF(Setup!$D$20:$D$39,F8)&gt;0,"A department: belongs to nobody. ",""))&amp;IF(G8="","No date. ","")&amp;IF(H8="","No picture of done. ","")&amp;IF(S8="Can’t tell","No status: open or closed? ","")&amp;IF(AND(S8="Closed",OR(K8="",M8="")),"Closed with no "&amp;IF(K8="","name","")&amp;IF(AND(K8="",M8=""),", no ","")&amp;IF(M8="","evidence","")&amp;". ","")&amp;IF(AND(S8&lt;&gt;"Closed",ISNUMBER(C8),Setup!$B$9&lt;&gt;"",C8&lt;Setup!$B$9,IFERROR(INDEX(Meetings!$B$7:$B$56,MATCH(N8,Meetings!$A$7:$A$56,0)),0)&lt;Setup!$B$9),"Missed at the last meeting. ","")&amp;IF(AND(ISNUMBER(R8),R8&lt;0),"Overdue "&amp;-R8&amp;IF(R8=-1," day. "," days. "),"")&amp;IF(O8&lt;&gt;"","Came back from "&amp;O8&amp;". ","")))="","✔",IF(E8="","",IF(S8="Dropped","Dropped"&amp;IF(P8="",": write why",""),IF(F8="","No owner. ",IF(COUNTIF(Setup!$D$20:$D$39,F8)&gt;0,"A department: belongs to nobody. ",""))&amp;IF(G8="","No date. ","")&amp;IF(H8="","No picture of done. ","")&amp;IF(S8="Can’t tell","No status: open or closed? ","")&amp;IF(AND(S8="Closed",OR(K8="",M8="")),"Closed with no "&amp;IF(K8="","name","")&amp;IF(AND(K8="",M8=""),", no ","")&amp;IF(M8="","evidence","")&amp;". ","")&amp;IF(AND(S8&lt;&gt;"Closed",ISNUMBER(C8),Setup!$B$9&lt;&gt;"",C8&lt;Setup!$B$9,IFERROR(INDEX(Meetings!$B$7:$B$56,MATCH(N8,Meetings!$A$7:$A$56,0)),0)&lt;Setup!$B$9),"Missed at the last meeting. ","")&amp;IF(AND(ISNUMBER(R8),R8&lt;0),"Overdue "&amp;-R8&amp;IF(R8=-1," day. "," days. "),"")&amp;IF(O8&lt;&gt;"","Came back from "&amp;O8&amp;". ","")))))</f>
        <v xml:space="preserve">A department: belongs to nobody. Closed with no evidence. </v>
      </c>
      <c r="U8" s="59" t="str">
        <f t="shared" si="1"/>
        <v/>
      </c>
    </row>
    <row r="9" spans="1:21" ht="30" customHeight="1" x14ac:dyDescent="0.3">
      <c r="A9" s="51" t="s">
        <v>116</v>
      </c>
      <c r="B9" s="19" t="s">
        <v>104</v>
      </c>
      <c r="C9" s="52">
        <f>IF(B9="","",IFERROR(INDEX(Meetings!$B$7:$B$56,MATCH(B9,Meetings!$A$7:$A$56,0)),"?"))</f>
        <v>46073</v>
      </c>
      <c r="D9" s="19" t="s">
        <v>67</v>
      </c>
      <c r="E9" s="53" t="s">
        <v>117</v>
      </c>
      <c r="F9" s="19" t="s">
        <v>118</v>
      </c>
      <c r="G9" s="54">
        <v>46087</v>
      </c>
      <c r="H9" s="53" t="s">
        <v>119</v>
      </c>
      <c r="I9" s="53" t="s">
        <v>120</v>
      </c>
      <c r="J9" s="19" t="s">
        <v>27</v>
      </c>
      <c r="K9" s="19"/>
      <c r="L9" s="54"/>
      <c r="M9" s="53"/>
      <c r="N9" s="19" t="s">
        <v>121</v>
      </c>
      <c r="O9" s="19"/>
      <c r="P9" s="53"/>
      <c r="Q9" s="55">
        <f>IF(OR(E9="",NOT(ISNUMBER(C9))),"",IF(S9="Closed",IF(L9="","",L9-C9),Setup!$B$7-C9))</f>
        <v>21</v>
      </c>
      <c r="R9" s="56">
        <f>IF(OR(E9="",G9="",S9="Closed",S9="Dropped"),"",G9-Setup!$B$7)</f>
        <v>-7</v>
      </c>
      <c r="S9" s="57" t="str">
        <f t="shared" si="0"/>
        <v>Open</v>
      </c>
      <c r="T9" s="58" t="str">
        <f>IF(E9="","",IF(IF(E9="","",IF(S9="Dropped","Dropped"&amp;IF(P9="",": write why",""),IF(F9="","No owner. ",IF(COUNTIF(Setup!$D$20:$D$39,F9)&gt;0,"A department: belongs to nobody. ",""))&amp;IF(G9="","No date. ","")&amp;IF(H9="","No picture of done. ","")&amp;IF(S9="Can’t tell","No status: open or closed? ","")&amp;IF(AND(S9="Closed",OR(K9="",M9="")),"Closed with no "&amp;IF(K9="","name","")&amp;IF(AND(K9="",M9=""),", no ","")&amp;IF(M9="","evidence","")&amp;". ","")&amp;IF(AND(S9&lt;&gt;"Closed",ISNUMBER(C9),Setup!$B$9&lt;&gt;"",C9&lt;Setup!$B$9,IFERROR(INDEX(Meetings!$B$7:$B$56,MATCH(N9,Meetings!$A$7:$A$56,0)),0)&lt;Setup!$B$9),"Missed at the last meeting. ","")&amp;IF(AND(ISNUMBER(R9),R9&lt;0),"Overdue "&amp;-R9&amp;IF(R9=-1," day. "," days. "),"")&amp;IF(O9&lt;&gt;"","Came back from "&amp;O9&amp;". ","")))="","✔",IF(E9="","",IF(S9="Dropped","Dropped"&amp;IF(P9="",": write why",""),IF(F9="","No owner. ",IF(COUNTIF(Setup!$D$20:$D$39,F9)&gt;0,"A department: belongs to nobody. ",""))&amp;IF(G9="","No date. ","")&amp;IF(H9="","No picture of done. ","")&amp;IF(S9="Can’t tell","No status: open or closed? ","")&amp;IF(AND(S9="Closed",OR(K9="",M9="")),"Closed with no "&amp;IF(K9="","name","")&amp;IF(AND(K9="",M9=""),", no ","")&amp;IF(M9="","evidence","")&amp;". ","")&amp;IF(AND(S9&lt;&gt;"Closed",ISNUMBER(C9),Setup!$B$9&lt;&gt;"",C9&lt;Setup!$B$9,IFERROR(INDEX(Meetings!$B$7:$B$56,MATCH(N9,Meetings!$A$7:$A$56,0)),0)&lt;Setup!$B$9),"Missed at the last meeting. ","")&amp;IF(AND(ISNUMBER(R9),R9&lt;0),"Overdue "&amp;-R9&amp;IF(R9=-1," day. "," days. "),"")&amp;IF(O9&lt;&gt;"","Came back from "&amp;O9&amp;". ","")))))</f>
        <v xml:space="preserve">A department: belongs to nobody. Overdue 7 days. </v>
      </c>
      <c r="U9" s="59">
        <f t="shared" si="1"/>
        <v>46073.000899999999</v>
      </c>
    </row>
    <row r="10" spans="1:21" ht="30" customHeight="1" x14ac:dyDescent="0.3">
      <c r="A10" s="51" t="s">
        <v>122</v>
      </c>
      <c r="B10" s="19" t="s">
        <v>107</v>
      </c>
      <c r="C10" s="52">
        <f>IF(B10="","",IFERROR(INDEX(Meetings!$B$7:$B$56,MATCH(B10,Meetings!$A$7:$A$56,0)),"?"))</f>
        <v>46080</v>
      </c>
      <c r="D10" s="19" t="s">
        <v>67</v>
      </c>
      <c r="E10" s="53" t="s">
        <v>123</v>
      </c>
      <c r="F10" s="19"/>
      <c r="G10" s="54"/>
      <c r="H10" s="53"/>
      <c r="I10" s="53"/>
      <c r="J10" s="19" t="s">
        <v>27</v>
      </c>
      <c r="K10" s="19"/>
      <c r="L10" s="54"/>
      <c r="M10" s="53"/>
      <c r="N10" s="19"/>
      <c r="O10" s="19"/>
      <c r="P10" s="53" t="s">
        <v>124</v>
      </c>
      <c r="Q10" s="55">
        <f>IF(OR(E10="",NOT(ISNUMBER(C10))),"",IF(S10="Closed",IF(L10="","",L10-C10),Setup!$B$7-C10))</f>
        <v>14</v>
      </c>
      <c r="R10" s="56" t="str">
        <f>IF(OR(E10="",G10="",S10="Closed",S10="Dropped"),"",G10-Setup!$B$7)</f>
        <v/>
      </c>
      <c r="S10" s="57" t="str">
        <f t="shared" si="0"/>
        <v>Open</v>
      </c>
      <c r="T10" s="58" t="str">
        <f>IF(E10="","",IF(IF(E10="","",IF(S10="Dropped","Dropped"&amp;IF(P10="",": write why",""),IF(F10="","No owner. ",IF(COUNTIF(Setup!$D$20:$D$39,F10)&gt;0,"A department: belongs to nobody. ",""))&amp;IF(G10="","No date. ","")&amp;IF(H10="","No picture of done. ","")&amp;IF(S10="Can’t tell","No status: open or closed? ","")&amp;IF(AND(S10="Closed",OR(K10="",M10="")),"Closed with no "&amp;IF(K10="","name","")&amp;IF(AND(K10="",M10=""),", no ","")&amp;IF(M10="","evidence","")&amp;". ","")&amp;IF(AND(S10&lt;&gt;"Closed",ISNUMBER(C10),Setup!$B$9&lt;&gt;"",C10&lt;Setup!$B$9,IFERROR(INDEX(Meetings!$B$7:$B$56,MATCH(N10,Meetings!$A$7:$A$56,0)),0)&lt;Setup!$B$9),"Missed at the last meeting. ","")&amp;IF(AND(ISNUMBER(R10),R10&lt;0),"Overdue "&amp;-R10&amp;IF(R10=-1," day. "," days. "),"")&amp;IF(O10&lt;&gt;"","Came back from "&amp;O10&amp;". ","")))="","✔",IF(E10="","",IF(S10="Dropped","Dropped"&amp;IF(P10="",": write why",""),IF(F10="","No owner. ",IF(COUNTIF(Setup!$D$20:$D$39,F10)&gt;0,"A department: belongs to nobody. ",""))&amp;IF(G10="","No date. ","")&amp;IF(H10="","No picture of done. ","")&amp;IF(S10="Can’t tell","No status: open or closed? ","")&amp;IF(AND(S10="Closed",OR(K10="",M10="")),"Closed with no "&amp;IF(K10="","name","")&amp;IF(AND(K10="",M10=""),", no ","")&amp;IF(M10="","evidence","")&amp;". ","")&amp;IF(AND(S10&lt;&gt;"Closed",ISNUMBER(C10),Setup!$B$9&lt;&gt;"",C10&lt;Setup!$B$9,IFERROR(INDEX(Meetings!$B$7:$B$56,MATCH(N10,Meetings!$A$7:$A$56,0)),0)&lt;Setup!$B$9),"Missed at the last meeting. ","")&amp;IF(AND(ISNUMBER(R10),R10&lt;0),"Overdue "&amp;-R10&amp;IF(R10=-1," day. "," days. "),"")&amp;IF(O10&lt;&gt;"","Came back from "&amp;O10&amp;". ","")))))</f>
        <v xml:space="preserve">No owner. No date. No picture of done. Missed at the last meeting. </v>
      </c>
      <c r="U10" s="59">
        <f t="shared" si="1"/>
        <v>46080.000999999997</v>
      </c>
    </row>
    <row r="11" spans="1:21" ht="30" customHeight="1" x14ac:dyDescent="0.3">
      <c r="A11" s="51" t="s">
        <v>125</v>
      </c>
      <c r="B11" s="19" t="s">
        <v>107</v>
      </c>
      <c r="C11" s="52">
        <f>IF(B11="","",IFERROR(INDEX(Meetings!$B$7:$B$56,MATCH(B11,Meetings!$A$7:$A$56,0)),"?"))</f>
        <v>46080</v>
      </c>
      <c r="D11" s="19" t="s">
        <v>67</v>
      </c>
      <c r="E11" s="53" t="s">
        <v>126</v>
      </c>
      <c r="F11" s="19" t="s">
        <v>127</v>
      </c>
      <c r="G11" s="54">
        <v>46094</v>
      </c>
      <c r="H11" s="53" t="s">
        <v>128</v>
      </c>
      <c r="I11" s="53"/>
      <c r="J11" s="19" t="s">
        <v>13</v>
      </c>
      <c r="K11" s="19" t="s">
        <v>127</v>
      </c>
      <c r="L11" s="54">
        <v>46093</v>
      </c>
      <c r="M11" s="53" t="s">
        <v>129</v>
      </c>
      <c r="N11" s="19" t="s">
        <v>121</v>
      </c>
      <c r="O11" s="19"/>
      <c r="P11" s="53"/>
      <c r="Q11" s="55">
        <f>IF(OR(E11="",NOT(ISNUMBER(C11))),"",IF(S11="Closed",IF(L11="","",L11-C11),Setup!$B$7-C11))</f>
        <v>13</v>
      </c>
      <c r="R11" s="56" t="str">
        <f>IF(OR(E11="",G11="",S11="Closed",S11="Dropped"),"",G11-Setup!$B$7)</f>
        <v/>
      </c>
      <c r="S11" s="57" t="str">
        <f t="shared" si="0"/>
        <v>Closed</v>
      </c>
      <c r="T11" s="58" t="str">
        <f>IF(E11="","",IF(IF(E11="","",IF(S11="Dropped","Dropped"&amp;IF(P11="",": write why",""),IF(F11="","No owner. ",IF(COUNTIF(Setup!$D$20:$D$39,F11)&gt;0,"A department: belongs to nobody. ",""))&amp;IF(G11="","No date. ","")&amp;IF(H11="","No picture of done. ","")&amp;IF(S11="Can’t tell","No status: open or closed? ","")&amp;IF(AND(S11="Closed",OR(K11="",M11="")),"Closed with no "&amp;IF(K11="","name","")&amp;IF(AND(K11="",M11=""),", no ","")&amp;IF(M11="","evidence","")&amp;". ","")&amp;IF(AND(S11&lt;&gt;"Closed",ISNUMBER(C11),Setup!$B$9&lt;&gt;"",C11&lt;Setup!$B$9,IFERROR(INDEX(Meetings!$B$7:$B$56,MATCH(N11,Meetings!$A$7:$A$56,0)),0)&lt;Setup!$B$9),"Missed at the last meeting. ","")&amp;IF(AND(ISNUMBER(R11),R11&lt;0),"Overdue "&amp;-R11&amp;IF(R11=-1," day. "," days. "),"")&amp;IF(O11&lt;&gt;"","Came back from "&amp;O11&amp;". ","")))="","✔",IF(E11="","",IF(S11="Dropped","Dropped"&amp;IF(P11="",": write why",""),IF(F11="","No owner. ",IF(COUNTIF(Setup!$D$20:$D$39,F11)&gt;0,"A department: belongs to nobody. ",""))&amp;IF(G11="","No date. ","")&amp;IF(H11="","No picture of done. ","")&amp;IF(S11="Can’t tell","No status: open or closed? ","")&amp;IF(AND(S11="Closed",OR(K11="",M11="")),"Closed with no "&amp;IF(K11="","name","")&amp;IF(AND(K11="",M11=""),", no ","")&amp;IF(M11="","evidence","")&amp;". ","")&amp;IF(AND(S11&lt;&gt;"Closed",ISNUMBER(C11),Setup!$B$9&lt;&gt;"",C11&lt;Setup!$B$9,IFERROR(INDEX(Meetings!$B$7:$B$56,MATCH(N11,Meetings!$A$7:$A$56,0)),0)&lt;Setup!$B$9),"Missed at the last meeting. ","")&amp;IF(AND(ISNUMBER(R11),R11&lt;0),"Overdue "&amp;-R11&amp;IF(R11=-1," day. "," days. "),"")&amp;IF(O11&lt;&gt;"","Came back from "&amp;O11&amp;". ","")))))</f>
        <v>✔</v>
      </c>
      <c r="U11" s="59" t="str">
        <f t="shared" si="1"/>
        <v/>
      </c>
    </row>
    <row r="12" spans="1:21" ht="30" customHeight="1" x14ac:dyDescent="0.3">
      <c r="A12" s="51" t="s">
        <v>130</v>
      </c>
      <c r="B12" s="19" t="s">
        <v>107</v>
      </c>
      <c r="C12" s="52">
        <f>IF(B12="","",IFERROR(INDEX(Meetings!$B$7:$B$56,MATCH(B12,Meetings!$A$7:$A$56,0)),"?"))</f>
        <v>46080</v>
      </c>
      <c r="D12" s="19" t="s">
        <v>67</v>
      </c>
      <c r="E12" s="53" t="s">
        <v>131</v>
      </c>
      <c r="F12" s="19" t="s">
        <v>132</v>
      </c>
      <c r="G12" s="54">
        <v>46101</v>
      </c>
      <c r="H12" s="53" t="s">
        <v>133</v>
      </c>
      <c r="I12" s="53" t="s">
        <v>134</v>
      </c>
      <c r="J12" s="19" t="s">
        <v>27</v>
      </c>
      <c r="K12" s="19"/>
      <c r="L12" s="54"/>
      <c r="M12" s="53"/>
      <c r="N12" s="19" t="s">
        <v>121</v>
      </c>
      <c r="O12" s="19"/>
      <c r="P12" s="53"/>
      <c r="Q12" s="55">
        <f>IF(OR(E12="",NOT(ISNUMBER(C12))),"",IF(S12="Closed",IF(L12="","",L12-C12),Setup!$B$7-C12))</f>
        <v>14</v>
      </c>
      <c r="R12" s="56">
        <f>IF(OR(E12="",G12="",S12="Closed",S12="Dropped"),"",G12-Setup!$B$7)</f>
        <v>7</v>
      </c>
      <c r="S12" s="57" t="str">
        <f t="shared" si="0"/>
        <v>Open</v>
      </c>
      <c r="T12" s="58" t="str">
        <f>IF(E12="","",IF(IF(E12="","",IF(S12="Dropped","Dropped"&amp;IF(P12="",": write why",""),IF(F12="","No owner. ",IF(COUNTIF(Setup!$D$20:$D$39,F12)&gt;0,"A department: belongs to nobody. ",""))&amp;IF(G12="","No date. ","")&amp;IF(H12="","No picture of done. ","")&amp;IF(S12="Can’t tell","No status: open or closed? ","")&amp;IF(AND(S12="Closed",OR(K12="",M12="")),"Closed with no "&amp;IF(K12="","name","")&amp;IF(AND(K12="",M12=""),", no ","")&amp;IF(M12="","evidence","")&amp;". ","")&amp;IF(AND(S12&lt;&gt;"Closed",ISNUMBER(C12),Setup!$B$9&lt;&gt;"",C12&lt;Setup!$B$9,IFERROR(INDEX(Meetings!$B$7:$B$56,MATCH(N12,Meetings!$A$7:$A$56,0)),0)&lt;Setup!$B$9),"Missed at the last meeting. ","")&amp;IF(AND(ISNUMBER(R12),R12&lt;0),"Overdue "&amp;-R12&amp;IF(R12=-1," day. "," days. "),"")&amp;IF(O12&lt;&gt;"","Came back from "&amp;O12&amp;". ","")))="","✔",IF(E12="","",IF(S12="Dropped","Dropped"&amp;IF(P12="",": write why",""),IF(F12="","No owner. ",IF(COUNTIF(Setup!$D$20:$D$39,F12)&gt;0,"A department: belongs to nobody. ",""))&amp;IF(G12="","No date. ","")&amp;IF(H12="","No picture of done. ","")&amp;IF(S12="Can’t tell","No status: open or closed? ","")&amp;IF(AND(S12="Closed",OR(K12="",M12="")),"Closed with no "&amp;IF(K12="","name","")&amp;IF(AND(K12="",M12=""),", no ","")&amp;IF(M12="","evidence","")&amp;". ","")&amp;IF(AND(S12&lt;&gt;"Closed",ISNUMBER(C12),Setup!$B$9&lt;&gt;"",C12&lt;Setup!$B$9,IFERROR(INDEX(Meetings!$B$7:$B$56,MATCH(N12,Meetings!$A$7:$A$56,0)),0)&lt;Setup!$B$9),"Missed at the last meeting. ","")&amp;IF(AND(ISNUMBER(R12),R12&lt;0),"Overdue "&amp;-R12&amp;IF(R12=-1," day. "," days. "),"")&amp;IF(O12&lt;&gt;"","Came back from "&amp;O12&amp;". ","")))))</f>
        <v>✔</v>
      </c>
      <c r="U12" s="59">
        <f t="shared" si="1"/>
        <v>46080.001199999999</v>
      </c>
    </row>
    <row r="13" spans="1:21" ht="30" customHeight="1" x14ac:dyDescent="0.3">
      <c r="A13" s="51" t="s">
        <v>135</v>
      </c>
      <c r="B13" s="19" t="s">
        <v>114</v>
      </c>
      <c r="C13" s="52">
        <f>IF(B13="","",IFERROR(INDEX(Meetings!$B$7:$B$56,MATCH(B13,Meetings!$A$7:$A$56,0)),"?"))</f>
        <v>46087</v>
      </c>
      <c r="D13" s="19" t="s">
        <v>67</v>
      </c>
      <c r="E13" s="53" t="s">
        <v>136</v>
      </c>
      <c r="F13" s="19" t="s">
        <v>137</v>
      </c>
      <c r="G13" s="54">
        <v>46094</v>
      </c>
      <c r="H13" s="53" t="s">
        <v>138</v>
      </c>
      <c r="I13" s="53" t="s">
        <v>139</v>
      </c>
      <c r="J13" s="19" t="s">
        <v>27</v>
      </c>
      <c r="K13" s="19"/>
      <c r="L13" s="54"/>
      <c r="M13" s="53"/>
      <c r="N13" s="19" t="s">
        <v>121</v>
      </c>
      <c r="O13" s="19"/>
      <c r="P13" s="53"/>
      <c r="Q13" s="55">
        <f>IF(OR(E13="",NOT(ISNUMBER(C13))),"",IF(S13="Closed",IF(L13="","",L13-C13),Setup!$B$7-C13))</f>
        <v>7</v>
      </c>
      <c r="R13" s="56">
        <f>IF(OR(E13="",G13="",S13="Closed",S13="Dropped"),"",G13-Setup!$B$7)</f>
        <v>0</v>
      </c>
      <c r="S13" s="57" t="str">
        <f t="shared" si="0"/>
        <v>Open</v>
      </c>
      <c r="T13" s="58" t="str">
        <f>IF(E13="","",IF(IF(E13="","",IF(S13="Dropped","Dropped"&amp;IF(P13="",": write why",""),IF(F13="","No owner. ",IF(COUNTIF(Setup!$D$20:$D$39,F13)&gt;0,"A department: belongs to nobody. ",""))&amp;IF(G13="","No date. ","")&amp;IF(H13="","No picture of done. ","")&amp;IF(S13="Can’t tell","No status: open or closed? ","")&amp;IF(AND(S13="Closed",OR(K13="",M13="")),"Closed with no "&amp;IF(K13="","name","")&amp;IF(AND(K13="",M13=""),", no ","")&amp;IF(M13="","evidence","")&amp;". ","")&amp;IF(AND(S13&lt;&gt;"Closed",ISNUMBER(C13),Setup!$B$9&lt;&gt;"",C13&lt;Setup!$B$9,IFERROR(INDEX(Meetings!$B$7:$B$56,MATCH(N13,Meetings!$A$7:$A$56,0)),0)&lt;Setup!$B$9),"Missed at the last meeting. ","")&amp;IF(AND(ISNUMBER(R13),R13&lt;0),"Overdue "&amp;-R13&amp;IF(R13=-1," day. "," days. "),"")&amp;IF(O13&lt;&gt;"","Came back from "&amp;O13&amp;". ","")))="","✔",IF(E13="","",IF(S13="Dropped","Dropped"&amp;IF(P13="",": write why",""),IF(F13="","No owner. ",IF(COUNTIF(Setup!$D$20:$D$39,F13)&gt;0,"A department: belongs to nobody. ",""))&amp;IF(G13="","No date. ","")&amp;IF(H13="","No picture of done. ","")&amp;IF(S13="Can’t tell","No status: open or closed? ","")&amp;IF(AND(S13="Closed",OR(K13="",M13="")),"Closed with no "&amp;IF(K13="","name","")&amp;IF(AND(K13="",M13=""),", no ","")&amp;IF(M13="","evidence","")&amp;". ","")&amp;IF(AND(S13&lt;&gt;"Closed",ISNUMBER(C13),Setup!$B$9&lt;&gt;"",C13&lt;Setup!$B$9,IFERROR(INDEX(Meetings!$B$7:$B$56,MATCH(N13,Meetings!$A$7:$A$56,0)),0)&lt;Setup!$B$9),"Missed at the last meeting. ","")&amp;IF(AND(ISNUMBER(R13),R13&lt;0),"Overdue "&amp;-R13&amp;IF(R13=-1," day. "," days. "),"")&amp;IF(O13&lt;&gt;"","Came back from "&amp;O13&amp;". ","")))))</f>
        <v>✔</v>
      </c>
      <c r="U13" s="59">
        <f t="shared" si="1"/>
        <v>46087.001300000004</v>
      </c>
    </row>
    <row r="14" spans="1:21" ht="30" customHeight="1" x14ac:dyDescent="0.3">
      <c r="A14" s="51" t="s">
        <v>140</v>
      </c>
      <c r="B14" s="19" t="s">
        <v>114</v>
      </c>
      <c r="C14" s="52">
        <f>IF(B14="","",IFERROR(INDEX(Meetings!$B$7:$B$56,MATCH(B14,Meetings!$A$7:$A$56,0)),"?"))</f>
        <v>46087</v>
      </c>
      <c r="D14" s="19" t="s">
        <v>67</v>
      </c>
      <c r="E14" s="53" t="s">
        <v>141</v>
      </c>
      <c r="F14" s="19" t="s">
        <v>132</v>
      </c>
      <c r="G14" s="54">
        <v>46101</v>
      </c>
      <c r="H14" s="53" t="s">
        <v>142</v>
      </c>
      <c r="I14" s="53"/>
      <c r="J14" s="19" t="s">
        <v>27</v>
      </c>
      <c r="K14" s="19"/>
      <c r="L14" s="54"/>
      <c r="M14" s="53"/>
      <c r="N14" s="19" t="s">
        <v>121</v>
      </c>
      <c r="O14" s="19"/>
      <c r="P14" s="53"/>
      <c r="Q14" s="55">
        <f>IF(OR(E14="",NOT(ISNUMBER(C14))),"",IF(S14="Closed",IF(L14="","",L14-C14),Setup!$B$7-C14))</f>
        <v>7</v>
      </c>
      <c r="R14" s="56">
        <f>IF(OR(E14="",G14="",S14="Closed",S14="Dropped"),"",G14-Setup!$B$7)</f>
        <v>7</v>
      </c>
      <c r="S14" s="57" t="str">
        <f t="shared" si="0"/>
        <v>Open</v>
      </c>
      <c r="T14" s="58" t="str">
        <f>IF(E14="","",IF(IF(E14="","",IF(S14="Dropped","Dropped"&amp;IF(P14="",": write why",""),IF(F14="","No owner. ",IF(COUNTIF(Setup!$D$20:$D$39,F14)&gt;0,"A department: belongs to nobody. ",""))&amp;IF(G14="","No date. ","")&amp;IF(H14="","No picture of done. ","")&amp;IF(S14="Can’t tell","No status: open or closed? ","")&amp;IF(AND(S14="Closed",OR(K14="",M14="")),"Closed with no "&amp;IF(K14="","name","")&amp;IF(AND(K14="",M14=""),", no ","")&amp;IF(M14="","evidence","")&amp;". ","")&amp;IF(AND(S14&lt;&gt;"Closed",ISNUMBER(C14),Setup!$B$9&lt;&gt;"",C14&lt;Setup!$B$9,IFERROR(INDEX(Meetings!$B$7:$B$56,MATCH(N14,Meetings!$A$7:$A$56,0)),0)&lt;Setup!$B$9),"Missed at the last meeting. ","")&amp;IF(AND(ISNUMBER(R14),R14&lt;0),"Overdue "&amp;-R14&amp;IF(R14=-1," day. "," days. "),"")&amp;IF(O14&lt;&gt;"","Came back from "&amp;O14&amp;". ","")))="","✔",IF(E14="","",IF(S14="Dropped","Dropped"&amp;IF(P14="",": write why",""),IF(F14="","No owner. ",IF(COUNTIF(Setup!$D$20:$D$39,F14)&gt;0,"A department: belongs to nobody. ",""))&amp;IF(G14="","No date. ","")&amp;IF(H14="","No picture of done. ","")&amp;IF(S14="Can’t tell","No status: open or closed? ","")&amp;IF(AND(S14="Closed",OR(K14="",M14="")),"Closed with no "&amp;IF(K14="","name","")&amp;IF(AND(K14="",M14=""),", no ","")&amp;IF(M14="","evidence","")&amp;". ","")&amp;IF(AND(S14&lt;&gt;"Closed",ISNUMBER(C14),Setup!$B$9&lt;&gt;"",C14&lt;Setup!$B$9,IFERROR(INDEX(Meetings!$B$7:$B$56,MATCH(N14,Meetings!$A$7:$A$56,0)),0)&lt;Setup!$B$9),"Missed at the last meeting. ","")&amp;IF(AND(ISNUMBER(R14),R14&lt;0),"Overdue "&amp;-R14&amp;IF(R14=-1," day. "," days. "),"")&amp;IF(O14&lt;&gt;"","Came back from "&amp;O14&amp;". ","")))))</f>
        <v>✔</v>
      </c>
      <c r="U14" s="59">
        <f t="shared" si="1"/>
        <v>46087.001400000001</v>
      </c>
    </row>
    <row r="15" spans="1:21" ht="30" customHeight="1" x14ac:dyDescent="0.3">
      <c r="A15" s="51" t="s">
        <v>143</v>
      </c>
      <c r="B15" s="19" t="s">
        <v>114</v>
      </c>
      <c r="C15" s="52">
        <f>IF(B15="","",IFERROR(INDEX(Meetings!$B$7:$B$56,MATCH(B15,Meetings!$A$7:$A$56,0)),"?"))</f>
        <v>46087</v>
      </c>
      <c r="D15" s="19" t="s">
        <v>67</v>
      </c>
      <c r="E15" s="53" t="s">
        <v>144</v>
      </c>
      <c r="F15" s="19" t="s">
        <v>127</v>
      </c>
      <c r="G15" s="54">
        <v>46092</v>
      </c>
      <c r="H15" s="53" t="s">
        <v>145</v>
      </c>
      <c r="I15" s="53" t="s">
        <v>146</v>
      </c>
      <c r="J15" s="19" t="s">
        <v>27</v>
      </c>
      <c r="K15" s="19"/>
      <c r="L15" s="54"/>
      <c r="M15" s="53"/>
      <c r="N15" s="19" t="s">
        <v>114</v>
      </c>
      <c r="O15" s="19"/>
      <c r="P15" s="53" t="s">
        <v>147</v>
      </c>
      <c r="Q15" s="55">
        <f>IF(OR(E15="",NOT(ISNUMBER(C15))),"",IF(S15="Closed",IF(L15="","",L15-C15),Setup!$B$7-C15))</f>
        <v>7</v>
      </c>
      <c r="R15" s="56">
        <f>IF(OR(E15="",G15="",S15="Closed",S15="Dropped"),"",G15-Setup!$B$7)</f>
        <v>-2</v>
      </c>
      <c r="S15" s="57" t="str">
        <f t="shared" si="0"/>
        <v>Open</v>
      </c>
      <c r="T15" s="58" t="str">
        <f>IF(E15="","",IF(IF(E15="","",IF(S15="Dropped","Dropped"&amp;IF(P15="",": write why",""),IF(F15="","No owner. ",IF(COUNTIF(Setup!$D$20:$D$39,F15)&gt;0,"A department: belongs to nobody. ",""))&amp;IF(G15="","No date. ","")&amp;IF(H15="","No picture of done. ","")&amp;IF(S15="Can’t tell","No status: open or closed? ","")&amp;IF(AND(S15="Closed",OR(K15="",M15="")),"Closed with no "&amp;IF(K15="","name","")&amp;IF(AND(K15="",M15=""),", no ","")&amp;IF(M15="","evidence","")&amp;". ","")&amp;IF(AND(S15&lt;&gt;"Closed",ISNUMBER(C15),Setup!$B$9&lt;&gt;"",C15&lt;Setup!$B$9,IFERROR(INDEX(Meetings!$B$7:$B$56,MATCH(N15,Meetings!$A$7:$A$56,0)),0)&lt;Setup!$B$9),"Missed at the last meeting. ","")&amp;IF(AND(ISNUMBER(R15),R15&lt;0),"Overdue "&amp;-R15&amp;IF(R15=-1," day. "," days. "),"")&amp;IF(O15&lt;&gt;"","Came back from "&amp;O15&amp;". ","")))="","✔",IF(E15="","",IF(S15="Dropped","Dropped"&amp;IF(P15="",": write why",""),IF(F15="","No owner. ",IF(COUNTIF(Setup!$D$20:$D$39,F15)&gt;0,"A department: belongs to nobody. ",""))&amp;IF(G15="","No date. ","")&amp;IF(H15="","No picture of done. ","")&amp;IF(S15="Can’t tell","No status: open or closed? ","")&amp;IF(AND(S15="Closed",OR(K15="",M15="")),"Closed with no "&amp;IF(K15="","name","")&amp;IF(AND(K15="",M15=""),", no ","")&amp;IF(M15="","evidence","")&amp;". ","")&amp;IF(AND(S15&lt;&gt;"Closed",ISNUMBER(C15),Setup!$B$9&lt;&gt;"",C15&lt;Setup!$B$9,IFERROR(INDEX(Meetings!$B$7:$B$56,MATCH(N15,Meetings!$A$7:$A$56,0)),0)&lt;Setup!$B$9),"Missed at the last meeting. ","")&amp;IF(AND(ISNUMBER(R15),R15&lt;0),"Overdue "&amp;-R15&amp;IF(R15=-1," day. "," days. "),"")&amp;IF(O15&lt;&gt;"","Came back from "&amp;O15&amp;". ","")))))</f>
        <v xml:space="preserve">Missed at the last meeting. Overdue 2 days. </v>
      </c>
      <c r="U15" s="59">
        <f t="shared" si="1"/>
        <v>46087.001499999998</v>
      </c>
    </row>
    <row r="16" spans="1:21" ht="30" customHeight="1" x14ac:dyDescent="0.3">
      <c r="A16" s="51" t="s">
        <v>148</v>
      </c>
      <c r="B16" s="19" t="s">
        <v>114</v>
      </c>
      <c r="C16" s="52">
        <f>IF(B16="","",IFERROR(INDEX(Meetings!$B$7:$B$56,MATCH(B16,Meetings!$A$7:$A$56,0)),"?"))</f>
        <v>46087</v>
      </c>
      <c r="D16" s="19" t="s">
        <v>67</v>
      </c>
      <c r="E16" s="53" t="s">
        <v>149</v>
      </c>
      <c r="F16" s="19" t="s">
        <v>150</v>
      </c>
      <c r="G16" s="54">
        <v>46093</v>
      </c>
      <c r="H16" s="53" t="s">
        <v>151</v>
      </c>
      <c r="I16" s="53" t="s">
        <v>152</v>
      </c>
      <c r="J16" s="19" t="s">
        <v>27</v>
      </c>
      <c r="K16" s="19"/>
      <c r="L16" s="54"/>
      <c r="M16" s="53"/>
      <c r="N16" s="19" t="s">
        <v>121</v>
      </c>
      <c r="O16" s="19"/>
      <c r="P16" s="53"/>
      <c r="Q16" s="55">
        <f>IF(OR(E16="",NOT(ISNUMBER(C16))),"",IF(S16="Closed",IF(L16="","",L16-C16),Setup!$B$7-C16))</f>
        <v>7</v>
      </c>
      <c r="R16" s="56">
        <f>IF(OR(E16="",G16="",S16="Closed",S16="Dropped"),"",G16-Setup!$B$7)</f>
        <v>-1</v>
      </c>
      <c r="S16" s="57" t="str">
        <f t="shared" si="0"/>
        <v>Open</v>
      </c>
      <c r="T16" s="58" t="str">
        <f>IF(E16="","",IF(IF(E16="","",IF(S16="Dropped","Dropped"&amp;IF(P16="",": write why",""),IF(F16="","No owner. ",IF(COUNTIF(Setup!$D$20:$D$39,F16)&gt;0,"A department: belongs to nobody. ",""))&amp;IF(G16="","No date. ","")&amp;IF(H16="","No picture of done. ","")&amp;IF(S16="Can’t tell","No status: open or closed? ","")&amp;IF(AND(S16="Closed",OR(K16="",M16="")),"Closed with no "&amp;IF(K16="","name","")&amp;IF(AND(K16="",M16=""),", no ","")&amp;IF(M16="","evidence","")&amp;". ","")&amp;IF(AND(S16&lt;&gt;"Closed",ISNUMBER(C16),Setup!$B$9&lt;&gt;"",C16&lt;Setup!$B$9,IFERROR(INDEX(Meetings!$B$7:$B$56,MATCH(N16,Meetings!$A$7:$A$56,0)),0)&lt;Setup!$B$9),"Missed at the last meeting. ","")&amp;IF(AND(ISNUMBER(R16),R16&lt;0),"Overdue "&amp;-R16&amp;IF(R16=-1," day. "," days. "),"")&amp;IF(O16&lt;&gt;"","Came back from "&amp;O16&amp;". ","")))="","✔",IF(E16="","",IF(S16="Dropped","Dropped"&amp;IF(P16="",": write why",""),IF(F16="","No owner. ",IF(COUNTIF(Setup!$D$20:$D$39,F16)&gt;0,"A department: belongs to nobody. ",""))&amp;IF(G16="","No date. ","")&amp;IF(H16="","No picture of done. ","")&amp;IF(S16="Can’t tell","No status: open or closed? ","")&amp;IF(AND(S16="Closed",OR(K16="",M16="")),"Closed with no "&amp;IF(K16="","name","")&amp;IF(AND(K16="",M16=""),", no ","")&amp;IF(M16="","evidence","")&amp;". ","")&amp;IF(AND(S16&lt;&gt;"Closed",ISNUMBER(C16),Setup!$B$9&lt;&gt;"",C16&lt;Setup!$B$9,IFERROR(INDEX(Meetings!$B$7:$B$56,MATCH(N16,Meetings!$A$7:$A$56,0)),0)&lt;Setup!$B$9),"Missed at the last meeting. ","")&amp;IF(AND(ISNUMBER(R16),R16&lt;0),"Overdue "&amp;-R16&amp;IF(R16=-1," day. "," days. "),"")&amp;IF(O16&lt;&gt;"","Came back from "&amp;O16&amp;". ","")))))</f>
        <v xml:space="preserve">Overdue 1 day. </v>
      </c>
      <c r="U16" s="59">
        <f t="shared" si="1"/>
        <v>46087.001600000003</v>
      </c>
    </row>
    <row r="17" spans="1:21" ht="30" customHeight="1" x14ac:dyDescent="0.3">
      <c r="A17" s="51" t="s">
        <v>153</v>
      </c>
      <c r="B17" s="19" t="s">
        <v>114</v>
      </c>
      <c r="C17" s="52">
        <f>IF(B17="","",IFERROR(INDEX(Meetings!$B$7:$B$56,MATCH(B17,Meetings!$A$7:$A$56,0)),"?"))</f>
        <v>46087</v>
      </c>
      <c r="D17" s="19" t="s">
        <v>67</v>
      </c>
      <c r="E17" s="53" t="s">
        <v>105</v>
      </c>
      <c r="F17" s="19" t="s">
        <v>106</v>
      </c>
      <c r="G17" s="54">
        <v>46095</v>
      </c>
      <c r="H17" s="53" t="s">
        <v>154</v>
      </c>
      <c r="I17" s="53" t="s">
        <v>155</v>
      </c>
      <c r="J17" s="19" t="s">
        <v>27</v>
      </c>
      <c r="K17" s="19"/>
      <c r="L17" s="54"/>
      <c r="M17" s="53"/>
      <c r="N17" s="19" t="s">
        <v>121</v>
      </c>
      <c r="O17" s="19" t="s">
        <v>103</v>
      </c>
      <c r="P17" s="53" t="s">
        <v>156</v>
      </c>
      <c r="Q17" s="55">
        <f>IF(OR(E17="",NOT(ISNUMBER(C17))),"",IF(S17="Closed",IF(L17="","",L17-C17),Setup!$B$7-C17))</f>
        <v>7</v>
      </c>
      <c r="R17" s="56">
        <f>IF(OR(E17="",G17="",S17="Closed",S17="Dropped"),"",G17-Setup!$B$7)</f>
        <v>1</v>
      </c>
      <c r="S17" s="57" t="str">
        <f t="shared" si="0"/>
        <v>Open</v>
      </c>
      <c r="T17" s="58" t="str">
        <f>IF(E17="","",IF(IF(E17="","",IF(S17="Dropped","Dropped"&amp;IF(P17="",": write why",""),IF(F17="","No owner. ",IF(COUNTIF(Setup!$D$20:$D$39,F17)&gt;0,"A department: belongs to nobody. ",""))&amp;IF(G17="","No date. ","")&amp;IF(H17="","No picture of done. ","")&amp;IF(S17="Can’t tell","No status: open or closed? ","")&amp;IF(AND(S17="Closed",OR(K17="",M17="")),"Closed with no "&amp;IF(K17="","name","")&amp;IF(AND(K17="",M17=""),", no ","")&amp;IF(M17="","evidence","")&amp;". ","")&amp;IF(AND(S17&lt;&gt;"Closed",ISNUMBER(C17),Setup!$B$9&lt;&gt;"",C17&lt;Setup!$B$9,IFERROR(INDEX(Meetings!$B$7:$B$56,MATCH(N17,Meetings!$A$7:$A$56,0)),0)&lt;Setup!$B$9),"Missed at the last meeting. ","")&amp;IF(AND(ISNUMBER(R17),R17&lt;0),"Overdue "&amp;-R17&amp;IF(R17=-1," day. "," days. "),"")&amp;IF(O17&lt;&gt;"","Came back from "&amp;O17&amp;". ","")))="","✔",IF(E17="","",IF(S17="Dropped","Dropped"&amp;IF(P17="",": write why",""),IF(F17="","No owner. ",IF(COUNTIF(Setup!$D$20:$D$39,F17)&gt;0,"A department: belongs to nobody. ",""))&amp;IF(G17="","No date. ","")&amp;IF(H17="","No picture of done. ","")&amp;IF(S17="Can’t tell","No status: open or closed? ","")&amp;IF(AND(S17="Closed",OR(K17="",M17="")),"Closed with no "&amp;IF(K17="","name","")&amp;IF(AND(K17="",M17=""),", no ","")&amp;IF(M17="","evidence","")&amp;". ","")&amp;IF(AND(S17&lt;&gt;"Closed",ISNUMBER(C17),Setup!$B$9&lt;&gt;"",C17&lt;Setup!$B$9,IFERROR(INDEX(Meetings!$B$7:$B$56,MATCH(N17,Meetings!$A$7:$A$56,0)),0)&lt;Setup!$B$9),"Missed at the last meeting. ","")&amp;IF(AND(ISNUMBER(R17),R17&lt;0),"Overdue "&amp;-R17&amp;IF(R17=-1," day. "," days. "),"")&amp;IF(O17&lt;&gt;"","Came back from "&amp;O17&amp;". ","")))))</f>
        <v xml:space="preserve">Came back from A001. </v>
      </c>
      <c r="U17" s="59">
        <f t="shared" si="1"/>
        <v>46087.001700000001</v>
      </c>
    </row>
    <row r="18" spans="1:21" ht="30" customHeight="1" x14ac:dyDescent="0.3">
      <c r="A18" s="51" t="s">
        <v>157</v>
      </c>
      <c r="B18" s="19" t="s">
        <v>158</v>
      </c>
      <c r="C18" s="52">
        <f>IF(B18="","",IFERROR(INDEX(Meetings!$B$7:$B$56,MATCH(B18,Meetings!$A$7:$A$56,0)),"?"))</f>
        <v>46090</v>
      </c>
      <c r="D18" s="19" t="s">
        <v>159</v>
      </c>
      <c r="E18" s="53" t="s">
        <v>160</v>
      </c>
      <c r="F18" s="19" t="s">
        <v>113</v>
      </c>
      <c r="G18" s="54">
        <v>46097</v>
      </c>
      <c r="H18" s="53" t="s">
        <v>161</v>
      </c>
      <c r="I18" s="53" t="s">
        <v>162</v>
      </c>
      <c r="J18" s="19" t="s">
        <v>27</v>
      </c>
      <c r="K18" s="19"/>
      <c r="L18" s="54"/>
      <c r="M18" s="53"/>
      <c r="N18" s="19" t="s">
        <v>121</v>
      </c>
      <c r="O18" s="19"/>
      <c r="P18" s="53"/>
      <c r="Q18" s="55">
        <f>IF(OR(E18="",NOT(ISNUMBER(C18))),"",IF(S18="Closed",IF(L18="","",L18-C18),Setup!$B$7-C18))</f>
        <v>4</v>
      </c>
      <c r="R18" s="56">
        <f>IF(OR(E18="",G18="",S18="Closed",S18="Dropped"),"",G18-Setup!$B$7)</f>
        <v>3</v>
      </c>
      <c r="S18" s="57" t="str">
        <f t="shared" si="0"/>
        <v>Open</v>
      </c>
      <c r="T18" s="58" t="str">
        <f>IF(E18="","",IF(IF(E18="","",IF(S18="Dropped","Dropped"&amp;IF(P18="",": write why",""),IF(F18="","No owner. ",IF(COUNTIF(Setup!$D$20:$D$39,F18)&gt;0,"A department: belongs to nobody. ",""))&amp;IF(G18="","No date. ","")&amp;IF(H18="","No picture of done. ","")&amp;IF(S18="Can’t tell","No status: open or closed? ","")&amp;IF(AND(S18="Closed",OR(K18="",M18="")),"Closed with no "&amp;IF(K18="","name","")&amp;IF(AND(K18="",M18=""),", no ","")&amp;IF(M18="","evidence","")&amp;". ","")&amp;IF(AND(S18&lt;&gt;"Closed",ISNUMBER(C18),Setup!$B$9&lt;&gt;"",C18&lt;Setup!$B$9,IFERROR(INDEX(Meetings!$B$7:$B$56,MATCH(N18,Meetings!$A$7:$A$56,0)),0)&lt;Setup!$B$9),"Missed at the last meeting. ","")&amp;IF(AND(ISNUMBER(R18),R18&lt;0),"Overdue "&amp;-R18&amp;IF(R18=-1," day. "," days. "),"")&amp;IF(O18&lt;&gt;"","Came back from "&amp;O18&amp;". ","")))="","✔",IF(E18="","",IF(S18="Dropped","Dropped"&amp;IF(P18="",": write why",""),IF(F18="","No owner. ",IF(COUNTIF(Setup!$D$20:$D$39,F18)&gt;0,"A department: belongs to nobody. ",""))&amp;IF(G18="","No date. ","")&amp;IF(H18="","No picture of done. ","")&amp;IF(S18="Can’t tell","No status: open or closed? ","")&amp;IF(AND(S18="Closed",OR(K18="",M18="")),"Closed with no "&amp;IF(K18="","name","")&amp;IF(AND(K18="",M18=""),", no ","")&amp;IF(M18="","evidence","")&amp;". ","")&amp;IF(AND(S18&lt;&gt;"Closed",ISNUMBER(C18),Setup!$B$9&lt;&gt;"",C18&lt;Setup!$B$9,IFERROR(INDEX(Meetings!$B$7:$B$56,MATCH(N18,Meetings!$A$7:$A$56,0)),0)&lt;Setup!$B$9),"Missed at the last meeting. ","")&amp;IF(AND(ISNUMBER(R18),R18&lt;0),"Overdue "&amp;-R18&amp;IF(R18=-1," day. "," days. "),"")&amp;IF(O18&lt;&gt;"","Came back from "&amp;O18&amp;". ","")))))</f>
        <v>✔</v>
      </c>
      <c r="U18" s="59">
        <f t="shared" si="1"/>
        <v>46090.001799999998</v>
      </c>
    </row>
    <row r="19" spans="1:21" ht="30" customHeight="1" x14ac:dyDescent="0.3">
      <c r="A19" s="51" t="s">
        <v>163</v>
      </c>
      <c r="B19" s="19" t="s">
        <v>158</v>
      </c>
      <c r="C19" s="52">
        <f>IF(B19="","",IFERROR(INDEX(Meetings!$B$7:$B$56,MATCH(B19,Meetings!$A$7:$A$56,0)),"?"))</f>
        <v>46090</v>
      </c>
      <c r="D19" s="19" t="s">
        <v>159</v>
      </c>
      <c r="E19" s="53" t="s">
        <v>164</v>
      </c>
      <c r="F19" s="19" t="s">
        <v>165</v>
      </c>
      <c r="G19" s="54">
        <v>46092</v>
      </c>
      <c r="H19" s="53" t="s">
        <v>166</v>
      </c>
      <c r="I19" s="53"/>
      <c r="J19" s="19" t="s">
        <v>13</v>
      </c>
      <c r="K19" s="19" t="s">
        <v>165</v>
      </c>
      <c r="L19" s="54">
        <v>46091</v>
      </c>
      <c r="M19" s="53" t="s">
        <v>167</v>
      </c>
      <c r="N19" s="19" t="s">
        <v>121</v>
      </c>
      <c r="O19" s="19"/>
      <c r="P19" s="53"/>
      <c r="Q19" s="55">
        <f>IF(OR(E19="",NOT(ISNUMBER(C19))),"",IF(S19="Closed",IF(L19="","",L19-C19),Setup!$B$7-C19))</f>
        <v>1</v>
      </c>
      <c r="R19" s="56" t="str">
        <f>IF(OR(E19="",G19="",S19="Closed",S19="Dropped"),"",G19-Setup!$B$7)</f>
        <v/>
      </c>
      <c r="S19" s="57" t="str">
        <f t="shared" si="0"/>
        <v>Closed</v>
      </c>
      <c r="T19" s="58" t="str">
        <f>IF(E19="","",IF(IF(E19="","",IF(S19="Dropped","Dropped"&amp;IF(P19="",": write why",""),IF(F19="","No owner. ",IF(COUNTIF(Setup!$D$20:$D$39,F19)&gt;0,"A department: belongs to nobody. ",""))&amp;IF(G19="","No date. ","")&amp;IF(H19="","No picture of done. ","")&amp;IF(S19="Can’t tell","No status: open or closed? ","")&amp;IF(AND(S19="Closed",OR(K19="",M19="")),"Closed with no "&amp;IF(K19="","name","")&amp;IF(AND(K19="",M19=""),", no ","")&amp;IF(M19="","evidence","")&amp;". ","")&amp;IF(AND(S19&lt;&gt;"Closed",ISNUMBER(C19),Setup!$B$9&lt;&gt;"",C19&lt;Setup!$B$9,IFERROR(INDEX(Meetings!$B$7:$B$56,MATCH(N19,Meetings!$A$7:$A$56,0)),0)&lt;Setup!$B$9),"Missed at the last meeting. ","")&amp;IF(AND(ISNUMBER(R19),R19&lt;0),"Overdue "&amp;-R19&amp;IF(R19=-1," day. "," days. "),"")&amp;IF(O19&lt;&gt;"","Came back from "&amp;O19&amp;". ","")))="","✔",IF(E19="","",IF(S19="Dropped","Dropped"&amp;IF(P19="",": write why",""),IF(F19="","No owner. ",IF(COUNTIF(Setup!$D$20:$D$39,F19)&gt;0,"A department: belongs to nobody. ",""))&amp;IF(G19="","No date. ","")&amp;IF(H19="","No picture of done. ","")&amp;IF(S19="Can’t tell","No status: open or closed? ","")&amp;IF(AND(S19="Closed",OR(K19="",M19="")),"Closed with no "&amp;IF(K19="","name","")&amp;IF(AND(K19="",M19=""),", no ","")&amp;IF(M19="","evidence","")&amp;". ","")&amp;IF(AND(S19&lt;&gt;"Closed",ISNUMBER(C19),Setup!$B$9&lt;&gt;"",C19&lt;Setup!$B$9,IFERROR(INDEX(Meetings!$B$7:$B$56,MATCH(N19,Meetings!$A$7:$A$56,0)),0)&lt;Setup!$B$9),"Missed at the last meeting. ","")&amp;IF(AND(ISNUMBER(R19),R19&lt;0),"Overdue "&amp;-R19&amp;IF(R19=-1," day. "," days. "),"")&amp;IF(O19&lt;&gt;"","Came back from "&amp;O19&amp;". ","")))))</f>
        <v>✔</v>
      </c>
      <c r="U19" s="59" t="str">
        <f t="shared" si="1"/>
        <v/>
      </c>
    </row>
    <row r="20" spans="1:21" ht="30" customHeight="1" x14ac:dyDescent="0.3">
      <c r="A20" s="51" t="s">
        <v>168</v>
      </c>
      <c r="B20" s="19" t="s">
        <v>121</v>
      </c>
      <c r="C20" s="52">
        <f>IF(B20="","",IFERROR(INDEX(Meetings!$B$7:$B$56,MATCH(B20,Meetings!$A$7:$A$56,0)),"?"))</f>
        <v>46094</v>
      </c>
      <c r="D20" s="19" t="s">
        <v>67</v>
      </c>
      <c r="E20" s="53" t="s">
        <v>169</v>
      </c>
      <c r="F20" s="19" t="s">
        <v>132</v>
      </c>
      <c r="G20" s="54">
        <v>46094</v>
      </c>
      <c r="H20" s="53" t="s">
        <v>170</v>
      </c>
      <c r="I20" s="53" t="s">
        <v>171</v>
      </c>
      <c r="J20" s="19" t="s">
        <v>27</v>
      </c>
      <c r="K20" s="19"/>
      <c r="L20" s="54"/>
      <c r="M20" s="53"/>
      <c r="N20" s="19" t="s">
        <v>121</v>
      </c>
      <c r="O20" s="19"/>
      <c r="P20" s="53"/>
      <c r="Q20" s="55">
        <f>IF(OR(E20="",NOT(ISNUMBER(C20))),"",IF(S20="Closed",IF(L20="","",L20-C20),Setup!$B$7-C20))</f>
        <v>0</v>
      </c>
      <c r="R20" s="56">
        <f>IF(OR(E20="",G20="",S20="Closed",S20="Dropped"),"",G20-Setup!$B$7)</f>
        <v>0</v>
      </c>
      <c r="S20" s="57" t="str">
        <f t="shared" si="0"/>
        <v>Open</v>
      </c>
      <c r="T20" s="58" t="str">
        <f>IF(E20="","",IF(IF(E20="","",IF(S20="Dropped","Dropped"&amp;IF(P20="",": write why",""),IF(F20="","No owner. ",IF(COUNTIF(Setup!$D$20:$D$39,F20)&gt;0,"A department: belongs to nobody. ",""))&amp;IF(G20="","No date. ","")&amp;IF(H20="","No picture of done. ","")&amp;IF(S20="Can’t tell","No status: open or closed? ","")&amp;IF(AND(S20="Closed",OR(K20="",M20="")),"Closed with no "&amp;IF(K20="","name","")&amp;IF(AND(K20="",M20=""),", no ","")&amp;IF(M20="","evidence","")&amp;". ","")&amp;IF(AND(S20&lt;&gt;"Closed",ISNUMBER(C20),Setup!$B$9&lt;&gt;"",C20&lt;Setup!$B$9,IFERROR(INDEX(Meetings!$B$7:$B$56,MATCH(N20,Meetings!$A$7:$A$56,0)),0)&lt;Setup!$B$9),"Missed at the last meeting. ","")&amp;IF(AND(ISNUMBER(R20),R20&lt;0),"Overdue "&amp;-R20&amp;IF(R20=-1," day. "," days. "),"")&amp;IF(O20&lt;&gt;"","Came back from "&amp;O20&amp;". ","")))="","✔",IF(E20="","",IF(S20="Dropped","Dropped"&amp;IF(P20="",": write why",""),IF(F20="","No owner. ",IF(COUNTIF(Setup!$D$20:$D$39,F20)&gt;0,"A department: belongs to nobody. ",""))&amp;IF(G20="","No date. ","")&amp;IF(H20="","No picture of done. ","")&amp;IF(S20="Can’t tell","No status: open or closed? ","")&amp;IF(AND(S20="Closed",OR(K20="",M20="")),"Closed with no "&amp;IF(K20="","name","")&amp;IF(AND(K20="",M20=""),", no ","")&amp;IF(M20="","evidence","")&amp;". ","")&amp;IF(AND(S20&lt;&gt;"Closed",ISNUMBER(C20),Setup!$B$9&lt;&gt;"",C20&lt;Setup!$B$9,IFERROR(INDEX(Meetings!$B$7:$B$56,MATCH(N20,Meetings!$A$7:$A$56,0)),0)&lt;Setup!$B$9),"Missed at the last meeting. ","")&amp;IF(AND(ISNUMBER(R20),R20&lt;0),"Overdue "&amp;-R20&amp;IF(R20=-1," day. "," days. "),"")&amp;IF(O20&lt;&gt;"","Came back from "&amp;O20&amp;". ","")))))</f>
        <v>✔</v>
      </c>
      <c r="U20" s="59">
        <f t="shared" si="1"/>
        <v>46094.002</v>
      </c>
    </row>
    <row r="21" spans="1:21" ht="30" customHeight="1" x14ac:dyDescent="0.3">
      <c r="A21" s="51" t="s">
        <v>172</v>
      </c>
      <c r="B21" s="19" t="s">
        <v>121</v>
      </c>
      <c r="C21" s="52">
        <f>IF(B21="","",IFERROR(INDEX(Meetings!$B$7:$B$56,MATCH(B21,Meetings!$A$7:$A$56,0)),"?"))</f>
        <v>46094</v>
      </c>
      <c r="D21" s="19" t="s">
        <v>67</v>
      </c>
      <c r="E21" s="53" t="s">
        <v>173</v>
      </c>
      <c r="F21" s="19" t="s">
        <v>174</v>
      </c>
      <c r="G21" s="54">
        <v>46112</v>
      </c>
      <c r="H21" s="53" t="s">
        <v>175</v>
      </c>
      <c r="I21" s="53" t="s">
        <v>176</v>
      </c>
      <c r="J21" s="19" t="s">
        <v>27</v>
      </c>
      <c r="K21" s="19"/>
      <c r="L21" s="54"/>
      <c r="M21" s="53"/>
      <c r="N21" s="19" t="s">
        <v>121</v>
      </c>
      <c r="O21" s="19"/>
      <c r="P21" s="53" t="s">
        <v>177</v>
      </c>
      <c r="Q21" s="55">
        <f>IF(OR(E21="",NOT(ISNUMBER(C21))),"",IF(S21="Closed",IF(L21="","",L21-C21),Setup!$B$7-C21))</f>
        <v>0</v>
      </c>
      <c r="R21" s="56">
        <f>IF(OR(E21="",G21="",S21="Closed",S21="Dropped"),"",G21-Setup!$B$7)</f>
        <v>18</v>
      </c>
      <c r="S21" s="57" t="str">
        <f t="shared" si="0"/>
        <v>Open</v>
      </c>
      <c r="T21" s="58" t="str">
        <f>IF(E21="","",IF(IF(E21="","",IF(S21="Dropped","Dropped"&amp;IF(P21="",": write why",""),IF(F21="","No owner. ",IF(COUNTIF(Setup!$D$20:$D$39,F21)&gt;0,"A department: belongs to nobody. ",""))&amp;IF(G21="","No date. ","")&amp;IF(H21="","No picture of done. ","")&amp;IF(S21="Can’t tell","No status: open or closed? ","")&amp;IF(AND(S21="Closed",OR(K21="",M21="")),"Closed with no "&amp;IF(K21="","name","")&amp;IF(AND(K21="",M21=""),", no ","")&amp;IF(M21="","evidence","")&amp;". ","")&amp;IF(AND(S21&lt;&gt;"Closed",ISNUMBER(C21),Setup!$B$9&lt;&gt;"",C21&lt;Setup!$B$9,IFERROR(INDEX(Meetings!$B$7:$B$56,MATCH(N21,Meetings!$A$7:$A$56,0)),0)&lt;Setup!$B$9),"Missed at the last meeting. ","")&amp;IF(AND(ISNUMBER(R21),R21&lt;0),"Overdue "&amp;-R21&amp;IF(R21=-1," day. "," days. "),"")&amp;IF(O21&lt;&gt;"","Came back from "&amp;O21&amp;". ","")))="","✔",IF(E21="","",IF(S21="Dropped","Dropped"&amp;IF(P21="",": write why",""),IF(F21="","No owner. ",IF(COUNTIF(Setup!$D$20:$D$39,F21)&gt;0,"A department: belongs to nobody. ",""))&amp;IF(G21="","No date. ","")&amp;IF(H21="","No picture of done. ","")&amp;IF(S21="Can’t tell","No status: open or closed? ","")&amp;IF(AND(S21="Closed",OR(K21="",M21="")),"Closed with no "&amp;IF(K21="","name","")&amp;IF(AND(K21="",M21=""),", no ","")&amp;IF(M21="","evidence","")&amp;". ","")&amp;IF(AND(S21&lt;&gt;"Closed",ISNUMBER(C21),Setup!$B$9&lt;&gt;"",C21&lt;Setup!$B$9,IFERROR(INDEX(Meetings!$B$7:$B$56,MATCH(N21,Meetings!$A$7:$A$56,0)),0)&lt;Setup!$B$9),"Missed at the last meeting. ","")&amp;IF(AND(ISNUMBER(R21),R21&lt;0),"Overdue "&amp;-R21&amp;IF(R21=-1," day. "," days. "),"")&amp;IF(O21&lt;&gt;"","Came back from "&amp;O21&amp;". ","")))))</f>
        <v>✔</v>
      </c>
      <c r="U21" s="59">
        <f t="shared" si="1"/>
        <v>46094.002099999998</v>
      </c>
    </row>
    <row r="22" spans="1:21" ht="30" customHeight="1" x14ac:dyDescent="0.3">
      <c r="A22" s="51" t="s">
        <v>178</v>
      </c>
      <c r="B22" s="19" t="s">
        <v>121</v>
      </c>
      <c r="C22" s="52">
        <f>IF(B22="","",IFERROR(INDEX(Meetings!$B$7:$B$56,MATCH(B22,Meetings!$A$7:$A$56,0)),"?"))</f>
        <v>46094</v>
      </c>
      <c r="D22" s="19" t="s">
        <v>179</v>
      </c>
      <c r="E22" s="53" t="s">
        <v>180</v>
      </c>
      <c r="F22" s="19" t="s">
        <v>181</v>
      </c>
      <c r="G22" s="54">
        <v>46098</v>
      </c>
      <c r="H22" s="53" t="s">
        <v>182</v>
      </c>
      <c r="I22" s="53"/>
      <c r="J22" s="19" t="s">
        <v>27</v>
      </c>
      <c r="K22" s="19"/>
      <c r="L22" s="54"/>
      <c r="M22" s="53"/>
      <c r="N22" s="19" t="s">
        <v>121</v>
      </c>
      <c r="O22" s="19"/>
      <c r="P22" s="53"/>
      <c r="Q22" s="55">
        <f>IF(OR(E22="",NOT(ISNUMBER(C22))),"",IF(S22="Closed",IF(L22="","",L22-C22),Setup!$B$7-C22))</f>
        <v>0</v>
      </c>
      <c r="R22" s="56">
        <f>IF(OR(E22="",G22="",S22="Closed",S22="Dropped"),"",G22-Setup!$B$7)</f>
        <v>4</v>
      </c>
      <c r="S22" s="57" t="str">
        <f t="shared" si="0"/>
        <v>Open</v>
      </c>
      <c r="T22" s="58" t="str">
        <f>IF(E22="","",IF(IF(E22="","",IF(S22="Dropped","Dropped"&amp;IF(P22="",": write why",""),IF(F22="","No owner. ",IF(COUNTIF(Setup!$D$20:$D$39,F22)&gt;0,"A department: belongs to nobody. ",""))&amp;IF(G22="","No date. ","")&amp;IF(H22="","No picture of done. ","")&amp;IF(S22="Can’t tell","No status: open or closed? ","")&amp;IF(AND(S22="Closed",OR(K22="",M22="")),"Closed with no "&amp;IF(K22="","name","")&amp;IF(AND(K22="",M22=""),", no ","")&amp;IF(M22="","evidence","")&amp;". ","")&amp;IF(AND(S22&lt;&gt;"Closed",ISNUMBER(C22),Setup!$B$9&lt;&gt;"",C22&lt;Setup!$B$9,IFERROR(INDEX(Meetings!$B$7:$B$56,MATCH(N22,Meetings!$A$7:$A$56,0)),0)&lt;Setup!$B$9),"Missed at the last meeting. ","")&amp;IF(AND(ISNUMBER(R22),R22&lt;0),"Overdue "&amp;-R22&amp;IF(R22=-1," day. "," days. "),"")&amp;IF(O22&lt;&gt;"","Came back from "&amp;O22&amp;". ","")))="","✔",IF(E22="","",IF(S22="Dropped","Dropped"&amp;IF(P22="",": write why",""),IF(F22="","No owner. ",IF(COUNTIF(Setup!$D$20:$D$39,F22)&gt;0,"A department: belongs to nobody. ",""))&amp;IF(G22="","No date. ","")&amp;IF(H22="","No picture of done. ","")&amp;IF(S22="Can’t tell","No status: open or closed? ","")&amp;IF(AND(S22="Closed",OR(K22="",M22="")),"Closed with no "&amp;IF(K22="","name","")&amp;IF(AND(K22="",M22=""),", no ","")&amp;IF(M22="","evidence","")&amp;". ","")&amp;IF(AND(S22&lt;&gt;"Closed",ISNUMBER(C22),Setup!$B$9&lt;&gt;"",C22&lt;Setup!$B$9,IFERROR(INDEX(Meetings!$B$7:$B$56,MATCH(N22,Meetings!$A$7:$A$56,0)),0)&lt;Setup!$B$9),"Missed at the last meeting. ","")&amp;IF(AND(ISNUMBER(R22),R22&lt;0),"Overdue "&amp;-R22&amp;IF(R22=-1," day. "," days. "),"")&amp;IF(O22&lt;&gt;"","Came back from "&amp;O22&amp;". ","")))))</f>
        <v>✔</v>
      </c>
      <c r="U22" s="59">
        <f t="shared" si="1"/>
        <v>46094.002200000003</v>
      </c>
    </row>
    <row r="23" spans="1:21" ht="30" customHeight="1" x14ac:dyDescent="0.3">
      <c r="A23" s="51" t="s">
        <v>183</v>
      </c>
      <c r="B23" s="19"/>
      <c r="C23" s="52" t="str">
        <f>IF(B23="","",IFERROR(INDEX(Meetings!$B$7:$B$56,MATCH(B23,Meetings!$A$7:$A$56,0)),"?"))</f>
        <v/>
      </c>
      <c r="D23" s="19"/>
      <c r="E23" s="53"/>
      <c r="F23" s="19"/>
      <c r="G23" s="54"/>
      <c r="H23" s="53"/>
      <c r="I23" s="53"/>
      <c r="J23" s="19"/>
      <c r="K23" s="19"/>
      <c r="L23" s="54"/>
      <c r="M23" s="53"/>
      <c r="N23" s="19"/>
      <c r="O23" s="19"/>
      <c r="P23" s="53"/>
      <c r="Q23" s="55" t="str">
        <f>IF(OR(E23="",NOT(ISNUMBER(C23))),"",IF(S23="Closed",IF(L23="","",L23-C23),Setup!$B$7-C23))</f>
        <v/>
      </c>
      <c r="R23" s="56" t="str">
        <f>IF(OR(E23="",G23="",S23="Closed",S23="Dropped"),"",G23-Setup!$B$7)</f>
        <v/>
      </c>
      <c r="S23" s="57" t="str">
        <f t="shared" si="0"/>
        <v/>
      </c>
      <c r="T23" s="58" t="str">
        <f>IF(E23="","",IF(IF(E23="","",IF(S23="Dropped","Dropped"&amp;IF(P23="",": write why",""),IF(F23="","No owner. ",IF(COUNTIF(Setup!$D$20:$D$39,F23)&gt;0,"A department: belongs to nobody. ",""))&amp;IF(G23="","No date. ","")&amp;IF(H23="","No picture of done. ","")&amp;IF(S23="Can’t tell","No status: open or closed? ","")&amp;IF(AND(S23="Closed",OR(K23="",M23="")),"Closed with no "&amp;IF(K23="","name","")&amp;IF(AND(K23="",M23=""),", no ","")&amp;IF(M23="","evidence","")&amp;". ","")&amp;IF(AND(S23&lt;&gt;"Closed",ISNUMBER(C23),Setup!$B$9&lt;&gt;"",C23&lt;Setup!$B$9,IFERROR(INDEX(Meetings!$B$7:$B$56,MATCH(N23,Meetings!$A$7:$A$56,0)),0)&lt;Setup!$B$9),"Missed at the last meeting. ","")&amp;IF(AND(ISNUMBER(R23),R23&lt;0),"Overdue "&amp;-R23&amp;IF(R23=-1," day. "," days. "),"")&amp;IF(O23&lt;&gt;"","Came back from "&amp;O23&amp;". ","")))="","✔",IF(E23="","",IF(S23="Dropped","Dropped"&amp;IF(P23="",": write why",""),IF(F23="","No owner. ",IF(COUNTIF(Setup!$D$20:$D$39,F23)&gt;0,"A department: belongs to nobody. ",""))&amp;IF(G23="","No date. ","")&amp;IF(H23="","No picture of done. ","")&amp;IF(S23="Can’t tell","No status: open or closed? ","")&amp;IF(AND(S23="Closed",OR(K23="",M23="")),"Closed with no "&amp;IF(K23="","name","")&amp;IF(AND(K23="",M23=""),", no ","")&amp;IF(M23="","evidence","")&amp;". ","")&amp;IF(AND(S23&lt;&gt;"Closed",ISNUMBER(C23),Setup!$B$9&lt;&gt;"",C23&lt;Setup!$B$9,IFERROR(INDEX(Meetings!$B$7:$B$56,MATCH(N23,Meetings!$A$7:$A$56,0)),0)&lt;Setup!$B$9),"Missed at the last meeting. ","")&amp;IF(AND(ISNUMBER(R23),R23&lt;0),"Overdue "&amp;-R23&amp;IF(R23=-1," day. "," days. "),"")&amp;IF(O23&lt;&gt;"","Came back from "&amp;O23&amp;". ","")))))</f>
        <v/>
      </c>
      <c r="U23" s="59" t="str">
        <f t="shared" si="1"/>
        <v/>
      </c>
    </row>
    <row r="24" spans="1:21" ht="30" customHeight="1" x14ac:dyDescent="0.3">
      <c r="A24" s="51" t="s">
        <v>184</v>
      </c>
      <c r="B24" s="19"/>
      <c r="C24" s="52" t="str">
        <f>IF(B24="","",IFERROR(INDEX(Meetings!$B$7:$B$56,MATCH(B24,Meetings!$A$7:$A$56,0)),"?"))</f>
        <v/>
      </c>
      <c r="D24" s="19"/>
      <c r="E24" s="53"/>
      <c r="F24" s="19"/>
      <c r="G24" s="54"/>
      <c r="H24" s="53"/>
      <c r="I24" s="53"/>
      <c r="J24" s="19"/>
      <c r="K24" s="19"/>
      <c r="L24" s="54"/>
      <c r="M24" s="53"/>
      <c r="N24" s="19"/>
      <c r="O24" s="19"/>
      <c r="P24" s="53"/>
      <c r="Q24" s="55" t="str">
        <f>IF(OR(E24="",NOT(ISNUMBER(C24))),"",IF(S24="Closed",IF(L24="","",L24-C24),Setup!$B$7-C24))</f>
        <v/>
      </c>
      <c r="R24" s="56" t="str">
        <f>IF(OR(E24="",G24="",S24="Closed",S24="Dropped"),"",G24-Setup!$B$7)</f>
        <v/>
      </c>
      <c r="S24" s="57" t="str">
        <f t="shared" si="0"/>
        <v/>
      </c>
      <c r="T24" s="58" t="str">
        <f>IF(E24="","",IF(IF(E24="","",IF(S24="Dropped","Dropped"&amp;IF(P24="",": write why",""),IF(F24="","No owner. ",IF(COUNTIF(Setup!$D$20:$D$39,F24)&gt;0,"A department: belongs to nobody. ",""))&amp;IF(G24="","No date. ","")&amp;IF(H24="","No picture of done. ","")&amp;IF(S24="Can’t tell","No status: open or closed? ","")&amp;IF(AND(S24="Closed",OR(K24="",M24="")),"Closed with no "&amp;IF(K24="","name","")&amp;IF(AND(K24="",M24=""),", no ","")&amp;IF(M24="","evidence","")&amp;". ","")&amp;IF(AND(S24&lt;&gt;"Closed",ISNUMBER(C24),Setup!$B$9&lt;&gt;"",C24&lt;Setup!$B$9,IFERROR(INDEX(Meetings!$B$7:$B$56,MATCH(N24,Meetings!$A$7:$A$56,0)),0)&lt;Setup!$B$9),"Missed at the last meeting. ","")&amp;IF(AND(ISNUMBER(R24),R24&lt;0),"Overdue "&amp;-R24&amp;IF(R24=-1," day. "," days. "),"")&amp;IF(O24&lt;&gt;"","Came back from "&amp;O24&amp;". ","")))="","✔",IF(E24="","",IF(S24="Dropped","Dropped"&amp;IF(P24="",": write why",""),IF(F24="","No owner. ",IF(COUNTIF(Setup!$D$20:$D$39,F24)&gt;0,"A department: belongs to nobody. ",""))&amp;IF(G24="","No date. ","")&amp;IF(H24="","No picture of done. ","")&amp;IF(S24="Can’t tell","No status: open or closed? ","")&amp;IF(AND(S24="Closed",OR(K24="",M24="")),"Closed with no "&amp;IF(K24="","name","")&amp;IF(AND(K24="",M24=""),", no ","")&amp;IF(M24="","evidence","")&amp;". ","")&amp;IF(AND(S24&lt;&gt;"Closed",ISNUMBER(C24),Setup!$B$9&lt;&gt;"",C24&lt;Setup!$B$9,IFERROR(INDEX(Meetings!$B$7:$B$56,MATCH(N24,Meetings!$A$7:$A$56,0)),0)&lt;Setup!$B$9),"Missed at the last meeting. ","")&amp;IF(AND(ISNUMBER(R24),R24&lt;0),"Overdue "&amp;-R24&amp;IF(R24=-1," day. "," days. "),"")&amp;IF(O24&lt;&gt;"","Came back from "&amp;O24&amp;". ","")))))</f>
        <v/>
      </c>
      <c r="U24" s="59" t="str">
        <f t="shared" si="1"/>
        <v/>
      </c>
    </row>
    <row r="25" spans="1:21" ht="30" customHeight="1" x14ac:dyDescent="0.3">
      <c r="A25" s="51" t="s">
        <v>185</v>
      </c>
      <c r="B25" s="19"/>
      <c r="C25" s="52" t="str">
        <f>IF(B25="","",IFERROR(INDEX(Meetings!$B$7:$B$56,MATCH(B25,Meetings!$A$7:$A$56,0)),"?"))</f>
        <v/>
      </c>
      <c r="D25" s="19"/>
      <c r="E25" s="53"/>
      <c r="F25" s="19"/>
      <c r="G25" s="54"/>
      <c r="H25" s="53"/>
      <c r="I25" s="53"/>
      <c r="J25" s="19"/>
      <c r="K25" s="19"/>
      <c r="L25" s="54"/>
      <c r="M25" s="53"/>
      <c r="N25" s="19"/>
      <c r="O25" s="19"/>
      <c r="P25" s="53"/>
      <c r="Q25" s="55" t="str">
        <f>IF(OR(E25="",NOT(ISNUMBER(C25))),"",IF(S25="Closed",IF(L25="","",L25-C25),Setup!$B$7-C25))</f>
        <v/>
      </c>
      <c r="R25" s="56" t="str">
        <f>IF(OR(E25="",G25="",S25="Closed",S25="Dropped"),"",G25-Setup!$B$7)</f>
        <v/>
      </c>
      <c r="S25" s="57" t="str">
        <f t="shared" si="0"/>
        <v/>
      </c>
      <c r="T25" s="58" t="str">
        <f>IF(E25="","",IF(IF(E25="","",IF(S25="Dropped","Dropped"&amp;IF(P25="",": write why",""),IF(F25="","No owner. ",IF(COUNTIF(Setup!$D$20:$D$39,F25)&gt;0,"A department: belongs to nobody. ",""))&amp;IF(G25="","No date. ","")&amp;IF(H25="","No picture of done. ","")&amp;IF(S25="Can’t tell","No status: open or closed? ","")&amp;IF(AND(S25="Closed",OR(K25="",M25="")),"Closed with no "&amp;IF(K25="","name","")&amp;IF(AND(K25="",M25=""),", no ","")&amp;IF(M25="","evidence","")&amp;". ","")&amp;IF(AND(S25&lt;&gt;"Closed",ISNUMBER(C25),Setup!$B$9&lt;&gt;"",C25&lt;Setup!$B$9,IFERROR(INDEX(Meetings!$B$7:$B$56,MATCH(N25,Meetings!$A$7:$A$56,0)),0)&lt;Setup!$B$9),"Missed at the last meeting. ","")&amp;IF(AND(ISNUMBER(R25),R25&lt;0),"Overdue "&amp;-R25&amp;IF(R25=-1," day. "," days. "),"")&amp;IF(O25&lt;&gt;"","Came back from "&amp;O25&amp;". ","")))="","✔",IF(E25="","",IF(S25="Dropped","Dropped"&amp;IF(P25="",": write why",""),IF(F25="","No owner. ",IF(COUNTIF(Setup!$D$20:$D$39,F25)&gt;0,"A department: belongs to nobody. ",""))&amp;IF(G25="","No date. ","")&amp;IF(H25="","No picture of done. ","")&amp;IF(S25="Can’t tell","No status: open or closed? ","")&amp;IF(AND(S25="Closed",OR(K25="",M25="")),"Closed with no "&amp;IF(K25="","name","")&amp;IF(AND(K25="",M25=""),", no ","")&amp;IF(M25="","evidence","")&amp;". ","")&amp;IF(AND(S25&lt;&gt;"Closed",ISNUMBER(C25),Setup!$B$9&lt;&gt;"",C25&lt;Setup!$B$9,IFERROR(INDEX(Meetings!$B$7:$B$56,MATCH(N25,Meetings!$A$7:$A$56,0)),0)&lt;Setup!$B$9),"Missed at the last meeting. ","")&amp;IF(AND(ISNUMBER(R25),R25&lt;0),"Overdue "&amp;-R25&amp;IF(R25=-1," day. "," days. "),"")&amp;IF(O25&lt;&gt;"","Came back from "&amp;O25&amp;". ","")))))</f>
        <v/>
      </c>
      <c r="U25" s="59" t="str">
        <f t="shared" si="1"/>
        <v/>
      </c>
    </row>
    <row r="26" spans="1:21" ht="30" customHeight="1" x14ac:dyDescent="0.3">
      <c r="A26" s="51" t="s">
        <v>186</v>
      </c>
      <c r="B26" s="19"/>
      <c r="C26" s="52" t="str">
        <f>IF(B26="","",IFERROR(INDEX(Meetings!$B$7:$B$56,MATCH(B26,Meetings!$A$7:$A$56,0)),"?"))</f>
        <v/>
      </c>
      <c r="D26" s="19"/>
      <c r="E26" s="53"/>
      <c r="F26" s="19"/>
      <c r="G26" s="54"/>
      <c r="H26" s="53"/>
      <c r="I26" s="53"/>
      <c r="J26" s="19"/>
      <c r="K26" s="19"/>
      <c r="L26" s="54"/>
      <c r="M26" s="53"/>
      <c r="N26" s="19"/>
      <c r="O26" s="19"/>
      <c r="P26" s="53"/>
      <c r="Q26" s="55" t="str">
        <f>IF(OR(E26="",NOT(ISNUMBER(C26))),"",IF(S26="Closed",IF(L26="","",L26-C26),Setup!$B$7-C26))</f>
        <v/>
      </c>
      <c r="R26" s="56" t="str">
        <f>IF(OR(E26="",G26="",S26="Closed",S26="Dropped"),"",G26-Setup!$B$7)</f>
        <v/>
      </c>
      <c r="S26" s="57" t="str">
        <f t="shared" si="0"/>
        <v/>
      </c>
      <c r="T26" s="58" t="str">
        <f>IF(E26="","",IF(IF(E26="","",IF(S26="Dropped","Dropped"&amp;IF(P26="",": write why",""),IF(F26="","No owner. ",IF(COUNTIF(Setup!$D$20:$D$39,F26)&gt;0,"A department: belongs to nobody. ",""))&amp;IF(G26="","No date. ","")&amp;IF(H26="","No picture of done. ","")&amp;IF(S26="Can’t tell","No status: open or closed? ","")&amp;IF(AND(S26="Closed",OR(K26="",M26="")),"Closed with no "&amp;IF(K26="","name","")&amp;IF(AND(K26="",M26=""),", no ","")&amp;IF(M26="","evidence","")&amp;". ","")&amp;IF(AND(S26&lt;&gt;"Closed",ISNUMBER(C26),Setup!$B$9&lt;&gt;"",C26&lt;Setup!$B$9,IFERROR(INDEX(Meetings!$B$7:$B$56,MATCH(N26,Meetings!$A$7:$A$56,0)),0)&lt;Setup!$B$9),"Missed at the last meeting. ","")&amp;IF(AND(ISNUMBER(R26),R26&lt;0),"Overdue "&amp;-R26&amp;IF(R26=-1," day. "," days. "),"")&amp;IF(O26&lt;&gt;"","Came back from "&amp;O26&amp;". ","")))="","✔",IF(E26="","",IF(S26="Dropped","Dropped"&amp;IF(P26="",": write why",""),IF(F26="","No owner. ",IF(COUNTIF(Setup!$D$20:$D$39,F26)&gt;0,"A department: belongs to nobody. ",""))&amp;IF(G26="","No date. ","")&amp;IF(H26="","No picture of done. ","")&amp;IF(S26="Can’t tell","No status: open or closed? ","")&amp;IF(AND(S26="Closed",OR(K26="",M26="")),"Closed with no "&amp;IF(K26="","name","")&amp;IF(AND(K26="",M26=""),", no ","")&amp;IF(M26="","evidence","")&amp;". ","")&amp;IF(AND(S26&lt;&gt;"Closed",ISNUMBER(C26),Setup!$B$9&lt;&gt;"",C26&lt;Setup!$B$9,IFERROR(INDEX(Meetings!$B$7:$B$56,MATCH(N26,Meetings!$A$7:$A$56,0)),0)&lt;Setup!$B$9),"Missed at the last meeting. ","")&amp;IF(AND(ISNUMBER(R26),R26&lt;0),"Overdue "&amp;-R26&amp;IF(R26=-1," day. "," days. "),"")&amp;IF(O26&lt;&gt;"","Came back from "&amp;O26&amp;". ","")))))</f>
        <v/>
      </c>
      <c r="U26" s="59" t="str">
        <f t="shared" si="1"/>
        <v/>
      </c>
    </row>
    <row r="27" spans="1:21" ht="30" customHeight="1" x14ac:dyDescent="0.3">
      <c r="A27" s="51" t="s">
        <v>187</v>
      </c>
      <c r="B27" s="19"/>
      <c r="C27" s="52" t="str">
        <f>IF(B27="","",IFERROR(INDEX(Meetings!$B$7:$B$56,MATCH(B27,Meetings!$A$7:$A$56,0)),"?"))</f>
        <v/>
      </c>
      <c r="D27" s="19"/>
      <c r="E27" s="53"/>
      <c r="F27" s="19"/>
      <c r="G27" s="54"/>
      <c r="H27" s="53"/>
      <c r="I27" s="53"/>
      <c r="J27" s="19"/>
      <c r="K27" s="19"/>
      <c r="L27" s="54"/>
      <c r="M27" s="53"/>
      <c r="N27" s="19"/>
      <c r="O27" s="19"/>
      <c r="P27" s="53"/>
      <c r="Q27" s="55" t="str">
        <f>IF(OR(E27="",NOT(ISNUMBER(C27))),"",IF(S27="Closed",IF(L27="","",L27-C27),Setup!$B$7-C27))</f>
        <v/>
      </c>
      <c r="R27" s="56" t="str">
        <f>IF(OR(E27="",G27="",S27="Closed",S27="Dropped"),"",G27-Setup!$B$7)</f>
        <v/>
      </c>
      <c r="S27" s="57" t="str">
        <f t="shared" si="0"/>
        <v/>
      </c>
      <c r="T27" s="58" t="str">
        <f>IF(E27="","",IF(IF(E27="","",IF(S27="Dropped","Dropped"&amp;IF(P27="",": write why",""),IF(F27="","No owner. ",IF(COUNTIF(Setup!$D$20:$D$39,F27)&gt;0,"A department: belongs to nobody. ",""))&amp;IF(G27="","No date. ","")&amp;IF(H27="","No picture of done. ","")&amp;IF(S27="Can’t tell","No status: open or closed? ","")&amp;IF(AND(S27="Closed",OR(K27="",M27="")),"Closed with no "&amp;IF(K27="","name","")&amp;IF(AND(K27="",M27=""),", no ","")&amp;IF(M27="","evidence","")&amp;". ","")&amp;IF(AND(S27&lt;&gt;"Closed",ISNUMBER(C27),Setup!$B$9&lt;&gt;"",C27&lt;Setup!$B$9,IFERROR(INDEX(Meetings!$B$7:$B$56,MATCH(N27,Meetings!$A$7:$A$56,0)),0)&lt;Setup!$B$9),"Missed at the last meeting. ","")&amp;IF(AND(ISNUMBER(R27),R27&lt;0),"Overdue "&amp;-R27&amp;IF(R27=-1," day. "," days. "),"")&amp;IF(O27&lt;&gt;"","Came back from "&amp;O27&amp;". ","")))="","✔",IF(E27="","",IF(S27="Dropped","Dropped"&amp;IF(P27="",": write why",""),IF(F27="","No owner. ",IF(COUNTIF(Setup!$D$20:$D$39,F27)&gt;0,"A department: belongs to nobody. ",""))&amp;IF(G27="","No date. ","")&amp;IF(H27="","No picture of done. ","")&amp;IF(S27="Can’t tell","No status: open or closed? ","")&amp;IF(AND(S27="Closed",OR(K27="",M27="")),"Closed with no "&amp;IF(K27="","name","")&amp;IF(AND(K27="",M27=""),", no ","")&amp;IF(M27="","evidence","")&amp;". ","")&amp;IF(AND(S27&lt;&gt;"Closed",ISNUMBER(C27),Setup!$B$9&lt;&gt;"",C27&lt;Setup!$B$9,IFERROR(INDEX(Meetings!$B$7:$B$56,MATCH(N27,Meetings!$A$7:$A$56,0)),0)&lt;Setup!$B$9),"Missed at the last meeting. ","")&amp;IF(AND(ISNUMBER(R27),R27&lt;0),"Overdue "&amp;-R27&amp;IF(R27=-1," day. "," days. "),"")&amp;IF(O27&lt;&gt;"","Came back from "&amp;O27&amp;". ","")))))</f>
        <v/>
      </c>
      <c r="U27" s="59" t="str">
        <f t="shared" si="1"/>
        <v/>
      </c>
    </row>
    <row r="28" spans="1:21" ht="30" customHeight="1" x14ac:dyDescent="0.3">
      <c r="A28" s="51" t="s">
        <v>188</v>
      </c>
      <c r="B28" s="19"/>
      <c r="C28" s="52" t="str">
        <f>IF(B28="","",IFERROR(INDEX(Meetings!$B$7:$B$56,MATCH(B28,Meetings!$A$7:$A$56,0)),"?"))</f>
        <v/>
      </c>
      <c r="D28" s="19"/>
      <c r="E28" s="53"/>
      <c r="F28" s="19"/>
      <c r="G28" s="54"/>
      <c r="H28" s="53"/>
      <c r="I28" s="53"/>
      <c r="J28" s="19"/>
      <c r="K28" s="19"/>
      <c r="L28" s="54"/>
      <c r="M28" s="53"/>
      <c r="N28" s="19"/>
      <c r="O28" s="19"/>
      <c r="P28" s="53"/>
      <c r="Q28" s="55" t="str">
        <f>IF(OR(E28="",NOT(ISNUMBER(C28))),"",IF(S28="Closed",IF(L28="","",L28-C28),Setup!$B$7-C28))</f>
        <v/>
      </c>
      <c r="R28" s="56" t="str">
        <f>IF(OR(E28="",G28="",S28="Closed",S28="Dropped"),"",G28-Setup!$B$7)</f>
        <v/>
      </c>
      <c r="S28" s="57" t="str">
        <f t="shared" si="0"/>
        <v/>
      </c>
      <c r="T28" s="58" t="str">
        <f>IF(E28="","",IF(IF(E28="","",IF(S28="Dropped","Dropped"&amp;IF(P28="",": write why",""),IF(F28="","No owner. ",IF(COUNTIF(Setup!$D$20:$D$39,F28)&gt;0,"A department: belongs to nobody. ",""))&amp;IF(G28="","No date. ","")&amp;IF(H28="","No picture of done. ","")&amp;IF(S28="Can’t tell","No status: open or closed? ","")&amp;IF(AND(S28="Closed",OR(K28="",M28="")),"Closed with no "&amp;IF(K28="","name","")&amp;IF(AND(K28="",M28=""),", no ","")&amp;IF(M28="","evidence","")&amp;". ","")&amp;IF(AND(S28&lt;&gt;"Closed",ISNUMBER(C28),Setup!$B$9&lt;&gt;"",C28&lt;Setup!$B$9,IFERROR(INDEX(Meetings!$B$7:$B$56,MATCH(N28,Meetings!$A$7:$A$56,0)),0)&lt;Setup!$B$9),"Missed at the last meeting. ","")&amp;IF(AND(ISNUMBER(R28),R28&lt;0),"Overdue "&amp;-R28&amp;IF(R28=-1," day. "," days. "),"")&amp;IF(O28&lt;&gt;"","Came back from "&amp;O28&amp;". ","")))="","✔",IF(E28="","",IF(S28="Dropped","Dropped"&amp;IF(P28="",": write why",""),IF(F28="","No owner. ",IF(COUNTIF(Setup!$D$20:$D$39,F28)&gt;0,"A department: belongs to nobody. ",""))&amp;IF(G28="","No date. ","")&amp;IF(H28="","No picture of done. ","")&amp;IF(S28="Can’t tell","No status: open or closed? ","")&amp;IF(AND(S28="Closed",OR(K28="",M28="")),"Closed with no "&amp;IF(K28="","name","")&amp;IF(AND(K28="",M28=""),", no ","")&amp;IF(M28="","evidence","")&amp;". ","")&amp;IF(AND(S28&lt;&gt;"Closed",ISNUMBER(C28),Setup!$B$9&lt;&gt;"",C28&lt;Setup!$B$9,IFERROR(INDEX(Meetings!$B$7:$B$56,MATCH(N28,Meetings!$A$7:$A$56,0)),0)&lt;Setup!$B$9),"Missed at the last meeting. ","")&amp;IF(AND(ISNUMBER(R28),R28&lt;0),"Overdue "&amp;-R28&amp;IF(R28=-1," day. "," days. "),"")&amp;IF(O28&lt;&gt;"","Came back from "&amp;O28&amp;". ","")))))</f>
        <v/>
      </c>
      <c r="U28" s="59" t="str">
        <f t="shared" si="1"/>
        <v/>
      </c>
    </row>
    <row r="29" spans="1:21" ht="30" customHeight="1" x14ac:dyDescent="0.3">
      <c r="A29" s="51" t="s">
        <v>189</v>
      </c>
      <c r="B29" s="19"/>
      <c r="C29" s="52" t="str">
        <f>IF(B29="","",IFERROR(INDEX(Meetings!$B$7:$B$56,MATCH(B29,Meetings!$A$7:$A$56,0)),"?"))</f>
        <v/>
      </c>
      <c r="D29" s="19"/>
      <c r="E29" s="53"/>
      <c r="F29" s="19"/>
      <c r="G29" s="54"/>
      <c r="H29" s="53"/>
      <c r="I29" s="53"/>
      <c r="J29" s="19"/>
      <c r="K29" s="19"/>
      <c r="L29" s="54"/>
      <c r="M29" s="53"/>
      <c r="N29" s="19"/>
      <c r="O29" s="19"/>
      <c r="P29" s="53"/>
      <c r="Q29" s="55" t="str">
        <f>IF(OR(E29="",NOT(ISNUMBER(C29))),"",IF(S29="Closed",IF(L29="","",L29-C29),Setup!$B$7-C29))</f>
        <v/>
      </c>
      <c r="R29" s="56" t="str">
        <f>IF(OR(E29="",G29="",S29="Closed",S29="Dropped"),"",G29-Setup!$B$7)</f>
        <v/>
      </c>
      <c r="S29" s="57" t="str">
        <f t="shared" si="0"/>
        <v/>
      </c>
      <c r="T29" s="58" t="str">
        <f>IF(E29="","",IF(IF(E29="","",IF(S29="Dropped","Dropped"&amp;IF(P29="",": write why",""),IF(F29="","No owner. ",IF(COUNTIF(Setup!$D$20:$D$39,F29)&gt;0,"A department: belongs to nobody. ",""))&amp;IF(G29="","No date. ","")&amp;IF(H29="","No picture of done. ","")&amp;IF(S29="Can’t tell","No status: open or closed? ","")&amp;IF(AND(S29="Closed",OR(K29="",M29="")),"Closed with no "&amp;IF(K29="","name","")&amp;IF(AND(K29="",M29=""),", no ","")&amp;IF(M29="","evidence","")&amp;". ","")&amp;IF(AND(S29&lt;&gt;"Closed",ISNUMBER(C29),Setup!$B$9&lt;&gt;"",C29&lt;Setup!$B$9,IFERROR(INDEX(Meetings!$B$7:$B$56,MATCH(N29,Meetings!$A$7:$A$56,0)),0)&lt;Setup!$B$9),"Missed at the last meeting. ","")&amp;IF(AND(ISNUMBER(R29),R29&lt;0),"Overdue "&amp;-R29&amp;IF(R29=-1," day. "," days. "),"")&amp;IF(O29&lt;&gt;"","Came back from "&amp;O29&amp;". ","")))="","✔",IF(E29="","",IF(S29="Dropped","Dropped"&amp;IF(P29="",": write why",""),IF(F29="","No owner. ",IF(COUNTIF(Setup!$D$20:$D$39,F29)&gt;0,"A department: belongs to nobody. ",""))&amp;IF(G29="","No date. ","")&amp;IF(H29="","No picture of done. ","")&amp;IF(S29="Can’t tell","No status: open or closed? ","")&amp;IF(AND(S29="Closed",OR(K29="",M29="")),"Closed with no "&amp;IF(K29="","name","")&amp;IF(AND(K29="",M29=""),", no ","")&amp;IF(M29="","evidence","")&amp;". ","")&amp;IF(AND(S29&lt;&gt;"Closed",ISNUMBER(C29),Setup!$B$9&lt;&gt;"",C29&lt;Setup!$B$9,IFERROR(INDEX(Meetings!$B$7:$B$56,MATCH(N29,Meetings!$A$7:$A$56,0)),0)&lt;Setup!$B$9),"Missed at the last meeting. ","")&amp;IF(AND(ISNUMBER(R29),R29&lt;0),"Overdue "&amp;-R29&amp;IF(R29=-1," day. "," days. "),"")&amp;IF(O29&lt;&gt;"","Came back from "&amp;O29&amp;". ","")))))</f>
        <v/>
      </c>
      <c r="U29" s="59" t="str">
        <f t="shared" si="1"/>
        <v/>
      </c>
    </row>
    <row r="30" spans="1:21" ht="30" customHeight="1" x14ac:dyDescent="0.3">
      <c r="A30" s="51" t="s">
        <v>190</v>
      </c>
      <c r="B30" s="19"/>
      <c r="C30" s="52" t="str">
        <f>IF(B30="","",IFERROR(INDEX(Meetings!$B$7:$B$56,MATCH(B30,Meetings!$A$7:$A$56,0)),"?"))</f>
        <v/>
      </c>
      <c r="D30" s="19"/>
      <c r="E30" s="53"/>
      <c r="F30" s="19"/>
      <c r="G30" s="54"/>
      <c r="H30" s="53"/>
      <c r="I30" s="53"/>
      <c r="J30" s="19"/>
      <c r="K30" s="19"/>
      <c r="L30" s="54"/>
      <c r="M30" s="53"/>
      <c r="N30" s="19"/>
      <c r="O30" s="19"/>
      <c r="P30" s="53"/>
      <c r="Q30" s="55" t="str">
        <f>IF(OR(E30="",NOT(ISNUMBER(C30))),"",IF(S30="Closed",IF(L30="","",L30-C30),Setup!$B$7-C30))</f>
        <v/>
      </c>
      <c r="R30" s="56" t="str">
        <f>IF(OR(E30="",G30="",S30="Closed",S30="Dropped"),"",G30-Setup!$B$7)</f>
        <v/>
      </c>
      <c r="S30" s="57" t="str">
        <f t="shared" si="0"/>
        <v/>
      </c>
      <c r="T30" s="58" t="str">
        <f>IF(E30="","",IF(IF(E30="","",IF(S30="Dropped","Dropped"&amp;IF(P30="",": write why",""),IF(F30="","No owner. ",IF(COUNTIF(Setup!$D$20:$D$39,F30)&gt;0,"A department: belongs to nobody. ",""))&amp;IF(G30="","No date. ","")&amp;IF(H30="","No picture of done. ","")&amp;IF(S30="Can’t tell","No status: open or closed? ","")&amp;IF(AND(S30="Closed",OR(K30="",M30="")),"Closed with no "&amp;IF(K30="","name","")&amp;IF(AND(K30="",M30=""),", no ","")&amp;IF(M30="","evidence","")&amp;". ","")&amp;IF(AND(S30&lt;&gt;"Closed",ISNUMBER(C30),Setup!$B$9&lt;&gt;"",C30&lt;Setup!$B$9,IFERROR(INDEX(Meetings!$B$7:$B$56,MATCH(N30,Meetings!$A$7:$A$56,0)),0)&lt;Setup!$B$9),"Missed at the last meeting. ","")&amp;IF(AND(ISNUMBER(R30),R30&lt;0),"Overdue "&amp;-R30&amp;IF(R30=-1," day. "," days. "),"")&amp;IF(O30&lt;&gt;"","Came back from "&amp;O30&amp;". ","")))="","✔",IF(E30="","",IF(S30="Dropped","Dropped"&amp;IF(P30="",": write why",""),IF(F30="","No owner. ",IF(COUNTIF(Setup!$D$20:$D$39,F30)&gt;0,"A department: belongs to nobody. ",""))&amp;IF(G30="","No date. ","")&amp;IF(H30="","No picture of done. ","")&amp;IF(S30="Can’t tell","No status: open or closed? ","")&amp;IF(AND(S30="Closed",OR(K30="",M30="")),"Closed with no "&amp;IF(K30="","name","")&amp;IF(AND(K30="",M30=""),", no ","")&amp;IF(M30="","evidence","")&amp;". ","")&amp;IF(AND(S30&lt;&gt;"Closed",ISNUMBER(C30),Setup!$B$9&lt;&gt;"",C30&lt;Setup!$B$9,IFERROR(INDEX(Meetings!$B$7:$B$56,MATCH(N30,Meetings!$A$7:$A$56,0)),0)&lt;Setup!$B$9),"Missed at the last meeting. ","")&amp;IF(AND(ISNUMBER(R30),R30&lt;0),"Overdue "&amp;-R30&amp;IF(R30=-1," day. "," days. "),"")&amp;IF(O30&lt;&gt;"","Came back from "&amp;O30&amp;". ","")))))</f>
        <v/>
      </c>
      <c r="U30" s="59" t="str">
        <f t="shared" si="1"/>
        <v/>
      </c>
    </row>
    <row r="31" spans="1:21" ht="30" customHeight="1" x14ac:dyDescent="0.3">
      <c r="A31" s="51" t="s">
        <v>191</v>
      </c>
      <c r="B31" s="19"/>
      <c r="C31" s="52" t="str">
        <f>IF(B31="","",IFERROR(INDEX(Meetings!$B$7:$B$56,MATCH(B31,Meetings!$A$7:$A$56,0)),"?"))</f>
        <v/>
      </c>
      <c r="D31" s="19"/>
      <c r="E31" s="53"/>
      <c r="F31" s="19"/>
      <c r="G31" s="54"/>
      <c r="H31" s="53"/>
      <c r="I31" s="53"/>
      <c r="J31" s="19"/>
      <c r="K31" s="19"/>
      <c r="L31" s="54"/>
      <c r="M31" s="53"/>
      <c r="N31" s="19"/>
      <c r="O31" s="19"/>
      <c r="P31" s="53"/>
      <c r="Q31" s="55" t="str">
        <f>IF(OR(E31="",NOT(ISNUMBER(C31))),"",IF(S31="Closed",IF(L31="","",L31-C31),Setup!$B$7-C31))</f>
        <v/>
      </c>
      <c r="R31" s="56" t="str">
        <f>IF(OR(E31="",G31="",S31="Closed",S31="Dropped"),"",G31-Setup!$B$7)</f>
        <v/>
      </c>
      <c r="S31" s="57" t="str">
        <f t="shared" si="0"/>
        <v/>
      </c>
      <c r="T31" s="58" t="str">
        <f>IF(E31="","",IF(IF(E31="","",IF(S31="Dropped","Dropped"&amp;IF(P31="",": write why",""),IF(F31="","No owner. ",IF(COUNTIF(Setup!$D$20:$D$39,F31)&gt;0,"A department: belongs to nobody. ",""))&amp;IF(G31="","No date. ","")&amp;IF(H31="","No picture of done. ","")&amp;IF(S31="Can’t tell","No status: open or closed? ","")&amp;IF(AND(S31="Closed",OR(K31="",M31="")),"Closed with no "&amp;IF(K31="","name","")&amp;IF(AND(K31="",M31=""),", no ","")&amp;IF(M31="","evidence","")&amp;". ","")&amp;IF(AND(S31&lt;&gt;"Closed",ISNUMBER(C31),Setup!$B$9&lt;&gt;"",C31&lt;Setup!$B$9,IFERROR(INDEX(Meetings!$B$7:$B$56,MATCH(N31,Meetings!$A$7:$A$56,0)),0)&lt;Setup!$B$9),"Missed at the last meeting. ","")&amp;IF(AND(ISNUMBER(R31),R31&lt;0),"Overdue "&amp;-R31&amp;IF(R31=-1," day. "," days. "),"")&amp;IF(O31&lt;&gt;"","Came back from "&amp;O31&amp;". ","")))="","✔",IF(E31="","",IF(S31="Dropped","Dropped"&amp;IF(P31="",": write why",""),IF(F31="","No owner. ",IF(COUNTIF(Setup!$D$20:$D$39,F31)&gt;0,"A department: belongs to nobody. ",""))&amp;IF(G31="","No date. ","")&amp;IF(H31="","No picture of done. ","")&amp;IF(S31="Can’t tell","No status: open or closed? ","")&amp;IF(AND(S31="Closed",OR(K31="",M31="")),"Closed with no "&amp;IF(K31="","name","")&amp;IF(AND(K31="",M31=""),", no ","")&amp;IF(M31="","evidence","")&amp;". ","")&amp;IF(AND(S31&lt;&gt;"Closed",ISNUMBER(C31),Setup!$B$9&lt;&gt;"",C31&lt;Setup!$B$9,IFERROR(INDEX(Meetings!$B$7:$B$56,MATCH(N31,Meetings!$A$7:$A$56,0)),0)&lt;Setup!$B$9),"Missed at the last meeting. ","")&amp;IF(AND(ISNUMBER(R31),R31&lt;0),"Overdue "&amp;-R31&amp;IF(R31=-1," day. "," days. "),"")&amp;IF(O31&lt;&gt;"","Came back from "&amp;O31&amp;". ","")))))</f>
        <v/>
      </c>
      <c r="U31" s="59" t="str">
        <f t="shared" si="1"/>
        <v/>
      </c>
    </row>
    <row r="32" spans="1:21" ht="30" customHeight="1" x14ac:dyDescent="0.3">
      <c r="A32" s="51" t="s">
        <v>192</v>
      </c>
      <c r="B32" s="19"/>
      <c r="C32" s="52" t="str">
        <f>IF(B32="","",IFERROR(INDEX(Meetings!$B$7:$B$56,MATCH(B32,Meetings!$A$7:$A$56,0)),"?"))</f>
        <v/>
      </c>
      <c r="D32" s="19"/>
      <c r="E32" s="53"/>
      <c r="F32" s="19"/>
      <c r="G32" s="54"/>
      <c r="H32" s="53"/>
      <c r="I32" s="53"/>
      <c r="J32" s="19"/>
      <c r="K32" s="19"/>
      <c r="L32" s="54"/>
      <c r="M32" s="53"/>
      <c r="N32" s="19"/>
      <c r="O32" s="19"/>
      <c r="P32" s="53"/>
      <c r="Q32" s="55" t="str">
        <f>IF(OR(E32="",NOT(ISNUMBER(C32))),"",IF(S32="Closed",IF(L32="","",L32-C32),Setup!$B$7-C32))</f>
        <v/>
      </c>
      <c r="R32" s="56" t="str">
        <f>IF(OR(E32="",G32="",S32="Closed",S32="Dropped"),"",G32-Setup!$B$7)</f>
        <v/>
      </c>
      <c r="S32" s="57" t="str">
        <f t="shared" si="0"/>
        <v/>
      </c>
      <c r="T32" s="58" t="str">
        <f>IF(E32="","",IF(IF(E32="","",IF(S32="Dropped","Dropped"&amp;IF(P32="",": write why",""),IF(F32="","No owner. ",IF(COUNTIF(Setup!$D$20:$D$39,F32)&gt;0,"A department: belongs to nobody. ",""))&amp;IF(G32="","No date. ","")&amp;IF(H32="","No picture of done. ","")&amp;IF(S32="Can’t tell","No status: open or closed? ","")&amp;IF(AND(S32="Closed",OR(K32="",M32="")),"Closed with no "&amp;IF(K32="","name","")&amp;IF(AND(K32="",M32=""),", no ","")&amp;IF(M32="","evidence","")&amp;". ","")&amp;IF(AND(S32&lt;&gt;"Closed",ISNUMBER(C32),Setup!$B$9&lt;&gt;"",C32&lt;Setup!$B$9,IFERROR(INDEX(Meetings!$B$7:$B$56,MATCH(N32,Meetings!$A$7:$A$56,0)),0)&lt;Setup!$B$9),"Missed at the last meeting. ","")&amp;IF(AND(ISNUMBER(R32),R32&lt;0),"Overdue "&amp;-R32&amp;IF(R32=-1," day. "," days. "),"")&amp;IF(O32&lt;&gt;"","Came back from "&amp;O32&amp;". ","")))="","✔",IF(E32="","",IF(S32="Dropped","Dropped"&amp;IF(P32="",": write why",""),IF(F32="","No owner. ",IF(COUNTIF(Setup!$D$20:$D$39,F32)&gt;0,"A department: belongs to nobody. ",""))&amp;IF(G32="","No date. ","")&amp;IF(H32="","No picture of done. ","")&amp;IF(S32="Can’t tell","No status: open or closed? ","")&amp;IF(AND(S32="Closed",OR(K32="",M32="")),"Closed with no "&amp;IF(K32="","name","")&amp;IF(AND(K32="",M32=""),", no ","")&amp;IF(M32="","evidence","")&amp;". ","")&amp;IF(AND(S32&lt;&gt;"Closed",ISNUMBER(C32),Setup!$B$9&lt;&gt;"",C32&lt;Setup!$B$9,IFERROR(INDEX(Meetings!$B$7:$B$56,MATCH(N32,Meetings!$A$7:$A$56,0)),0)&lt;Setup!$B$9),"Missed at the last meeting. ","")&amp;IF(AND(ISNUMBER(R32),R32&lt;0),"Overdue "&amp;-R32&amp;IF(R32=-1," day. "," days. "),"")&amp;IF(O32&lt;&gt;"","Came back from "&amp;O32&amp;". ","")))))</f>
        <v/>
      </c>
      <c r="U32" s="59" t="str">
        <f t="shared" si="1"/>
        <v/>
      </c>
    </row>
    <row r="33" spans="1:21" ht="30" customHeight="1" x14ac:dyDescent="0.3">
      <c r="A33" s="51" t="s">
        <v>193</v>
      </c>
      <c r="B33" s="19"/>
      <c r="C33" s="52" t="str">
        <f>IF(B33="","",IFERROR(INDEX(Meetings!$B$7:$B$56,MATCH(B33,Meetings!$A$7:$A$56,0)),"?"))</f>
        <v/>
      </c>
      <c r="D33" s="19"/>
      <c r="E33" s="53"/>
      <c r="F33" s="19"/>
      <c r="G33" s="54"/>
      <c r="H33" s="53"/>
      <c r="I33" s="53"/>
      <c r="J33" s="19"/>
      <c r="K33" s="19"/>
      <c r="L33" s="54"/>
      <c r="M33" s="53"/>
      <c r="N33" s="19"/>
      <c r="O33" s="19"/>
      <c r="P33" s="53"/>
      <c r="Q33" s="55" t="str">
        <f>IF(OR(E33="",NOT(ISNUMBER(C33))),"",IF(S33="Closed",IF(L33="","",L33-C33),Setup!$B$7-C33))</f>
        <v/>
      </c>
      <c r="R33" s="56" t="str">
        <f>IF(OR(E33="",G33="",S33="Closed",S33="Dropped"),"",G33-Setup!$B$7)</f>
        <v/>
      </c>
      <c r="S33" s="57" t="str">
        <f t="shared" si="0"/>
        <v/>
      </c>
      <c r="T33" s="58" t="str">
        <f>IF(E33="","",IF(IF(E33="","",IF(S33="Dropped","Dropped"&amp;IF(P33="",": write why",""),IF(F33="","No owner. ",IF(COUNTIF(Setup!$D$20:$D$39,F33)&gt;0,"A department: belongs to nobody. ",""))&amp;IF(G33="","No date. ","")&amp;IF(H33="","No picture of done. ","")&amp;IF(S33="Can’t tell","No status: open or closed? ","")&amp;IF(AND(S33="Closed",OR(K33="",M33="")),"Closed with no "&amp;IF(K33="","name","")&amp;IF(AND(K33="",M33=""),", no ","")&amp;IF(M33="","evidence","")&amp;". ","")&amp;IF(AND(S33&lt;&gt;"Closed",ISNUMBER(C33),Setup!$B$9&lt;&gt;"",C33&lt;Setup!$B$9,IFERROR(INDEX(Meetings!$B$7:$B$56,MATCH(N33,Meetings!$A$7:$A$56,0)),0)&lt;Setup!$B$9),"Missed at the last meeting. ","")&amp;IF(AND(ISNUMBER(R33),R33&lt;0),"Overdue "&amp;-R33&amp;IF(R33=-1," day. "," days. "),"")&amp;IF(O33&lt;&gt;"","Came back from "&amp;O33&amp;". ","")))="","✔",IF(E33="","",IF(S33="Dropped","Dropped"&amp;IF(P33="",": write why",""),IF(F33="","No owner. ",IF(COUNTIF(Setup!$D$20:$D$39,F33)&gt;0,"A department: belongs to nobody. ",""))&amp;IF(G33="","No date. ","")&amp;IF(H33="","No picture of done. ","")&amp;IF(S33="Can’t tell","No status: open or closed? ","")&amp;IF(AND(S33="Closed",OR(K33="",M33="")),"Closed with no "&amp;IF(K33="","name","")&amp;IF(AND(K33="",M33=""),", no ","")&amp;IF(M33="","evidence","")&amp;". ","")&amp;IF(AND(S33&lt;&gt;"Closed",ISNUMBER(C33),Setup!$B$9&lt;&gt;"",C33&lt;Setup!$B$9,IFERROR(INDEX(Meetings!$B$7:$B$56,MATCH(N33,Meetings!$A$7:$A$56,0)),0)&lt;Setup!$B$9),"Missed at the last meeting. ","")&amp;IF(AND(ISNUMBER(R33),R33&lt;0),"Overdue "&amp;-R33&amp;IF(R33=-1," day. "," days. "),"")&amp;IF(O33&lt;&gt;"","Came back from "&amp;O33&amp;". ","")))))</f>
        <v/>
      </c>
      <c r="U33" s="59" t="str">
        <f t="shared" si="1"/>
        <v/>
      </c>
    </row>
    <row r="34" spans="1:21" ht="30" customHeight="1" x14ac:dyDescent="0.3">
      <c r="A34" s="51" t="s">
        <v>194</v>
      </c>
      <c r="B34" s="19"/>
      <c r="C34" s="52" t="str">
        <f>IF(B34="","",IFERROR(INDEX(Meetings!$B$7:$B$56,MATCH(B34,Meetings!$A$7:$A$56,0)),"?"))</f>
        <v/>
      </c>
      <c r="D34" s="19"/>
      <c r="E34" s="53"/>
      <c r="F34" s="19"/>
      <c r="G34" s="54"/>
      <c r="H34" s="53"/>
      <c r="I34" s="53"/>
      <c r="J34" s="19"/>
      <c r="K34" s="19"/>
      <c r="L34" s="54"/>
      <c r="M34" s="53"/>
      <c r="N34" s="19"/>
      <c r="O34" s="19"/>
      <c r="P34" s="53"/>
      <c r="Q34" s="55" t="str">
        <f>IF(OR(E34="",NOT(ISNUMBER(C34))),"",IF(S34="Closed",IF(L34="","",L34-C34),Setup!$B$7-C34))</f>
        <v/>
      </c>
      <c r="R34" s="56" t="str">
        <f>IF(OR(E34="",G34="",S34="Closed",S34="Dropped"),"",G34-Setup!$B$7)</f>
        <v/>
      </c>
      <c r="S34" s="57" t="str">
        <f t="shared" si="0"/>
        <v/>
      </c>
      <c r="T34" s="58" t="str">
        <f>IF(E34="","",IF(IF(E34="","",IF(S34="Dropped","Dropped"&amp;IF(P34="",": write why",""),IF(F34="","No owner. ",IF(COUNTIF(Setup!$D$20:$D$39,F34)&gt;0,"A department: belongs to nobody. ",""))&amp;IF(G34="","No date. ","")&amp;IF(H34="","No picture of done. ","")&amp;IF(S34="Can’t tell","No status: open or closed? ","")&amp;IF(AND(S34="Closed",OR(K34="",M34="")),"Closed with no "&amp;IF(K34="","name","")&amp;IF(AND(K34="",M34=""),", no ","")&amp;IF(M34="","evidence","")&amp;". ","")&amp;IF(AND(S34&lt;&gt;"Closed",ISNUMBER(C34),Setup!$B$9&lt;&gt;"",C34&lt;Setup!$B$9,IFERROR(INDEX(Meetings!$B$7:$B$56,MATCH(N34,Meetings!$A$7:$A$56,0)),0)&lt;Setup!$B$9),"Missed at the last meeting. ","")&amp;IF(AND(ISNUMBER(R34),R34&lt;0),"Overdue "&amp;-R34&amp;IF(R34=-1," day. "," days. "),"")&amp;IF(O34&lt;&gt;"","Came back from "&amp;O34&amp;". ","")))="","✔",IF(E34="","",IF(S34="Dropped","Dropped"&amp;IF(P34="",": write why",""),IF(F34="","No owner. ",IF(COUNTIF(Setup!$D$20:$D$39,F34)&gt;0,"A department: belongs to nobody. ",""))&amp;IF(G34="","No date. ","")&amp;IF(H34="","No picture of done. ","")&amp;IF(S34="Can’t tell","No status: open or closed? ","")&amp;IF(AND(S34="Closed",OR(K34="",M34="")),"Closed with no "&amp;IF(K34="","name","")&amp;IF(AND(K34="",M34=""),", no ","")&amp;IF(M34="","evidence","")&amp;". ","")&amp;IF(AND(S34&lt;&gt;"Closed",ISNUMBER(C34),Setup!$B$9&lt;&gt;"",C34&lt;Setup!$B$9,IFERROR(INDEX(Meetings!$B$7:$B$56,MATCH(N34,Meetings!$A$7:$A$56,0)),0)&lt;Setup!$B$9),"Missed at the last meeting. ","")&amp;IF(AND(ISNUMBER(R34),R34&lt;0),"Overdue "&amp;-R34&amp;IF(R34=-1," day. "," days. "),"")&amp;IF(O34&lt;&gt;"","Came back from "&amp;O34&amp;". ","")))))</f>
        <v/>
      </c>
      <c r="U34" s="59" t="str">
        <f t="shared" si="1"/>
        <v/>
      </c>
    </row>
    <row r="35" spans="1:21" ht="30" customHeight="1" x14ac:dyDescent="0.3">
      <c r="A35" s="51" t="s">
        <v>195</v>
      </c>
      <c r="B35" s="19"/>
      <c r="C35" s="52" t="str">
        <f>IF(B35="","",IFERROR(INDEX(Meetings!$B$7:$B$56,MATCH(B35,Meetings!$A$7:$A$56,0)),"?"))</f>
        <v/>
      </c>
      <c r="D35" s="19"/>
      <c r="E35" s="53"/>
      <c r="F35" s="19"/>
      <c r="G35" s="54"/>
      <c r="H35" s="53"/>
      <c r="I35" s="53"/>
      <c r="J35" s="19"/>
      <c r="K35" s="19"/>
      <c r="L35" s="54"/>
      <c r="M35" s="53"/>
      <c r="N35" s="19"/>
      <c r="O35" s="19"/>
      <c r="P35" s="53"/>
      <c r="Q35" s="55" t="str">
        <f>IF(OR(E35="",NOT(ISNUMBER(C35))),"",IF(S35="Closed",IF(L35="","",L35-C35),Setup!$B$7-C35))</f>
        <v/>
      </c>
      <c r="R35" s="56" t="str">
        <f>IF(OR(E35="",G35="",S35="Closed",S35="Dropped"),"",G35-Setup!$B$7)</f>
        <v/>
      </c>
      <c r="S35" s="57" t="str">
        <f t="shared" si="0"/>
        <v/>
      </c>
      <c r="T35" s="58" t="str">
        <f>IF(E35="","",IF(IF(E35="","",IF(S35="Dropped","Dropped"&amp;IF(P35="",": write why",""),IF(F35="","No owner. ",IF(COUNTIF(Setup!$D$20:$D$39,F35)&gt;0,"A department: belongs to nobody. ",""))&amp;IF(G35="","No date. ","")&amp;IF(H35="","No picture of done. ","")&amp;IF(S35="Can’t tell","No status: open or closed? ","")&amp;IF(AND(S35="Closed",OR(K35="",M35="")),"Closed with no "&amp;IF(K35="","name","")&amp;IF(AND(K35="",M35=""),", no ","")&amp;IF(M35="","evidence","")&amp;". ","")&amp;IF(AND(S35&lt;&gt;"Closed",ISNUMBER(C35),Setup!$B$9&lt;&gt;"",C35&lt;Setup!$B$9,IFERROR(INDEX(Meetings!$B$7:$B$56,MATCH(N35,Meetings!$A$7:$A$56,0)),0)&lt;Setup!$B$9),"Missed at the last meeting. ","")&amp;IF(AND(ISNUMBER(R35),R35&lt;0),"Overdue "&amp;-R35&amp;IF(R35=-1," day. "," days. "),"")&amp;IF(O35&lt;&gt;"","Came back from "&amp;O35&amp;". ","")))="","✔",IF(E35="","",IF(S35="Dropped","Dropped"&amp;IF(P35="",": write why",""),IF(F35="","No owner. ",IF(COUNTIF(Setup!$D$20:$D$39,F35)&gt;0,"A department: belongs to nobody. ",""))&amp;IF(G35="","No date. ","")&amp;IF(H35="","No picture of done. ","")&amp;IF(S35="Can’t tell","No status: open or closed? ","")&amp;IF(AND(S35="Closed",OR(K35="",M35="")),"Closed with no "&amp;IF(K35="","name","")&amp;IF(AND(K35="",M35=""),", no ","")&amp;IF(M35="","evidence","")&amp;". ","")&amp;IF(AND(S35&lt;&gt;"Closed",ISNUMBER(C35),Setup!$B$9&lt;&gt;"",C35&lt;Setup!$B$9,IFERROR(INDEX(Meetings!$B$7:$B$56,MATCH(N35,Meetings!$A$7:$A$56,0)),0)&lt;Setup!$B$9),"Missed at the last meeting. ","")&amp;IF(AND(ISNUMBER(R35),R35&lt;0),"Overdue "&amp;-R35&amp;IF(R35=-1," day. "," days. "),"")&amp;IF(O35&lt;&gt;"","Came back from "&amp;O35&amp;". ","")))))</f>
        <v/>
      </c>
      <c r="U35" s="59" t="str">
        <f t="shared" si="1"/>
        <v/>
      </c>
    </row>
    <row r="36" spans="1:21" ht="30" customHeight="1" x14ac:dyDescent="0.3">
      <c r="A36" s="51" t="s">
        <v>196</v>
      </c>
      <c r="B36" s="19"/>
      <c r="C36" s="52" t="str">
        <f>IF(B36="","",IFERROR(INDEX(Meetings!$B$7:$B$56,MATCH(B36,Meetings!$A$7:$A$56,0)),"?"))</f>
        <v/>
      </c>
      <c r="D36" s="19"/>
      <c r="E36" s="53"/>
      <c r="F36" s="19"/>
      <c r="G36" s="54"/>
      <c r="H36" s="53"/>
      <c r="I36" s="53"/>
      <c r="J36" s="19"/>
      <c r="K36" s="19"/>
      <c r="L36" s="54"/>
      <c r="M36" s="53"/>
      <c r="N36" s="19"/>
      <c r="O36" s="19"/>
      <c r="P36" s="53"/>
      <c r="Q36" s="55" t="str">
        <f>IF(OR(E36="",NOT(ISNUMBER(C36))),"",IF(S36="Closed",IF(L36="","",L36-C36),Setup!$B$7-C36))</f>
        <v/>
      </c>
      <c r="R36" s="56" t="str">
        <f>IF(OR(E36="",G36="",S36="Closed",S36="Dropped"),"",G36-Setup!$B$7)</f>
        <v/>
      </c>
      <c r="S36" s="57" t="str">
        <f t="shared" si="0"/>
        <v/>
      </c>
      <c r="T36" s="58" t="str">
        <f>IF(E36="","",IF(IF(E36="","",IF(S36="Dropped","Dropped"&amp;IF(P36="",": write why",""),IF(F36="","No owner. ",IF(COUNTIF(Setup!$D$20:$D$39,F36)&gt;0,"A department: belongs to nobody. ",""))&amp;IF(G36="","No date. ","")&amp;IF(H36="","No picture of done. ","")&amp;IF(S36="Can’t tell","No status: open or closed? ","")&amp;IF(AND(S36="Closed",OR(K36="",M36="")),"Closed with no "&amp;IF(K36="","name","")&amp;IF(AND(K36="",M36=""),", no ","")&amp;IF(M36="","evidence","")&amp;". ","")&amp;IF(AND(S36&lt;&gt;"Closed",ISNUMBER(C36),Setup!$B$9&lt;&gt;"",C36&lt;Setup!$B$9,IFERROR(INDEX(Meetings!$B$7:$B$56,MATCH(N36,Meetings!$A$7:$A$56,0)),0)&lt;Setup!$B$9),"Missed at the last meeting. ","")&amp;IF(AND(ISNUMBER(R36),R36&lt;0),"Overdue "&amp;-R36&amp;IF(R36=-1," day. "," days. "),"")&amp;IF(O36&lt;&gt;"","Came back from "&amp;O36&amp;". ","")))="","✔",IF(E36="","",IF(S36="Dropped","Dropped"&amp;IF(P36="",": write why",""),IF(F36="","No owner. ",IF(COUNTIF(Setup!$D$20:$D$39,F36)&gt;0,"A department: belongs to nobody. ",""))&amp;IF(G36="","No date. ","")&amp;IF(H36="","No picture of done. ","")&amp;IF(S36="Can’t tell","No status: open or closed? ","")&amp;IF(AND(S36="Closed",OR(K36="",M36="")),"Closed with no "&amp;IF(K36="","name","")&amp;IF(AND(K36="",M36=""),", no ","")&amp;IF(M36="","evidence","")&amp;". ","")&amp;IF(AND(S36&lt;&gt;"Closed",ISNUMBER(C36),Setup!$B$9&lt;&gt;"",C36&lt;Setup!$B$9,IFERROR(INDEX(Meetings!$B$7:$B$56,MATCH(N36,Meetings!$A$7:$A$56,0)),0)&lt;Setup!$B$9),"Missed at the last meeting. ","")&amp;IF(AND(ISNUMBER(R36),R36&lt;0),"Overdue "&amp;-R36&amp;IF(R36=-1," day. "," days. "),"")&amp;IF(O36&lt;&gt;"","Came back from "&amp;O36&amp;". ","")))))</f>
        <v/>
      </c>
      <c r="U36" s="59" t="str">
        <f t="shared" si="1"/>
        <v/>
      </c>
    </row>
    <row r="37" spans="1:21" ht="30" customHeight="1" x14ac:dyDescent="0.3">
      <c r="A37" s="51" t="s">
        <v>197</v>
      </c>
      <c r="B37" s="19"/>
      <c r="C37" s="52" t="str">
        <f>IF(B37="","",IFERROR(INDEX(Meetings!$B$7:$B$56,MATCH(B37,Meetings!$A$7:$A$56,0)),"?"))</f>
        <v/>
      </c>
      <c r="D37" s="19"/>
      <c r="E37" s="53"/>
      <c r="F37" s="19"/>
      <c r="G37" s="54"/>
      <c r="H37" s="53"/>
      <c r="I37" s="53"/>
      <c r="J37" s="19"/>
      <c r="K37" s="19"/>
      <c r="L37" s="54"/>
      <c r="M37" s="53"/>
      <c r="N37" s="19"/>
      <c r="O37" s="19"/>
      <c r="P37" s="53"/>
      <c r="Q37" s="55" t="str">
        <f>IF(OR(E37="",NOT(ISNUMBER(C37))),"",IF(S37="Closed",IF(L37="","",L37-C37),Setup!$B$7-C37))</f>
        <v/>
      </c>
      <c r="R37" s="56" t="str">
        <f>IF(OR(E37="",G37="",S37="Closed",S37="Dropped"),"",G37-Setup!$B$7)</f>
        <v/>
      </c>
      <c r="S37" s="57" t="str">
        <f t="shared" si="0"/>
        <v/>
      </c>
      <c r="T37" s="58" t="str">
        <f>IF(E37="","",IF(IF(E37="","",IF(S37="Dropped","Dropped"&amp;IF(P37="",": write why",""),IF(F37="","No owner. ",IF(COUNTIF(Setup!$D$20:$D$39,F37)&gt;0,"A department: belongs to nobody. ",""))&amp;IF(G37="","No date. ","")&amp;IF(H37="","No picture of done. ","")&amp;IF(S37="Can’t tell","No status: open or closed? ","")&amp;IF(AND(S37="Closed",OR(K37="",M37="")),"Closed with no "&amp;IF(K37="","name","")&amp;IF(AND(K37="",M37=""),", no ","")&amp;IF(M37="","evidence","")&amp;". ","")&amp;IF(AND(S37&lt;&gt;"Closed",ISNUMBER(C37),Setup!$B$9&lt;&gt;"",C37&lt;Setup!$B$9,IFERROR(INDEX(Meetings!$B$7:$B$56,MATCH(N37,Meetings!$A$7:$A$56,0)),0)&lt;Setup!$B$9),"Missed at the last meeting. ","")&amp;IF(AND(ISNUMBER(R37),R37&lt;0),"Overdue "&amp;-R37&amp;IF(R37=-1," day. "," days. "),"")&amp;IF(O37&lt;&gt;"","Came back from "&amp;O37&amp;". ","")))="","✔",IF(E37="","",IF(S37="Dropped","Dropped"&amp;IF(P37="",": write why",""),IF(F37="","No owner. ",IF(COUNTIF(Setup!$D$20:$D$39,F37)&gt;0,"A department: belongs to nobody. ",""))&amp;IF(G37="","No date. ","")&amp;IF(H37="","No picture of done. ","")&amp;IF(S37="Can’t tell","No status: open or closed? ","")&amp;IF(AND(S37="Closed",OR(K37="",M37="")),"Closed with no "&amp;IF(K37="","name","")&amp;IF(AND(K37="",M37=""),", no ","")&amp;IF(M37="","evidence","")&amp;". ","")&amp;IF(AND(S37&lt;&gt;"Closed",ISNUMBER(C37),Setup!$B$9&lt;&gt;"",C37&lt;Setup!$B$9,IFERROR(INDEX(Meetings!$B$7:$B$56,MATCH(N37,Meetings!$A$7:$A$56,0)),0)&lt;Setup!$B$9),"Missed at the last meeting. ","")&amp;IF(AND(ISNUMBER(R37),R37&lt;0),"Overdue "&amp;-R37&amp;IF(R37=-1," day. "," days. "),"")&amp;IF(O37&lt;&gt;"","Came back from "&amp;O37&amp;". ","")))))</f>
        <v/>
      </c>
      <c r="U37" s="59" t="str">
        <f t="shared" si="1"/>
        <v/>
      </c>
    </row>
    <row r="38" spans="1:21" ht="30" customHeight="1" x14ac:dyDescent="0.3">
      <c r="A38" s="51" t="s">
        <v>198</v>
      </c>
      <c r="B38" s="19"/>
      <c r="C38" s="52" t="str">
        <f>IF(B38="","",IFERROR(INDEX(Meetings!$B$7:$B$56,MATCH(B38,Meetings!$A$7:$A$56,0)),"?"))</f>
        <v/>
      </c>
      <c r="D38" s="19"/>
      <c r="E38" s="53"/>
      <c r="F38" s="19"/>
      <c r="G38" s="54"/>
      <c r="H38" s="53"/>
      <c r="I38" s="53"/>
      <c r="J38" s="19"/>
      <c r="K38" s="19"/>
      <c r="L38" s="54"/>
      <c r="M38" s="53"/>
      <c r="N38" s="19"/>
      <c r="O38" s="19"/>
      <c r="P38" s="53"/>
      <c r="Q38" s="55" t="str">
        <f>IF(OR(E38="",NOT(ISNUMBER(C38))),"",IF(S38="Closed",IF(L38="","",L38-C38),Setup!$B$7-C38))</f>
        <v/>
      </c>
      <c r="R38" s="56" t="str">
        <f>IF(OR(E38="",G38="",S38="Closed",S38="Dropped"),"",G38-Setup!$B$7)</f>
        <v/>
      </c>
      <c r="S38" s="57" t="str">
        <f t="shared" si="0"/>
        <v/>
      </c>
      <c r="T38" s="58" t="str">
        <f>IF(E38="","",IF(IF(E38="","",IF(S38="Dropped","Dropped"&amp;IF(P38="",": write why",""),IF(F38="","No owner. ",IF(COUNTIF(Setup!$D$20:$D$39,F38)&gt;0,"A department: belongs to nobody. ",""))&amp;IF(G38="","No date. ","")&amp;IF(H38="","No picture of done. ","")&amp;IF(S38="Can’t tell","No status: open or closed? ","")&amp;IF(AND(S38="Closed",OR(K38="",M38="")),"Closed with no "&amp;IF(K38="","name","")&amp;IF(AND(K38="",M38=""),", no ","")&amp;IF(M38="","evidence","")&amp;". ","")&amp;IF(AND(S38&lt;&gt;"Closed",ISNUMBER(C38),Setup!$B$9&lt;&gt;"",C38&lt;Setup!$B$9,IFERROR(INDEX(Meetings!$B$7:$B$56,MATCH(N38,Meetings!$A$7:$A$56,0)),0)&lt;Setup!$B$9),"Missed at the last meeting. ","")&amp;IF(AND(ISNUMBER(R38),R38&lt;0),"Overdue "&amp;-R38&amp;IF(R38=-1," day. "," days. "),"")&amp;IF(O38&lt;&gt;"","Came back from "&amp;O38&amp;". ","")))="","✔",IF(E38="","",IF(S38="Dropped","Dropped"&amp;IF(P38="",": write why",""),IF(F38="","No owner. ",IF(COUNTIF(Setup!$D$20:$D$39,F38)&gt;0,"A department: belongs to nobody. ",""))&amp;IF(G38="","No date. ","")&amp;IF(H38="","No picture of done. ","")&amp;IF(S38="Can’t tell","No status: open or closed? ","")&amp;IF(AND(S38="Closed",OR(K38="",M38="")),"Closed with no "&amp;IF(K38="","name","")&amp;IF(AND(K38="",M38=""),", no ","")&amp;IF(M38="","evidence","")&amp;". ","")&amp;IF(AND(S38&lt;&gt;"Closed",ISNUMBER(C38),Setup!$B$9&lt;&gt;"",C38&lt;Setup!$B$9,IFERROR(INDEX(Meetings!$B$7:$B$56,MATCH(N38,Meetings!$A$7:$A$56,0)),0)&lt;Setup!$B$9),"Missed at the last meeting. ","")&amp;IF(AND(ISNUMBER(R38),R38&lt;0),"Overdue "&amp;-R38&amp;IF(R38=-1," day. "," days. "),"")&amp;IF(O38&lt;&gt;"","Came back from "&amp;O38&amp;". ","")))))</f>
        <v/>
      </c>
      <c r="U38" s="59" t="str">
        <f t="shared" si="1"/>
        <v/>
      </c>
    </row>
    <row r="39" spans="1:21" ht="30" customHeight="1" x14ac:dyDescent="0.3">
      <c r="A39" s="51" t="s">
        <v>199</v>
      </c>
      <c r="B39" s="19"/>
      <c r="C39" s="52" t="str">
        <f>IF(B39="","",IFERROR(INDEX(Meetings!$B$7:$B$56,MATCH(B39,Meetings!$A$7:$A$56,0)),"?"))</f>
        <v/>
      </c>
      <c r="D39" s="19"/>
      <c r="E39" s="53"/>
      <c r="F39" s="19"/>
      <c r="G39" s="54"/>
      <c r="H39" s="53"/>
      <c r="I39" s="53"/>
      <c r="J39" s="19"/>
      <c r="K39" s="19"/>
      <c r="L39" s="54"/>
      <c r="M39" s="53"/>
      <c r="N39" s="19"/>
      <c r="O39" s="19"/>
      <c r="P39" s="53"/>
      <c r="Q39" s="55" t="str">
        <f>IF(OR(E39="",NOT(ISNUMBER(C39))),"",IF(S39="Closed",IF(L39="","",L39-C39),Setup!$B$7-C39))</f>
        <v/>
      </c>
      <c r="R39" s="56" t="str">
        <f>IF(OR(E39="",G39="",S39="Closed",S39="Dropped"),"",G39-Setup!$B$7)</f>
        <v/>
      </c>
      <c r="S39" s="57" t="str">
        <f t="shared" ref="S39:S70" si="2">IF(E39="","",IF(J39="","Can’t tell",IF(J39="Reopened","Open",J39)))</f>
        <v/>
      </c>
      <c r="T39" s="58" t="str">
        <f>IF(E39="","",IF(IF(E39="","",IF(S39="Dropped","Dropped"&amp;IF(P39="",": write why",""),IF(F39="","No owner. ",IF(COUNTIF(Setup!$D$20:$D$39,F39)&gt;0,"A department: belongs to nobody. ",""))&amp;IF(G39="","No date. ","")&amp;IF(H39="","No picture of done. ","")&amp;IF(S39="Can’t tell","No status: open or closed? ","")&amp;IF(AND(S39="Closed",OR(K39="",M39="")),"Closed with no "&amp;IF(K39="","name","")&amp;IF(AND(K39="",M39=""),", no ","")&amp;IF(M39="","evidence","")&amp;". ","")&amp;IF(AND(S39&lt;&gt;"Closed",ISNUMBER(C39),Setup!$B$9&lt;&gt;"",C39&lt;Setup!$B$9,IFERROR(INDEX(Meetings!$B$7:$B$56,MATCH(N39,Meetings!$A$7:$A$56,0)),0)&lt;Setup!$B$9),"Missed at the last meeting. ","")&amp;IF(AND(ISNUMBER(R39),R39&lt;0),"Overdue "&amp;-R39&amp;IF(R39=-1," day. "," days. "),"")&amp;IF(O39&lt;&gt;"","Came back from "&amp;O39&amp;". ","")))="","✔",IF(E39="","",IF(S39="Dropped","Dropped"&amp;IF(P39="",": write why",""),IF(F39="","No owner. ",IF(COUNTIF(Setup!$D$20:$D$39,F39)&gt;0,"A department: belongs to nobody. ",""))&amp;IF(G39="","No date. ","")&amp;IF(H39="","No picture of done. ","")&amp;IF(S39="Can’t tell","No status: open or closed? ","")&amp;IF(AND(S39="Closed",OR(K39="",M39="")),"Closed with no "&amp;IF(K39="","name","")&amp;IF(AND(K39="",M39=""),", no ","")&amp;IF(M39="","evidence","")&amp;". ","")&amp;IF(AND(S39&lt;&gt;"Closed",ISNUMBER(C39),Setup!$B$9&lt;&gt;"",C39&lt;Setup!$B$9,IFERROR(INDEX(Meetings!$B$7:$B$56,MATCH(N39,Meetings!$A$7:$A$56,0)),0)&lt;Setup!$B$9),"Missed at the last meeting. ","")&amp;IF(AND(ISNUMBER(R39),R39&lt;0),"Overdue "&amp;-R39&amp;IF(R39=-1," day. "," days. "),"")&amp;IF(O39&lt;&gt;"","Came back from "&amp;O39&amp;". ","")))))</f>
        <v/>
      </c>
      <c r="U39" s="59" t="str">
        <f t="shared" ref="U39:U70" si="3">IF(OR(E39="",S39="Closed",S39="Dropped",NOT(ISNUMBER(C39))),"",C39+ROW()/10000)</f>
        <v/>
      </c>
    </row>
    <row r="40" spans="1:21" ht="30" customHeight="1" x14ac:dyDescent="0.3">
      <c r="A40" s="51" t="s">
        <v>200</v>
      </c>
      <c r="B40" s="19"/>
      <c r="C40" s="52" t="str">
        <f>IF(B40="","",IFERROR(INDEX(Meetings!$B$7:$B$56,MATCH(B40,Meetings!$A$7:$A$56,0)),"?"))</f>
        <v/>
      </c>
      <c r="D40" s="19"/>
      <c r="E40" s="53"/>
      <c r="F40" s="19"/>
      <c r="G40" s="54"/>
      <c r="H40" s="53"/>
      <c r="I40" s="53"/>
      <c r="J40" s="19"/>
      <c r="K40" s="19"/>
      <c r="L40" s="54"/>
      <c r="M40" s="53"/>
      <c r="N40" s="19"/>
      <c r="O40" s="19"/>
      <c r="P40" s="53"/>
      <c r="Q40" s="55" t="str">
        <f>IF(OR(E40="",NOT(ISNUMBER(C40))),"",IF(S40="Closed",IF(L40="","",L40-C40),Setup!$B$7-C40))</f>
        <v/>
      </c>
      <c r="R40" s="56" t="str">
        <f>IF(OR(E40="",G40="",S40="Closed",S40="Dropped"),"",G40-Setup!$B$7)</f>
        <v/>
      </c>
      <c r="S40" s="57" t="str">
        <f t="shared" si="2"/>
        <v/>
      </c>
      <c r="T40" s="58" t="str">
        <f>IF(E40="","",IF(IF(E40="","",IF(S40="Dropped","Dropped"&amp;IF(P40="",": write why",""),IF(F40="","No owner. ",IF(COUNTIF(Setup!$D$20:$D$39,F40)&gt;0,"A department: belongs to nobody. ",""))&amp;IF(G40="","No date. ","")&amp;IF(H40="","No picture of done. ","")&amp;IF(S40="Can’t tell","No status: open or closed? ","")&amp;IF(AND(S40="Closed",OR(K40="",M40="")),"Closed with no "&amp;IF(K40="","name","")&amp;IF(AND(K40="",M40=""),", no ","")&amp;IF(M40="","evidence","")&amp;". ","")&amp;IF(AND(S40&lt;&gt;"Closed",ISNUMBER(C40),Setup!$B$9&lt;&gt;"",C40&lt;Setup!$B$9,IFERROR(INDEX(Meetings!$B$7:$B$56,MATCH(N40,Meetings!$A$7:$A$56,0)),0)&lt;Setup!$B$9),"Missed at the last meeting. ","")&amp;IF(AND(ISNUMBER(R40),R40&lt;0),"Overdue "&amp;-R40&amp;IF(R40=-1," day. "," days. "),"")&amp;IF(O40&lt;&gt;"","Came back from "&amp;O40&amp;". ","")))="","✔",IF(E40="","",IF(S40="Dropped","Dropped"&amp;IF(P40="",": write why",""),IF(F40="","No owner. ",IF(COUNTIF(Setup!$D$20:$D$39,F40)&gt;0,"A department: belongs to nobody. ",""))&amp;IF(G40="","No date. ","")&amp;IF(H40="","No picture of done. ","")&amp;IF(S40="Can’t tell","No status: open or closed? ","")&amp;IF(AND(S40="Closed",OR(K40="",M40="")),"Closed with no "&amp;IF(K40="","name","")&amp;IF(AND(K40="",M40=""),", no ","")&amp;IF(M40="","evidence","")&amp;". ","")&amp;IF(AND(S40&lt;&gt;"Closed",ISNUMBER(C40),Setup!$B$9&lt;&gt;"",C40&lt;Setup!$B$9,IFERROR(INDEX(Meetings!$B$7:$B$56,MATCH(N40,Meetings!$A$7:$A$56,0)),0)&lt;Setup!$B$9),"Missed at the last meeting. ","")&amp;IF(AND(ISNUMBER(R40),R40&lt;0),"Overdue "&amp;-R40&amp;IF(R40=-1," day. "," days. "),"")&amp;IF(O40&lt;&gt;"","Came back from "&amp;O40&amp;". ","")))))</f>
        <v/>
      </c>
      <c r="U40" s="59" t="str">
        <f t="shared" si="3"/>
        <v/>
      </c>
    </row>
    <row r="41" spans="1:21" ht="30" customHeight="1" x14ac:dyDescent="0.3">
      <c r="A41" s="51" t="s">
        <v>201</v>
      </c>
      <c r="B41" s="19"/>
      <c r="C41" s="52" t="str">
        <f>IF(B41="","",IFERROR(INDEX(Meetings!$B$7:$B$56,MATCH(B41,Meetings!$A$7:$A$56,0)),"?"))</f>
        <v/>
      </c>
      <c r="D41" s="19"/>
      <c r="E41" s="53"/>
      <c r="F41" s="19"/>
      <c r="G41" s="54"/>
      <c r="H41" s="53"/>
      <c r="I41" s="53"/>
      <c r="J41" s="19"/>
      <c r="K41" s="19"/>
      <c r="L41" s="54"/>
      <c r="M41" s="53"/>
      <c r="N41" s="19"/>
      <c r="O41" s="19"/>
      <c r="P41" s="53"/>
      <c r="Q41" s="55" t="str">
        <f>IF(OR(E41="",NOT(ISNUMBER(C41))),"",IF(S41="Closed",IF(L41="","",L41-C41),Setup!$B$7-C41))</f>
        <v/>
      </c>
      <c r="R41" s="56" t="str">
        <f>IF(OR(E41="",G41="",S41="Closed",S41="Dropped"),"",G41-Setup!$B$7)</f>
        <v/>
      </c>
      <c r="S41" s="57" t="str">
        <f t="shared" si="2"/>
        <v/>
      </c>
      <c r="T41" s="58" t="str">
        <f>IF(E41="","",IF(IF(E41="","",IF(S41="Dropped","Dropped"&amp;IF(P41="",": write why",""),IF(F41="","No owner. ",IF(COUNTIF(Setup!$D$20:$D$39,F41)&gt;0,"A department: belongs to nobody. ",""))&amp;IF(G41="","No date. ","")&amp;IF(H41="","No picture of done. ","")&amp;IF(S41="Can’t tell","No status: open or closed? ","")&amp;IF(AND(S41="Closed",OR(K41="",M41="")),"Closed with no "&amp;IF(K41="","name","")&amp;IF(AND(K41="",M41=""),", no ","")&amp;IF(M41="","evidence","")&amp;". ","")&amp;IF(AND(S41&lt;&gt;"Closed",ISNUMBER(C41),Setup!$B$9&lt;&gt;"",C41&lt;Setup!$B$9,IFERROR(INDEX(Meetings!$B$7:$B$56,MATCH(N41,Meetings!$A$7:$A$56,0)),0)&lt;Setup!$B$9),"Missed at the last meeting. ","")&amp;IF(AND(ISNUMBER(R41),R41&lt;0),"Overdue "&amp;-R41&amp;IF(R41=-1," day. "," days. "),"")&amp;IF(O41&lt;&gt;"","Came back from "&amp;O41&amp;". ","")))="","✔",IF(E41="","",IF(S41="Dropped","Dropped"&amp;IF(P41="",": write why",""),IF(F41="","No owner. ",IF(COUNTIF(Setup!$D$20:$D$39,F41)&gt;0,"A department: belongs to nobody. ",""))&amp;IF(G41="","No date. ","")&amp;IF(H41="","No picture of done. ","")&amp;IF(S41="Can’t tell","No status: open or closed? ","")&amp;IF(AND(S41="Closed",OR(K41="",M41="")),"Closed with no "&amp;IF(K41="","name","")&amp;IF(AND(K41="",M41=""),", no ","")&amp;IF(M41="","evidence","")&amp;". ","")&amp;IF(AND(S41&lt;&gt;"Closed",ISNUMBER(C41),Setup!$B$9&lt;&gt;"",C41&lt;Setup!$B$9,IFERROR(INDEX(Meetings!$B$7:$B$56,MATCH(N41,Meetings!$A$7:$A$56,0)),0)&lt;Setup!$B$9),"Missed at the last meeting. ","")&amp;IF(AND(ISNUMBER(R41),R41&lt;0),"Overdue "&amp;-R41&amp;IF(R41=-1," day. "," days. "),"")&amp;IF(O41&lt;&gt;"","Came back from "&amp;O41&amp;". ","")))))</f>
        <v/>
      </c>
      <c r="U41" s="59" t="str">
        <f t="shared" si="3"/>
        <v/>
      </c>
    </row>
    <row r="42" spans="1:21" ht="30" customHeight="1" x14ac:dyDescent="0.3">
      <c r="A42" s="51" t="s">
        <v>202</v>
      </c>
      <c r="B42" s="19"/>
      <c r="C42" s="52" t="str">
        <f>IF(B42="","",IFERROR(INDEX(Meetings!$B$7:$B$56,MATCH(B42,Meetings!$A$7:$A$56,0)),"?"))</f>
        <v/>
      </c>
      <c r="D42" s="19"/>
      <c r="E42" s="53"/>
      <c r="F42" s="19"/>
      <c r="G42" s="54"/>
      <c r="H42" s="53"/>
      <c r="I42" s="53"/>
      <c r="J42" s="19"/>
      <c r="K42" s="19"/>
      <c r="L42" s="54"/>
      <c r="M42" s="53"/>
      <c r="N42" s="19"/>
      <c r="O42" s="19"/>
      <c r="P42" s="53"/>
      <c r="Q42" s="55" t="str">
        <f>IF(OR(E42="",NOT(ISNUMBER(C42))),"",IF(S42="Closed",IF(L42="","",L42-C42),Setup!$B$7-C42))</f>
        <v/>
      </c>
      <c r="R42" s="56" t="str">
        <f>IF(OR(E42="",G42="",S42="Closed",S42="Dropped"),"",G42-Setup!$B$7)</f>
        <v/>
      </c>
      <c r="S42" s="57" t="str">
        <f t="shared" si="2"/>
        <v/>
      </c>
      <c r="T42" s="58" t="str">
        <f>IF(E42="","",IF(IF(E42="","",IF(S42="Dropped","Dropped"&amp;IF(P42="",": write why",""),IF(F42="","No owner. ",IF(COUNTIF(Setup!$D$20:$D$39,F42)&gt;0,"A department: belongs to nobody. ",""))&amp;IF(G42="","No date. ","")&amp;IF(H42="","No picture of done. ","")&amp;IF(S42="Can’t tell","No status: open or closed? ","")&amp;IF(AND(S42="Closed",OR(K42="",M42="")),"Closed with no "&amp;IF(K42="","name","")&amp;IF(AND(K42="",M42=""),", no ","")&amp;IF(M42="","evidence","")&amp;". ","")&amp;IF(AND(S42&lt;&gt;"Closed",ISNUMBER(C42),Setup!$B$9&lt;&gt;"",C42&lt;Setup!$B$9,IFERROR(INDEX(Meetings!$B$7:$B$56,MATCH(N42,Meetings!$A$7:$A$56,0)),0)&lt;Setup!$B$9),"Missed at the last meeting. ","")&amp;IF(AND(ISNUMBER(R42),R42&lt;0),"Overdue "&amp;-R42&amp;IF(R42=-1," day. "," days. "),"")&amp;IF(O42&lt;&gt;"","Came back from "&amp;O42&amp;". ","")))="","✔",IF(E42="","",IF(S42="Dropped","Dropped"&amp;IF(P42="",": write why",""),IF(F42="","No owner. ",IF(COUNTIF(Setup!$D$20:$D$39,F42)&gt;0,"A department: belongs to nobody. ",""))&amp;IF(G42="","No date. ","")&amp;IF(H42="","No picture of done. ","")&amp;IF(S42="Can’t tell","No status: open or closed? ","")&amp;IF(AND(S42="Closed",OR(K42="",M42="")),"Closed with no "&amp;IF(K42="","name","")&amp;IF(AND(K42="",M42=""),", no ","")&amp;IF(M42="","evidence","")&amp;". ","")&amp;IF(AND(S42&lt;&gt;"Closed",ISNUMBER(C42),Setup!$B$9&lt;&gt;"",C42&lt;Setup!$B$9,IFERROR(INDEX(Meetings!$B$7:$B$56,MATCH(N42,Meetings!$A$7:$A$56,0)),0)&lt;Setup!$B$9),"Missed at the last meeting. ","")&amp;IF(AND(ISNUMBER(R42),R42&lt;0),"Overdue "&amp;-R42&amp;IF(R42=-1," day. "," days. "),"")&amp;IF(O42&lt;&gt;"","Came back from "&amp;O42&amp;". ","")))))</f>
        <v/>
      </c>
      <c r="U42" s="59" t="str">
        <f t="shared" si="3"/>
        <v/>
      </c>
    </row>
    <row r="43" spans="1:21" ht="30" customHeight="1" x14ac:dyDescent="0.3">
      <c r="A43" s="51" t="s">
        <v>203</v>
      </c>
      <c r="B43" s="19"/>
      <c r="C43" s="52" t="str">
        <f>IF(B43="","",IFERROR(INDEX(Meetings!$B$7:$B$56,MATCH(B43,Meetings!$A$7:$A$56,0)),"?"))</f>
        <v/>
      </c>
      <c r="D43" s="19"/>
      <c r="E43" s="53"/>
      <c r="F43" s="19"/>
      <c r="G43" s="54"/>
      <c r="H43" s="53"/>
      <c r="I43" s="53"/>
      <c r="J43" s="19"/>
      <c r="K43" s="19"/>
      <c r="L43" s="54"/>
      <c r="M43" s="53"/>
      <c r="N43" s="19"/>
      <c r="O43" s="19"/>
      <c r="P43" s="53"/>
      <c r="Q43" s="55" t="str">
        <f>IF(OR(E43="",NOT(ISNUMBER(C43))),"",IF(S43="Closed",IF(L43="","",L43-C43),Setup!$B$7-C43))</f>
        <v/>
      </c>
      <c r="R43" s="56" t="str">
        <f>IF(OR(E43="",G43="",S43="Closed",S43="Dropped"),"",G43-Setup!$B$7)</f>
        <v/>
      </c>
      <c r="S43" s="57" t="str">
        <f t="shared" si="2"/>
        <v/>
      </c>
      <c r="T43" s="58" t="str">
        <f>IF(E43="","",IF(IF(E43="","",IF(S43="Dropped","Dropped"&amp;IF(P43="",": write why",""),IF(F43="","No owner. ",IF(COUNTIF(Setup!$D$20:$D$39,F43)&gt;0,"A department: belongs to nobody. ",""))&amp;IF(G43="","No date. ","")&amp;IF(H43="","No picture of done. ","")&amp;IF(S43="Can’t tell","No status: open or closed? ","")&amp;IF(AND(S43="Closed",OR(K43="",M43="")),"Closed with no "&amp;IF(K43="","name","")&amp;IF(AND(K43="",M43=""),", no ","")&amp;IF(M43="","evidence","")&amp;". ","")&amp;IF(AND(S43&lt;&gt;"Closed",ISNUMBER(C43),Setup!$B$9&lt;&gt;"",C43&lt;Setup!$B$9,IFERROR(INDEX(Meetings!$B$7:$B$56,MATCH(N43,Meetings!$A$7:$A$56,0)),0)&lt;Setup!$B$9),"Missed at the last meeting. ","")&amp;IF(AND(ISNUMBER(R43),R43&lt;0),"Overdue "&amp;-R43&amp;IF(R43=-1," day. "," days. "),"")&amp;IF(O43&lt;&gt;"","Came back from "&amp;O43&amp;". ","")))="","✔",IF(E43="","",IF(S43="Dropped","Dropped"&amp;IF(P43="",": write why",""),IF(F43="","No owner. ",IF(COUNTIF(Setup!$D$20:$D$39,F43)&gt;0,"A department: belongs to nobody. ",""))&amp;IF(G43="","No date. ","")&amp;IF(H43="","No picture of done. ","")&amp;IF(S43="Can’t tell","No status: open or closed? ","")&amp;IF(AND(S43="Closed",OR(K43="",M43="")),"Closed with no "&amp;IF(K43="","name","")&amp;IF(AND(K43="",M43=""),", no ","")&amp;IF(M43="","evidence","")&amp;". ","")&amp;IF(AND(S43&lt;&gt;"Closed",ISNUMBER(C43),Setup!$B$9&lt;&gt;"",C43&lt;Setup!$B$9,IFERROR(INDEX(Meetings!$B$7:$B$56,MATCH(N43,Meetings!$A$7:$A$56,0)),0)&lt;Setup!$B$9),"Missed at the last meeting. ","")&amp;IF(AND(ISNUMBER(R43),R43&lt;0),"Overdue "&amp;-R43&amp;IF(R43=-1," day. "," days. "),"")&amp;IF(O43&lt;&gt;"","Came back from "&amp;O43&amp;". ","")))))</f>
        <v/>
      </c>
      <c r="U43" s="59" t="str">
        <f t="shared" si="3"/>
        <v/>
      </c>
    </row>
    <row r="44" spans="1:21" ht="30" customHeight="1" x14ac:dyDescent="0.3">
      <c r="A44" s="51" t="s">
        <v>204</v>
      </c>
      <c r="B44" s="19"/>
      <c r="C44" s="52" t="str">
        <f>IF(B44="","",IFERROR(INDEX(Meetings!$B$7:$B$56,MATCH(B44,Meetings!$A$7:$A$56,0)),"?"))</f>
        <v/>
      </c>
      <c r="D44" s="19"/>
      <c r="E44" s="53"/>
      <c r="F44" s="19"/>
      <c r="G44" s="54"/>
      <c r="H44" s="53"/>
      <c r="I44" s="53"/>
      <c r="J44" s="19"/>
      <c r="K44" s="19"/>
      <c r="L44" s="54"/>
      <c r="M44" s="53"/>
      <c r="N44" s="19"/>
      <c r="O44" s="19"/>
      <c r="P44" s="53"/>
      <c r="Q44" s="55" t="str">
        <f>IF(OR(E44="",NOT(ISNUMBER(C44))),"",IF(S44="Closed",IF(L44="","",L44-C44),Setup!$B$7-C44))</f>
        <v/>
      </c>
      <c r="R44" s="56" t="str">
        <f>IF(OR(E44="",G44="",S44="Closed",S44="Dropped"),"",G44-Setup!$B$7)</f>
        <v/>
      </c>
      <c r="S44" s="57" t="str">
        <f t="shared" si="2"/>
        <v/>
      </c>
      <c r="T44" s="58" t="str">
        <f>IF(E44="","",IF(IF(E44="","",IF(S44="Dropped","Dropped"&amp;IF(P44="",": write why",""),IF(F44="","No owner. ",IF(COUNTIF(Setup!$D$20:$D$39,F44)&gt;0,"A department: belongs to nobody. ",""))&amp;IF(G44="","No date. ","")&amp;IF(H44="","No picture of done. ","")&amp;IF(S44="Can’t tell","No status: open or closed? ","")&amp;IF(AND(S44="Closed",OR(K44="",M44="")),"Closed with no "&amp;IF(K44="","name","")&amp;IF(AND(K44="",M44=""),", no ","")&amp;IF(M44="","evidence","")&amp;". ","")&amp;IF(AND(S44&lt;&gt;"Closed",ISNUMBER(C44),Setup!$B$9&lt;&gt;"",C44&lt;Setup!$B$9,IFERROR(INDEX(Meetings!$B$7:$B$56,MATCH(N44,Meetings!$A$7:$A$56,0)),0)&lt;Setup!$B$9),"Missed at the last meeting. ","")&amp;IF(AND(ISNUMBER(R44),R44&lt;0),"Overdue "&amp;-R44&amp;IF(R44=-1," day. "," days. "),"")&amp;IF(O44&lt;&gt;"","Came back from "&amp;O44&amp;". ","")))="","✔",IF(E44="","",IF(S44="Dropped","Dropped"&amp;IF(P44="",": write why",""),IF(F44="","No owner. ",IF(COUNTIF(Setup!$D$20:$D$39,F44)&gt;0,"A department: belongs to nobody. ",""))&amp;IF(G44="","No date. ","")&amp;IF(H44="","No picture of done. ","")&amp;IF(S44="Can’t tell","No status: open or closed? ","")&amp;IF(AND(S44="Closed",OR(K44="",M44="")),"Closed with no "&amp;IF(K44="","name","")&amp;IF(AND(K44="",M44=""),", no ","")&amp;IF(M44="","evidence","")&amp;". ","")&amp;IF(AND(S44&lt;&gt;"Closed",ISNUMBER(C44),Setup!$B$9&lt;&gt;"",C44&lt;Setup!$B$9,IFERROR(INDEX(Meetings!$B$7:$B$56,MATCH(N44,Meetings!$A$7:$A$56,0)),0)&lt;Setup!$B$9),"Missed at the last meeting. ","")&amp;IF(AND(ISNUMBER(R44),R44&lt;0),"Overdue "&amp;-R44&amp;IF(R44=-1," day. "," days. "),"")&amp;IF(O44&lt;&gt;"","Came back from "&amp;O44&amp;". ","")))))</f>
        <v/>
      </c>
      <c r="U44" s="59" t="str">
        <f t="shared" si="3"/>
        <v/>
      </c>
    </row>
    <row r="45" spans="1:21" ht="30" customHeight="1" x14ac:dyDescent="0.3">
      <c r="A45" s="51" t="s">
        <v>205</v>
      </c>
      <c r="B45" s="19"/>
      <c r="C45" s="52" t="str">
        <f>IF(B45="","",IFERROR(INDEX(Meetings!$B$7:$B$56,MATCH(B45,Meetings!$A$7:$A$56,0)),"?"))</f>
        <v/>
      </c>
      <c r="D45" s="19"/>
      <c r="E45" s="53"/>
      <c r="F45" s="19"/>
      <c r="G45" s="54"/>
      <c r="H45" s="53"/>
      <c r="I45" s="53"/>
      <c r="J45" s="19"/>
      <c r="K45" s="19"/>
      <c r="L45" s="54"/>
      <c r="M45" s="53"/>
      <c r="N45" s="19"/>
      <c r="O45" s="19"/>
      <c r="P45" s="53"/>
      <c r="Q45" s="55" t="str">
        <f>IF(OR(E45="",NOT(ISNUMBER(C45))),"",IF(S45="Closed",IF(L45="","",L45-C45),Setup!$B$7-C45))</f>
        <v/>
      </c>
      <c r="R45" s="56" t="str">
        <f>IF(OR(E45="",G45="",S45="Closed",S45="Dropped"),"",G45-Setup!$B$7)</f>
        <v/>
      </c>
      <c r="S45" s="57" t="str">
        <f t="shared" si="2"/>
        <v/>
      </c>
      <c r="T45" s="58" t="str">
        <f>IF(E45="","",IF(IF(E45="","",IF(S45="Dropped","Dropped"&amp;IF(P45="",": write why",""),IF(F45="","No owner. ",IF(COUNTIF(Setup!$D$20:$D$39,F45)&gt;0,"A department: belongs to nobody. ",""))&amp;IF(G45="","No date. ","")&amp;IF(H45="","No picture of done. ","")&amp;IF(S45="Can’t tell","No status: open or closed? ","")&amp;IF(AND(S45="Closed",OR(K45="",M45="")),"Closed with no "&amp;IF(K45="","name","")&amp;IF(AND(K45="",M45=""),", no ","")&amp;IF(M45="","evidence","")&amp;". ","")&amp;IF(AND(S45&lt;&gt;"Closed",ISNUMBER(C45),Setup!$B$9&lt;&gt;"",C45&lt;Setup!$B$9,IFERROR(INDEX(Meetings!$B$7:$B$56,MATCH(N45,Meetings!$A$7:$A$56,0)),0)&lt;Setup!$B$9),"Missed at the last meeting. ","")&amp;IF(AND(ISNUMBER(R45),R45&lt;0),"Overdue "&amp;-R45&amp;IF(R45=-1," day. "," days. "),"")&amp;IF(O45&lt;&gt;"","Came back from "&amp;O45&amp;". ","")))="","✔",IF(E45="","",IF(S45="Dropped","Dropped"&amp;IF(P45="",": write why",""),IF(F45="","No owner. ",IF(COUNTIF(Setup!$D$20:$D$39,F45)&gt;0,"A department: belongs to nobody. ",""))&amp;IF(G45="","No date. ","")&amp;IF(H45="","No picture of done. ","")&amp;IF(S45="Can’t tell","No status: open or closed? ","")&amp;IF(AND(S45="Closed",OR(K45="",M45="")),"Closed with no "&amp;IF(K45="","name","")&amp;IF(AND(K45="",M45=""),", no ","")&amp;IF(M45="","evidence","")&amp;". ","")&amp;IF(AND(S45&lt;&gt;"Closed",ISNUMBER(C45),Setup!$B$9&lt;&gt;"",C45&lt;Setup!$B$9,IFERROR(INDEX(Meetings!$B$7:$B$56,MATCH(N45,Meetings!$A$7:$A$56,0)),0)&lt;Setup!$B$9),"Missed at the last meeting. ","")&amp;IF(AND(ISNUMBER(R45),R45&lt;0),"Overdue "&amp;-R45&amp;IF(R45=-1," day. "," days. "),"")&amp;IF(O45&lt;&gt;"","Came back from "&amp;O45&amp;". ","")))))</f>
        <v/>
      </c>
      <c r="U45" s="59" t="str">
        <f t="shared" si="3"/>
        <v/>
      </c>
    </row>
    <row r="46" spans="1:21" ht="30" customHeight="1" x14ac:dyDescent="0.3">
      <c r="A46" s="51" t="s">
        <v>206</v>
      </c>
      <c r="B46" s="19"/>
      <c r="C46" s="52" t="str">
        <f>IF(B46="","",IFERROR(INDEX(Meetings!$B$7:$B$56,MATCH(B46,Meetings!$A$7:$A$56,0)),"?"))</f>
        <v/>
      </c>
      <c r="D46" s="19"/>
      <c r="E46" s="53"/>
      <c r="F46" s="19"/>
      <c r="G46" s="54"/>
      <c r="H46" s="53"/>
      <c r="I46" s="53"/>
      <c r="J46" s="19"/>
      <c r="K46" s="19"/>
      <c r="L46" s="54"/>
      <c r="M46" s="53"/>
      <c r="N46" s="19"/>
      <c r="O46" s="19"/>
      <c r="P46" s="53"/>
      <c r="Q46" s="55" t="str">
        <f>IF(OR(E46="",NOT(ISNUMBER(C46))),"",IF(S46="Closed",IF(L46="","",L46-C46),Setup!$B$7-C46))</f>
        <v/>
      </c>
      <c r="R46" s="56" t="str">
        <f>IF(OR(E46="",G46="",S46="Closed",S46="Dropped"),"",G46-Setup!$B$7)</f>
        <v/>
      </c>
      <c r="S46" s="57" t="str">
        <f t="shared" si="2"/>
        <v/>
      </c>
      <c r="T46" s="58" t="str">
        <f>IF(E46="","",IF(IF(E46="","",IF(S46="Dropped","Dropped"&amp;IF(P46="",": write why",""),IF(F46="","No owner. ",IF(COUNTIF(Setup!$D$20:$D$39,F46)&gt;0,"A department: belongs to nobody. ",""))&amp;IF(G46="","No date. ","")&amp;IF(H46="","No picture of done. ","")&amp;IF(S46="Can’t tell","No status: open or closed? ","")&amp;IF(AND(S46="Closed",OR(K46="",M46="")),"Closed with no "&amp;IF(K46="","name","")&amp;IF(AND(K46="",M46=""),", no ","")&amp;IF(M46="","evidence","")&amp;". ","")&amp;IF(AND(S46&lt;&gt;"Closed",ISNUMBER(C46),Setup!$B$9&lt;&gt;"",C46&lt;Setup!$B$9,IFERROR(INDEX(Meetings!$B$7:$B$56,MATCH(N46,Meetings!$A$7:$A$56,0)),0)&lt;Setup!$B$9),"Missed at the last meeting. ","")&amp;IF(AND(ISNUMBER(R46),R46&lt;0),"Overdue "&amp;-R46&amp;IF(R46=-1," day. "," days. "),"")&amp;IF(O46&lt;&gt;"","Came back from "&amp;O46&amp;". ","")))="","✔",IF(E46="","",IF(S46="Dropped","Dropped"&amp;IF(P46="",": write why",""),IF(F46="","No owner. ",IF(COUNTIF(Setup!$D$20:$D$39,F46)&gt;0,"A department: belongs to nobody. ",""))&amp;IF(G46="","No date. ","")&amp;IF(H46="","No picture of done. ","")&amp;IF(S46="Can’t tell","No status: open or closed? ","")&amp;IF(AND(S46="Closed",OR(K46="",M46="")),"Closed with no "&amp;IF(K46="","name","")&amp;IF(AND(K46="",M46=""),", no ","")&amp;IF(M46="","evidence","")&amp;". ","")&amp;IF(AND(S46&lt;&gt;"Closed",ISNUMBER(C46),Setup!$B$9&lt;&gt;"",C46&lt;Setup!$B$9,IFERROR(INDEX(Meetings!$B$7:$B$56,MATCH(N46,Meetings!$A$7:$A$56,0)),0)&lt;Setup!$B$9),"Missed at the last meeting. ","")&amp;IF(AND(ISNUMBER(R46),R46&lt;0),"Overdue "&amp;-R46&amp;IF(R46=-1," day. "," days. "),"")&amp;IF(O46&lt;&gt;"","Came back from "&amp;O46&amp;". ","")))))</f>
        <v/>
      </c>
      <c r="U46" s="59" t="str">
        <f t="shared" si="3"/>
        <v/>
      </c>
    </row>
    <row r="47" spans="1:21" ht="30" customHeight="1" x14ac:dyDescent="0.3">
      <c r="A47" s="51" t="s">
        <v>207</v>
      </c>
      <c r="B47" s="19"/>
      <c r="C47" s="52" t="str">
        <f>IF(B47="","",IFERROR(INDEX(Meetings!$B$7:$B$56,MATCH(B47,Meetings!$A$7:$A$56,0)),"?"))</f>
        <v/>
      </c>
      <c r="D47" s="19"/>
      <c r="E47" s="53"/>
      <c r="F47" s="19"/>
      <c r="G47" s="54"/>
      <c r="H47" s="53"/>
      <c r="I47" s="53"/>
      <c r="J47" s="19"/>
      <c r="K47" s="19"/>
      <c r="L47" s="54"/>
      <c r="M47" s="53"/>
      <c r="N47" s="19"/>
      <c r="O47" s="19"/>
      <c r="P47" s="53"/>
      <c r="Q47" s="55" t="str">
        <f>IF(OR(E47="",NOT(ISNUMBER(C47))),"",IF(S47="Closed",IF(L47="","",L47-C47),Setup!$B$7-C47))</f>
        <v/>
      </c>
      <c r="R47" s="56" t="str">
        <f>IF(OR(E47="",G47="",S47="Closed",S47="Dropped"),"",G47-Setup!$B$7)</f>
        <v/>
      </c>
      <c r="S47" s="57" t="str">
        <f t="shared" si="2"/>
        <v/>
      </c>
      <c r="T47" s="58" t="str">
        <f>IF(E47="","",IF(IF(E47="","",IF(S47="Dropped","Dropped"&amp;IF(P47="",": write why",""),IF(F47="","No owner. ",IF(COUNTIF(Setup!$D$20:$D$39,F47)&gt;0,"A department: belongs to nobody. ",""))&amp;IF(G47="","No date. ","")&amp;IF(H47="","No picture of done. ","")&amp;IF(S47="Can’t tell","No status: open or closed? ","")&amp;IF(AND(S47="Closed",OR(K47="",M47="")),"Closed with no "&amp;IF(K47="","name","")&amp;IF(AND(K47="",M47=""),", no ","")&amp;IF(M47="","evidence","")&amp;". ","")&amp;IF(AND(S47&lt;&gt;"Closed",ISNUMBER(C47),Setup!$B$9&lt;&gt;"",C47&lt;Setup!$B$9,IFERROR(INDEX(Meetings!$B$7:$B$56,MATCH(N47,Meetings!$A$7:$A$56,0)),0)&lt;Setup!$B$9),"Missed at the last meeting. ","")&amp;IF(AND(ISNUMBER(R47),R47&lt;0),"Overdue "&amp;-R47&amp;IF(R47=-1," day. "," days. "),"")&amp;IF(O47&lt;&gt;"","Came back from "&amp;O47&amp;". ","")))="","✔",IF(E47="","",IF(S47="Dropped","Dropped"&amp;IF(P47="",": write why",""),IF(F47="","No owner. ",IF(COUNTIF(Setup!$D$20:$D$39,F47)&gt;0,"A department: belongs to nobody. ",""))&amp;IF(G47="","No date. ","")&amp;IF(H47="","No picture of done. ","")&amp;IF(S47="Can’t tell","No status: open or closed? ","")&amp;IF(AND(S47="Closed",OR(K47="",M47="")),"Closed with no "&amp;IF(K47="","name","")&amp;IF(AND(K47="",M47=""),", no ","")&amp;IF(M47="","evidence","")&amp;". ","")&amp;IF(AND(S47&lt;&gt;"Closed",ISNUMBER(C47),Setup!$B$9&lt;&gt;"",C47&lt;Setup!$B$9,IFERROR(INDEX(Meetings!$B$7:$B$56,MATCH(N47,Meetings!$A$7:$A$56,0)),0)&lt;Setup!$B$9),"Missed at the last meeting. ","")&amp;IF(AND(ISNUMBER(R47),R47&lt;0),"Overdue "&amp;-R47&amp;IF(R47=-1," day. "," days. "),"")&amp;IF(O47&lt;&gt;"","Came back from "&amp;O47&amp;". ","")))))</f>
        <v/>
      </c>
      <c r="U47" s="59" t="str">
        <f t="shared" si="3"/>
        <v/>
      </c>
    </row>
    <row r="48" spans="1:21" ht="30" customHeight="1" x14ac:dyDescent="0.3">
      <c r="A48" s="51" t="s">
        <v>208</v>
      </c>
      <c r="B48" s="19"/>
      <c r="C48" s="52" t="str">
        <f>IF(B48="","",IFERROR(INDEX(Meetings!$B$7:$B$56,MATCH(B48,Meetings!$A$7:$A$56,0)),"?"))</f>
        <v/>
      </c>
      <c r="D48" s="19"/>
      <c r="E48" s="53"/>
      <c r="F48" s="19"/>
      <c r="G48" s="54"/>
      <c r="H48" s="53"/>
      <c r="I48" s="53"/>
      <c r="J48" s="19"/>
      <c r="K48" s="19"/>
      <c r="L48" s="54"/>
      <c r="M48" s="53"/>
      <c r="N48" s="19"/>
      <c r="O48" s="19"/>
      <c r="P48" s="53"/>
      <c r="Q48" s="55" t="str">
        <f>IF(OR(E48="",NOT(ISNUMBER(C48))),"",IF(S48="Closed",IF(L48="","",L48-C48),Setup!$B$7-C48))</f>
        <v/>
      </c>
      <c r="R48" s="56" t="str">
        <f>IF(OR(E48="",G48="",S48="Closed",S48="Dropped"),"",G48-Setup!$B$7)</f>
        <v/>
      </c>
      <c r="S48" s="57" t="str">
        <f t="shared" si="2"/>
        <v/>
      </c>
      <c r="T48" s="58" t="str">
        <f>IF(E48="","",IF(IF(E48="","",IF(S48="Dropped","Dropped"&amp;IF(P48="",": write why",""),IF(F48="","No owner. ",IF(COUNTIF(Setup!$D$20:$D$39,F48)&gt;0,"A department: belongs to nobody. ",""))&amp;IF(G48="","No date. ","")&amp;IF(H48="","No picture of done. ","")&amp;IF(S48="Can’t tell","No status: open or closed? ","")&amp;IF(AND(S48="Closed",OR(K48="",M48="")),"Closed with no "&amp;IF(K48="","name","")&amp;IF(AND(K48="",M48=""),", no ","")&amp;IF(M48="","evidence","")&amp;". ","")&amp;IF(AND(S48&lt;&gt;"Closed",ISNUMBER(C48),Setup!$B$9&lt;&gt;"",C48&lt;Setup!$B$9,IFERROR(INDEX(Meetings!$B$7:$B$56,MATCH(N48,Meetings!$A$7:$A$56,0)),0)&lt;Setup!$B$9),"Missed at the last meeting. ","")&amp;IF(AND(ISNUMBER(R48),R48&lt;0),"Overdue "&amp;-R48&amp;IF(R48=-1," day. "," days. "),"")&amp;IF(O48&lt;&gt;"","Came back from "&amp;O48&amp;". ","")))="","✔",IF(E48="","",IF(S48="Dropped","Dropped"&amp;IF(P48="",": write why",""),IF(F48="","No owner. ",IF(COUNTIF(Setup!$D$20:$D$39,F48)&gt;0,"A department: belongs to nobody. ",""))&amp;IF(G48="","No date. ","")&amp;IF(H48="","No picture of done. ","")&amp;IF(S48="Can’t tell","No status: open or closed? ","")&amp;IF(AND(S48="Closed",OR(K48="",M48="")),"Closed with no "&amp;IF(K48="","name","")&amp;IF(AND(K48="",M48=""),", no ","")&amp;IF(M48="","evidence","")&amp;". ","")&amp;IF(AND(S48&lt;&gt;"Closed",ISNUMBER(C48),Setup!$B$9&lt;&gt;"",C48&lt;Setup!$B$9,IFERROR(INDEX(Meetings!$B$7:$B$56,MATCH(N48,Meetings!$A$7:$A$56,0)),0)&lt;Setup!$B$9),"Missed at the last meeting. ","")&amp;IF(AND(ISNUMBER(R48),R48&lt;0),"Overdue "&amp;-R48&amp;IF(R48=-1," day. "," days. "),"")&amp;IF(O48&lt;&gt;"","Came back from "&amp;O48&amp;". ","")))))</f>
        <v/>
      </c>
      <c r="U48" s="59" t="str">
        <f t="shared" si="3"/>
        <v/>
      </c>
    </row>
    <row r="49" spans="1:21" ht="30" customHeight="1" x14ac:dyDescent="0.3">
      <c r="A49" s="51" t="s">
        <v>209</v>
      </c>
      <c r="B49" s="19"/>
      <c r="C49" s="52" t="str">
        <f>IF(B49="","",IFERROR(INDEX(Meetings!$B$7:$B$56,MATCH(B49,Meetings!$A$7:$A$56,0)),"?"))</f>
        <v/>
      </c>
      <c r="D49" s="19"/>
      <c r="E49" s="53"/>
      <c r="F49" s="19"/>
      <c r="G49" s="54"/>
      <c r="H49" s="53"/>
      <c r="I49" s="53"/>
      <c r="J49" s="19"/>
      <c r="K49" s="19"/>
      <c r="L49" s="54"/>
      <c r="M49" s="53"/>
      <c r="N49" s="19"/>
      <c r="O49" s="19"/>
      <c r="P49" s="53"/>
      <c r="Q49" s="55" t="str">
        <f>IF(OR(E49="",NOT(ISNUMBER(C49))),"",IF(S49="Closed",IF(L49="","",L49-C49),Setup!$B$7-C49))</f>
        <v/>
      </c>
      <c r="R49" s="56" t="str">
        <f>IF(OR(E49="",G49="",S49="Closed",S49="Dropped"),"",G49-Setup!$B$7)</f>
        <v/>
      </c>
      <c r="S49" s="57" t="str">
        <f t="shared" si="2"/>
        <v/>
      </c>
      <c r="T49" s="58" t="str">
        <f>IF(E49="","",IF(IF(E49="","",IF(S49="Dropped","Dropped"&amp;IF(P49="",": write why",""),IF(F49="","No owner. ",IF(COUNTIF(Setup!$D$20:$D$39,F49)&gt;0,"A department: belongs to nobody. ",""))&amp;IF(G49="","No date. ","")&amp;IF(H49="","No picture of done. ","")&amp;IF(S49="Can’t tell","No status: open or closed? ","")&amp;IF(AND(S49="Closed",OR(K49="",M49="")),"Closed with no "&amp;IF(K49="","name","")&amp;IF(AND(K49="",M49=""),", no ","")&amp;IF(M49="","evidence","")&amp;". ","")&amp;IF(AND(S49&lt;&gt;"Closed",ISNUMBER(C49),Setup!$B$9&lt;&gt;"",C49&lt;Setup!$B$9,IFERROR(INDEX(Meetings!$B$7:$B$56,MATCH(N49,Meetings!$A$7:$A$56,0)),0)&lt;Setup!$B$9),"Missed at the last meeting. ","")&amp;IF(AND(ISNUMBER(R49),R49&lt;0),"Overdue "&amp;-R49&amp;IF(R49=-1," day. "," days. "),"")&amp;IF(O49&lt;&gt;"","Came back from "&amp;O49&amp;". ","")))="","✔",IF(E49="","",IF(S49="Dropped","Dropped"&amp;IF(P49="",": write why",""),IF(F49="","No owner. ",IF(COUNTIF(Setup!$D$20:$D$39,F49)&gt;0,"A department: belongs to nobody. ",""))&amp;IF(G49="","No date. ","")&amp;IF(H49="","No picture of done. ","")&amp;IF(S49="Can’t tell","No status: open or closed? ","")&amp;IF(AND(S49="Closed",OR(K49="",M49="")),"Closed with no "&amp;IF(K49="","name","")&amp;IF(AND(K49="",M49=""),", no ","")&amp;IF(M49="","evidence","")&amp;". ","")&amp;IF(AND(S49&lt;&gt;"Closed",ISNUMBER(C49),Setup!$B$9&lt;&gt;"",C49&lt;Setup!$B$9,IFERROR(INDEX(Meetings!$B$7:$B$56,MATCH(N49,Meetings!$A$7:$A$56,0)),0)&lt;Setup!$B$9),"Missed at the last meeting. ","")&amp;IF(AND(ISNUMBER(R49),R49&lt;0),"Overdue "&amp;-R49&amp;IF(R49=-1," day. "," days. "),"")&amp;IF(O49&lt;&gt;"","Came back from "&amp;O49&amp;". ","")))))</f>
        <v/>
      </c>
      <c r="U49" s="59" t="str">
        <f t="shared" si="3"/>
        <v/>
      </c>
    </row>
    <row r="50" spans="1:21" ht="30" customHeight="1" x14ac:dyDescent="0.3">
      <c r="A50" s="51" t="s">
        <v>210</v>
      </c>
      <c r="B50" s="19"/>
      <c r="C50" s="52" t="str">
        <f>IF(B50="","",IFERROR(INDEX(Meetings!$B$7:$B$56,MATCH(B50,Meetings!$A$7:$A$56,0)),"?"))</f>
        <v/>
      </c>
      <c r="D50" s="19"/>
      <c r="E50" s="53"/>
      <c r="F50" s="19"/>
      <c r="G50" s="54"/>
      <c r="H50" s="53"/>
      <c r="I50" s="53"/>
      <c r="J50" s="19"/>
      <c r="K50" s="19"/>
      <c r="L50" s="54"/>
      <c r="M50" s="53"/>
      <c r="N50" s="19"/>
      <c r="O50" s="19"/>
      <c r="P50" s="53"/>
      <c r="Q50" s="55" t="str">
        <f>IF(OR(E50="",NOT(ISNUMBER(C50))),"",IF(S50="Closed",IF(L50="","",L50-C50),Setup!$B$7-C50))</f>
        <v/>
      </c>
      <c r="R50" s="56" t="str">
        <f>IF(OR(E50="",G50="",S50="Closed",S50="Dropped"),"",G50-Setup!$B$7)</f>
        <v/>
      </c>
      <c r="S50" s="57" t="str">
        <f t="shared" si="2"/>
        <v/>
      </c>
      <c r="T50" s="58" t="str">
        <f>IF(E50="","",IF(IF(E50="","",IF(S50="Dropped","Dropped"&amp;IF(P50="",": write why",""),IF(F50="","No owner. ",IF(COUNTIF(Setup!$D$20:$D$39,F50)&gt;0,"A department: belongs to nobody. ",""))&amp;IF(G50="","No date. ","")&amp;IF(H50="","No picture of done. ","")&amp;IF(S50="Can’t tell","No status: open or closed? ","")&amp;IF(AND(S50="Closed",OR(K50="",M50="")),"Closed with no "&amp;IF(K50="","name","")&amp;IF(AND(K50="",M50=""),", no ","")&amp;IF(M50="","evidence","")&amp;". ","")&amp;IF(AND(S50&lt;&gt;"Closed",ISNUMBER(C50),Setup!$B$9&lt;&gt;"",C50&lt;Setup!$B$9,IFERROR(INDEX(Meetings!$B$7:$B$56,MATCH(N50,Meetings!$A$7:$A$56,0)),0)&lt;Setup!$B$9),"Missed at the last meeting. ","")&amp;IF(AND(ISNUMBER(R50),R50&lt;0),"Overdue "&amp;-R50&amp;IF(R50=-1," day. "," days. "),"")&amp;IF(O50&lt;&gt;"","Came back from "&amp;O50&amp;". ","")))="","✔",IF(E50="","",IF(S50="Dropped","Dropped"&amp;IF(P50="",": write why",""),IF(F50="","No owner. ",IF(COUNTIF(Setup!$D$20:$D$39,F50)&gt;0,"A department: belongs to nobody. ",""))&amp;IF(G50="","No date. ","")&amp;IF(H50="","No picture of done. ","")&amp;IF(S50="Can’t tell","No status: open or closed? ","")&amp;IF(AND(S50="Closed",OR(K50="",M50="")),"Closed with no "&amp;IF(K50="","name","")&amp;IF(AND(K50="",M50=""),", no ","")&amp;IF(M50="","evidence","")&amp;". ","")&amp;IF(AND(S50&lt;&gt;"Closed",ISNUMBER(C50),Setup!$B$9&lt;&gt;"",C50&lt;Setup!$B$9,IFERROR(INDEX(Meetings!$B$7:$B$56,MATCH(N50,Meetings!$A$7:$A$56,0)),0)&lt;Setup!$B$9),"Missed at the last meeting. ","")&amp;IF(AND(ISNUMBER(R50),R50&lt;0),"Overdue "&amp;-R50&amp;IF(R50=-1," day. "," days. "),"")&amp;IF(O50&lt;&gt;"","Came back from "&amp;O50&amp;". ","")))))</f>
        <v/>
      </c>
      <c r="U50" s="59" t="str">
        <f t="shared" si="3"/>
        <v/>
      </c>
    </row>
    <row r="51" spans="1:21" ht="30" customHeight="1" x14ac:dyDescent="0.3">
      <c r="A51" s="51" t="s">
        <v>211</v>
      </c>
      <c r="B51" s="19"/>
      <c r="C51" s="52" t="str">
        <f>IF(B51="","",IFERROR(INDEX(Meetings!$B$7:$B$56,MATCH(B51,Meetings!$A$7:$A$56,0)),"?"))</f>
        <v/>
      </c>
      <c r="D51" s="19"/>
      <c r="E51" s="53"/>
      <c r="F51" s="19"/>
      <c r="G51" s="54"/>
      <c r="H51" s="53"/>
      <c r="I51" s="53"/>
      <c r="J51" s="19"/>
      <c r="K51" s="19"/>
      <c r="L51" s="54"/>
      <c r="M51" s="53"/>
      <c r="N51" s="19"/>
      <c r="O51" s="19"/>
      <c r="P51" s="53"/>
      <c r="Q51" s="55" t="str">
        <f>IF(OR(E51="",NOT(ISNUMBER(C51))),"",IF(S51="Closed",IF(L51="","",L51-C51),Setup!$B$7-C51))</f>
        <v/>
      </c>
      <c r="R51" s="56" t="str">
        <f>IF(OR(E51="",G51="",S51="Closed",S51="Dropped"),"",G51-Setup!$B$7)</f>
        <v/>
      </c>
      <c r="S51" s="57" t="str">
        <f t="shared" si="2"/>
        <v/>
      </c>
      <c r="T51" s="58" t="str">
        <f>IF(E51="","",IF(IF(E51="","",IF(S51="Dropped","Dropped"&amp;IF(P51="",": write why",""),IF(F51="","No owner. ",IF(COUNTIF(Setup!$D$20:$D$39,F51)&gt;0,"A department: belongs to nobody. ",""))&amp;IF(G51="","No date. ","")&amp;IF(H51="","No picture of done. ","")&amp;IF(S51="Can’t tell","No status: open or closed? ","")&amp;IF(AND(S51="Closed",OR(K51="",M51="")),"Closed with no "&amp;IF(K51="","name","")&amp;IF(AND(K51="",M51=""),", no ","")&amp;IF(M51="","evidence","")&amp;". ","")&amp;IF(AND(S51&lt;&gt;"Closed",ISNUMBER(C51),Setup!$B$9&lt;&gt;"",C51&lt;Setup!$B$9,IFERROR(INDEX(Meetings!$B$7:$B$56,MATCH(N51,Meetings!$A$7:$A$56,0)),0)&lt;Setup!$B$9),"Missed at the last meeting. ","")&amp;IF(AND(ISNUMBER(R51),R51&lt;0),"Overdue "&amp;-R51&amp;IF(R51=-1," day. "," days. "),"")&amp;IF(O51&lt;&gt;"","Came back from "&amp;O51&amp;". ","")))="","✔",IF(E51="","",IF(S51="Dropped","Dropped"&amp;IF(P51="",": write why",""),IF(F51="","No owner. ",IF(COUNTIF(Setup!$D$20:$D$39,F51)&gt;0,"A department: belongs to nobody. ",""))&amp;IF(G51="","No date. ","")&amp;IF(H51="","No picture of done. ","")&amp;IF(S51="Can’t tell","No status: open or closed? ","")&amp;IF(AND(S51="Closed",OR(K51="",M51="")),"Closed with no "&amp;IF(K51="","name","")&amp;IF(AND(K51="",M51=""),", no ","")&amp;IF(M51="","evidence","")&amp;". ","")&amp;IF(AND(S51&lt;&gt;"Closed",ISNUMBER(C51),Setup!$B$9&lt;&gt;"",C51&lt;Setup!$B$9,IFERROR(INDEX(Meetings!$B$7:$B$56,MATCH(N51,Meetings!$A$7:$A$56,0)),0)&lt;Setup!$B$9),"Missed at the last meeting. ","")&amp;IF(AND(ISNUMBER(R51),R51&lt;0),"Overdue "&amp;-R51&amp;IF(R51=-1," day. "," days. "),"")&amp;IF(O51&lt;&gt;"","Came back from "&amp;O51&amp;". ","")))))</f>
        <v/>
      </c>
      <c r="U51" s="59" t="str">
        <f t="shared" si="3"/>
        <v/>
      </c>
    </row>
    <row r="52" spans="1:21" ht="30" customHeight="1" x14ac:dyDescent="0.3">
      <c r="A52" s="51" t="s">
        <v>212</v>
      </c>
      <c r="B52" s="19"/>
      <c r="C52" s="52" t="str">
        <f>IF(B52="","",IFERROR(INDEX(Meetings!$B$7:$B$56,MATCH(B52,Meetings!$A$7:$A$56,0)),"?"))</f>
        <v/>
      </c>
      <c r="D52" s="19"/>
      <c r="E52" s="53"/>
      <c r="F52" s="19"/>
      <c r="G52" s="54"/>
      <c r="H52" s="53"/>
      <c r="I52" s="53"/>
      <c r="J52" s="19"/>
      <c r="K52" s="19"/>
      <c r="L52" s="54"/>
      <c r="M52" s="53"/>
      <c r="N52" s="19"/>
      <c r="O52" s="19"/>
      <c r="P52" s="53"/>
      <c r="Q52" s="55" t="str">
        <f>IF(OR(E52="",NOT(ISNUMBER(C52))),"",IF(S52="Closed",IF(L52="","",L52-C52),Setup!$B$7-C52))</f>
        <v/>
      </c>
      <c r="R52" s="56" t="str">
        <f>IF(OR(E52="",G52="",S52="Closed",S52="Dropped"),"",G52-Setup!$B$7)</f>
        <v/>
      </c>
      <c r="S52" s="57" t="str">
        <f t="shared" si="2"/>
        <v/>
      </c>
      <c r="T52" s="58" t="str">
        <f>IF(E52="","",IF(IF(E52="","",IF(S52="Dropped","Dropped"&amp;IF(P52="",": write why",""),IF(F52="","No owner. ",IF(COUNTIF(Setup!$D$20:$D$39,F52)&gt;0,"A department: belongs to nobody. ",""))&amp;IF(G52="","No date. ","")&amp;IF(H52="","No picture of done. ","")&amp;IF(S52="Can’t tell","No status: open or closed? ","")&amp;IF(AND(S52="Closed",OR(K52="",M52="")),"Closed with no "&amp;IF(K52="","name","")&amp;IF(AND(K52="",M52=""),", no ","")&amp;IF(M52="","evidence","")&amp;". ","")&amp;IF(AND(S52&lt;&gt;"Closed",ISNUMBER(C52),Setup!$B$9&lt;&gt;"",C52&lt;Setup!$B$9,IFERROR(INDEX(Meetings!$B$7:$B$56,MATCH(N52,Meetings!$A$7:$A$56,0)),0)&lt;Setup!$B$9),"Missed at the last meeting. ","")&amp;IF(AND(ISNUMBER(R52),R52&lt;0),"Overdue "&amp;-R52&amp;IF(R52=-1," day. "," days. "),"")&amp;IF(O52&lt;&gt;"","Came back from "&amp;O52&amp;". ","")))="","✔",IF(E52="","",IF(S52="Dropped","Dropped"&amp;IF(P52="",": write why",""),IF(F52="","No owner. ",IF(COUNTIF(Setup!$D$20:$D$39,F52)&gt;0,"A department: belongs to nobody. ",""))&amp;IF(G52="","No date. ","")&amp;IF(H52="","No picture of done. ","")&amp;IF(S52="Can’t tell","No status: open or closed? ","")&amp;IF(AND(S52="Closed",OR(K52="",M52="")),"Closed with no "&amp;IF(K52="","name","")&amp;IF(AND(K52="",M52=""),", no ","")&amp;IF(M52="","evidence","")&amp;". ","")&amp;IF(AND(S52&lt;&gt;"Closed",ISNUMBER(C52),Setup!$B$9&lt;&gt;"",C52&lt;Setup!$B$9,IFERROR(INDEX(Meetings!$B$7:$B$56,MATCH(N52,Meetings!$A$7:$A$56,0)),0)&lt;Setup!$B$9),"Missed at the last meeting. ","")&amp;IF(AND(ISNUMBER(R52),R52&lt;0),"Overdue "&amp;-R52&amp;IF(R52=-1," day. "," days. "),"")&amp;IF(O52&lt;&gt;"","Came back from "&amp;O52&amp;". ","")))))</f>
        <v/>
      </c>
      <c r="U52" s="59" t="str">
        <f t="shared" si="3"/>
        <v/>
      </c>
    </row>
    <row r="53" spans="1:21" ht="30" customHeight="1" x14ac:dyDescent="0.3">
      <c r="A53" s="51" t="s">
        <v>213</v>
      </c>
      <c r="B53" s="19"/>
      <c r="C53" s="52" t="str">
        <f>IF(B53="","",IFERROR(INDEX(Meetings!$B$7:$B$56,MATCH(B53,Meetings!$A$7:$A$56,0)),"?"))</f>
        <v/>
      </c>
      <c r="D53" s="19"/>
      <c r="E53" s="53"/>
      <c r="F53" s="19"/>
      <c r="G53" s="54"/>
      <c r="H53" s="53"/>
      <c r="I53" s="53"/>
      <c r="J53" s="19"/>
      <c r="K53" s="19"/>
      <c r="L53" s="54"/>
      <c r="M53" s="53"/>
      <c r="N53" s="19"/>
      <c r="O53" s="19"/>
      <c r="P53" s="53"/>
      <c r="Q53" s="55" t="str">
        <f>IF(OR(E53="",NOT(ISNUMBER(C53))),"",IF(S53="Closed",IF(L53="","",L53-C53),Setup!$B$7-C53))</f>
        <v/>
      </c>
      <c r="R53" s="56" t="str">
        <f>IF(OR(E53="",G53="",S53="Closed",S53="Dropped"),"",G53-Setup!$B$7)</f>
        <v/>
      </c>
      <c r="S53" s="57" t="str">
        <f t="shared" si="2"/>
        <v/>
      </c>
      <c r="T53" s="58" t="str">
        <f>IF(E53="","",IF(IF(E53="","",IF(S53="Dropped","Dropped"&amp;IF(P53="",": write why",""),IF(F53="","No owner. ",IF(COUNTIF(Setup!$D$20:$D$39,F53)&gt;0,"A department: belongs to nobody. ",""))&amp;IF(G53="","No date. ","")&amp;IF(H53="","No picture of done. ","")&amp;IF(S53="Can’t tell","No status: open or closed? ","")&amp;IF(AND(S53="Closed",OR(K53="",M53="")),"Closed with no "&amp;IF(K53="","name","")&amp;IF(AND(K53="",M53=""),", no ","")&amp;IF(M53="","evidence","")&amp;". ","")&amp;IF(AND(S53&lt;&gt;"Closed",ISNUMBER(C53),Setup!$B$9&lt;&gt;"",C53&lt;Setup!$B$9,IFERROR(INDEX(Meetings!$B$7:$B$56,MATCH(N53,Meetings!$A$7:$A$56,0)),0)&lt;Setup!$B$9),"Missed at the last meeting. ","")&amp;IF(AND(ISNUMBER(R53),R53&lt;0),"Overdue "&amp;-R53&amp;IF(R53=-1," day. "," days. "),"")&amp;IF(O53&lt;&gt;"","Came back from "&amp;O53&amp;". ","")))="","✔",IF(E53="","",IF(S53="Dropped","Dropped"&amp;IF(P53="",": write why",""),IF(F53="","No owner. ",IF(COUNTIF(Setup!$D$20:$D$39,F53)&gt;0,"A department: belongs to nobody. ",""))&amp;IF(G53="","No date. ","")&amp;IF(H53="","No picture of done. ","")&amp;IF(S53="Can’t tell","No status: open or closed? ","")&amp;IF(AND(S53="Closed",OR(K53="",M53="")),"Closed with no "&amp;IF(K53="","name","")&amp;IF(AND(K53="",M53=""),", no ","")&amp;IF(M53="","evidence","")&amp;". ","")&amp;IF(AND(S53&lt;&gt;"Closed",ISNUMBER(C53),Setup!$B$9&lt;&gt;"",C53&lt;Setup!$B$9,IFERROR(INDEX(Meetings!$B$7:$B$56,MATCH(N53,Meetings!$A$7:$A$56,0)),0)&lt;Setup!$B$9),"Missed at the last meeting. ","")&amp;IF(AND(ISNUMBER(R53),R53&lt;0),"Overdue "&amp;-R53&amp;IF(R53=-1," day. "," days. "),"")&amp;IF(O53&lt;&gt;"","Came back from "&amp;O53&amp;". ","")))))</f>
        <v/>
      </c>
      <c r="U53" s="59" t="str">
        <f t="shared" si="3"/>
        <v/>
      </c>
    </row>
    <row r="54" spans="1:21" ht="30" customHeight="1" x14ac:dyDescent="0.3">
      <c r="A54" s="51" t="s">
        <v>214</v>
      </c>
      <c r="B54" s="19"/>
      <c r="C54" s="52" t="str">
        <f>IF(B54="","",IFERROR(INDEX(Meetings!$B$7:$B$56,MATCH(B54,Meetings!$A$7:$A$56,0)),"?"))</f>
        <v/>
      </c>
      <c r="D54" s="19"/>
      <c r="E54" s="53"/>
      <c r="F54" s="19"/>
      <c r="G54" s="54"/>
      <c r="H54" s="53"/>
      <c r="I54" s="53"/>
      <c r="J54" s="19"/>
      <c r="K54" s="19"/>
      <c r="L54" s="54"/>
      <c r="M54" s="53"/>
      <c r="N54" s="19"/>
      <c r="O54" s="19"/>
      <c r="P54" s="53"/>
      <c r="Q54" s="55" t="str">
        <f>IF(OR(E54="",NOT(ISNUMBER(C54))),"",IF(S54="Closed",IF(L54="","",L54-C54),Setup!$B$7-C54))</f>
        <v/>
      </c>
      <c r="R54" s="56" t="str">
        <f>IF(OR(E54="",G54="",S54="Closed",S54="Dropped"),"",G54-Setup!$B$7)</f>
        <v/>
      </c>
      <c r="S54" s="57" t="str">
        <f t="shared" si="2"/>
        <v/>
      </c>
      <c r="T54" s="58" t="str">
        <f>IF(E54="","",IF(IF(E54="","",IF(S54="Dropped","Dropped"&amp;IF(P54="",": write why",""),IF(F54="","No owner. ",IF(COUNTIF(Setup!$D$20:$D$39,F54)&gt;0,"A department: belongs to nobody. ",""))&amp;IF(G54="","No date. ","")&amp;IF(H54="","No picture of done. ","")&amp;IF(S54="Can’t tell","No status: open or closed? ","")&amp;IF(AND(S54="Closed",OR(K54="",M54="")),"Closed with no "&amp;IF(K54="","name","")&amp;IF(AND(K54="",M54=""),", no ","")&amp;IF(M54="","evidence","")&amp;". ","")&amp;IF(AND(S54&lt;&gt;"Closed",ISNUMBER(C54),Setup!$B$9&lt;&gt;"",C54&lt;Setup!$B$9,IFERROR(INDEX(Meetings!$B$7:$B$56,MATCH(N54,Meetings!$A$7:$A$56,0)),0)&lt;Setup!$B$9),"Missed at the last meeting. ","")&amp;IF(AND(ISNUMBER(R54),R54&lt;0),"Overdue "&amp;-R54&amp;IF(R54=-1," day. "," days. "),"")&amp;IF(O54&lt;&gt;"","Came back from "&amp;O54&amp;". ","")))="","✔",IF(E54="","",IF(S54="Dropped","Dropped"&amp;IF(P54="",": write why",""),IF(F54="","No owner. ",IF(COUNTIF(Setup!$D$20:$D$39,F54)&gt;0,"A department: belongs to nobody. ",""))&amp;IF(G54="","No date. ","")&amp;IF(H54="","No picture of done. ","")&amp;IF(S54="Can’t tell","No status: open or closed? ","")&amp;IF(AND(S54="Closed",OR(K54="",M54="")),"Closed with no "&amp;IF(K54="","name","")&amp;IF(AND(K54="",M54=""),", no ","")&amp;IF(M54="","evidence","")&amp;". ","")&amp;IF(AND(S54&lt;&gt;"Closed",ISNUMBER(C54),Setup!$B$9&lt;&gt;"",C54&lt;Setup!$B$9,IFERROR(INDEX(Meetings!$B$7:$B$56,MATCH(N54,Meetings!$A$7:$A$56,0)),0)&lt;Setup!$B$9),"Missed at the last meeting. ","")&amp;IF(AND(ISNUMBER(R54),R54&lt;0),"Overdue "&amp;-R54&amp;IF(R54=-1," day. "," days. "),"")&amp;IF(O54&lt;&gt;"","Came back from "&amp;O54&amp;". ","")))))</f>
        <v/>
      </c>
      <c r="U54" s="59" t="str">
        <f t="shared" si="3"/>
        <v/>
      </c>
    </row>
    <row r="55" spans="1:21" ht="30" customHeight="1" x14ac:dyDescent="0.3">
      <c r="A55" s="51" t="s">
        <v>215</v>
      </c>
      <c r="B55" s="19"/>
      <c r="C55" s="52" t="str">
        <f>IF(B55="","",IFERROR(INDEX(Meetings!$B$7:$B$56,MATCH(B55,Meetings!$A$7:$A$56,0)),"?"))</f>
        <v/>
      </c>
      <c r="D55" s="19"/>
      <c r="E55" s="53"/>
      <c r="F55" s="19"/>
      <c r="G55" s="54"/>
      <c r="H55" s="53"/>
      <c r="I55" s="53"/>
      <c r="J55" s="19"/>
      <c r="K55" s="19"/>
      <c r="L55" s="54"/>
      <c r="M55" s="53"/>
      <c r="N55" s="19"/>
      <c r="O55" s="19"/>
      <c r="P55" s="53"/>
      <c r="Q55" s="55" t="str">
        <f>IF(OR(E55="",NOT(ISNUMBER(C55))),"",IF(S55="Closed",IF(L55="","",L55-C55),Setup!$B$7-C55))</f>
        <v/>
      </c>
      <c r="R55" s="56" t="str">
        <f>IF(OR(E55="",G55="",S55="Closed",S55="Dropped"),"",G55-Setup!$B$7)</f>
        <v/>
      </c>
      <c r="S55" s="57" t="str">
        <f t="shared" si="2"/>
        <v/>
      </c>
      <c r="T55" s="58" t="str">
        <f>IF(E55="","",IF(IF(E55="","",IF(S55="Dropped","Dropped"&amp;IF(P55="",": write why",""),IF(F55="","No owner. ",IF(COUNTIF(Setup!$D$20:$D$39,F55)&gt;0,"A department: belongs to nobody. ",""))&amp;IF(G55="","No date. ","")&amp;IF(H55="","No picture of done. ","")&amp;IF(S55="Can’t tell","No status: open or closed? ","")&amp;IF(AND(S55="Closed",OR(K55="",M55="")),"Closed with no "&amp;IF(K55="","name","")&amp;IF(AND(K55="",M55=""),", no ","")&amp;IF(M55="","evidence","")&amp;". ","")&amp;IF(AND(S55&lt;&gt;"Closed",ISNUMBER(C55),Setup!$B$9&lt;&gt;"",C55&lt;Setup!$B$9,IFERROR(INDEX(Meetings!$B$7:$B$56,MATCH(N55,Meetings!$A$7:$A$56,0)),0)&lt;Setup!$B$9),"Missed at the last meeting. ","")&amp;IF(AND(ISNUMBER(R55),R55&lt;0),"Overdue "&amp;-R55&amp;IF(R55=-1," day. "," days. "),"")&amp;IF(O55&lt;&gt;"","Came back from "&amp;O55&amp;". ","")))="","✔",IF(E55="","",IF(S55="Dropped","Dropped"&amp;IF(P55="",": write why",""),IF(F55="","No owner. ",IF(COUNTIF(Setup!$D$20:$D$39,F55)&gt;0,"A department: belongs to nobody. ",""))&amp;IF(G55="","No date. ","")&amp;IF(H55="","No picture of done. ","")&amp;IF(S55="Can’t tell","No status: open or closed? ","")&amp;IF(AND(S55="Closed",OR(K55="",M55="")),"Closed with no "&amp;IF(K55="","name","")&amp;IF(AND(K55="",M55=""),", no ","")&amp;IF(M55="","evidence","")&amp;". ","")&amp;IF(AND(S55&lt;&gt;"Closed",ISNUMBER(C55),Setup!$B$9&lt;&gt;"",C55&lt;Setup!$B$9,IFERROR(INDEX(Meetings!$B$7:$B$56,MATCH(N55,Meetings!$A$7:$A$56,0)),0)&lt;Setup!$B$9),"Missed at the last meeting. ","")&amp;IF(AND(ISNUMBER(R55),R55&lt;0),"Overdue "&amp;-R55&amp;IF(R55=-1," day. "," days. "),"")&amp;IF(O55&lt;&gt;"","Came back from "&amp;O55&amp;". ","")))))</f>
        <v/>
      </c>
      <c r="U55" s="59" t="str">
        <f t="shared" si="3"/>
        <v/>
      </c>
    </row>
    <row r="56" spans="1:21" ht="30" customHeight="1" x14ac:dyDescent="0.3">
      <c r="A56" s="51" t="s">
        <v>216</v>
      </c>
      <c r="B56" s="19"/>
      <c r="C56" s="52" t="str">
        <f>IF(B56="","",IFERROR(INDEX(Meetings!$B$7:$B$56,MATCH(B56,Meetings!$A$7:$A$56,0)),"?"))</f>
        <v/>
      </c>
      <c r="D56" s="19"/>
      <c r="E56" s="53"/>
      <c r="F56" s="19"/>
      <c r="G56" s="54"/>
      <c r="H56" s="53"/>
      <c r="I56" s="53"/>
      <c r="J56" s="19"/>
      <c r="K56" s="19"/>
      <c r="L56" s="54"/>
      <c r="M56" s="53"/>
      <c r="N56" s="19"/>
      <c r="O56" s="19"/>
      <c r="P56" s="53"/>
      <c r="Q56" s="55" t="str">
        <f>IF(OR(E56="",NOT(ISNUMBER(C56))),"",IF(S56="Closed",IF(L56="","",L56-C56),Setup!$B$7-C56))</f>
        <v/>
      </c>
      <c r="R56" s="56" t="str">
        <f>IF(OR(E56="",G56="",S56="Closed",S56="Dropped"),"",G56-Setup!$B$7)</f>
        <v/>
      </c>
      <c r="S56" s="57" t="str">
        <f t="shared" si="2"/>
        <v/>
      </c>
      <c r="T56" s="58" t="str">
        <f>IF(E56="","",IF(IF(E56="","",IF(S56="Dropped","Dropped"&amp;IF(P56="",": write why",""),IF(F56="","No owner. ",IF(COUNTIF(Setup!$D$20:$D$39,F56)&gt;0,"A department: belongs to nobody. ",""))&amp;IF(G56="","No date. ","")&amp;IF(H56="","No picture of done. ","")&amp;IF(S56="Can’t tell","No status: open or closed? ","")&amp;IF(AND(S56="Closed",OR(K56="",M56="")),"Closed with no "&amp;IF(K56="","name","")&amp;IF(AND(K56="",M56=""),", no ","")&amp;IF(M56="","evidence","")&amp;". ","")&amp;IF(AND(S56&lt;&gt;"Closed",ISNUMBER(C56),Setup!$B$9&lt;&gt;"",C56&lt;Setup!$B$9,IFERROR(INDEX(Meetings!$B$7:$B$56,MATCH(N56,Meetings!$A$7:$A$56,0)),0)&lt;Setup!$B$9),"Missed at the last meeting. ","")&amp;IF(AND(ISNUMBER(R56),R56&lt;0),"Overdue "&amp;-R56&amp;IF(R56=-1," day. "," days. "),"")&amp;IF(O56&lt;&gt;"","Came back from "&amp;O56&amp;". ","")))="","✔",IF(E56="","",IF(S56="Dropped","Dropped"&amp;IF(P56="",": write why",""),IF(F56="","No owner. ",IF(COUNTIF(Setup!$D$20:$D$39,F56)&gt;0,"A department: belongs to nobody. ",""))&amp;IF(G56="","No date. ","")&amp;IF(H56="","No picture of done. ","")&amp;IF(S56="Can’t tell","No status: open or closed? ","")&amp;IF(AND(S56="Closed",OR(K56="",M56="")),"Closed with no "&amp;IF(K56="","name","")&amp;IF(AND(K56="",M56=""),", no ","")&amp;IF(M56="","evidence","")&amp;". ","")&amp;IF(AND(S56&lt;&gt;"Closed",ISNUMBER(C56),Setup!$B$9&lt;&gt;"",C56&lt;Setup!$B$9,IFERROR(INDEX(Meetings!$B$7:$B$56,MATCH(N56,Meetings!$A$7:$A$56,0)),0)&lt;Setup!$B$9),"Missed at the last meeting. ","")&amp;IF(AND(ISNUMBER(R56),R56&lt;0),"Overdue "&amp;-R56&amp;IF(R56=-1," day. "," days. "),"")&amp;IF(O56&lt;&gt;"","Came back from "&amp;O56&amp;". ","")))))</f>
        <v/>
      </c>
      <c r="U56" s="59" t="str">
        <f t="shared" si="3"/>
        <v/>
      </c>
    </row>
    <row r="57" spans="1:21" ht="30" customHeight="1" x14ac:dyDescent="0.3">
      <c r="A57" s="51" t="s">
        <v>217</v>
      </c>
      <c r="B57" s="19"/>
      <c r="C57" s="52" t="str">
        <f>IF(B57="","",IFERROR(INDEX(Meetings!$B$7:$B$56,MATCH(B57,Meetings!$A$7:$A$56,0)),"?"))</f>
        <v/>
      </c>
      <c r="D57" s="19"/>
      <c r="E57" s="53"/>
      <c r="F57" s="19"/>
      <c r="G57" s="54"/>
      <c r="H57" s="53"/>
      <c r="I57" s="53"/>
      <c r="J57" s="19"/>
      <c r="K57" s="19"/>
      <c r="L57" s="54"/>
      <c r="M57" s="53"/>
      <c r="N57" s="19"/>
      <c r="O57" s="19"/>
      <c r="P57" s="53"/>
      <c r="Q57" s="55" t="str">
        <f>IF(OR(E57="",NOT(ISNUMBER(C57))),"",IF(S57="Closed",IF(L57="","",L57-C57),Setup!$B$7-C57))</f>
        <v/>
      </c>
      <c r="R57" s="56" t="str">
        <f>IF(OR(E57="",G57="",S57="Closed",S57="Dropped"),"",G57-Setup!$B$7)</f>
        <v/>
      </c>
      <c r="S57" s="57" t="str">
        <f t="shared" si="2"/>
        <v/>
      </c>
      <c r="T57" s="58" t="str">
        <f>IF(E57="","",IF(IF(E57="","",IF(S57="Dropped","Dropped"&amp;IF(P57="",": write why",""),IF(F57="","No owner. ",IF(COUNTIF(Setup!$D$20:$D$39,F57)&gt;0,"A department: belongs to nobody. ",""))&amp;IF(G57="","No date. ","")&amp;IF(H57="","No picture of done. ","")&amp;IF(S57="Can’t tell","No status: open or closed? ","")&amp;IF(AND(S57="Closed",OR(K57="",M57="")),"Closed with no "&amp;IF(K57="","name","")&amp;IF(AND(K57="",M57=""),", no ","")&amp;IF(M57="","evidence","")&amp;". ","")&amp;IF(AND(S57&lt;&gt;"Closed",ISNUMBER(C57),Setup!$B$9&lt;&gt;"",C57&lt;Setup!$B$9,IFERROR(INDEX(Meetings!$B$7:$B$56,MATCH(N57,Meetings!$A$7:$A$56,0)),0)&lt;Setup!$B$9),"Missed at the last meeting. ","")&amp;IF(AND(ISNUMBER(R57),R57&lt;0),"Overdue "&amp;-R57&amp;IF(R57=-1," day. "," days. "),"")&amp;IF(O57&lt;&gt;"","Came back from "&amp;O57&amp;". ","")))="","✔",IF(E57="","",IF(S57="Dropped","Dropped"&amp;IF(P57="",": write why",""),IF(F57="","No owner. ",IF(COUNTIF(Setup!$D$20:$D$39,F57)&gt;0,"A department: belongs to nobody. ",""))&amp;IF(G57="","No date. ","")&amp;IF(H57="","No picture of done. ","")&amp;IF(S57="Can’t tell","No status: open or closed? ","")&amp;IF(AND(S57="Closed",OR(K57="",M57="")),"Closed with no "&amp;IF(K57="","name","")&amp;IF(AND(K57="",M57=""),", no ","")&amp;IF(M57="","evidence","")&amp;". ","")&amp;IF(AND(S57&lt;&gt;"Closed",ISNUMBER(C57),Setup!$B$9&lt;&gt;"",C57&lt;Setup!$B$9,IFERROR(INDEX(Meetings!$B$7:$B$56,MATCH(N57,Meetings!$A$7:$A$56,0)),0)&lt;Setup!$B$9),"Missed at the last meeting. ","")&amp;IF(AND(ISNUMBER(R57),R57&lt;0),"Overdue "&amp;-R57&amp;IF(R57=-1," day. "," days. "),"")&amp;IF(O57&lt;&gt;"","Came back from "&amp;O57&amp;". ","")))))</f>
        <v/>
      </c>
      <c r="U57" s="59" t="str">
        <f t="shared" si="3"/>
        <v/>
      </c>
    </row>
    <row r="58" spans="1:21" ht="30" customHeight="1" x14ac:dyDescent="0.3">
      <c r="A58" s="51" t="s">
        <v>218</v>
      </c>
      <c r="B58" s="19"/>
      <c r="C58" s="52" t="str">
        <f>IF(B58="","",IFERROR(INDEX(Meetings!$B$7:$B$56,MATCH(B58,Meetings!$A$7:$A$56,0)),"?"))</f>
        <v/>
      </c>
      <c r="D58" s="19"/>
      <c r="E58" s="53"/>
      <c r="F58" s="19"/>
      <c r="G58" s="54"/>
      <c r="H58" s="53"/>
      <c r="I58" s="53"/>
      <c r="J58" s="19"/>
      <c r="K58" s="19"/>
      <c r="L58" s="54"/>
      <c r="M58" s="53"/>
      <c r="N58" s="19"/>
      <c r="O58" s="19"/>
      <c r="P58" s="53"/>
      <c r="Q58" s="55" t="str">
        <f>IF(OR(E58="",NOT(ISNUMBER(C58))),"",IF(S58="Closed",IF(L58="","",L58-C58),Setup!$B$7-C58))</f>
        <v/>
      </c>
      <c r="R58" s="56" t="str">
        <f>IF(OR(E58="",G58="",S58="Closed",S58="Dropped"),"",G58-Setup!$B$7)</f>
        <v/>
      </c>
      <c r="S58" s="57" t="str">
        <f t="shared" si="2"/>
        <v/>
      </c>
      <c r="T58" s="58" t="str">
        <f>IF(E58="","",IF(IF(E58="","",IF(S58="Dropped","Dropped"&amp;IF(P58="",": write why",""),IF(F58="","No owner. ",IF(COUNTIF(Setup!$D$20:$D$39,F58)&gt;0,"A department: belongs to nobody. ",""))&amp;IF(G58="","No date. ","")&amp;IF(H58="","No picture of done. ","")&amp;IF(S58="Can’t tell","No status: open or closed? ","")&amp;IF(AND(S58="Closed",OR(K58="",M58="")),"Closed with no "&amp;IF(K58="","name","")&amp;IF(AND(K58="",M58=""),", no ","")&amp;IF(M58="","evidence","")&amp;". ","")&amp;IF(AND(S58&lt;&gt;"Closed",ISNUMBER(C58),Setup!$B$9&lt;&gt;"",C58&lt;Setup!$B$9,IFERROR(INDEX(Meetings!$B$7:$B$56,MATCH(N58,Meetings!$A$7:$A$56,0)),0)&lt;Setup!$B$9),"Missed at the last meeting. ","")&amp;IF(AND(ISNUMBER(R58),R58&lt;0),"Overdue "&amp;-R58&amp;IF(R58=-1," day. "," days. "),"")&amp;IF(O58&lt;&gt;"","Came back from "&amp;O58&amp;". ","")))="","✔",IF(E58="","",IF(S58="Dropped","Dropped"&amp;IF(P58="",": write why",""),IF(F58="","No owner. ",IF(COUNTIF(Setup!$D$20:$D$39,F58)&gt;0,"A department: belongs to nobody. ",""))&amp;IF(G58="","No date. ","")&amp;IF(H58="","No picture of done. ","")&amp;IF(S58="Can’t tell","No status: open or closed? ","")&amp;IF(AND(S58="Closed",OR(K58="",M58="")),"Closed with no "&amp;IF(K58="","name","")&amp;IF(AND(K58="",M58=""),", no ","")&amp;IF(M58="","evidence","")&amp;". ","")&amp;IF(AND(S58&lt;&gt;"Closed",ISNUMBER(C58),Setup!$B$9&lt;&gt;"",C58&lt;Setup!$B$9,IFERROR(INDEX(Meetings!$B$7:$B$56,MATCH(N58,Meetings!$A$7:$A$56,0)),0)&lt;Setup!$B$9),"Missed at the last meeting. ","")&amp;IF(AND(ISNUMBER(R58),R58&lt;0),"Overdue "&amp;-R58&amp;IF(R58=-1," day. "," days. "),"")&amp;IF(O58&lt;&gt;"","Came back from "&amp;O58&amp;". ","")))))</f>
        <v/>
      </c>
      <c r="U58" s="59" t="str">
        <f t="shared" si="3"/>
        <v/>
      </c>
    </row>
    <row r="59" spans="1:21" ht="30" customHeight="1" x14ac:dyDescent="0.3">
      <c r="A59" s="51" t="s">
        <v>219</v>
      </c>
      <c r="B59" s="19"/>
      <c r="C59" s="52" t="str">
        <f>IF(B59="","",IFERROR(INDEX(Meetings!$B$7:$B$56,MATCH(B59,Meetings!$A$7:$A$56,0)),"?"))</f>
        <v/>
      </c>
      <c r="D59" s="19"/>
      <c r="E59" s="53"/>
      <c r="F59" s="19"/>
      <c r="G59" s="54"/>
      <c r="H59" s="53"/>
      <c r="I59" s="53"/>
      <c r="J59" s="19"/>
      <c r="K59" s="19"/>
      <c r="L59" s="54"/>
      <c r="M59" s="53"/>
      <c r="N59" s="19"/>
      <c r="O59" s="19"/>
      <c r="P59" s="53"/>
      <c r="Q59" s="55" t="str">
        <f>IF(OR(E59="",NOT(ISNUMBER(C59))),"",IF(S59="Closed",IF(L59="","",L59-C59),Setup!$B$7-C59))</f>
        <v/>
      </c>
      <c r="R59" s="56" t="str">
        <f>IF(OR(E59="",G59="",S59="Closed",S59="Dropped"),"",G59-Setup!$B$7)</f>
        <v/>
      </c>
      <c r="S59" s="57" t="str">
        <f t="shared" si="2"/>
        <v/>
      </c>
      <c r="T59" s="58" t="str">
        <f>IF(E59="","",IF(IF(E59="","",IF(S59="Dropped","Dropped"&amp;IF(P59="",": write why",""),IF(F59="","No owner. ",IF(COUNTIF(Setup!$D$20:$D$39,F59)&gt;0,"A department: belongs to nobody. ",""))&amp;IF(G59="","No date. ","")&amp;IF(H59="","No picture of done. ","")&amp;IF(S59="Can’t tell","No status: open or closed? ","")&amp;IF(AND(S59="Closed",OR(K59="",M59="")),"Closed with no "&amp;IF(K59="","name","")&amp;IF(AND(K59="",M59=""),", no ","")&amp;IF(M59="","evidence","")&amp;". ","")&amp;IF(AND(S59&lt;&gt;"Closed",ISNUMBER(C59),Setup!$B$9&lt;&gt;"",C59&lt;Setup!$B$9,IFERROR(INDEX(Meetings!$B$7:$B$56,MATCH(N59,Meetings!$A$7:$A$56,0)),0)&lt;Setup!$B$9),"Missed at the last meeting. ","")&amp;IF(AND(ISNUMBER(R59),R59&lt;0),"Overdue "&amp;-R59&amp;IF(R59=-1," day. "," days. "),"")&amp;IF(O59&lt;&gt;"","Came back from "&amp;O59&amp;". ","")))="","✔",IF(E59="","",IF(S59="Dropped","Dropped"&amp;IF(P59="",": write why",""),IF(F59="","No owner. ",IF(COUNTIF(Setup!$D$20:$D$39,F59)&gt;0,"A department: belongs to nobody. ",""))&amp;IF(G59="","No date. ","")&amp;IF(H59="","No picture of done. ","")&amp;IF(S59="Can’t tell","No status: open or closed? ","")&amp;IF(AND(S59="Closed",OR(K59="",M59="")),"Closed with no "&amp;IF(K59="","name","")&amp;IF(AND(K59="",M59=""),", no ","")&amp;IF(M59="","evidence","")&amp;". ","")&amp;IF(AND(S59&lt;&gt;"Closed",ISNUMBER(C59),Setup!$B$9&lt;&gt;"",C59&lt;Setup!$B$9,IFERROR(INDEX(Meetings!$B$7:$B$56,MATCH(N59,Meetings!$A$7:$A$56,0)),0)&lt;Setup!$B$9),"Missed at the last meeting. ","")&amp;IF(AND(ISNUMBER(R59),R59&lt;0),"Overdue "&amp;-R59&amp;IF(R59=-1," day. "," days. "),"")&amp;IF(O59&lt;&gt;"","Came back from "&amp;O59&amp;". ","")))))</f>
        <v/>
      </c>
      <c r="U59" s="59" t="str">
        <f t="shared" si="3"/>
        <v/>
      </c>
    </row>
    <row r="60" spans="1:21" ht="30" customHeight="1" x14ac:dyDescent="0.3">
      <c r="A60" s="51" t="s">
        <v>220</v>
      </c>
      <c r="B60" s="19"/>
      <c r="C60" s="52" t="str">
        <f>IF(B60="","",IFERROR(INDEX(Meetings!$B$7:$B$56,MATCH(B60,Meetings!$A$7:$A$56,0)),"?"))</f>
        <v/>
      </c>
      <c r="D60" s="19"/>
      <c r="E60" s="53"/>
      <c r="F60" s="19"/>
      <c r="G60" s="54"/>
      <c r="H60" s="53"/>
      <c r="I60" s="53"/>
      <c r="J60" s="19"/>
      <c r="K60" s="19"/>
      <c r="L60" s="54"/>
      <c r="M60" s="53"/>
      <c r="N60" s="19"/>
      <c r="O60" s="19"/>
      <c r="P60" s="53"/>
      <c r="Q60" s="55" t="str">
        <f>IF(OR(E60="",NOT(ISNUMBER(C60))),"",IF(S60="Closed",IF(L60="","",L60-C60),Setup!$B$7-C60))</f>
        <v/>
      </c>
      <c r="R60" s="56" t="str">
        <f>IF(OR(E60="",G60="",S60="Closed",S60="Dropped"),"",G60-Setup!$B$7)</f>
        <v/>
      </c>
      <c r="S60" s="57" t="str">
        <f t="shared" si="2"/>
        <v/>
      </c>
      <c r="T60" s="58" t="str">
        <f>IF(E60="","",IF(IF(E60="","",IF(S60="Dropped","Dropped"&amp;IF(P60="",": write why",""),IF(F60="","No owner. ",IF(COUNTIF(Setup!$D$20:$D$39,F60)&gt;0,"A department: belongs to nobody. ",""))&amp;IF(G60="","No date. ","")&amp;IF(H60="","No picture of done. ","")&amp;IF(S60="Can’t tell","No status: open or closed? ","")&amp;IF(AND(S60="Closed",OR(K60="",M60="")),"Closed with no "&amp;IF(K60="","name","")&amp;IF(AND(K60="",M60=""),", no ","")&amp;IF(M60="","evidence","")&amp;". ","")&amp;IF(AND(S60&lt;&gt;"Closed",ISNUMBER(C60),Setup!$B$9&lt;&gt;"",C60&lt;Setup!$B$9,IFERROR(INDEX(Meetings!$B$7:$B$56,MATCH(N60,Meetings!$A$7:$A$56,0)),0)&lt;Setup!$B$9),"Missed at the last meeting. ","")&amp;IF(AND(ISNUMBER(R60),R60&lt;0),"Overdue "&amp;-R60&amp;IF(R60=-1," day. "," days. "),"")&amp;IF(O60&lt;&gt;"","Came back from "&amp;O60&amp;". ","")))="","✔",IF(E60="","",IF(S60="Dropped","Dropped"&amp;IF(P60="",": write why",""),IF(F60="","No owner. ",IF(COUNTIF(Setup!$D$20:$D$39,F60)&gt;0,"A department: belongs to nobody. ",""))&amp;IF(G60="","No date. ","")&amp;IF(H60="","No picture of done. ","")&amp;IF(S60="Can’t tell","No status: open or closed? ","")&amp;IF(AND(S60="Closed",OR(K60="",M60="")),"Closed with no "&amp;IF(K60="","name","")&amp;IF(AND(K60="",M60=""),", no ","")&amp;IF(M60="","evidence","")&amp;". ","")&amp;IF(AND(S60&lt;&gt;"Closed",ISNUMBER(C60),Setup!$B$9&lt;&gt;"",C60&lt;Setup!$B$9,IFERROR(INDEX(Meetings!$B$7:$B$56,MATCH(N60,Meetings!$A$7:$A$56,0)),0)&lt;Setup!$B$9),"Missed at the last meeting. ","")&amp;IF(AND(ISNUMBER(R60),R60&lt;0),"Overdue "&amp;-R60&amp;IF(R60=-1," day. "," days. "),"")&amp;IF(O60&lt;&gt;"","Came back from "&amp;O60&amp;". ","")))))</f>
        <v/>
      </c>
      <c r="U60" s="59" t="str">
        <f t="shared" si="3"/>
        <v/>
      </c>
    </row>
    <row r="61" spans="1:21" ht="30" customHeight="1" x14ac:dyDescent="0.3">
      <c r="A61" s="51" t="s">
        <v>221</v>
      </c>
      <c r="B61" s="19"/>
      <c r="C61" s="52" t="str">
        <f>IF(B61="","",IFERROR(INDEX(Meetings!$B$7:$B$56,MATCH(B61,Meetings!$A$7:$A$56,0)),"?"))</f>
        <v/>
      </c>
      <c r="D61" s="19"/>
      <c r="E61" s="53"/>
      <c r="F61" s="19"/>
      <c r="G61" s="54"/>
      <c r="H61" s="53"/>
      <c r="I61" s="53"/>
      <c r="J61" s="19"/>
      <c r="K61" s="19"/>
      <c r="L61" s="54"/>
      <c r="M61" s="53"/>
      <c r="N61" s="19"/>
      <c r="O61" s="19"/>
      <c r="P61" s="53"/>
      <c r="Q61" s="55" t="str">
        <f>IF(OR(E61="",NOT(ISNUMBER(C61))),"",IF(S61="Closed",IF(L61="","",L61-C61),Setup!$B$7-C61))</f>
        <v/>
      </c>
      <c r="R61" s="56" t="str">
        <f>IF(OR(E61="",G61="",S61="Closed",S61="Dropped"),"",G61-Setup!$B$7)</f>
        <v/>
      </c>
      <c r="S61" s="57" t="str">
        <f t="shared" si="2"/>
        <v/>
      </c>
      <c r="T61" s="58" t="str">
        <f>IF(E61="","",IF(IF(E61="","",IF(S61="Dropped","Dropped"&amp;IF(P61="",": write why",""),IF(F61="","No owner. ",IF(COUNTIF(Setup!$D$20:$D$39,F61)&gt;0,"A department: belongs to nobody. ",""))&amp;IF(G61="","No date. ","")&amp;IF(H61="","No picture of done. ","")&amp;IF(S61="Can’t tell","No status: open or closed? ","")&amp;IF(AND(S61="Closed",OR(K61="",M61="")),"Closed with no "&amp;IF(K61="","name","")&amp;IF(AND(K61="",M61=""),", no ","")&amp;IF(M61="","evidence","")&amp;". ","")&amp;IF(AND(S61&lt;&gt;"Closed",ISNUMBER(C61),Setup!$B$9&lt;&gt;"",C61&lt;Setup!$B$9,IFERROR(INDEX(Meetings!$B$7:$B$56,MATCH(N61,Meetings!$A$7:$A$56,0)),0)&lt;Setup!$B$9),"Missed at the last meeting. ","")&amp;IF(AND(ISNUMBER(R61),R61&lt;0),"Overdue "&amp;-R61&amp;IF(R61=-1," day. "," days. "),"")&amp;IF(O61&lt;&gt;"","Came back from "&amp;O61&amp;". ","")))="","✔",IF(E61="","",IF(S61="Dropped","Dropped"&amp;IF(P61="",": write why",""),IF(F61="","No owner. ",IF(COUNTIF(Setup!$D$20:$D$39,F61)&gt;0,"A department: belongs to nobody. ",""))&amp;IF(G61="","No date. ","")&amp;IF(H61="","No picture of done. ","")&amp;IF(S61="Can’t tell","No status: open or closed? ","")&amp;IF(AND(S61="Closed",OR(K61="",M61="")),"Closed with no "&amp;IF(K61="","name","")&amp;IF(AND(K61="",M61=""),", no ","")&amp;IF(M61="","evidence","")&amp;". ","")&amp;IF(AND(S61&lt;&gt;"Closed",ISNUMBER(C61),Setup!$B$9&lt;&gt;"",C61&lt;Setup!$B$9,IFERROR(INDEX(Meetings!$B$7:$B$56,MATCH(N61,Meetings!$A$7:$A$56,0)),0)&lt;Setup!$B$9),"Missed at the last meeting. ","")&amp;IF(AND(ISNUMBER(R61),R61&lt;0),"Overdue "&amp;-R61&amp;IF(R61=-1," day. "," days. "),"")&amp;IF(O61&lt;&gt;"","Came back from "&amp;O61&amp;". ","")))))</f>
        <v/>
      </c>
      <c r="U61" s="59" t="str">
        <f t="shared" si="3"/>
        <v/>
      </c>
    </row>
    <row r="62" spans="1:21" ht="30" customHeight="1" x14ac:dyDescent="0.3">
      <c r="A62" s="51" t="s">
        <v>222</v>
      </c>
      <c r="B62" s="19"/>
      <c r="C62" s="52" t="str">
        <f>IF(B62="","",IFERROR(INDEX(Meetings!$B$7:$B$56,MATCH(B62,Meetings!$A$7:$A$56,0)),"?"))</f>
        <v/>
      </c>
      <c r="D62" s="19"/>
      <c r="E62" s="53"/>
      <c r="F62" s="19"/>
      <c r="G62" s="54"/>
      <c r="H62" s="53"/>
      <c r="I62" s="53"/>
      <c r="J62" s="19"/>
      <c r="K62" s="19"/>
      <c r="L62" s="54"/>
      <c r="M62" s="53"/>
      <c r="N62" s="19"/>
      <c r="O62" s="19"/>
      <c r="P62" s="53"/>
      <c r="Q62" s="55" t="str">
        <f>IF(OR(E62="",NOT(ISNUMBER(C62))),"",IF(S62="Closed",IF(L62="","",L62-C62),Setup!$B$7-C62))</f>
        <v/>
      </c>
      <c r="R62" s="56" t="str">
        <f>IF(OR(E62="",G62="",S62="Closed",S62="Dropped"),"",G62-Setup!$B$7)</f>
        <v/>
      </c>
      <c r="S62" s="57" t="str">
        <f t="shared" si="2"/>
        <v/>
      </c>
      <c r="T62" s="58" t="str">
        <f>IF(E62="","",IF(IF(E62="","",IF(S62="Dropped","Dropped"&amp;IF(P62="",": write why",""),IF(F62="","No owner. ",IF(COUNTIF(Setup!$D$20:$D$39,F62)&gt;0,"A department: belongs to nobody. ",""))&amp;IF(G62="","No date. ","")&amp;IF(H62="","No picture of done. ","")&amp;IF(S62="Can’t tell","No status: open or closed? ","")&amp;IF(AND(S62="Closed",OR(K62="",M62="")),"Closed with no "&amp;IF(K62="","name","")&amp;IF(AND(K62="",M62=""),", no ","")&amp;IF(M62="","evidence","")&amp;". ","")&amp;IF(AND(S62&lt;&gt;"Closed",ISNUMBER(C62),Setup!$B$9&lt;&gt;"",C62&lt;Setup!$B$9,IFERROR(INDEX(Meetings!$B$7:$B$56,MATCH(N62,Meetings!$A$7:$A$56,0)),0)&lt;Setup!$B$9),"Missed at the last meeting. ","")&amp;IF(AND(ISNUMBER(R62),R62&lt;0),"Overdue "&amp;-R62&amp;IF(R62=-1," day. "," days. "),"")&amp;IF(O62&lt;&gt;"","Came back from "&amp;O62&amp;". ","")))="","✔",IF(E62="","",IF(S62="Dropped","Dropped"&amp;IF(P62="",": write why",""),IF(F62="","No owner. ",IF(COUNTIF(Setup!$D$20:$D$39,F62)&gt;0,"A department: belongs to nobody. ",""))&amp;IF(G62="","No date. ","")&amp;IF(H62="","No picture of done. ","")&amp;IF(S62="Can’t tell","No status: open or closed? ","")&amp;IF(AND(S62="Closed",OR(K62="",M62="")),"Closed with no "&amp;IF(K62="","name","")&amp;IF(AND(K62="",M62=""),", no ","")&amp;IF(M62="","evidence","")&amp;". ","")&amp;IF(AND(S62&lt;&gt;"Closed",ISNUMBER(C62),Setup!$B$9&lt;&gt;"",C62&lt;Setup!$B$9,IFERROR(INDEX(Meetings!$B$7:$B$56,MATCH(N62,Meetings!$A$7:$A$56,0)),0)&lt;Setup!$B$9),"Missed at the last meeting. ","")&amp;IF(AND(ISNUMBER(R62),R62&lt;0),"Overdue "&amp;-R62&amp;IF(R62=-1," day. "," days. "),"")&amp;IF(O62&lt;&gt;"","Came back from "&amp;O62&amp;". ","")))))</f>
        <v/>
      </c>
      <c r="U62" s="59" t="str">
        <f t="shared" si="3"/>
        <v/>
      </c>
    </row>
    <row r="63" spans="1:21" ht="30" customHeight="1" x14ac:dyDescent="0.3">
      <c r="A63" s="51" t="s">
        <v>223</v>
      </c>
      <c r="B63" s="19"/>
      <c r="C63" s="52" t="str">
        <f>IF(B63="","",IFERROR(INDEX(Meetings!$B$7:$B$56,MATCH(B63,Meetings!$A$7:$A$56,0)),"?"))</f>
        <v/>
      </c>
      <c r="D63" s="19"/>
      <c r="E63" s="53"/>
      <c r="F63" s="19"/>
      <c r="G63" s="54"/>
      <c r="H63" s="53"/>
      <c r="I63" s="53"/>
      <c r="J63" s="19"/>
      <c r="K63" s="19"/>
      <c r="L63" s="54"/>
      <c r="M63" s="53"/>
      <c r="N63" s="19"/>
      <c r="O63" s="19"/>
      <c r="P63" s="53"/>
      <c r="Q63" s="55" t="str">
        <f>IF(OR(E63="",NOT(ISNUMBER(C63))),"",IF(S63="Closed",IF(L63="","",L63-C63),Setup!$B$7-C63))</f>
        <v/>
      </c>
      <c r="R63" s="56" t="str">
        <f>IF(OR(E63="",G63="",S63="Closed",S63="Dropped"),"",G63-Setup!$B$7)</f>
        <v/>
      </c>
      <c r="S63" s="57" t="str">
        <f t="shared" si="2"/>
        <v/>
      </c>
      <c r="T63" s="58" t="str">
        <f>IF(E63="","",IF(IF(E63="","",IF(S63="Dropped","Dropped"&amp;IF(P63="",": write why",""),IF(F63="","No owner. ",IF(COUNTIF(Setup!$D$20:$D$39,F63)&gt;0,"A department: belongs to nobody. ",""))&amp;IF(G63="","No date. ","")&amp;IF(H63="","No picture of done. ","")&amp;IF(S63="Can’t tell","No status: open or closed? ","")&amp;IF(AND(S63="Closed",OR(K63="",M63="")),"Closed with no "&amp;IF(K63="","name","")&amp;IF(AND(K63="",M63=""),", no ","")&amp;IF(M63="","evidence","")&amp;". ","")&amp;IF(AND(S63&lt;&gt;"Closed",ISNUMBER(C63),Setup!$B$9&lt;&gt;"",C63&lt;Setup!$B$9,IFERROR(INDEX(Meetings!$B$7:$B$56,MATCH(N63,Meetings!$A$7:$A$56,0)),0)&lt;Setup!$B$9),"Missed at the last meeting. ","")&amp;IF(AND(ISNUMBER(R63),R63&lt;0),"Overdue "&amp;-R63&amp;IF(R63=-1," day. "," days. "),"")&amp;IF(O63&lt;&gt;"","Came back from "&amp;O63&amp;". ","")))="","✔",IF(E63="","",IF(S63="Dropped","Dropped"&amp;IF(P63="",": write why",""),IF(F63="","No owner. ",IF(COUNTIF(Setup!$D$20:$D$39,F63)&gt;0,"A department: belongs to nobody. ",""))&amp;IF(G63="","No date. ","")&amp;IF(H63="","No picture of done. ","")&amp;IF(S63="Can’t tell","No status: open or closed? ","")&amp;IF(AND(S63="Closed",OR(K63="",M63="")),"Closed with no "&amp;IF(K63="","name","")&amp;IF(AND(K63="",M63=""),", no ","")&amp;IF(M63="","evidence","")&amp;". ","")&amp;IF(AND(S63&lt;&gt;"Closed",ISNUMBER(C63),Setup!$B$9&lt;&gt;"",C63&lt;Setup!$B$9,IFERROR(INDEX(Meetings!$B$7:$B$56,MATCH(N63,Meetings!$A$7:$A$56,0)),0)&lt;Setup!$B$9),"Missed at the last meeting. ","")&amp;IF(AND(ISNUMBER(R63),R63&lt;0),"Overdue "&amp;-R63&amp;IF(R63=-1," day. "," days. "),"")&amp;IF(O63&lt;&gt;"","Came back from "&amp;O63&amp;". ","")))))</f>
        <v/>
      </c>
      <c r="U63" s="59" t="str">
        <f t="shared" si="3"/>
        <v/>
      </c>
    </row>
    <row r="64" spans="1:21" ht="30" customHeight="1" x14ac:dyDescent="0.3">
      <c r="A64" s="51" t="s">
        <v>224</v>
      </c>
      <c r="B64" s="19"/>
      <c r="C64" s="52" t="str">
        <f>IF(B64="","",IFERROR(INDEX(Meetings!$B$7:$B$56,MATCH(B64,Meetings!$A$7:$A$56,0)),"?"))</f>
        <v/>
      </c>
      <c r="D64" s="19"/>
      <c r="E64" s="53"/>
      <c r="F64" s="19"/>
      <c r="G64" s="54"/>
      <c r="H64" s="53"/>
      <c r="I64" s="53"/>
      <c r="J64" s="19"/>
      <c r="K64" s="19"/>
      <c r="L64" s="54"/>
      <c r="M64" s="53"/>
      <c r="N64" s="19"/>
      <c r="O64" s="19"/>
      <c r="P64" s="53"/>
      <c r="Q64" s="55" t="str">
        <f>IF(OR(E64="",NOT(ISNUMBER(C64))),"",IF(S64="Closed",IF(L64="","",L64-C64),Setup!$B$7-C64))</f>
        <v/>
      </c>
      <c r="R64" s="56" t="str">
        <f>IF(OR(E64="",G64="",S64="Closed",S64="Dropped"),"",G64-Setup!$B$7)</f>
        <v/>
      </c>
      <c r="S64" s="57" t="str">
        <f t="shared" si="2"/>
        <v/>
      </c>
      <c r="T64" s="58" t="str">
        <f>IF(E64="","",IF(IF(E64="","",IF(S64="Dropped","Dropped"&amp;IF(P64="",": write why",""),IF(F64="","No owner. ",IF(COUNTIF(Setup!$D$20:$D$39,F64)&gt;0,"A department: belongs to nobody. ",""))&amp;IF(G64="","No date. ","")&amp;IF(H64="","No picture of done. ","")&amp;IF(S64="Can’t tell","No status: open or closed? ","")&amp;IF(AND(S64="Closed",OR(K64="",M64="")),"Closed with no "&amp;IF(K64="","name","")&amp;IF(AND(K64="",M64=""),", no ","")&amp;IF(M64="","evidence","")&amp;". ","")&amp;IF(AND(S64&lt;&gt;"Closed",ISNUMBER(C64),Setup!$B$9&lt;&gt;"",C64&lt;Setup!$B$9,IFERROR(INDEX(Meetings!$B$7:$B$56,MATCH(N64,Meetings!$A$7:$A$56,0)),0)&lt;Setup!$B$9),"Missed at the last meeting. ","")&amp;IF(AND(ISNUMBER(R64),R64&lt;0),"Overdue "&amp;-R64&amp;IF(R64=-1," day. "," days. "),"")&amp;IF(O64&lt;&gt;"","Came back from "&amp;O64&amp;". ","")))="","✔",IF(E64="","",IF(S64="Dropped","Dropped"&amp;IF(P64="",": write why",""),IF(F64="","No owner. ",IF(COUNTIF(Setup!$D$20:$D$39,F64)&gt;0,"A department: belongs to nobody. ",""))&amp;IF(G64="","No date. ","")&amp;IF(H64="","No picture of done. ","")&amp;IF(S64="Can’t tell","No status: open or closed? ","")&amp;IF(AND(S64="Closed",OR(K64="",M64="")),"Closed with no "&amp;IF(K64="","name","")&amp;IF(AND(K64="",M64=""),", no ","")&amp;IF(M64="","evidence","")&amp;". ","")&amp;IF(AND(S64&lt;&gt;"Closed",ISNUMBER(C64),Setup!$B$9&lt;&gt;"",C64&lt;Setup!$B$9,IFERROR(INDEX(Meetings!$B$7:$B$56,MATCH(N64,Meetings!$A$7:$A$56,0)),0)&lt;Setup!$B$9),"Missed at the last meeting. ","")&amp;IF(AND(ISNUMBER(R64),R64&lt;0),"Overdue "&amp;-R64&amp;IF(R64=-1," day. "," days. "),"")&amp;IF(O64&lt;&gt;"","Came back from "&amp;O64&amp;". ","")))))</f>
        <v/>
      </c>
      <c r="U64" s="59" t="str">
        <f t="shared" si="3"/>
        <v/>
      </c>
    </row>
    <row r="65" spans="1:21" ht="30" customHeight="1" x14ac:dyDescent="0.3">
      <c r="A65" s="51" t="s">
        <v>225</v>
      </c>
      <c r="B65" s="19"/>
      <c r="C65" s="52" t="str">
        <f>IF(B65="","",IFERROR(INDEX(Meetings!$B$7:$B$56,MATCH(B65,Meetings!$A$7:$A$56,0)),"?"))</f>
        <v/>
      </c>
      <c r="D65" s="19"/>
      <c r="E65" s="53"/>
      <c r="F65" s="19"/>
      <c r="G65" s="54"/>
      <c r="H65" s="53"/>
      <c r="I65" s="53"/>
      <c r="J65" s="19"/>
      <c r="K65" s="19"/>
      <c r="L65" s="54"/>
      <c r="M65" s="53"/>
      <c r="N65" s="19"/>
      <c r="O65" s="19"/>
      <c r="P65" s="53"/>
      <c r="Q65" s="55" t="str">
        <f>IF(OR(E65="",NOT(ISNUMBER(C65))),"",IF(S65="Closed",IF(L65="","",L65-C65),Setup!$B$7-C65))</f>
        <v/>
      </c>
      <c r="R65" s="56" t="str">
        <f>IF(OR(E65="",G65="",S65="Closed",S65="Dropped"),"",G65-Setup!$B$7)</f>
        <v/>
      </c>
      <c r="S65" s="57" t="str">
        <f t="shared" si="2"/>
        <v/>
      </c>
      <c r="T65" s="58" t="str">
        <f>IF(E65="","",IF(IF(E65="","",IF(S65="Dropped","Dropped"&amp;IF(P65="",": write why",""),IF(F65="","No owner. ",IF(COUNTIF(Setup!$D$20:$D$39,F65)&gt;0,"A department: belongs to nobody. ",""))&amp;IF(G65="","No date. ","")&amp;IF(H65="","No picture of done. ","")&amp;IF(S65="Can’t tell","No status: open or closed? ","")&amp;IF(AND(S65="Closed",OR(K65="",M65="")),"Closed with no "&amp;IF(K65="","name","")&amp;IF(AND(K65="",M65=""),", no ","")&amp;IF(M65="","evidence","")&amp;". ","")&amp;IF(AND(S65&lt;&gt;"Closed",ISNUMBER(C65),Setup!$B$9&lt;&gt;"",C65&lt;Setup!$B$9,IFERROR(INDEX(Meetings!$B$7:$B$56,MATCH(N65,Meetings!$A$7:$A$56,0)),0)&lt;Setup!$B$9),"Missed at the last meeting. ","")&amp;IF(AND(ISNUMBER(R65),R65&lt;0),"Overdue "&amp;-R65&amp;IF(R65=-1," day. "," days. "),"")&amp;IF(O65&lt;&gt;"","Came back from "&amp;O65&amp;". ","")))="","✔",IF(E65="","",IF(S65="Dropped","Dropped"&amp;IF(P65="",": write why",""),IF(F65="","No owner. ",IF(COUNTIF(Setup!$D$20:$D$39,F65)&gt;0,"A department: belongs to nobody. ",""))&amp;IF(G65="","No date. ","")&amp;IF(H65="","No picture of done. ","")&amp;IF(S65="Can’t tell","No status: open or closed? ","")&amp;IF(AND(S65="Closed",OR(K65="",M65="")),"Closed with no "&amp;IF(K65="","name","")&amp;IF(AND(K65="",M65=""),", no ","")&amp;IF(M65="","evidence","")&amp;". ","")&amp;IF(AND(S65&lt;&gt;"Closed",ISNUMBER(C65),Setup!$B$9&lt;&gt;"",C65&lt;Setup!$B$9,IFERROR(INDEX(Meetings!$B$7:$B$56,MATCH(N65,Meetings!$A$7:$A$56,0)),0)&lt;Setup!$B$9),"Missed at the last meeting. ","")&amp;IF(AND(ISNUMBER(R65),R65&lt;0),"Overdue "&amp;-R65&amp;IF(R65=-1," day. "," days. "),"")&amp;IF(O65&lt;&gt;"","Came back from "&amp;O65&amp;". ","")))))</f>
        <v/>
      </c>
      <c r="U65" s="59" t="str">
        <f t="shared" si="3"/>
        <v/>
      </c>
    </row>
    <row r="66" spans="1:21" ht="30" customHeight="1" x14ac:dyDescent="0.3">
      <c r="A66" s="51" t="s">
        <v>226</v>
      </c>
      <c r="B66" s="19"/>
      <c r="C66" s="52" t="str">
        <f>IF(B66="","",IFERROR(INDEX(Meetings!$B$7:$B$56,MATCH(B66,Meetings!$A$7:$A$56,0)),"?"))</f>
        <v/>
      </c>
      <c r="D66" s="19"/>
      <c r="E66" s="53"/>
      <c r="F66" s="19"/>
      <c r="G66" s="54"/>
      <c r="H66" s="53"/>
      <c r="I66" s="53"/>
      <c r="J66" s="19"/>
      <c r="K66" s="19"/>
      <c r="L66" s="54"/>
      <c r="M66" s="53"/>
      <c r="N66" s="19"/>
      <c r="O66" s="19"/>
      <c r="P66" s="53"/>
      <c r="Q66" s="55" t="str">
        <f>IF(OR(E66="",NOT(ISNUMBER(C66))),"",IF(S66="Closed",IF(L66="","",L66-C66),Setup!$B$7-C66))</f>
        <v/>
      </c>
      <c r="R66" s="56" t="str">
        <f>IF(OR(E66="",G66="",S66="Closed",S66="Dropped"),"",G66-Setup!$B$7)</f>
        <v/>
      </c>
      <c r="S66" s="57" t="str">
        <f t="shared" si="2"/>
        <v/>
      </c>
      <c r="T66" s="58" t="str">
        <f>IF(E66="","",IF(IF(E66="","",IF(S66="Dropped","Dropped"&amp;IF(P66="",": write why",""),IF(F66="","No owner. ",IF(COUNTIF(Setup!$D$20:$D$39,F66)&gt;0,"A department: belongs to nobody. ",""))&amp;IF(G66="","No date. ","")&amp;IF(H66="","No picture of done. ","")&amp;IF(S66="Can’t tell","No status: open or closed? ","")&amp;IF(AND(S66="Closed",OR(K66="",M66="")),"Closed with no "&amp;IF(K66="","name","")&amp;IF(AND(K66="",M66=""),", no ","")&amp;IF(M66="","evidence","")&amp;". ","")&amp;IF(AND(S66&lt;&gt;"Closed",ISNUMBER(C66),Setup!$B$9&lt;&gt;"",C66&lt;Setup!$B$9,IFERROR(INDEX(Meetings!$B$7:$B$56,MATCH(N66,Meetings!$A$7:$A$56,0)),0)&lt;Setup!$B$9),"Missed at the last meeting. ","")&amp;IF(AND(ISNUMBER(R66),R66&lt;0),"Overdue "&amp;-R66&amp;IF(R66=-1," day. "," days. "),"")&amp;IF(O66&lt;&gt;"","Came back from "&amp;O66&amp;". ","")))="","✔",IF(E66="","",IF(S66="Dropped","Dropped"&amp;IF(P66="",": write why",""),IF(F66="","No owner. ",IF(COUNTIF(Setup!$D$20:$D$39,F66)&gt;0,"A department: belongs to nobody. ",""))&amp;IF(G66="","No date. ","")&amp;IF(H66="","No picture of done. ","")&amp;IF(S66="Can’t tell","No status: open or closed? ","")&amp;IF(AND(S66="Closed",OR(K66="",M66="")),"Closed with no "&amp;IF(K66="","name","")&amp;IF(AND(K66="",M66=""),", no ","")&amp;IF(M66="","evidence","")&amp;". ","")&amp;IF(AND(S66&lt;&gt;"Closed",ISNUMBER(C66),Setup!$B$9&lt;&gt;"",C66&lt;Setup!$B$9,IFERROR(INDEX(Meetings!$B$7:$B$56,MATCH(N66,Meetings!$A$7:$A$56,0)),0)&lt;Setup!$B$9),"Missed at the last meeting. ","")&amp;IF(AND(ISNUMBER(R66),R66&lt;0),"Overdue "&amp;-R66&amp;IF(R66=-1," day. "," days. "),"")&amp;IF(O66&lt;&gt;"","Came back from "&amp;O66&amp;". ","")))))</f>
        <v/>
      </c>
      <c r="U66" s="59" t="str">
        <f t="shared" si="3"/>
        <v/>
      </c>
    </row>
    <row r="67" spans="1:21" ht="30" customHeight="1" x14ac:dyDescent="0.3">
      <c r="A67" s="51" t="s">
        <v>227</v>
      </c>
      <c r="B67" s="19"/>
      <c r="C67" s="52" t="str">
        <f>IF(B67="","",IFERROR(INDEX(Meetings!$B$7:$B$56,MATCH(B67,Meetings!$A$7:$A$56,0)),"?"))</f>
        <v/>
      </c>
      <c r="D67" s="19"/>
      <c r="E67" s="53"/>
      <c r="F67" s="19"/>
      <c r="G67" s="54"/>
      <c r="H67" s="53"/>
      <c r="I67" s="53"/>
      <c r="J67" s="19"/>
      <c r="K67" s="19"/>
      <c r="L67" s="54"/>
      <c r="M67" s="53"/>
      <c r="N67" s="19"/>
      <c r="O67" s="19"/>
      <c r="P67" s="53"/>
      <c r="Q67" s="55" t="str">
        <f>IF(OR(E67="",NOT(ISNUMBER(C67))),"",IF(S67="Closed",IF(L67="","",L67-C67),Setup!$B$7-C67))</f>
        <v/>
      </c>
      <c r="R67" s="56" t="str">
        <f>IF(OR(E67="",G67="",S67="Closed",S67="Dropped"),"",G67-Setup!$B$7)</f>
        <v/>
      </c>
      <c r="S67" s="57" t="str">
        <f t="shared" si="2"/>
        <v/>
      </c>
      <c r="T67" s="58" t="str">
        <f>IF(E67="","",IF(IF(E67="","",IF(S67="Dropped","Dropped"&amp;IF(P67="",": write why",""),IF(F67="","No owner. ",IF(COUNTIF(Setup!$D$20:$D$39,F67)&gt;0,"A department: belongs to nobody. ",""))&amp;IF(G67="","No date. ","")&amp;IF(H67="","No picture of done. ","")&amp;IF(S67="Can’t tell","No status: open or closed? ","")&amp;IF(AND(S67="Closed",OR(K67="",M67="")),"Closed with no "&amp;IF(K67="","name","")&amp;IF(AND(K67="",M67=""),", no ","")&amp;IF(M67="","evidence","")&amp;". ","")&amp;IF(AND(S67&lt;&gt;"Closed",ISNUMBER(C67),Setup!$B$9&lt;&gt;"",C67&lt;Setup!$B$9,IFERROR(INDEX(Meetings!$B$7:$B$56,MATCH(N67,Meetings!$A$7:$A$56,0)),0)&lt;Setup!$B$9),"Missed at the last meeting. ","")&amp;IF(AND(ISNUMBER(R67),R67&lt;0),"Overdue "&amp;-R67&amp;IF(R67=-1," day. "," days. "),"")&amp;IF(O67&lt;&gt;"","Came back from "&amp;O67&amp;". ","")))="","✔",IF(E67="","",IF(S67="Dropped","Dropped"&amp;IF(P67="",": write why",""),IF(F67="","No owner. ",IF(COUNTIF(Setup!$D$20:$D$39,F67)&gt;0,"A department: belongs to nobody. ",""))&amp;IF(G67="","No date. ","")&amp;IF(H67="","No picture of done. ","")&amp;IF(S67="Can’t tell","No status: open or closed? ","")&amp;IF(AND(S67="Closed",OR(K67="",M67="")),"Closed with no "&amp;IF(K67="","name","")&amp;IF(AND(K67="",M67=""),", no ","")&amp;IF(M67="","evidence","")&amp;". ","")&amp;IF(AND(S67&lt;&gt;"Closed",ISNUMBER(C67),Setup!$B$9&lt;&gt;"",C67&lt;Setup!$B$9,IFERROR(INDEX(Meetings!$B$7:$B$56,MATCH(N67,Meetings!$A$7:$A$56,0)),0)&lt;Setup!$B$9),"Missed at the last meeting. ","")&amp;IF(AND(ISNUMBER(R67),R67&lt;0),"Overdue "&amp;-R67&amp;IF(R67=-1," day. "," days. "),"")&amp;IF(O67&lt;&gt;"","Came back from "&amp;O67&amp;". ","")))))</f>
        <v/>
      </c>
      <c r="U67" s="59" t="str">
        <f t="shared" si="3"/>
        <v/>
      </c>
    </row>
    <row r="68" spans="1:21" ht="30" customHeight="1" x14ac:dyDescent="0.3">
      <c r="A68" s="51" t="s">
        <v>228</v>
      </c>
      <c r="B68" s="19"/>
      <c r="C68" s="52" t="str">
        <f>IF(B68="","",IFERROR(INDEX(Meetings!$B$7:$B$56,MATCH(B68,Meetings!$A$7:$A$56,0)),"?"))</f>
        <v/>
      </c>
      <c r="D68" s="19"/>
      <c r="E68" s="53"/>
      <c r="F68" s="19"/>
      <c r="G68" s="54"/>
      <c r="H68" s="53"/>
      <c r="I68" s="53"/>
      <c r="J68" s="19"/>
      <c r="K68" s="19"/>
      <c r="L68" s="54"/>
      <c r="M68" s="53"/>
      <c r="N68" s="19"/>
      <c r="O68" s="19"/>
      <c r="P68" s="53"/>
      <c r="Q68" s="55" t="str">
        <f>IF(OR(E68="",NOT(ISNUMBER(C68))),"",IF(S68="Closed",IF(L68="","",L68-C68),Setup!$B$7-C68))</f>
        <v/>
      </c>
      <c r="R68" s="56" t="str">
        <f>IF(OR(E68="",G68="",S68="Closed",S68="Dropped"),"",G68-Setup!$B$7)</f>
        <v/>
      </c>
      <c r="S68" s="57" t="str">
        <f t="shared" si="2"/>
        <v/>
      </c>
      <c r="T68" s="58" t="str">
        <f>IF(E68="","",IF(IF(E68="","",IF(S68="Dropped","Dropped"&amp;IF(P68="",": write why",""),IF(F68="","No owner. ",IF(COUNTIF(Setup!$D$20:$D$39,F68)&gt;0,"A department: belongs to nobody. ",""))&amp;IF(G68="","No date. ","")&amp;IF(H68="","No picture of done. ","")&amp;IF(S68="Can’t tell","No status: open or closed? ","")&amp;IF(AND(S68="Closed",OR(K68="",M68="")),"Closed with no "&amp;IF(K68="","name","")&amp;IF(AND(K68="",M68=""),", no ","")&amp;IF(M68="","evidence","")&amp;". ","")&amp;IF(AND(S68&lt;&gt;"Closed",ISNUMBER(C68),Setup!$B$9&lt;&gt;"",C68&lt;Setup!$B$9,IFERROR(INDEX(Meetings!$B$7:$B$56,MATCH(N68,Meetings!$A$7:$A$56,0)),0)&lt;Setup!$B$9),"Missed at the last meeting. ","")&amp;IF(AND(ISNUMBER(R68),R68&lt;0),"Overdue "&amp;-R68&amp;IF(R68=-1," day. "," days. "),"")&amp;IF(O68&lt;&gt;"","Came back from "&amp;O68&amp;". ","")))="","✔",IF(E68="","",IF(S68="Dropped","Dropped"&amp;IF(P68="",": write why",""),IF(F68="","No owner. ",IF(COUNTIF(Setup!$D$20:$D$39,F68)&gt;0,"A department: belongs to nobody. ",""))&amp;IF(G68="","No date. ","")&amp;IF(H68="","No picture of done. ","")&amp;IF(S68="Can’t tell","No status: open or closed? ","")&amp;IF(AND(S68="Closed",OR(K68="",M68="")),"Closed with no "&amp;IF(K68="","name","")&amp;IF(AND(K68="",M68=""),", no ","")&amp;IF(M68="","evidence","")&amp;". ","")&amp;IF(AND(S68&lt;&gt;"Closed",ISNUMBER(C68),Setup!$B$9&lt;&gt;"",C68&lt;Setup!$B$9,IFERROR(INDEX(Meetings!$B$7:$B$56,MATCH(N68,Meetings!$A$7:$A$56,0)),0)&lt;Setup!$B$9),"Missed at the last meeting. ","")&amp;IF(AND(ISNUMBER(R68),R68&lt;0),"Overdue "&amp;-R68&amp;IF(R68=-1," day. "," days. "),"")&amp;IF(O68&lt;&gt;"","Came back from "&amp;O68&amp;". ","")))))</f>
        <v/>
      </c>
      <c r="U68" s="59" t="str">
        <f t="shared" si="3"/>
        <v/>
      </c>
    </row>
    <row r="69" spans="1:21" ht="30" customHeight="1" x14ac:dyDescent="0.3">
      <c r="A69" s="51" t="s">
        <v>229</v>
      </c>
      <c r="B69" s="19"/>
      <c r="C69" s="52" t="str">
        <f>IF(B69="","",IFERROR(INDEX(Meetings!$B$7:$B$56,MATCH(B69,Meetings!$A$7:$A$56,0)),"?"))</f>
        <v/>
      </c>
      <c r="D69" s="19"/>
      <c r="E69" s="53"/>
      <c r="F69" s="19"/>
      <c r="G69" s="54"/>
      <c r="H69" s="53"/>
      <c r="I69" s="53"/>
      <c r="J69" s="19"/>
      <c r="K69" s="19"/>
      <c r="L69" s="54"/>
      <c r="M69" s="53"/>
      <c r="N69" s="19"/>
      <c r="O69" s="19"/>
      <c r="P69" s="53"/>
      <c r="Q69" s="55" t="str">
        <f>IF(OR(E69="",NOT(ISNUMBER(C69))),"",IF(S69="Closed",IF(L69="","",L69-C69),Setup!$B$7-C69))</f>
        <v/>
      </c>
      <c r="R69" s="56" t="str">
        <f>IF(OR(E69="",G69="",S69="Closed",S69="Dropped"),"",G69-Setup!$B$7)</f>
        <v/>
      </c>
      <c r="S69" s="57" t="str">
        <f t="shared" si="2"/>
        <v/>
      </c>
      <c r="T69" s="58" t="str">
        <f>IF(E69="","",IF(IF(E69="","",IF(S69="Dropped","Dropped"&amp;IF(P69="",": write why",""),IF(F69="","No owner. ",IF(COUNTIF(Setup!$D$20:$D$39,F69)&gt;0,"A department: belongs to nobody. ",""))&amp;IF(G69="","No date. ","")&amp;IF(H69="","No picture of done. ","")&amp;IF(S69="Can’t tell","No status: open or closed? ","")&amp;IF(AND(S69="Closed",OR(K69="",M69="")),"Closed with no "&amp;IF(K69="","name","")&amp;IF(AND(K69="",M69=""),", no ","")&amp;IF(M69="","evidence","")&amp;". ","")&amp;IF(AND(S69&lt;&gt;"Closed",ISNUMBER(C69),Setup!$B$9&lt;&gt;"",C69&lt;Setup!$B$9,IFERROR(INDEX(Meetings!$B$7:$B$56,MATCH(N69,Meetings!$A$7:$A$56,0)),0)&lt;Setup!$B$9),"Missed at the last meeting. ","")&amp;IF(AND(ISNUMBER(R69),R69&lt;0),"Overdue "&amp;-R69&amp;IF(R69=-1," day. "," days. "),"")&amp;IF(O69&lt;&gt;"","Came back from "&amp;O69&amp;". ","")))="","✔",IF(E69="","",IF(S69="Dropped","Dropped"&amp;IF(P69="",": write why",""),IF(F69="","No owner. ",IF(COUNTIF(Setup!$D$20:$D$39,F69)&gt;0,"A department: belongs to nobody. ",""))&amp;IF(G69="","No date. ","")&amp;IF(H69="","No picture of done. ","")&amp;IF(S69="Can’t tell","No status: open or closed? ","")&amp;IF(AND(S69="Closed",OR(K69="",M69="")),"Closed with no "&amp;IF(K69="","name","")&amp;IF(AND(K69="",M69=""),", no ","")&amp;IF(M69="","evidence","")&amp;". ","")&amp;IF(AND(S69&lt;&gt;"Closed",ISNUMBER(C69),Setup!$B$9&lt;&gt;"",C69&lt;Setup!$B$9,IFERROR(INDEX(Meetings!$B$7:$B$56,MATCH(N69,Meetings!$A$7:$A$56,0)),0)&lt;Setup!$B$9),"Missed at the last meeting. ","")&amp;IF(AND(ISNUMBER(R69),R69&lt;0),"Overdue "&amp;-R69&amp;IF(R69=-1," day. "," days. "),"")&amp;IF(O69&lt;&gt;"","Came back from "&amp;O69&amp;". ","")))))</f>
        <v/>
      </c>
      <c r="U69" s="59" t="str">
        <f t="shared" si="3"/>
        <v/>
      </c>
    </row>
    <row r="70" spans="1:21" ht="30" customHeight="1" x14ac:dyDescent="0.3">
      <c r="A70" s="51" t="s">
        <v>230</v>
      </c>
      <c r="B70" s="19"/>
      <c r="C70" s="52" t="str">
        <f>IF(B70="","",IFERROR(INDEX(Meetings!$B$7:$B$56,MATCH(B70,Meetings!$A$7:$A$56,0)),"?"))</f>
        <v/>
      </c>
      <c r="D70" s="19"/>
      <c r="E70" s="53"/>
      <c r="F70" s="19"/>
      <c r="G70" s="54"/>
      <c r="H70" s="53"/>
      <c r="I70" s="53"/>
      <c r="J70" s="19"/>
      <c r="K70" s="19"/>
      <c r="L70" s="54"/>
      <c r="M70" s="53"/>
      <c r="N70" s="19"/>
      <c r="O70" s="19"/>
      <c r="P70" s="53"/>
      <c r="Q70" s="55" t="str">
        <f>IF(OR(E70="",NOT(ISNUMBER(C70))),"",IF(S70="Closed",IF(L70="","",L70-C70),Setup!$B$7-C70))</f>
        <v/>
      </c>
      <c r="R70" s="56" t="str">
        <f>IF(OR(E70="",G70="",S70="Closed",S70="Dropped"),"",G70-Setup!$B$7)</f>
        <v/>
      </c>
      <c r="S70" s="57" t="str">
        <f t="shared" si="2"/>
        <v/>
      </c>
      <c r="T70" s="58" t="str">
        <f>IF(E70="","",IF(IF(E70="","",IF(S70="Dropped","Dropped"&amp;IF(P70="",": write why",""),IF(F70="","No owner. ",IF(COUNTIF(Setup!$D$20:$D$39,F70)&gt;0,"A department: belongs to nobody. ",""))&amp;IF(G70="","No date. ","")&amp;IF(H70="","No picture of done. ","")&amp;IF(S70="Can’t tell","No status: open or closed? ","")&amp;IF(AND(S70="Closed",OR(K70="",M70="")),"Closed with no "&amp;IF(K70="","name","")&amp;IF(AND(K70="",M70=""),", no ","")&amp;IF(M70="","evidence","")&amp;". ","")&amp;IF(AND(S70&lt;&gt;"Closed",ISNUMBER(C70),Setup!$B$9&lt;&gt;"",C70&lt;Setup!$B$9,IFERROR(INDEX(Meetings!$B$7:$B$56,MATCH(N70,Meetings!$A$7:$A$56,0)),0)&lt;Setup!$B$9),"Missed at the last meeting. ","")&amp;IF(AND(ISNUMBER(R70),R70&lt;0),"Overdue "&amp;-R70&amp;IF(R70=-1," day. "," days. "),"")&amp;IF(O70&lt;&gt;"","Came back from "&amp;O70&amp;". ","")))="","✔",IF(E70="","",IF(S70="Dropped","Dropped"&amp;IF(P70="",": write why",""),IF(F70="","No owner. ",IF(COUNTIF(Setup!$D$20:$D$39,F70)&gt;0,"A department: belongs to nobody. ",""))&amp;IF(G70="","No date. ","")&amp;IF(H70="","No picture of done. ","")&amp;IF(S70="Can’t tell","No status: open or closed? ","")&amp;IF(AND(S70="Closed",OR(K70="",M70="")),"Closed with no "&amp;IF(K70="","name","")&amp;IF(AND(K70="",M70=""),", no ","")&amp;IF(M70="","evidence","")&amp;". ","")&amp;IF(AND(S70&lt;&gt;"Closed",ISNUMBER(C70),Setup!$B$9&lt;&gt;"",C70&lt;Setup!$B$9,IFERROR(INDEX(Meetings!$B$7:$B$56,MATCH(N70,Meetings!$A$7:$A$56,0)),0)&lt;Setup!$B$9),"Missed at the last meeting. ","")&amp;IF(AND(ISNUMBER(R70),R70&lt;0),"Overdue "&amp;-R70&amp;IF(R70=-1," day. "," days. "),"")&amp;IF(O70&lt;&gt;"","Came back from "&amp;O70&amp;". ","")))))</f>
        <v/>
      </c>
      <c r="U70" s="59" t="str">
        <f t="shared" si="3"/>
        <v/>
      </c>
    </row>
    <row r="71" spans="1:21" ht="30" customHeight="1" x14ac:dyDescent="0.3">
      <c r="A71" s="51" t="s">
        <v>231</v>
      </c>
      <c r="B71" s="19"/>
      <c r="C71" s="52" t="str">
        <f>IF(B71="","",IFERROR(INDEX(Meetings!$B$7:$B$56,MATCH(B71,Meetings!$A$7:$A$56,0)),"?"))</f>
        <v/>
      </c>
      <c r="D71" s="19"/>
      <c r="E71" s="53"/>
      <c r="F71" s="19"/>
      <c r="G71" s="54"/>
      <c r="H71" s="53"/>
      <c r="I71" s="53"/>
      <c r="J71" s="19"/>
      <c r="K71" s="19"/>
      <c r="L71" s="54"/>
      <c r="M71" s="53"/>
      <c r="N71" s="19"/>
      <c r="O71" s="19"/>
      <c r="P71" s="53"/>
      <c r="Q71" s="55" t="str">
        <f>IF(OR(E71="",NOT(ISNUMBER(C71))),"",IF(S71="Closed",IF(L71="","",L71-C71),Setup!$B$7-C71))</f>
        <v/>
      </c>
      <c r="R71" s="56" t="str">
        <f>IF(OR(E71="",G71="",S71="Closed",S71="Dropped"),"",G71-Setup!$B$7)</f>
        <v/>
      </c>
      <c r="S71" s="57" t="str">
        <f t="shared" ref="S71:S106" si="4">IF(E71="","",IF(J71="","Can’t tell",IF(J71="Reopened","Open",J71)))</f>
        <v/>
      </c>
      <c r="T71" s="58" t="str">
        <f>IF(E71="","",IF(IF(E71="","",IF(S71="Dropped","Dropped"&amp;IF(P71="",": write why",""),IF(F71="","No owner. ",IF(COUNTIF(Setup!$D$20:$D$39,F71)&gt;0,"A department: belongs to nobody. ",""))&amp;IF(G71="","No date. ","")&amp;IF(H71="","No picture of done. ","")&amp;IF(S71="Can’t tell","No status: open or closed? ","")&amp;IF(AND(S71="Closed",OR(K71="",M71="")),"Closed with no "&amp;IF(K71="","name","")&amp;IF(AND(K71="",M71=""),", no ","")&amp;IF(M71="","evidence","")&amp;". ","")&amp;IF(AND(S71&lt;&gt;"Closed",ISNUMBER(C71),Setup!$B$9&lt;&gt;"",C71&lt;Setup!$B$9,IFERROR(INDEX(Meetings!$B$7:$B$56,MATCH(N71,Meetings!$A$7:$A$56,0)),0)&lt;Setup!$B$9),"Missed at the last meeting. ","")&amp;IF(AND(ISNUMBER(R71),R71&lt;0),"Overdue "&amp;-R71&amp;IF(R71=-1," day. "," days. "),"")&amp;IF(O71&lt;&gt;"","Came back from "&amp;O71&amp;". ","")))="","✔",IF(E71="","",IF(S71="Dropped","Dropped"&amp;IF(P71="",": write why",""),IF(F71="","No owner. ",IF(COUNTIF(Setup!$D$20:$D$39,F71)&gt;0,"A department: belongs to nobody. ",""))&amp;IF(G71="","No date. ","")&amp;IF(H71="","No picture of done. ","")&amp;IF(S71="Can’t tell","No status: open or closed? ","")&amp;IF(AND(S71="Closed",OR(K71="",M71="")),"Closed with no "&amp;IF(K71="","name","")&amp;IF(AND(K71="",M71=""),", no ","")&amp;IF(M71="","evidence","")&amp;". ","")&amp;IF(AND(S71&lt;&gt;"Closed",ISNUMBER(C71),Setup!$B$9&lt;&gt;"",C71&lt;Setup!$B$9,IFERROR(INDEX(Meetings!$B$7:$B$56,MATCH(N71,Meetings!$A$7:$A$56,0)),0)&lt;Setup!$B$9),"Missed at the last meeting. ","")&amp;IF(AND(ISNUMBER(R71),R71&lt;0),"Overdue "&amp;-R71&amp;IF(R71=-1," day. "," days. "),"")&amp;IF(O71&lt;&gt;"","Came back from "&amp;O71&amp;". ","")))))</f>
        <v/>
      </c>
      <c r="U71" s="59" t="str">
        <f t="shared" ref="U71:U106" si="5">IF(OR(E71="",S71="Closed",S71="Dropped",NOT(ISNUMBER(C71))),"",C71+ROW()/10000)</f>
        <v/>
      </c>
    </row>
    <row r="72" spans="1:21" ht="30" customHeight="1" x14ac:dyDescent="0.3">
      <c r="A72" s="51" t="s">
        <v>232</v>
      </c>
      <c r="B72" s="19"/>
      <c r="C72" s="52" t="str">
        <f>IF(B72="","",IFERROR(INDEX(Meetings!$B$7:$B$56,MATCH(B72,Meetings!$A$7:$A$56,0)),"?"))</f>
        <v/>
      </c>
      <c r="D72" s="19"/>
      <c r="E72" s="53"/>
      <c r="F72" s="19"/>
      <c r="G72" s="54"/>
      <c r="H72" s="53"/>
      <c r="I72" s="53"/>
      <c r="J72" s="19"/>
      <c r="K72" s="19"/>
      <c r="L72" s="54"/>
      <c r="M72" s="53"/>
      <c r="N72" s="19"/>
      <c r="O72" s="19"/>
      <c r="P72" s="53"/>
      <c r="Q72" s="55" t="str">
        <f>IF(OR(E72="",NOT(ISNUMBER(C72))),"",IF(S72="Closed",IF(L72="","",L72-C72),Setup!$B$7-C72))</f>
        <v/>
      </c>
      <c r="R72" s="56" t="str">
        <f>IF(OR(E72="",G72="",S72="Closed",S72="Dropped"),"",G72-Setup!$B$7)</f>
        <v/>
      </c>
      <c r="S72" s="57" t="str">
        <f t="shared" si="4"/>
        <v/>
      </c>
      <c r="T72" s="58" t="str">
        <f>IF(E72="","",IF(IF(E72="","",IF(S72="Dropped","Dropped"&amp;IF(P72="",": write why",""),IF(F72="","No owner. ",IF(COUNTIF(Setup!$D$20:$D$39,F72)&gt;0,"A department: belongs to nobody. ",""))&amp;IF(G72="","No date. ","")&amp;IF(H72="","No picture of done. ","")&amp;IF(S72="Can’t tell","No status: open or closed? ","")&amp;IF(AND(S72="Closed",OR(K72="",M72="")),"Closed with no "&amp;IF(K72="","name","")&amp;IF(AND(K72="",M72=""),", no ","")&amp;IF(M72="","evidence","")&amp;". ","")&amp;IF(AND(S72&lt;&gt;"Closed",ISNUMBER(C72),Setup!$B$9&lt;&gt;"",C72&lt;Setup!$B$9,IFERROR(INDEX(Meetings!$B$7:$B$56,MATCH(N72,Meetings!$A$7:$A$56,0)),0)&lt;Setup!$B$9),"Missed at the last meeting. ","")&amp;IF(AND(ISNUMBER(R72),R72&lt;0),"Overdue "&amp;-R72&amp;IF(R72=-1," day. "," days. "),"")&amp;IF(O72&lt;&gt;"","Came back from "&amp;O72&amp;". ","")))="","✔",IF(E72="","",IF(S72="Dropped","Dropped"&amp;IF(P72="",": write why",""),IF(F72="","No owner. ",IF(COUNTIF(Setup!$D$20:$D$39,F72)&gt;0,"A department: belongs to nobody. ",""))&amp;IF(G72="","No date. ","")&amp;IF(H72="","No picture of done. ","")&amp;IF(S72="Can’t tell","No status: open or closed? ","")&amp;IF(AND(S72="Closed",OR(K72="",M72="")),"Closed with no "&amp;IF(K72="","name","")&amp;IF(AND(K72="",M72=""),", no ","")&amp;IF(M72="","evidence","")&amp;". ","")&amp;IF(AND(S72&lt;&gt;"Closed",ISNUMBER(C72),Setup!$B$9&lt;&gt;"",C72&lt;Setup!$B$9,IFERROR(INDEX(Meetings!$B$7:$B$56,MATCH(N72,Meetings!$A$7:$A$56,0)),0)&lt;Setup!$B$9),"Missed at the last meeting. ","")&amp;IF(AND(ISNUMBER(R72),R72&lt;0),"Overdue "&amp;-R72&amp;IF(R72=-1," day. "," days. "),"")&amp;IF(O72&lt;&gt;"","Came back from "&amp;O72&amp;". ","")))))</f>
        <v/>
      </c>
      <c r="U72" s="59" t="str">
        <f t="shared" si="5"/>
        <v/>
      </c>
    </row>
    <row r="73" spans="1:21" ht="30" customHeight="1" x14ac:dyDescent="0.3">
      <c r="A73" s="51" t="s">
        <v>233</v>
      </c>
      <c r="B73" s="19"/>
      <c r="C73" s="52" t="str">
        <f>IF(B73="","",IFERROR(INDEX(Meetings!$B$7:$B$56,MATCH(B73,Meetings!$A$7:$A$56,0)),"?"))</f>
        <v/>
      </c>
      <c r="D73" s="19"/>
      <c r="E73" s="53"/>
      <c r="F73" s="19"/>
      <c r="G73" s="54"/>
      <c r="H73" s="53"/>
      <c r="I73" s="53"/>
      <c r="J73" s="19"/>
      <c r="K73" s="19"/>
      <c r="L73" s="54"/>
      <c r="M73" s="53"/>
      <c r="N73" s="19"/>
      <c r="O73" s="19"/>
      <c r="P73" s="53"/>
      <c r="Q73" s="55" t="str">
        <f>IF(OR(E73="",NOT(ISNUMBER(C73))),"",IF(S73="Closed",IF(L73="","",L73-C73),Setup!$B$7-C73))</f>
        <v/>
      </c>
      <c r="R73" s="56" t="str">
        <f>IF(OR(E73="",G73="",S73="Closed",S73="Dropped"),"",G73-Setup!$B$7)</f>
        <v/>
      </c>
      <c r="S73" s="57" t="str">
        <f t="shared" si="4"/>
        <v/>
      </c>
      <c r="T73" s="58" t="str">
        <f>IF(E73="","",IF(IF(E73="","",IF(S73="Dropped","Dropped"&amp;IF(P73="",": write why",""),IF(F73="","No owner. ",IF(COUNTIF(Setup!$D$20:$D$39,F73)&gt;0,"A department: belongs to nobody. ",""))&amp;IF(G73="","No date. ","")&amp;IF(H73="","No picture of done. ","")&amp;IF(S73="Can’t tell","No status: open or closed? ","")&amp;IF(AND(S73="Closed",OR(K73="",M73="")),"Closed with no "&amp;IF(K73="","name","")&amp;IF(AND(K73="",M73=""),", no ","")&amp;IF(M73="","evidence","")&amp;". ","")&amp;IF(AND(S73&lt;&gt;"Closed",ISNUMBER(C73),Setup!$B$9&lt;&gt;"",C73&lt;Setup!$B$9,IFERROR(INDEX(Meetings!$B$7:$B$56,MATCH(N73,Meetings!$A$7:$A$56,0)),0)&lt;Setup!$B$9),"Missed at the last meeting. ","")&amp;IF(AND(ISNUMBER(R73),R73&lt;0),"Overdue "&amp;-R73&amp;IF(R73=-1," day. "," days. "),"")&amp;IF(O73&lt;&gt;"","Came back from "&amp;O73&amp;". ","")))="","✔",IF(E73="","",IF(S73="Dropped","Dropped"&amp;IF(P73="",": write why",""),IF(F73="","No owner. ",IF(COUNTIF(Setup!$D$20:$D$39,F73)&gt;0,"A department: belongs to nobody. ",""))&amp;IF(G73="","No date. ","")&amp;IF(H73="","No picture of done. ","")&amp;IF(S73="Can’t tell","No status: open or closed? ","")&amp;IF(AND(S73="Closed",OR(K73="",M73="")),"Closed with no "&amp;IF(K73="","name","")&amp;IF(AND(K73="",M73=""),", no ","")&amp;IF(M73="","evidence","")&amp;". ","")&amp;IF(AND(S73&lt;&gt;"Closed",ISNUMBER(C73),Setup!$B$9&lt;&gt;"",C73&lt;Setup!$B$9,IFERROR(INDEX(Meetings!$B$7:$B$56,MATCH(N73,Meetings!$A$7:$A$56,0)),0)&lt;Setup!$B$9),"Missed at the last meeting. ","")&amp;IF(AND(ISNUMBER(R73),R73&lt;0),"Overdue "&amp;-R73&amp;IF(R73=-1," day. "," days. "),"")&amp;IF(O73&lt;&gt;"","Came back from "&amp;O73&amp;". ","")))))</f>
        <v/>
      </c>
      <c r="U73" s="59" t="str">
        <f t="shared" si="5"/>
        <v/>
      </c>
    </row>
    <row r="74" spans="1:21" ht="30" customHeight="1" x14ac:dyDescent="0.3">
      <c r="A74" s="51" t="s">
        <v>234</v>
      </c>
      <c r="B74" s="19"/>
      <c r="C74" s="52" t="str">
        <f>IF(B74="","",IFERROR(INDEX(Meetings!$B$7:$B$56,MATCH(B74,Meetings!$A$7:$A$56,0)),"?"))</f>
        <v/>
      </c>
      <c r="D74" s="19"/>
      <c r="E74" s="53"/>
      <c r="F74" s="19"/>
      <c r="G74" s="54"/>
      <c r="H74" s="53"/>
      <c r="I74" s="53"/>
      <c r="J74" s="19"/>
      <c r="K74" s="19"/>
      <c r="L74" s="54"/>
      <c r="M74" s="53"/>
      <c r="N74" s="19"/>
      <c r="O74" s="19"/>
      <c r="P74" s="53"/>
      <c r="Q74" s="55" t="str">
        <f>IF(OR(E74="",NOT(ISNUMBER(C74))),"",IF(S74="Closed",IF(L74="","",L74-C74),Setup!$B$7-C74))</f>
        <v/>
      </c>
      <c r="R74" s="56" t="str">
        <f>IF(OR(E74="",G74="",S74="Closed",S74="Dropped"),"",G74-Setup!$B$7)</f>
        <v/>
      </c>
      <c r="S74" s="57" t="str">
        <f t="shared" si="4"/>
        <v/>
      </c>
      <c r="T74" s="58" t="str">
        <f>IF(E74="","",IF(IF(E74="","",IF(S74="Dropped","Dropped"&amp;IF(P74="",": write why",""),IF(F74="","No owner. ",IF(COUNTIF(Setup!$D$20:$D$39,F74)&gt;0,"A department: belongs to nobody. ",""))&amp;IF(G74="","No date. ","")&amp;IF(H74="","No picture of done. ","")&amp;IF(S74="Can’t tell","No status: open or closed? ","")&amp;IF(AND(S74="Closed",OR(K74="",M74="")),"Closed with no "&amp;IF(K74="","name","")&amp;IF(AND(K74="",M74=""),", no ","")&amp;IF(M74="","evidence","")&amp;". ","")&amp;IF(AND(S74&lt;&gt;"Closed",ISNUMBER(C74),Setup!$B$9&lt;&gt;"",C74&lt;Setup!$B$9,IFERROR(INDEX(Meetings!$B$7:$B$56,MATCH(N74,Meetings!$A$7:$A$56,0)),0)&lt;Setup!$B$9),"Missed at the last meeting. ","")&amp;IF(AND(ISNUMBER(R74),R74&lt;0),"Overdue "&amp;-R74&amp;IF(R74=-1," day. "," days. "),"")&amp;IF(O74&lt;&gt;"","Came back from "&amp;O74&amp;". ","")))="","✔",IF(E74="","",IF(S74="Dropped","Dropped"&amp;IF(P74="",": write why",""),IF(F74="","No owner. ",IF(COUNTIF(Setup!$D$20:$D$39,F74)&gt;0,"A department: belongs to nobody. ",""))&amp;IF(G74="","No date. ","")&amp;IF(H74="","No picture of done. ","")&amp;IF(S74="Can’t tell","No status: open or closed? ","")&amp;IF(AND(S74="Closed",OR(K74="",M74="")),"Closed with no "&amp;IF(K74="","name","")&amp;IF(AND(K74="",M74=""),", no ","")&amp;IF(M74="","evidence","")&amp;". ","")&amp;IF(AND(S74&lt;&gt;"Closed",ISNUMBER(C74),Setup!$B$9&lt;&gt;"",C74&lt;Setup!$B$9,IFERROR(INDEX(Meetings!$B$7:$B$56,MATCH(N74,Meetings!$A$7:$A$56,0)),0)&lt;Setup!$B$9),"Missed at the last meeting. ","")&amp;IF(AND(ISNUMBER(R74),R74&lt;0),"Overdue "&amp;-R74&amp;IF(R74=-1," day. "," days. "),"")&amp;IF(O74&lt;&gt;"","Came back from "&amp;O74&amp;". ","")))))</f>
        <v/>
      </c>
      <c r="U74" s="59" t="str">
        <f t="shared" si="5"/>
        <v/>
      </c>
    </row>
    <row r="75" spans="1:21" ht="30" customHeight="1" x14ac:dyDescent="0.3">
      <c r="A75" s="51" t="s">
        <v>235</v>
      </c>
      <c r="B75" s="19"/>
      <c r="C75" s="52" t="str">
        <f>IF(B75="","",IFERROR(INDEX(Meetings!$B$7:$B$56,MATCH(B75,Meetings!$A$7:$A$56,0)),"?"))</f>
        <v/>
      </c>
      <c r="D75" s="19"/>
      <c r="E75" s="53"/>
      <c r="F75" s="19"/>
      <c r="G75" s="54"/>
      <c r="H75" s="53"/>
      <c r="I75" s="53"/>
      <c r="J75" s="19"/>
      <c r="K75" s="19"/>
      <c r="L75" s="54"/>
      <c r="M75" s="53"/>
      <c r="N75" s="19"/>
      <c r="O75" s="19"/>
      <c r="P75" s="53"/>
      <c r="Q75" s="55" t="str">
        <f>IF(OR(E75="",NOT(ISNUMBER(C75))),"",IF(S75="Closed",IF(L75="","",L75-C75),Setup!$B$7-C75))</f>
        <v/>
      </c>
      <c r="R75" s="56" t="str">
        <f>IF(OR(E75="",G75="",S75="Closed",S75="Dropped"),"",G75-Setup!$B$7)</f>
        <v/>
      </c>
      <c r="S75" s="57" t="str">
        <f t="shared" si="4"/>
        <v/>
      </c>
      <c r="T75" s="58" t="str">
        <f>IF(E75="","",IF(IF(E75="","",IF(S75="Dropped","Dropped"&amp;IF(P75="",": write why",""),IF(F75="","No owner. ",IF(COUNTIF(Setup!$D$20:$D$39,F75)&gt;0,"A department: belongs to nobody. ",""))&amp;IF(G75="","No date. ","")&amp;IF(H75="","No picture of done. ","")&amp;IF(S75="Can’t tell","No status: open or closed? ","")&amp;IF(AND(S75="Closed",OR(K75="",M75="")),"Closed with no "&amp;IF(K75="","name","")&amp;IF(AND(K75="",M75=""),", no ","")&amp;IF(M75="","evidence","")&amp;". ","")&amp;IF(AND(S75&lt;&gt;"Closed",ISNUMBER(C75),Setup!$B$9&lt;&gt;"",C75&lt;Setup!$B$9,IFERROR(INDEX(Meetings!$B$7:$B$56,MATCH(N75,Meetings!$A$7:$A$56,0)),0)&lt;Setup!$B$9),"Missed at the last meeting. ","")&amp;IF(AND(ISNUMBER(R75),R75&lt;0),"Overdue "&amp;-R75&amp;IF(R75=-1," day. "," days. "),"")&amp;IF(O75&lt;&gt;"","Came back from "&amp;O75&amp;". ","")))="","✔",IF(E75="","",IF(S75="Dropped","Dropped"&amp;IF(P75="",": write why",""),IF(F75="","No owner. ",IF(COUNTIF(Setup!$D$20:$D$39,F75)&gt;0,"A department: belongs to nobody. ",""))&amp;IF(G75="","No date. ","")&amp;IF(H75="","No picture of done. ","")&amp;IF(S75="Can’t tell","No status: open or closed? ","")&amp;IF(AND(S75="Closed",OR(K75="",M75="")),"Closed with no "&amp;IF(K75="","name","")&amp;IF(AND(K75="",M75=""),", no ","")&amp;IF(M75="","evidence","")&amp;". ","")&amp;IF(AND(S75&lt;&gt;"Closed",ISNUMBER(C75),Setup!$B$9&lt;&gt;"",C75&lt;Setup!$B$9,IFERROR(INDEX(Meetings!$B$7:$B$56,MATCH(N75,Meetings!$A$7:$A$56,0)),0)&lt;Setup!$B$9),"Missed at the last meeting. ","")&amp;IF(AND(ISNUMBER(R75),R75&lt;0),"Overdue "&amp;-R75&amp;IF(R75=-1," day. "," days. "),"")&amp;IF(O75&lt;&gt;"","Came back from "&amp;O75&amp;". ","")))))</f>
        <v/>
      </c>
      <c r="U75" s="59" t="str">
        <f t="shared" si="5"/>
        <v/>
      </c>
    </row>
    <row r="76" spans="1:21" ht="30" customHeight="1" x14ac:dyDescent="0.3">
      <c r="A76" s="51" t="s">
        <v>236</v>
      </c>
      <c r="B76" s="19"/>
      <c r="C76" s="52" t="str">
        <f>IF(B76="","",IFERROR(INDEX(Meetings!$B$7:$B$56,MATCH(B76,Meetings!$A$7:$A$56,0)),"?"))</f>
        <v/>
      </c>
      <c r="D76" s="19"/>
      <c r="E76" s="53"/>
      <c r="F76" s="19"/>
      <c r="G76" s="54"/>
      <c r="H76" s="53"/>
      <c r="I76" s="53"/>
      <c r="J76" s="19"/>
      <c r="K76" s="19"/>
      <c r="L76" s="54"/>
      <c r="M76" s="53"/>
      <c r="N76" s="19"/>
      <c r="O76" s="19"/>
      <c r="P76" s="53"/>
      <c r="Q76" s="55" t="str">
        <f>IF(OR(E76="",NOT(ISNUMBER(C76))),"",IF(S76="Closed",IF(L76="","",L76-C76),Setup!$B$7-C76))</f>
        <v/>
      </c>
      <c r="R76" s="56" t="str">
        <f>IF(OR(E76="",G76="",S76="Closed",S76="Dropped"),"",G76-Setup!$B$7)</f>
        <v/>
      </c>
      <c r="S76" s="57" t="str">
        <f t="shared" si="4"/>
        <v/>
      </c>
      <c r="T76" s="58" t="str">
        <f>IF(E76="","",IF(IF(E76="","",IF(S76="Dropped","Dropped"&amp;IF(P76="",": write why",""),IF(F76="","No owner. ",IF(COUNTIF(Setup!$D$20:$D$39,F76)&gt;0,"A department: belongs to nobody. ",""))&amp;IF(G76="","No date. ","")&amp;IF(H76="","No picture of done. ","")&amp;IF(S76="Can’t tell","No status: open or closed? ","")&amp;IF(AND(S76="Closed",OR(K76="",M76="")),"Closed with no "&amp;IF(K76="","name","")&amp;IF(AND(K76="",M76=""),", no ","")&amp;IF(M76="","evidence","")&amp;". ","")&amp;IF(AND(S76&lt;&gt;"Closed",ISNUMBER(C76),Setup!$B$9&lt;&gt;"",C76&lt;Setup!$B$9,IFERROR(INDEX(Meetings!$B$7:$B$56,MATCH(N76,Meetings!$A$7:$A$56,0)),0)&lt;Setup!$B$9),"Missed at the last meeting. ","")&amp;IF(AND(ISNUMBER(R76),R76&lt;0),"Overdue "&amp;-R76&amp;IF(R76=-1," day. "," days. "),"")&amp;IF(O76&lt;&gt;"","Came back from "&amp;O76&amp;". ","")))="","✔",IF(E76="","",IF(S76="Dropped","Dropped"&amp;IF(P76="",": write why",""),IF(F76="","No owner. ",IF(COUNTIF(Setup!$D$20:$D$39,F76)&gt;0,"A department: belongs to nobody. ",""))&amp;IF(G76="","No date. ","")&amp;IF(H76="","No picture of done. ","")&amp;IF(S76="Can’t tell","No status: open or closed? ","")&amp;IF(AND(S76="Closed",OR(K76="",M76="")),"Closed with no "&amp;IF(K76="","name","")&amp;IF(AND(K76="",M76=""),", no ","")&amp;IF(M76="","evidence","")&amp;". ","")&amp;IF(AND(S76&lt;&gt;"Closed",ISNUMBER(C76),Setup!$B$9&lt;&gt;"",C76&lt;Setup!$B$9,IFERROR(INDEX(Meetings!$B$7:$B$56,MATCH(N76,Meetings!$A$7:$A$56,0)),0)&lt;Setup!$B$9),"Missed at the last meeting. ","")&amp;IF(AND(ISNUMBER(R76),R76&lt;0),"Overdue "&amp;-R76&amp;IF(R76=-1," day. "," days. "),"")&amp;IF(O76&lt;&gt;"","Came back from "&amp;O76&amp;". ","")))))</f>
        <v/>
      </c>
      <c r="U76" s="59" t="str">
        <f t="shared" si="5"/>
        <v/>
      </c>
    </row>
    <row r="77" spans="1:21" ht="30" customHeight="1" x14ac:dyDescent="0.3">
      <c r="A77" s="51" t="s">
        <v>237</v>
      </c>
      <c r="B77" s="19"/>
      <c r="C77" s="52" t="str">
        <f>IF(B77="","",IFERROR(INDEX(Meetings!$B$7:$B$56,MATCH(B77,Meetings!$A$7:$A$56,0)),"?"))</f>
        <v/>
      </c>
      <c r="D77" s="19"/>
      <c r="E77" s="53"/>
      <c r="F77" s="19"/>
      <c r="G77" s="54"/>
      <c r="H77" s="53"/>
      <c r="I77" s="53"/>
      <c r="J77" s="19"/>
      <c r="K77" s="19"/>
      <c r="L77" s="54"/>
      <c r="M77" s="53"/>
      <c r="N77" s="19"/>
      <c r="O77" s="19"/>
      <c r="P77" s="53"/>
      <c r="Q77" s="55" t="str">
        <f>IF(OR(E77="",NOT(ISNUMBER(C77))),"",IF(S77="Closed",IF(L77="","",L77-C77),Setup!$B$7-C77))</f>
        <v/>
      </c>
      <c r="R77" s="56" t="str">
        <f>IF(OR(E77="",G77="",S77="Closed",S77="Dropped"),"",G77-Setup!$B$7)</f>
        <v/>
      </c>
      <c r="S77" s="57" t="str">
        <f t="shared" si="4"/>
        <v/>
      </c>
      <c r="T77" s="58" t="str">
        <f>IF(E77="","",IF(IF(E77="","",IF(S77="Dropped","Dropped"&amp;IF(P77="",": write why",""),IF(F77="","No owner. ",IF(COUNTIF(Setup!$D$20:$D$39,F77)&gt;0,"A department: belongs to nobody. ",""))&amp;IF(G77="","No date. ","")&amp;IF(H77="","No picture of done. ","")&amp;IF(S77="Can’t tell","No status: open or closed? ","")&amp;IF(AND(S77="Closed",OR(K77="",M77="")),"Closed with no "&amp;IF(K77="","name","")&amp;IF(AND(K77="",M77=""),", no ","")&amp;IF(M77="","evidence","")&amp;". ","")&amp;IF(AND(S77&lt;&gt;"Closed",ISNUMBER(C77),Setup!$B$9&lt;&gt;"",C77&lt;Setup!$B$9,IFERROR(INDEX(Meetings!$B$7:$B$56,MATCH(N77,Meetings!$A$7:$A$56,0)),0)&lt;Setup!$B$9),"Missed at the last meeting. ","")&amp;IF(AND(ISNUMBER(R77),R77&lt;0),"Overdue "&amp;-R77&amp;IF(R77=-1," day. "," days. "),"")&amp;IF(O77&lt;&gt;"","Came back from "&amp;O77&amp;". ","")))="","✔",IF(E77="","",IF(S77="Dropped","Dropped"&amp;IF(P77="",": write why",""),IF(F77="","No owner. ",IF(COUNTIF(Setup!$D$20:$D$39,F77)&gt;0,"A department: belongs to nobody. ",""))&amp;IF(G77="","No date. ","")&amp;IF(H77="","No picture of done. ","")&amp;IF(S77="Can’t tell","No status: open or closed? ","")&amp;IF(AND(S77="Closed",OR(K77="",M77="")),"Closed with no "&amp;IF(K77="","name","")&amp;IF(AND(K77="",M77=""),", no ","")&amp;IF(M77="","evidence","")&amp;". ","")&amp;IF(AND(S77&lt;&gt;"Closed",ISNUMBER(C77),Setup!$B$9&lt;&gt;"",C77&lt;Setup!$B$9,IFERROR(INDEX(Meetings!$B$7:$B$56,MATCH(N77,Meetings!$A$7:$A$56,0)),0)&lt;Setup!$B$9),"Missed at the last meeting. ","")&amp;IF(AND(ISNUMBER(R77),R77&lt;0),"Overdue "&amp;-R77&amp;IF(R77=-1," day. "," days. "),"")&amp;IF(O77&lt;&gt;"","Came back from "&amp;O77&amp;". ","")))))</f>
        <v/>
      </c>
      <c r="U77" s="59" t="str">
        <f t="shared" si="5"/>
        <v/>
      </c>
    </row>
    <row r="78" spans="1:21" ht="30" customHeight="1" x14ac:dyDescent="0.3">
      <c r="A78" s="51" t="s">
        <v>238</v>
      </c>
      <c r="B78" s="19"/>
      <c r="C78" s="52" t="str">
        <f>IF(B78="","",IFERROR(INDEX(Meetings!$B$7:$B$56,MATCH(B78,Meetings!$A$7:$A$56,0)),"?"))</f>
        <v/>
      </c>
      <c r="D78" s="19"/>
      <c r="E78" s="53"/>
      <c r="F78" s="19"/>
      <c r="G78" s="54"/>
      <c r="H78" s="53"/>
      <c r="I78" s="53"/>
      <c r="J78" s="19"/>
      <c r="K78" s="19"/>
      <c r="L78" s="54"/>
      <c r="M78" s="53"/>
      <c r="N78" s="19"/>
      <c r="O78" s="19"/>
      <c r="P78" s="53"/>
      <c r="Q78" s="55" t="str">
        <f>IF(OR(E78="",NOT(ISNUMBER(C78))),"",IF(S78="Closed",IF(L78="","",L78-C78),Setup!$B$7-C78))</f>
        <v/>
      </c>
      <c r="R78" s="56" t="str">
        <f>IF(OR(E78="",G78="",S78="Closed",S78="Dropped"),"",G78-Setup!$B$7)</f>
        <v/>
      </c>
      <c r="S78" s="57" t="str">
        <f t="shared" si="4"/>
        <v/>
      </c>
      <c r="T78" s="58" t="str">
        <f>IF(E78="","",IF(IF(E78="","",IF(S78="Dropped","Dropped"&amp;IF(P78="",": write why",""),IF(F78="","No owner. ",IF(COUNTIF(Setup!$D$20:$D$39,F78)&gt;0,"A department: belongs to nobody. ",""))&amp;IF(G78="","No date. ","")&amp;IF(H78="","No picture of done. ","")&amp;IF(S78="Can’t tell","No status: open or closed? ","")&amp;IF(AND(S78="Closed",OR(K78="",M78="")),"Closed with no "&amp;IF(K78="","name","")&amp;IF(AND(K78="",M78=""),", no ","")&amp;IF(M78="","evidence","")&amp;". ","")&amp;IF(AND(S78&lt;&gt;"Closed",ISNUMBER(C78),Setup!$B$9&lt;&gt;"",C78&lt;Setup!$B$9,IFERROR(INDEX(Meetings!$B$7:$B$56,MATCH(N78,Meetings!$A$7:$A$56,0)),0)&lt;Setup!$B$9),"Missed at the last meeting. ","")&amp;IF(AND(ISNUMBER(R78),R78&lt;0),"Overdue "&amp;-R78&amp;IF(R78=-1," day. "," days. "),"")&amp;IF(O78&lt;&gt;"","Came back from "&amp;O78&amp;". ","")))="","✔",IF(E78="","",IF(S78="Dropped","Dropped"&amp;IF(P78="",": write why",""),IF(F78="","No owner. ",IF(COUNTIF(Setup!$D$20:$D$39,F78)&gt;0,"A department: belongs to nobody. ",""))&amp;IF(G78="","No date. ","")&amp;IF(H78="","No picture of done. ","")&amp;IF(S78="Can’t tell","No status: open or closed? ","")&amp;IF(AND(S78="Closed",OR(K78="",M78="")),"Closed with no "&amp;IF(K78="","name","")&amp;IF(AND(K78="",M78=""),", no ","")&amp;IF(M78="","evidence","")&amp;". ","")&amp;IF(AND(S78&lt;&gt;"Closed",ISNUMBER(C78),Setup!$B$9&lt;&gt;"",C78&lt;Setup!$B$9,IFERROR(INDEX(Meetings!$B$7:$B$56,MATCH(N78,Meetings!$A$7:$A$56,0)),0)&lt;Setup!$B$9),"Missed at the last meeting. ","")&amp;IF(AND(ISNUMBER(R78),R78&lt;0),"Overdue "&amp;-R78&amp;IF(R78=-1," day. "," days. "),"")&amp;IF(O78&lt;&gt;"","Came back from "&amp;O78&amp;". ","")))))</f>
        <v/>
      </c>
      <c r="U78" s="59" t="str">
        <f t="shared" si="5"/>
        <v/>
      </c>
    </row>
    <row r="79" spans="1:21" ht="30" customHeight="1" x14ac:dyDescent="0.3">
      <c r="A79" s="51" t="s">
        <v>239</v>
      </c>
      <c r="B79" s="19"/>
      <c r="C79" s="52" t="str">
        <f>IF(B79="","",IFERROR(INDEX(Meetings!$B$7:$B$56,MATCH(B79,Meetings!$A$7:$A$56,0)),"?"))</f>
        <v/>
      </c>
      <c r="D79" s="19"/>
      <c r="E79" s="53"/>
      <c r="F79" s="19"/>
      <c r="G79" s="54"/>
      <c r="H79" s="53"/>
      <c r="I79" s="53"/>
      <c r="J79" s="19"/>
      <c r="K79" s="19"/>
      <c r="L79" s="54"/>
      <c r="M79" s="53"/>
      <c r="N79" s="19"/>
      <c r="O79" s="19"/>
      <c r="P79" s="53"/>
      <c r="Q79" s="55" t="str">
        <f>IF(OR(E79="",NOT(ISNUMBER(C79))),"",IF(S79="Closed",IF(L79="","",L79-C79),Setup!$B$7-C79))</f>
        <v/>
      </c>
      <c r="R79" s="56" t="str">
        <f>IF(OR(E79="",G79="",S79="Closed",S79="Dropped"),"",G79-Setup!$B$7)</f>
        <v/>
      </c>
      <c r="S79" s="57" t="str">
        <f t="shared" si="4"/>
        <v/>
      </c>
      <c r="T79" s="58" t="str">
        <f>IF(E79="","",IF(IF(E79="","",IF(S79="Dropped","Dropped"&amp;IF(P79="",": write why",""),IF(F79="","No owner. ",IF(COUNTIF(Setup!$D$20:$D$39,F79)&gt;0,"A department: belongs to nobody. ",""))&amp;IF(G79="","No date. ","")&amp;IF(H79="","No picture of done. ","")&amp;IF(S79="Can’t tell","No status: open or closed? ","")&amp;IF(AND(S79="Closed",OR(K79="",M79="")),"Closed with no "&amp;IF(K79="","name","")&amp;IF(AND(K79="",M79=""),", no ","")&amp;IF(M79="","evidence","")&amp;". ","")&amp;IF(AND(S79&lt;&gt;"Closed",ISNUMBER(C79),Setup!$B$9&lt;&gt;"",C79&lt;Setup!$B$9,IFERROR(INDEX(Meetings!$B$7:$B$56,MATCH(N79,Meetings!$A$7:$A$56,0)),0)&lt;Setup!$B$9),"Missed at the last meeting. ","")&amp;IF(AND(ISNUMBER(R79),R79&lt;0),"Overdue "&amp;-R79&amp;IF(R79=-1," day. "," days. "),"")&amp;IF(O79&lt;&gt;"","Came back from "&amp;O79&amp;". ","")))="","✔",IF(E79="","",IF(S79="Dropped","Dropped"&amp;IF(P79="",": write why",""),IF(F79="","No owner. ",IF(COUNTIF(Setup!$D$20:$D$39,F79)&gt;0,"A department: belongs to nobody. ",""))&amp;IF(G79="","No date. ","")&amp;IF(H79="","No picture of done. ","")&amp;IF(S79="Can’t tell","No status: open or closed? ","")&amp;IF(AND(S79="Closed",OR(K79="",M79="")),"Closed with no "&amp;IF(K79="","name","")&amp;IF(AND(K79="",M79=""),", no ","")&amp;IF(M79="","evidence","")&amp;". ","")&amp;IF(AND(S79&lt;&gt;"Closed",ISNUMBER(C79),Setup!$B$9&lt;&gt;"",C79&lt;Setup!$B$9,IFERROR(INDEX(Meetings!$B$7:$B$56,MATCH(N79,Meetings!$A$7:$A$56,0)),0)&lt;Setup!$B$9),"Missed at the last meeting. ","")&amp;IF(AND(ISNUMBER(R79),R79&lt;0),"Overdue "&amp;-R79&amp;IF(R79=-1," day. "," days. "),"")&amp;IF(O79&lt;&gt;"","Came back from "&amp;O79&amp;". ","")))))</f>
        <v/>
      </c>
      <c r="U79" s="59" t="str">
        <f t="shared" si="5"/>
        <v/>
      </c>
    </row>
    <row r="80" spans="1:21" ht="30" customHeight="1" x14ac:dyDescent="0.3">
      <c r="A80" s="51" t="s">
        <v>240</v>
      </c>
      <c r="B80" s="19"/>
      <c r="C80" s="52" t="str">
        <f>IF(B80="","",IFERROR(INDEX(Meetings!$B$7:$B$56,MATCH(B80,Meetings!$A$7:$A$56,0)),"?"))</f>
        <v/>
      </c>
      <c r="D80" s="19"/>
      <c r="E80" s="53"/>
      <c r="F80" s="19"/>
      <c r="G80" s="54"/>
      <c r="H80" s="53"/>
      <c r="I80" s="53"/>
      <c r="J80" s="19"/>
      <c r="K80" s="19"/>
      <c r="L80" s="54"/>
      <c r="M80" s="53"/>
      <c r="N80" s="19"/>
      <c r="O80" s="19"/>
      <c r="P80" s="53"/>
      <c r="Q80" s="55" t="str">
        <f>IF(OR(E80="",NOT(ISNUMBER(C80))),"",IF(S80="Closed",IF(L80="","",L80-C80),Setup!$B$7-C80))</f>
        <v/>
      </c>
      <c r="R80" s="56" t="str">
        <f>IF(OR(E80="",G80="",S80="Closed",S80="Dropped"),"",G80-Setup!$B$7)</f>
        <v/>
      </c>
      <c r="S80" s="57" t="str">
        <f t="shared" si="4"/>
        <v/>
      </c>
      <c r="T80" s="58" t="str">
        <f>IF(E80="","",IF(IF(E80="","",IF(S80="Dropped","Dropped"&amp;IF(P80="",": write why",""),IF(F80="","No owner. ",IF(COUNTIF(Setup!$D$20:$D$39,F80)&gt;0,"A department: belongs to nobody. ",""))&amp;IF(G80="","No date. ","")&amp;IF(H80="","No picture of done. ","")&amp;IF(S80="Can’t tell","No status: open or closed? ","")&amp;IF(AND(S80="Closed",OR(K80="",M80="")),"Closed with no "&amp;IF(K80="","name","")&amp;IF(AND(K80="",M80=""),", no ","")&amp;IF(M80="","evidence","")&amp;". ","")&amp;IF(AND(S80&lt;&gt;"Closed",ISNUMBER(C80),Setup!$B$9&lt;&gt;"",C80&lt;Setup!$B$9,IFERROR(INDEX(Meetings!$B$7:$B$56,MATCH(N80,Meetings!$A$7:$A$56,0)),0)&lt;Setup!$B$9),"Missed at the last meeting. ","")&amp;IF(AND(ISNUMBER(R80),R80&lt;0),"Overdue "&amp;-R80&amp;IF(R80=-1," day. "," days. "),"")&amp;IF(O80&lt;&gt;"","Came back from "&amp;O80&amp;". ","")))="","✔",IF(E80="","",IF(S80="Dropped","Dropped"&amp;IF(P80="",": write why",""),IF(F80="","No owner. ",IF(COUNTIF(Setup!$D$20:$D$39,F80)&gt;0,"A department: belongs to nobody. ",""))&amp;IF(G80="","No date. ","")&amp;IF(H80="","No picture of done. ","")&amp;IF(S80="Can’t tell","No status: open or closed? ","")&amp;IF(AND(S80="Closed",OR(K80="",M80="")),"Closed with no "&amp;IF(K80="","name","")&amp;IF(AND(K80="",M80=""),", no ","")&amp;IF(M80="","evidence","")&amp;". ","")&amp;IF(AND(S80&lt;&gt;"Closed",ISNUMBER(C80),Setup!$B$9&lt;&gt;"",C80&lt;Setup!$B$9,IFERROR(INDEX(Meetings!$B$7:$B$56,MATCH(N80,Meetings!$A$7:$A$56,0)),0)&lt;Setup!$B$9),"Missed at the last meeting. ","")&amp;IF(AND(ISNUMBER(R80),R80&lt;0),"Overdue "&amp;-R80&amp;IF(R80=-1," day. "," days. "),"")&amp;IF(O80&lt;&gt;"","Came back from "&amp;O80&amp;". ","")))))</f>
        <v/>
      </c>
      <c r="U80" s="59" t="str">
        <f t="shared" si="5"/>
        <v/>
      </c>
    </row>
    <row r="81" spans="1:21" ht="30" customHeight="1" x14ac:dyDescent="0.3">
      <c r="A81" s="51" t="s">
        <v>241</v>
      </c>
      <c r="B81" s="19"/>
      <c r="C81" s="52" t="str">
        <f>IF(B81="","",IFERROR(INDEX(Meetings!$B$7:$B$56,MATCH(B81,Meetings!$A$7:$A$56,0)),"?"))</f>
        <v/>
      </c>
      <c r="D81" s="19"/>
      <c r="E81" s="53"/>
      <c r="F81" s="19"/>
      <c r="G81" s="54"/>
      <c r="H81" s="53"/>
      <c r="I81" s="53"/>
      <c r="J81" s="19"/>
      <c r="K81" s="19"/>
      <c r="L81" s="54"/>
      <c r="M81" s="53"/>
      <c r="N81" s="19"/>
      <c r="O81" s="19"/>
      <c r="P81" s="53"/>
      <c r="Q81" s="55" t="str">
        <f>IF(OR(E81="",NOT(ISNUMBER(C81))),"",IF(S81="Closed",IF(L81="","",L81-C81),Setup!$B$7-C81))</f>
        <v/>
      </c>
      <c r="R81" s="56" t="str">
        <f>IF(OR(E81="",G81="",S81="Closed",S81="Dropped"),"",G81-Setup!$B$7)</f>
        <v/>
      </c>
      <c r="S81" s="57" t="str">
        <f t="shared" si="4"/>
        <v/>
      </c>
      <c r="T81" s="58" t="str">
        <f>IF(E81="","",IF(IF(E81="","",IF(S81="Dropped","Dropped"&amp;IF(P81="",": write why",""),IF(F81="","No owner. ",IF(COUNTIF(Setup!$D$20:$D$39,F81)&gt;0,"A department: belongs to nobody. ",""))&amp;IF(G81="","No date. ","")&amp;IF(H81="","No picture of done. ","")&amp;IF(S81="Can’t tell","No status: open or closed? ","")&amp;IF(AND(S81="Closed",OR(K81="",M81="")),"Closed with no "&amp;IF(K81="","name","")&amp;IF(AND(K81="",M81=""),", no ","")&amp;IF(M81="","evidence","")&amp;". ","")&amp;IF(AND(S81&lt;&gt;"Closed",ISNUMBER(C81),Setup!$B$9&lt;&gt;"",C81&lt;Setup!$B$9,IFERROR(INDEX(Meetings!$B$7:$B$56,MATCH(N81,Meetings!$A$7:$A$56,0)),0)&lt;Setup!$B$9),"Missed at the last meeting. ","")&amp;IF(AND(ISNUMBER(R81),R81&lt;0),"Overdue "&amp;-R81&amp;IF(R81=-1," day. "," days. "),"")&amp;IF(O81&lt;&gt;"","Came back from "&amp;O81&amp;". ","")))="","✔",IF(E81="","",IF(S81="Dropped","Dropped"&amp;IF(P81="",": write why",""),IF(F81="","No owner. ",IF(COUNTIF(Setup!$D$20:$D$39,F81)&gt;0,"A department: belongs to nobody. ",""))&amp;IF(G81="","No date. ","")&amp;IF(H81="","No picture of done. ","")&amp;IF(S81="Can’t tell","No status: open or closed? ","")&amp;IF(AND(S81="Closed",OR(K81="",M81="")),"Closed with no "&amp;IF(K81="","name","")&amp;IF(AND(K81="",M81=""),", no ","")&amp;IF(M81="","evidence","")&amp;". ","")&amp;IF(AND(S81&lt;&gt;"Closed",ISNUMBER(C81),Setup!$B$9&lt;&gt;"",C81&lt;Setup!$B$9,IFERROR(INDEX(Meetings!$B$7:$B$56,MATCH(N81,Meetings!$A$7:$A$56,0)),0)&lt;Setup!$B$9),"Missed at the last meeting. ","")&amp;IF(AND(ISNUMBER(R81),R81&lt;0),"Overdue "&amp;-R81&amp;IF(R81=-1," day. "," days. "),"")&amp;IF(O81&lt;&gt;"","Came back from "&amp;O81&amp;". ","")))))</f>
        <v/>
      </c>
      <c r="U81" s="59" t="str">
        <f t="shared" si="5"/>
        <v/>
      </c>
    </row>
    <row r="82" spans="1:21" ht="30" customHeight="1" x14ac:dyDescent="0.3">
      <c r="A82" s="51" t="s">
        <v>242</v>
      </c>
      <c r="B82" s="19"/>
      <c r="C82" s="52" t="str">
        <f>IF(B82="","",IFERROR(INDEX(Meetings!$B$7:$B$56,MATCH(B82,Meetings!$A$7:$A$56,0)),"?"))</f>
        <v/>
      </c>
      <c r="D82" s="19"/>
      <c r="E82" s="53"/>
      <c r="F82" s="19"/>
      <c r="G82" s="54"/>
      <c r="H82" s="53"/>
      <c r="I82" s="53"/>
      <c r="J82" s="19"/>
      <c r="K82" s="19"/>
      <c r="L82" s="54"/>
      <c r="M82" s="53"/>
      <c r="N82" s="19"/>
      <c r="O82" s="19"/>
      <c r="P82" s="53"/>
      <c r="Q82" s="55" t="str">
        <f>IF(OR(E82="",NOT(ISNUMBER(C82))),"",IF(S82="Closed",IF(L82="","",L82-C82),Setup!$B$7-C82))</f>
        <v/>
      </c>
      <c r="R82" s="56" t="str">
        <f>IF(OR(E82="",G82="",S82="Closed",S82="Dropped"),"",G82-Setup!$B$7)</f>
        <v/>
      </c>
      <c r="S82" s="57" t="str">
        <f t="shared" si="4"/>
        <v/>
      </c>
      <c r="T82" s="58" t="str">
        <f>IF(E82="","",IF(IF(E82="","",IF(S82="Dropped","Dropped"&amp;IF(P82="",": write why",""),IF(F82="","No owner. ",IF(COUNTIF(Setup!$D$20:$D$39,F82)&gt;0,"A department: belongs to nobody. ",""))&amp;IF(G82="","No date. ","")&amp;IF(H82="","No picture of done. ","")&amp;IF(S82="Can’t tell","No status: open or closed? ","")&amp;IF(AND(S82="Closed",OR(K82="",M82="")),"Closed with no "&amp;IF(K82="","name","")&amp;IF(AND(K82="",M82=""),", no ","")&amp;IF(M82="","evidence","")&amp;". ","")&amp;IF(AND(S82&lt;&gt;"Closed",ISNUMBER(C82),Setup!$B$9&lt;&gt;"",C82&lt;Setup!$B$9,IFERROR(INDEX(Meetings!$B$7:$B$56,MATCH(N82,Meetings!$A$7:$A$56,0)),0)&lt;Setup!$B$9),"Missed at the last meeting. ","")&amp;IF(AND(ISNUMBER(R82),R82&lt;0),"Overdue "&amp;-R82&amp;IF(R82=-1," day. "," days. "),"")&amp;IF(O82&lt;&gt;"","Came back from "&amp;O82&amp;". ","")))="","✔",IF(E82="","",IF(S82="Dropped","Dropped"&amp;IF(P82="",": write why",""),IF(F82="","No owner. ",IF(COUNTIF(Setup!$D$20:$D$39,F82)&gt;0,"A department: belongs to nobody. ",""))&amp;IF(G82="","No date. ","")&amp;IF(H82="","No picture of done. ","")&amp;IF(S82="Can’t tell","No status: open or closed? ","")&amp;IF(AND(S82="Closed",OR(K82="",M82="")),"Closed with no "&amp;IF(K82="","name","")&amp;IF(AND(K82="",M82=""),", no ","")&amp;IF(M82="","evidence","")&amp;". ","")&amp;IF(AND(S82&lt;&gt;"Closed",ISNUMBER(C82),Setup!$B$9&lt;&gt;"",C82&lt;Setup!$B$9,IFERROR(INDEX(Meetings!$B$7:$B$56,MATCH(N82,Meetings!$A$7:$A$56,0)),0)&lt;Setup!$B$9),"Missed at the last meeting. ","")&amp;IF(AND(ISNUMBER(R82),R82&lt;0),"Overdue "&amp;-R82&amp;IF(R82=-1," day. "," days. "),"")&amp;IF(O82&lt;&gt;"","Came back from "&amp;O82&amp;". ","")))))</f>
        <v/>
      </c>
      <c r="U82" s="59" t="str">
        <f t="shared" si="5"/>
        <v/>
      </c>
    </row>
    <row r="83" spans="1:21" ht="30" customHeight="1" x14ac:dyDescent="0.3">
      <c r="A83" s="51" t="s">
        <v>243</v>
      </c>
      <c r="B83" s="19"/>
      <c r="C83" s="52" t="str">
        <f>IF(B83="","",IFERROR(INDEX(Meetings!$B$7:$B$56,MATCH(B83,Meetings!$A$7:$A$56,0)),"?"))</f>
        <v/>
      </c>
      <c r="D83" s="19"/>
      <c r="E83" s="53"/>
      <c r="F83" s="19"/>
      <c r="G83" s="54"/>
      <c r="H83" s="53"/>
      <c r="I83" s="53"/>
      <c r="J83" s="19"/>
      <c r="K83" s="19"/>
      <c r="L83" s="54"/>
      <c r="M83" s="53"/>
      <c r="N83" s="19"/>
      <c r="O83" s="19"/>
      <c r="P83" s="53"/>
      <c r="Q83" s="55" t="str">
        <f>IF(OR(E83="",NOT(ISNUMBER(C83))),"",IF(S83="Closed",IF(L83="","",L83-C83),Setup!$B$7-C83))</f>
        <v/>
      </c>
      <c r="R83" s="56" t="str">
        <f>IF(OR(E83="",G83="",S83="Closed",S83="Dropped"),"",G83-Setup!$B$7)</f>
        <v/>
      </c>
      <c r="S83" s="57" t="str">
        <f t="shared" si="4"/>
        <v/>
      </c>
      <c r="T83" s="58" t="str">
        <f>IF(E83="","",IF(IF(E83="","",IF(S83="Dropped","Dropped"&amp;IF(P83="",": write why",""),IF(F83="","No owner. ",IF(COUNTIF(Setup!$D$20:$D$39,F83)&gt;0,"A department: belongs to nobody. ",""))&amp;IF(G83="","No date. ","")&amp;IF(H83="","No picture of done. ","")&amp;IF(S83="Can’t tell","No status: open or closed? ","")&amp;IF(AND(S83="Closed",OR(K83="",M83="")),"Closed with no "&amp;IF(K83="","name","")&amp;IF(AND(K83="",M83=""),", no ","")&amp;IF(M83="","evidence","")&amp;". ","")&amp;IF(AND(S83&lt;&gt;"Closed",ISNUMBER(C83),Setup!$B$9&lt;&gt;"",C83&lt;Setup!$B$9,IFERROR(INDEX(Meetings!$B$7:$B$56,MATCH(N83,Meetings!$A$7:$A$56,0)),0)&lt;Setup!$B$9),"Missed at the last meeting. ","")&amp;IF(AND(ISNUMBER(R83),R83&lt;0),"Overdue "&amp;-R83&amp;IF(R83=-1," day. "," days. "),"")&amp;IF(O83&lt;&gt;"","Came back from "&amp;O83&amp;". ","")))="","✔",IF(E83="","",IF(S83="Dropped","Dropped"&amp;IF(P83="",": write why",""),IF(F83="","No owner. ",IF(COUNTIF(Setup!$D$20:$D$39,F83)&gt;0,"A department: belongs to nobody. ",""))&amp;IF(G83="","No date. ","")&amp;IF(H83="","No picture of done. ","")&amp;IF(S83="Can’t tell","No status: open or closed? ","")&amp;IF(AND(S83="Closed",OR(K83="",M83="")),"Closed with no "&amp;IF(K83="","name","")&amp;IF(AND(K83="",M83=""),", no ","")&amp;IF(M83="","evidence","")&amp;". ","")&amp;IF(AND(S83&lt;&gt;"Closed",ISNUMBER(C83),Setup!$B$9&lt;&gt;"",C83&lt;Setup!$B$9,IFERROR(INDEX(Meetings!$B$7:$B$56,MATCH(N83,Meetings!$A$7:$A$56,0)),0)&lt;Setup!$B$9),"Missed at the last meeting. ","")&amp;IF(AND(ISNUMBER(R83),R83&lt;0),"Overdue "&amp;-R83&amp;IF(R83=-1," day. "," days. "),"")&amp;IF(O83&lt;&gt;"","Came back from "&amp;O83&amp;". ","")))))</f>
        <v/>
      </c>
      <c r="U83" s="59" t="str">
        <f t="shared" si="5"/>
        <v/>
      </c>
    </row>
    <row r="84" spans="1:21" ht="30" customHeight="1" x14ac:dyDescent="0.3">
      <c r="A84" s="51" t="s">
        <v>244</v>
      </c>
      <c r="B84" s="19"/>
      <c r="C84" s="52" t="str">
        <f>IF(B84="","",IFERROR(INDEX(Meetings!$B$7:$B$56,MATCH(B84,Meetings!$A$7:$A$56,0)),"?"))</f>
        <v/>
      </c>
      <c r="D84" s="19"/>
      <c r="E84" s="53"/>
      <c r="F84" s="19"/>
      <c r="G84" s="54"/>
      <c r="H84" s="53"/>
      <c r="I84" s="53"/>
      <c r="J84" s="19"/>
      <c r="K84" s="19"/>
      <c r="L84" s="54"/>
      <c r="M84" s="53"/>
      <c r="N84" s="19"/>
      <c r="O84" s="19"/>
      <c r="P84" s="53"/>
      <c r="Q84" s="55" t="str">
        <f>IF(OR(E84="",NOT(ISNUMBER(C84))),"",IF(S84="Closed",IF(L84="","",L84-C84),Setup!$B$7-C84))</f>
        <v/>
      </c>
      <c r="R84" s="56" t="str">
        <f>IF(OR(E84="",G84="",S84="Closed",S84="Dropped"),"",G84-Setup!$B$7)</f>
        <v/>
      </c>
      <c r="S84" s="57" t="str">
        <f t="shared" si="4"/>
        <v/>
      </c>
      <c r="T84" s="58" t="str">
        <f>IF(E84="","",IF(IF(E84="","",IF(S84="Dropped","Dropped"&amp;IF(P84="",": write why",""),IF(F84="","No owner. ",IF(COUNTIF(Setup!$D$20:$D$39,F84)&gt;0,"A department: belongs to nobody. ",""))&amp;IF(G84="","No date. ","")&amp;IF(H84="","No picture of done. ","")&amp;IF(S84="Can’t tell","No status: open or closed? ","")&amp;IF(AND(S84="Closed",OR(K84="",M84="")),"Closed with no "&amp;IF(K84="","name","")&amp;IF(AND(K84="",M84=""),", no ","")&amp;IF(M84="","evidence","")&amp;". ","")&amp;IF(AND(S84&lt;&gt;"Closed",ISNUMBER(C84),Setup!$B$9&lt;&gt;"",C84&lt;Setup!$B$9,IFERROR(INDEX(Meetings!$B$7:$B$56,MATCH(N84,Meetings!$A$7:$A$56,0)),0)&lt;Setup!$B$9),"Missed at the last meeting. ","")&amp;IF(AND(ISNUMBER(R84),R84&lt;0),"Overdue "&amp;-R84&amp;IF(R84=-1," day. "," days. "),"")&amp;IF(O84&lt;&gt;"","Came back from "&amp;O84&amp;". ","")))="","✔",IF(E84="","",IF(S84="Dropped","Dropped"&amp;IF(P84="",": write why",""),IF(F84="","No owner. ",IF(COUNTIF(Setup!$D$20:$D$39,F84)&gt;0,"A department: belongs to nobody. ",""))&amp;IF(G84="","No date. ","")&amp;IF(H84="","No picture of done. ","")&amp;IF(S84="Can’t tell","No status: open or closed? ","")&amp;IF(AND(S84="Closed",OR(K84="",M84="")),"Closed with no "&amp;IF(K84="","name","")&amp;IF(AND(K84="",M84=""),", no ","")&amp;IF(M84="","evidence","")&amp;". ","")&amp;IF(AND(S84&lt;&gt;"Closed",ISNUMBER(C84),Setup!$B$9&lt;&gt;"",C84&lt;Setup!$B$9,IFERROR(INDEX(Meetings!$B$7:$B$56,MATCH(N84,Meetings!$A$7:$A$56,0)),0)&lt;Setup!$B$9),"Missed at the last meeting. ","")&amp;IF(AND(ISNUMBER(R84),R84&lt;0),"Overdue "&amp;-R84&amp;IF(R84=-1," day. "," days. "),"")&amp;IF(O84&lt;&gt;"","Came back from "&amp;O84&amp;". ","")))))</f>
        <v/>
      </c>
      <c r="U84" s="59" t="str">
        <f t="shared" si="5"/>
        <v/>
      </c>
    </row>
    <row r="85" spans="1:21" ht="30" customHeight="1" x14ac:dyDescent="0.3">
      <c r="A85" s="51" t="s">
        <v>245</v>
      </c>
      <c r="B85" s="19"/>
      <c r="C85" s="52" t="str">
        <f>IF(B85="","",IFERROR(INDEX(Meetings!$B$7:$B$56,MATCH(B85,Meetings!$A$7:$A$56,0)),"?"))</f>
        <v/>
      </c>
      <c r="D85" s="19"/>
      <c r="E85" s="53"/>
      <c r="F85" s="19"/>
      <c r="G85" s="54"/>
      <c r="H85" s="53"/>
      <c r="I85" s="53"/>
      <c r="J85" s="19"/>
      <c r="K85" s="19"/>
      <c r="L85" s="54"/>
      <c r="M85" s="53"/>
      <c r="N85" s="19"/>
      <c r="O85" s="19"/>
      <c r="P85" s="53"/>
      <c r="Q85" s="55" t="str">
        <f>IF(OR(E85="",NOT(ISNUMBER(C85))),"",IF(S85="Closed",IF(L85="","",L85-C85),Setup!$B$7-C85))</f>
        <v/>
      </c>
      <c r="R85" s="56" t="str">
        <f>IF(OR(E85="",G85="",S85="Closed",S85="Dropped"),"",G85-Setup!$B$7)</f>
        <v/>
      </c>
      <c r="S85" s="57" t="str">
        <f t="shared" si="4"/>
        <v/>
      </c>
      <c r="T85" s="58" t="str">
        <f>IF(E85="","",IF(IF(E85="","",IF(S85="Dropped","Dropped"&amp;IF(P85="",": write why",""),IF(F85="","No owner. ",IF(COUNTIF(Setup!$D$20:$D$39,F85)&gt;0,"A department: belongs to nobody. ",""))&amp;IF(G85="","No date. ","")&amp;IF(H85="","No picture of done. ","")&amp;IF(S85="Can’t tell","No status: open or closed? ","")&amp;IF(AND(S85="Closed",OR(K85="",M85="")),"Closed with no "&amp;IF(K85="","name","")&amp;IF(AND(K85="",M85=""),", no ","")&amp;IF(M85="","evidence","")&amp;". ","")&amp;IF(AND(S85&lt;&gt;"Closed",ISNUMBER(C85),Setup!$B$9&lt;&gt;"",C85&lt;Setup!$B$9,IFERROR(INDEX(Meetings!$B$7:$B$56,MATCH(N85,Meetings!$A$7:$A$56,0)),0)&lt;Setup!$B$9),"Missed at the last meeting. ","")&amp;IF(AND(ISNUMBER(R85),R85&lt;0),"Overdue "&amp;-R85&amp;IF(R85=-1," day. "," days. "),"")&amp;IF(O85&lt;&gt;"","Came back from "&amp;O85&amp;". ","")))="","✔",IF(E85="","",IF(S85="Dropped","Dropped"&amp;IF(P85="",": write why",""),IF(F85="","No owner. ",IF(COUNTIF(Setup!$D$20:$D$39,F85)&gt;0,"A department: belongs to nobody. ",""))&amp;IF(G85="","No date. ","")&amp;IF(H85="","No picture of done. ","")&amp;IF(S85="Can’t tell","No status: open or closed? ","")&amp;IF(AND(S85="Closed",OR(K85="",M85="")),"Closed with no "&amp;IF(K85="","name","")&amp;IF(AND(K85="",M85=""),", no ","")&amp;IF(M85="","evidence","")&amp;". ","")&amp;IF(AND(S85&lt;&gt;"Closed",ISNUMBER(C85),Setup!$B$9&lt;&gt;"",C85&lt;Setup!$B$9,IFERROR(INDEX(Meetings!$B$7:$B$56,MATCH(N85,Meetings!$A$7:$A$56,0)),0)&lt;Setup!$B$9),"Missed at the last meeting. ","")&amp;IF(AND(ISNUMBER(R85),R85&lt;0),"Overdue "&amp;-R85&amp;IF(R85=-1," day. "," days. "),"")&amp;IF(O85&lt;&gt;"","Came back from "&amp;O85&amp;". ","")))))</f>
        <v/>
      </c>
      <c r="U85" s="59" t="str">
        <f t="shared" si="5"/>
        <v/>
      </c>
    </row>
    <row r="86" spans="1:21" ht="30" customHeight="1" x14ac:dyDescent="0.3">
      <c r="A86" s="51" t="s">
        <v>246</v>
      </c>
      <c r="B86" s="19"/>
      <c r="C86" s="52" t="str">
        <f>IF(B86="","",IFERROR(INDEX(Meetings!$B$7:$B$56,MATCH(B86,Meetings!$A$7:$A$56,0)),"?"))</f>
        <v/>
      </c>
      <c r="D86" s="19"/>
      <c r="E86" s="53"/>
      <c r="F86" s="19"/>
      <c r="G86" s="54"/>
      <c r="H86" s="53"/>
      <c r="I86" s="53"/>
      <c r="J86" s="19"/>
      <c r="K86" s="19"/>
      <c r="L86" s="54"/>
      <c r="M86" s="53"/>
      <c r="N86" s="19"/>
      <c r="O86" s="19"/>
      <c r="P86" s="53"/>
      <c r="Q86" s="55" t="str">
        <f>IF(OR(E86="",NOT(ISNUMBER(C86))),"",IF(S86="Closed",IF(L86="","",L86-C86),Setup!$B$7-C86))</f>
        <v/>
      </c>
      <c r="R86" s="56" t="str">
        <f>IF(OR(E86="",G86="",S86="Closed",S86="Dropped"),"",G86-Setup!$B$7)</f>
        <v/>
      </c>
      <c r="S86" s="57" t="str">
        <f t="shared" si="4"/>
        <v/>
      </c>
      <c r="T86" s="58" t="str">
        <f>IF(E86="","",IF(IF(E86="","",IF(S86="Dropped","Dropped"&amp;IF(P86="",": write why",""),IF(F86="","No owner. ",IF(COUNTIF(Setup!$D$20:$D$39,F86)&gt;0,"A department: belongs to nobody. ",""))&amp;IF(G86="","No date. ","")&amp;IF(H86="","No picture of done. ","")&amp;IF(S86="Can’t tell","No status: open or closed? ","")&amp;IF(AND(S86="Closed",OR(K86="",M86="")),"Closed with no "&amp;IF(K86="","name","")&amp;IF(AND(K86="",M86=""),", no ","")&amp;IF(M86="","evidence","")&amp;". ","")&amp;IF(AND(S86&lt;&gt;"Closed",ISNUMBER(C86),Setup!$B$9&lt;&gt;"",C86&lt;Setup!$B$9,IFERROR(INDEX(Meetings!$B$7:$B$56,MATCH(N86,Meetings!$A$7:$A$56,0)),0)&lt;Setup!$B$9),"Missed at the last meeting. ","")&amp;IF(AND(ISNUMBER(R86),R86&lt;0),"Overdue "&amp;-R86&amp;IF(R86=-1," day. "," days. "),"")&amp;IF(O86&lt;&gt;"","Came back from "&amp;O86&amp;". ","")))="","✔",IF(E86="","",IF(S86="Dropped","Dropped"&amp;IF(P86="",": write why",""),IF(F86="","No owner. ",IF(COUNTIF(Setup!$D$20:$D$39,F86)&gt;0,"A department: belongs to nobody. ",""))&amp;IF(G86="","No date. ","")&amp;IF(H86="","No picture of done. ","")&amp;IF(S86="Can’t tell","No status: open or closed? ","")&amp;IF(AND(S86="Closed",OR(K86="",M86="")),"Closed with no "&amp;IF(K86="","name","")&amp;IF(AND(K86="",M86=""),", no ","")&amp;IF(M86="","evidence","")&amp;". ","")&amp;IF(AND(S86&lt;&gt;"Closed",ISNUMBER(C86),Setup!$B$9&lt;&gt;"",C86&lt;Setup!$B$9,IFERROR(INDEX(Meetings!$B$7:$B$56,MATCH(N86,Meetings!$A$7:$A$56,0)),0)&lt;Setup!$B$9),"Missed at the last meeting. ","")&amp;IF(AND(ISNUMBER(R86),R86&lt;0),"Overdue "&amp;-R86&amp;IF(R86=-1," day. "," days. "),"")&amp;IF(O86&lt;&gt;"","Came back from "&amp;O86&amp;". ","")))))</f>
        <v/>
      </c>
      <c r="U86" s="59" t="str">
        <f t="shared" si="5"/>
        <v/>
      </c>
    </row>
    <row r="87" spans="1:21" ht="30" customHeight="1" x14ac:dyDescent="0.3">
      <c r="A87" s="51" t="s">
        <v>247</v>
      </c>
      <c r="B87" s="19"/>
      <c r="C87" s="52" t="str">
        <f>IF(B87="","",IFERROR(INDEX(Meetings!$B$7:$B$56,MATCH(B87,Meetings!$A$7:$A$56,0)),"?"))</f>
        <v/>
      </c>
      <c r="D87" s="19"/>
      <c r="E87" s="53"/>
      <c r="F87" s="19"/>
      <c r="G87" s="54"/>
      <c r="H87" s="53"/>
      <c r="I87" s="53"/>
      <c r="J87" s="19"/>
      <c r="K87" s="19"/>
      <c r="L87" s="54"/>
      <c r="M87" s="53"/>
      <c r="N87" s="19"/>
      <c r="O87" s="19"/>
      <c r="P87" s="53"/>
      <c r="Q87" s="55" t="str">
        <f>IF(OR(E87="",NOT(ISNUMBER(C87))),"",IF(S87="Closed",IF(L87="","",L87-C87),Setup!$B$7-C87))</f>
        <v/>
      </c>
      <c r="R87" s="56" t="str">
        <f>IF(OR(E87="",G87="",S87="Closed",S87="Dropped"),"",G87-Setup!$B$7)</f>
        <v/>
      </c>
      <c r="S87" s="57" t="str">
        <f t="shared" si="4"/>
        <v/>
      </c>
      <c r="T87" s="58" t="str">
        <f>IF(E87="","",IF(IF(E87="","",IF(S87="Dropped","Dropped"&amp;IF(P87="",": write why",""),IF(F87="","No owner. ",IF(COUNTIF(Setup!$D$20:$D$39,F87)&gt;0,"A department: belongs to nobody. ",""))&amp;IF(G87="","No date. ","")&amp;IF(H87="","No picture of done. ","")&amp;IF(S87="Can’t tell","No status: open or closed? ","")&amp;IF(AND(S87="Closed",OR(K87="",M87="")),"Closed with no "&amp;IF(K87="","name","")&amp;IF(AND(K87="",M87=""),", no ","")&amp;IF(M87="","evidence","")&amp;". ","")&amp;IF(AND(S87&lt;&gt;"Closed",ISNUMBER(C87),Setup!$B$9&lt;&gt;"",C87&lt;Setup!$B$9,IFERROR(INDEX(Meetings!$B$7:$B$56,MATCH(N87,Meetings!$A$7:$A$56,0)),0)&lt;Setup!$B$9),"Missed at the last meeting. ","")&amp;IF(AND(ISNUMBER(R87),R87&lt;0),"Overdue "&amp;-R87&amp;IF(R87=-1," day. "," days. "),"")&amp;IF(O87&lt;&gt;"","Came back from "&amp;O87&amp;". ","")))="","✔",IF(E87="","",IF(S87="Dropped","Dropped"&amp;IF(P87="",": write why",""),IF(F87="","No owner. ",IF(COUNTIF(Setup!$D$20:$D$39,F87)&gt;0,"A department: belongs to nobody. ",""))&amp;IF(G87="","No date. ","")&amp;IF(H87="","No picture of done. ","")&amp;IF(S87="Can’t tell","No status: open or closed? ","")&amp;IF(AND(S87="Closed",OR(K87="",M87="")),"Closed with no "&amp;IF(K87="","name","")&amp;IF(AND(K87="",M87=""),", no ","")&amp;IF(M87="","evidence","")&amp;". ","")&amp;IF(AND(S87&lt;&gt;"Closed",ISNUMBER(C87),Setup!$B$9&lt;&gt;"",C87&lt;Setup!$B$9,IFERROR(INDEX(Meetings!$B$7:$B$56,MATCH(N87,Meetings!$A$7:$A$56,0)),0)&lt;Setup!$B$9),"Missed at the last meeting. ","")&amp;IF(AND(ISNUMBER(R87),R87&lt;0),"Overdue "&amp;-R87&amp;IF(R87=-1," day. "," days. "),"")&amp;IF(O87&lt;&gt;"","Came back from "&amp;O87&amp;". ","")))))</f>
        <v/>
      </c>
      <c r="U87" s="59" t="str">
        <f t="shared" si="5"/>
        <v/>
      </c>
    </row>
    <row r="88" spans="1:21" ht="30" customHeight="1" x14ac:dyDescent="0.3">
      <c r="A88" s="51" t="s">
        <v>248</v>
      </c>
      <c r="B88" s="19"/>
      <c r="C88" s="52" t="str">
        <f>IF(B88="","",IFERROR(INDEX(Meetings!$B$7:$B$56,MATCH(B88,Meetings!$A$7:$A$56,0)),"?"))</f>
        <v/>
      </c>
      <c r="D88" s="19"/>
      <c r="E88" s="53"/>
      <c r="F88" s="19"/>
      <c r="G88" s="54"/>
      <c r="H88" s="53"/>
      <c r="I88" s="53"/>
      <c r="J88" s="19"/>
      <c r="K88" s="19"/>
      <c r="L88" s="54"/>
      <c r="M88" s="53"/>
      <c r="N88" s="19"/>
      <c r="O88" s="19"/>
      <c r="P88" s="53"/>
      <c r="Q88" s="55" t="str">
        <f>IF(OR(E88="",NOT(ISNUMBER(C88))),"",IF(S88="Closed",IF(L88="","",L88-C88),Setup!$B$7-C88))</f>
        <v/>
      </c>
      <c r="R88" s="56" t="str">
        <f>IF(OR(E88="",G88="",S88="Closed",S88="Dropped"),"",G88-Setup!$B$7)</f>
        <v/>
      </c>
      <c r="S88" s="57" t="str">
        <f t="shared" si="4"/>
        <v/>
      </c>
      <c r="T88" s="58" t="str">
        <f>IF(E88="","",IF(IF(E88="","",IF(S88="Dropped","Dropped"&amp;IF(P88="",": write why",""),IF(F88="","No owner. ",IF(COUNTIF(Setup!$D$20:$D$39,F88)&gt;0,"A department: belongs to nobody. ",""))&amp;IF(G88="","No date. ","")&amp;IF(H88="","No picture of done. ","")&amp;IF(S88="Can’t tell","No status: open or closed? ","")&amp;IF(AND(S88="Closed",OR(K88="",M88="")),"Closed with no "&amp;IF(K88="","name","")&amp;IF(AND(K88="",M88=""),", no ","")&amp;IF(M88="","evidence","")&amp;". ","")&amp;IF(AND(S88&lt;&gt;"Closed",ISNUMBER(C88),Setup!$B$9&lt;&gt;"",C88&lt;Setup!$B$9,IFERROR(INDEX(Meetings!$B$7:$B$56,MATCH(N88,Meetings!$A$7:$A$56,0)),0)&lt;Setup!$B$9),"Missed at the last meeting. ","")&amp;IF(AND(ISNUMBER(R88),R88&lt;0),"Overdue "&amp;-R88&amp;IF(R88=-1," day. "," days. "),"")&amp;IF(O88&lt;&gt;"","Came back from "&amp;O88&amp;". ","")))="","✔",IF(E88="","",IF(S88="Dropped","Dropped"&amp;IF(P88="",": write why",""),IF(F88="","No owner. ",IF(COUNTIF(Setup!$D$20:$D$39,F88)&gt;0,"A department: belongs to nobody. ",""))&amp;IF(G88="","No date. ","")&amp;IF(H88="","No picture of done. ","")&amp;IF(S88="Can’t tell","No status: open or closed? ","")&amp;IF(AND(S88="Closed",OR(K88="",M88="")),"Closed with no "&amp;IF(K88="","name","")&amp;IF(AND(K88="",M88=""),", no ","")&amp;IF(M88="","evidence","")&amp;". ","")&amp;IF(AND(S88&lt;&gt;"Closed",ISNUMBER(C88),Setup!$B$9&lt;&gt;"",C88&lt;Setup!$B$9,IFERROR(INDEX(Meetings!$B$7:$B$56,MATCH(N88,Meetings!$A$7:$A$56,0)),0)&lt;Setup!$B$9),"Missed at the last meeting. ","")&amp;IF(AND(ISNUMBER(R88),R88&lt;0),"Overdue "&amp;-R88&amp;IF(R88=-1," day. "," days. "),"")&amp;IF(O88&lt;&gt;"","Came back from "&amp;O88&amp;". ","")))))</f>
        <v/>
      </c>
      <c r="U88" s="59" t="str">
        <f t="shared" si="5"/>
        <v/>
      </c>
    </row>
    <row r="89" spans="1:21" ht="30" customHeight="1" x14ac:dyDescent="0.3">
      <c r="A89" s="51" t="s">
        <v>249</v>
      </c>
      <c r="B89" s="19"/>
      <c r="C89" s="52" t="str">
        <f>IF(B89="","",IFERROR(INDEX(Meetings!$B$7:$B$56,MATCH(B89,Meetings!$A$7:$A$56,0)),"?"))</f>
        <v/>
      </c>
      <c r="D89" s="19"/>
      <c r="E89" s="53"/>
      <c r="F89" s="19"/>
      <c r="G89" s="54"/>
      <c r="H89" s="53"/>
      <c r="I89" s="53"/>
      <c r="J89" s="19"/>
      <c r="K89" s="19"/>
      <c r="L89" s="54"/>
      <c r="M89" s="53"/>
      <c r="N89" s="19"/>
      <c r="O89" s="19"/>
      <c r="P89" s="53"/>
      <c r="Q89" s="55" t="str">
        <f>IF(OR(E89="",NOT(ISNUMBER(C89))),"",IF(S89="Closed",IF(L89="","",L89-C89),Setup!$B$7-C89))</f>
        <v/>
      </c>
      <c r="R89" s="56" t="str">
        <f>IF(OR(E89="",G89="",S89="Closed",S89="Dropped"),"",G89-Setup!$B$7)</f>
        <v/>
      </c>
      <c r="S89" s="57" t="str">
        <f t="shared" si="4"/>
        <v/>
      </c>
      <c r="T89" s="58" t="str">
        <f>IF(E89="","",IF(IF(E89="","",IF(S89="Dropped","Dropped"&amp;IF(P89="",": write why",""),IF(F89="","No owner. ",IF(COUNTIF(Setup!$D$20:$D$39,F89)&gt;0,"A department: belongs to nobody. ",""))&amp;IF(G89="","No date. ","")&amp;IF(H89="","No picture of done. ","")&amp;IF(S89="Can’t tell","No status: open or closed? ","")&amp;IF(AND(S89="Closed",OR(K89="",M89="")),"Closed with no "&amp;IF(K89="","name","")&amp;IF(AND(K89="",M89=""),", no ","")&amp;IF(M89="","evidence","")&amp;". ","")&amp;IF(AND(S89&lt;&gt;"Closed",ISNUMBER(C89),Setup!$B$9&lt;&gt;"",C89&lt;Setup!$B$9,IFERROR(INDEX(Meetings!$B$7:$B$56,MATCH(N89,Meetings!$A$7:$A$56,0)),0)&lt;Setup!$B$9),"Missed at the last meeting. ","")&amp;IF(AND(ISNUMBER(R89),R89&lt;0),"Overdue "&amp;-R89&amp;IF(R89=-1," day. "," days. "),"")&amp;IF(O89&lt;&gt;"","Came back from "&amp;O89&amp;". ","")))="","✔",IF(E89="","",IF(S89="Dropped","Dropped"&amp;IF(P89="",": write why",""),IF(F89="","No owner. ",IF(COUNTIF(Setup!$D$20:$D$39,F89)&gt;0,"A department: belongs to nobody. ",""))&amp;IF(G89="","No date. ","")&amp;IF(H89="","No picture of done. ","")&amp;IF(S89="Can’t tell","No status: open or closed? ","")&amp;IF(AND(S89="Closed",OR(K89="",M89="")),"Closed with no "&amp;IF(K89="","name","")&amp;IF(AND(K89="",M89=""),", no ","")&amp;IF(M89="","evidence","")&amp;". ","")&amp;IF(AND(S89&lt;&gt;"Closed",ISNUMBER(C89),Setup!$B$9&lt;&gt;"",C89&lt;Setup!$B$9,IFERROR(INDEX(Meetings!$B$7:$B$56,MATCH(N89,Meetings!$A$7:$A$56,0)),0)&lt;Setup!$B$9),"Missed at the last meeting. ","")&amp;IF(AND(ISNUMBER(R89),R89&lt;0),"Overdue "&amp;-R89&amp;IF(R89=-1," day. "," days. "),"")&amp;IF(O89&lt;&gt;"","Came back from "&amp;O89&amp;". ","")))))</f>
        <v/>
      </c>
      <c r="U89" s="59" t="str">
        <f t="shared" si="5"/>
        <v/>
      </c>
    </row>
    <row r="90" spans="1:21" ht="30" customHeight="1" x14ac:dyDescent="0.3">
      <c r="A90" s="51" t="s">
        <v>250</v>
      </c>
      <c r="B90" s="19"/>
      <c r="C90" s="52" t="str">
        <f>IF(B90="","",IFERROR(INDEX(Meetings!$B$7:$B$56,MATCH(B90,Meetings!$A$7:$A$56,0)),"?"))</f>
        <v/>
      </c>
      <c r="D90" s="19"/>
      <c r="E90" s="53"/>
      <c r="F90" s="19"/>
      <c r="G90" s="54"/>
      <c r="H90" s="53"/>
      <c r="I90" s="53"/>
      <c r="J90" s="19"/>
      <c r="K90" s="19"/>
      <c r="L90" s="54"/>
      <c r="M90" s="53"/>
      <c r="N90" s="19"/>
      <c r="O90" s="19"/>
      <c r="P90" s="53"/>
      <c r="Q90" s="55" t="str">
        <f>IF(OR(E90="",NOT(ISNUMBER(C90))),"",IF(S90="Closed",IF(L90="","",L90-C90),Setup!$B$7-C90))</f>
        <v/>
      </c>
      <c r="R90" s="56" t="str">
        <f>IF(OR(E90="",G90="",S90="Closed",S90="Dropped"),"",G90-Setup!$B$7)</f>
        <v/>
      </c>
      <c r="S90" s="57" t="str">
        <f t="shared" si="4"/>
        <v/>
      </c>
      <c r="T90" s="58" t="str">
        <f>IF(E90="","",IF(IF(E90="","",IF(S90="Dropped","Dropped"&amp;IF(P90="",": write why",""),IF(F90="","No owner. ",IF(COUNTIF(Setup!$D$20:$D$39,F90)&gt;0,"A department: belongs to nobody. ",""))&amp;IF(G90="","No date. ","")&amp;IF(H90="","No picture of done. ","")&amp;IF(S90="Can’t tell","No status: open or closed? ","")&amp;IF(AND(S90="Closed",OR(K90="",M90="")),"Closed with no "&amp;IF(K90="","name","")&amp;IF(AND(K90="",M90=""),", no ","")&amp;IF(M90="","evidence","")&amp;". ","")&amp;IF(AND(S90&lt;&gt;"Closed",ISNUMBER(C90),Setup!$B$9&lt;&gt;"",C90&lt;Setup!$B$9,IFERROR(INDEX(Meetings!$B$7:$B$56,MATCH(N90,Meetings!$A$7:$A$56,0)),0)&lt;Setup!$B$9),"Missed at the last meeting. ","")&amp;IF(AND(ISNUMBER(R90),R90&lt;0),"Overdue "&amp;-R90&amp;IF(R90=-1," day. "," days. "),"")&amp;IF(O90&lt;&gt;"","Came back from "&amp;O90&amp;". ","")))="","✔",IF(E90="","",IF(S90="Dropped","Dropped"&amp;IF(P90="",": write why",""),IF(F90="","No owner. ",IF(COUNTIF(Setup!$D$20:$D$39,F90)&gt;0,"A department: belongs to nobody. ",""))&amp;IF(G90="","No date. ","")&amp;IF(H90="","No picture of done. ","")&amp;IF(S90="Can’t tell","No status: open or closed? ","")&amp;IF(AND(S90="Closed",OR(K90="",M90="")),"Closed with no "&amp;IF(K90="","name","")&amp;IF(AND(K90="",M90=""),", no ","")&amp;IF(M90="","evidence","")&amp;". ","")&amp;IF(AND(S90&lt;&gt;"Closed",ISNUMBER(C90),Setup!$B$9&lt;&gt;"",C90&lt;Setup!$B$9,IFERROR(INDEX(Meetings!$B$7:$B$56,MATCH(N90,Meetings!$A$7:$A$56,0)),0)&lt;Setup!$B$9),"Missed at the last meeting. ","")&amp;IF(AND(ISNUMBER(R90),R90&lt;0),"Overdue "&amp;-R90&amp;IF(R90=-1," day. "," days. "),"")&amp;IF(O90&lt;&gt;"","Came back from "&amp;O90&amp;". ","")))))</f>
        <v/>
      </c>
      <c r="U90" s="59" t="str">
        <f t="shared" si="5"/>
        <v/>
      </c>
    </row>
    <row r="91" spans="1:21" ht="30" customHeight="1" x14ac:dyDescent="0.3">
      <c r="A91" s="51" t="s">
        <v>251</v>
      </c>
      <c r="B91" s="19"/>
      <c r="C91" s="52" t="str">
        <f>IF(B91="","",IFERROR(INDEX(Meetings!$B$7:$B$56,MATCH(B91,Meetings!$A$7:$A$56,0)),"?"))</f>
        <v/>
      </c>
      <c r="D91" s="19"/>
      <c r="E91" s="53"/>
      <c r="F91" s="19"/>
      <c r="G91" s="54"/>
      <c r="H91" s="53"/>
      <c r="I91" s="53"/>
      <c r="J91" s="19"/>
      <c r="K91" s="19"/>
      <c r="L91" s="54"/>
      <c r="M91" s="53"/>
      <c r="N91" s="19"/>
      <c r="O91" s="19"/>
      <c r="P91" s="53"/>
      <c r="Q91" s="55" t="str">
        <f>IF(OR(E91="",NOT(ISNUMBER(C91))),"",IF(S91="Closed",IF(L91="","",L91-C91),Setup!$B$7-C91))</f>
        <v/>
      </c>
      <c r="R91" s="56" t="str">
        <f>IF(OR(E91="",G91="",S91="Closed",S91="Dropped"),"",G91-Setup!$B$7)</f>
        <v/>
      </c>
      <c r="S91" s="57" t="str">
        <f t="shared" si="4"/>
        <v/>
      </c>
      <c r="T91" s="58" t="str">
        <f>IF(E91="","",IF(IF(E91="","",IF(S91="Dropped","Dropped"&amp;IF(P91="",": write why",""),IF(F91="","No owner. ",IF(COUNTIF(Setup!$D$20:$D$39,F91)&gt;0,"A department: belongs to nobody. ",""))&amp;IF(G91="","No date. ","")&amp;IF(H91="","No picture of done. ","")&amp;IF(S91="Can’t tell","No status: open or closed? ","")&amp;IF(AND(S91="Closed",OR(K91="",M91="")),"Closed with no "&amp;IF(K91="","name","")&amp;IF(AND(K91="",M91=""),", no ","")&amp;IF(M91="","evidence","")&amp;". ","")&amp;IF(AND(S91&lt;&gt;"Closed",ISNUMBER(C91),Setup!$B$9&lt;&gt;"",C91&lt;Setup!$B$9,IFERROR(INDEX(Meetings!$B$7:$B$56,MATCH(N91,Meetings!$A$7:$A$56,0)),0)&lt;Setup!$B$9),"Missed at the last meeting. ","")&amp;IF(AND(ISNUMBER(R91),R91&lt;0),"Overdue "&amp;-R91&amp;IF(R91=-1," day. "," days. "),"")&amp;IF(O91&lt;&gt;"","Came back from "&amp;O91&amp;". ","")))="","✔",IF(E91="","",IF(S91="Dropped","Dropped"&amp;IF(P91="",": write why",""),IF(F91="","No owner. ",IF(COUNTIF(Setup!$D$20:$D$39,F91)&gt;0,"A department: belongs to nobody. ",""))&amp;IF(G91="","No date. ","")&amp;IF(H91="","No picture of done. ","")&amp;IF(S91="Can’t tell","No status: open or closed? ","")&amp;IF(AND(S91="Closed",OR(K91="",M91="")),"Closed with no "&amp;IF(K91="","name","")&amp;IF(AND(K91="",M91=""),", no ","")&amp;IF(M91="","evidence","")&amp;". ","")&amp;IF(AND(S91&lt;&gt;"Closed",ISNUMBER(C91),Setup!$B$9&lt;&gt;"",C91&lt;Setup!$B$9,IFERROR(INDEX(Meetings!$B$7:$B$56,MATCH(N91,Meetings!$A$7:$A$56,0)),0)&lt;Setup!$B$9),"Missed at the last meeting. ","")&amp;IF(AND(ISNUMBER(R91),R91&lt;0),"Overdue "&amp;-R91&amp;IF(R91=-1," day. "," days. "),"")&amp;IF(O91&lt;&gt;"","Came back from "&amp;O91&amp;". ","")))))</f>
        <v/>
      </c>
      <c r="U91" s="59" t="str">
        <f t="shared" si="5"/>
        <v/>
      </c>
    </row>
    <row r="92" spans="1:21" ht="30" customHeight="1" x14ac:dyDescent="0.3">
      <c r="A92" s="51" t="s">
        <v>252</v>
      </c>
      <c r="B92" s="19"/>
      <c r="C92" s="52" t="str">
        <f>IF(B92="","",IFERROR(INDEX(Meetings!$B$7:$B$56,MATCH(B92,Meetings!$A$7:$A$56,0)),"?"))</f>
        <v/>
      </c>
      <c r="D92" s="19"/>
      <c r="E92" s="53"/>
      <c r="F92" s="19"/>
      <c r="G92" s="54"/>
      <c r="H92" s="53"/>
      <c r="I92" s="53"/>
      <c r="J92" s="19"/>
      <c r="K92" s="19"/>
      <c r="L92" s="54"/>
      <c r="M92" s="53"/>
      <c r="N92" s="19"/>
      <c r="O92" s="19"/>
      <c r="P92" s="53"/>
      <c r="Q92" s="55" t="str">
        <f>IF(OR(E92="",NOT(ISNUMBER(C92))),"",IF(S92="Closed",IF(L92="","",L92-C92),Setup!$B$7-C92))</f>
        <v/>
      </c>
      <c r="R92" s="56" t="str">
        <f>IF(OR(E92="",G92="",S92="Closed",S92="Dropped"),"",G92-Setup!$B$7)</f>
        <v/>
      </c>
      <c r="S92" s="57" t="str">
        <f t="shared" si="4"/>
        <v/>
      </c>
      <c r="T92" s="58" t="str">
        <f>IF(E92="","",IF(IF(E92="","",IF(S92="Dropped","Dropped"&amp;IF(P92="",": write why",""),IF(F92="","No owner. ",IF(COUNTIF(Setup!$D$20:$D$39,F92)&gt;0,"A department: belongs to nobody. ",""))&amp;IF(G92="","No date. ","")&amp;IF(H92="","No picture of done. ","")&amp;IF(S92="Can’t tell","No status: open or closed? ","")&amp;IF(AND(S92="Closed",OR(K92="",M92="")),"Closed with no "&amp;IF(K92="","name","")&amp;IF(AND(K92="",M92=""),", no ","")&amp;IF(M92="","evidence","")&amp;". ","")&amp;IF(AND(S92&lt;&gt;"Closed",ISNUMBER(C92),Setup!$B$9&lt;&gt;"",C92&lt;Setup!$B$9,IFERROR(INDEX(Meetings!$B$7:$B$56,MATCH(N92,Meetings!$A$7:$A$56,0)),0)&lt;Setup!$B$9),"Missed at the last meeting. ","")&amp;IF(AND(ISNUMBER(R92),R92&lt;0),"Overdue "&amp;-R92&amp;IF(R92=-1," day. "," days. "),"")&amp;IF(O92&lt;&gt;"","Came back from "&amp;O92&amp;". ","")))="","✔",IF(E92="","",IF(S92="Dropped","Dropped"&amp;IF(P92="",": write why",""),IF(F92="","No owner. ",IF(COUNTIF(Setup!$D$20:$D$39,F92)&gt;0,"A department: belongs to nobody. ",""))&amp;IF(G92="","No date. ","")&amp;IF(H92="","No picture of done. ","")&amp;IF(S92="Can’t tell","No status: open or closed? ","")&amp;IF(AND(S92="Closed",OR(K92="",M92="")),"Closed with no "&amp;IF(K92="","name","")&amp;IF(AND(K92="",M92=""),", no ","")&amp;IF(M92="","evidence","")&amp;". ","")&amp;IF(AND(S92&lt;&gt;"Closed",ISNUMBER(C92),Setup!$B$9&lt;&gt;"",C92&lt;Setup!$B$9,IFERROR(INDEX(Meetings!$B$7:$B$56,MATCH(N92,Meetings!$A$7:$A$56,0)),0)&lt;Setup!$B$9),"Missed at the last meeting. ","")&amp;IF(AND(ISNUMBER(R92),R92&lt;0),"Overdue "&amp;-R92&amp;IF(R92=-1," day. "," days. "),"")&amp;IF(O92&lt;&gt;"","Came back from "&amp;O92&amp;". ","")))))</f>
        <v/>
      </c>
      <c r="U92" s="59" t="str">
        <f t="shared" si="5"/>
        <v/>
      </c>
    </row>
    <row r="93" spans="1:21" ht="30" customHeight="1" x14ac:dyDescent="0.3">
      <c r="A93" s="51" t="s">
        <v>253</v>
      </c>
      <c r="B93" s="19"/>
      <c r="C93" s="52" t="str">
        <f>IF(B93="","",IFERROR(INDEX(Meetings!$B$7:$B$56,MATCH(B93,Meetings!$A$7:$A$56,0)),"?"))</f>
        <v/>
      </c>
      <c r="D93" s="19"/>
      <c r="E93" s="53"/>
      <c r="F93" s="19"/>
      <c r="G93" s="54"/>
      <c r="H93" s="53"/>
      <c r="I93" s="53"/>
      <c r="J93" s="19"/>
      <c r="K93" s="19"/>
      <c r="L93" s="54"/>
      <c r="M93" s="53"/>
      <c r="N93" s="19"/>
      <c r="O93" s="19"/>
      <c r="P93" s="53"/>
      <c r="Q93" s="55" t="str">
        <f>IF(OR(E93="",NOT(ISNUMBER(C93))),"",IF(S93="Closed",IF(L93="","",L93-C93),Setup!$B$7-C93))</f>
        <v/>
      </c>
      <c r="R93" s="56" t="str">
        <f>IF(OR(E93="",G93="",S93="Closed",S93="Dropped"),"",G93-Setup!$B$7)</f>
        <v/>
      </c>
      <c r="S93" s="57" t="str">
        <f t="shared" si="4"/>
        <v/>
      </c>
      <c r="T93" s="58" t="str">
        <f>IF(E93="","",IF(IF(E93="","",IF(S93="Dropped","Dropped"&amp;IF(P93="",": write why",""),IF(F93="","No owner. ",IF(COUNTIF(Setup!$D$20:$D$39,F93)&gt;0,"A department: belongs to nobody. ",""))&amp;IF(G93="","No date. ","")&amp;IF(H93="","No picture of done. ","")&amp;IF(S93="Can’t tell","No status: open or closed? ","")&amp;IF(AND(S93="Closed",OR(K93="",M93="")),"Closed with no "&amp;IF(K93="","name","")&amp;IF(AND(K93="",M93=""),", no ","")&amp;IF(M93="","evidence","")&amp;". ","")&amp;IF(AND(S93&lt;&gt;"Closed",ISNUMBER(C93),Setup!$B$9&lt;&gt;"",C93&lt;Setup!$B$9,IFERROR(INDEX(Meetings!$B$7:$B$56,MATCH(N93,Meetings!$A$7:$A$56,0)),0)&lt;Setup!$B$9),"Missed at the last meeting. ","")&amp;IF(AND(ISNUMBER(R93),R93&lt;0),"Overdue "&amp;-R93&amp;IF(R93=-1," day. "," days. "),"")&amp;IF(O93&lt;&gt;"","Came back from "&amp;O93&amp;". ","")))="","✔",IF(E93="","",IF(S93="Dropped","Dropped"&amp;IF(P93="",": write why",""),IF(F93="","No owner. ",IF(COUNTIF(Setup!$D$20:$D$39,F93)&gt;0,"A department: belongs to nobody. ",""))&amp;IF(G93="","No date. ","")&amp;IF(H93="","No picture of done. ","")&amp;IF(S93="Can’t tell","No status: open or closed? ","")&amp;IF(AND(S93="Closed",OR(K93="",M93="")),"Closed with no "&amp;IF(K93="","name","")&amp;IF(AND(K93="",M93=""),", no ","")&amp;IF(M93="","evidence","")&amp;". ","")&amp;IF(AND(S93&lt;&gt;"Closed",ISNUMBER(C93),Setup!$B$9&lt;&gt;"",C93&lt;Setup!$B$9,IFERROR(INDEX(Meetings!$B$7:$B$56,MATCH(N93,Meetings!$A$7:$A$56,0)),0)&lt;Setup!$B$9),"Missed at the last meeting. ","")&amp;IF(AND(ISNUMBER(R93),R93&lt;0),"Overdue "&amp;-R93&amp;IF(R93=-1," day. "," days. "),"")&amp;IF(O93&lt;&gt;"","Came back from "&amp;O93&amp;". ","")))))</f>
        <v/>
      </c>
      <c r="U93" s="59" t="str">
        <f t="shared" si="5"/>
        <v/>
      </c>
    </row>
    <row r="94" spans="1:21" ht="30" customHeight="1" x14ac:dyDescent="0.3">
      <c r="A94" s="51" t="s">
        <v>254</v>
      </c>
      <c r="B94" s="19"/>
      <c r="C94" s="52" t="str">
        <f>IF(B94="","",IFERROR(INDEX(Meetings!$B$7:$B$56,MATCH(B94,Meetings!$A$7:$A$56,0)),"?"))</f>
        <v/>
      </c>
      <c r="D94" s="19"/>
      <c r="E94" s="53"/>
      <c r="F94" s="19"/>
      <c r="G94" s="54"/>
      <c r="H94" s="53"/>
      <c r="I94" s="53"/>
      <c r="J94" s="19"/>
      <c r="K94" s="19"/>
      <c r="L94" s="54"/>
      <c r="M94" s="53"/>
      <c r="N94" s="19"/>
      <c r="O94" s="19"/>
      <c r="P94" s="53"/>
      <c r="Q94" s="55" t="str">
        <f>IF(OR(E94="",NOT(ISNUMBER(C94))),"",IF(S94="Closed",IF(L94="","",L94-C94),Setup!$B$7-C94))</f>
        <v/>
      </c>
      <c r="R94" s="56" t="str">
        <f>IF(OR(E94="",G94="",S94="Closed",S94="Dropped"),"",G94-Setup!$B$7)</f>
        <v/>
      </c>
      <c r="S94" s="57" t="str">
        <f t="shared" si="4"/>
        <v/>
      </c>
      <c r="T94" s="58" t="str">
        <f>IF(E94="","",IF(IF(E94="","",IF(S94="Dropped","Dropped"&amp;IF(P94="",": write why",""),IF(F94="","No owner. ",IF(COUNTIF(Setup!$D$20:$D$39,F94)&gt;0,"A department: belongs to nobody. ",""))&amp;IF(G94="","No date. ","")&amp;IF(H94="","No picture of done. ","")&amp;IF(S94="Can’t tell","No status: open or closed? ","")&amp;IF(AND(S94="Closed",OR(K94="",M94="")),"Closed with no "&amp;IF(K94="","name","")&amp;IF(AND(K94="",M94=""),", no ","")&amp;IF(M94="","evidence","")&amp;". ","")&amp;IF(AND(S94&lt;&gt;"Closed",ISNUMBER(C94),Setup!$B$9&lt;&gt;"",C94&lt;Setup!$B$9,IFERROR(INDEX(Meetings!$B$7:$B$56,MATCH(N94,Meetings!$A$7:$A$56,0)),0)&lt;Setup!$B$9),"Missed at the last meeting. ","")&amp;IF(AND(ISNUMBER(R94),R94&lt;0),"Overdue "&amp;-R94&amp;IF(R94=-1," day. "," days. "),"")&amp;IF(O94&lt;&gt;"","Came back from "&amp;O94&amp;". ","")))="","✔",IF(E94="","",IF(S94="Dropped","Dropped"&amp;IF(P94="",": write why",""),IF(F94="","No owner. ",IF(COUNTIF(Setup!$D$20:$D$39,F94)&gt;0,"A department: belongs to nobody. ",""))&amp;IF(G94="","No date. ","")&amp;IF(H94="","No picture of done. ","")&amp;IF(S94="Can’t tell","No status: open or closed? ","")&amp;IF(AND(S94="Closed",OR(K94="",M94="")),"Closed with no "&amp;IF(K94="","name","")&amp;IF(AND(K94="",M94=""),", no ","")&amp;IF(M94="","evidence","")&amp;". ","")&amp;IF(AND(S94&lt;&gt;"Closed",ISNUMBER(C94),Setup!$B$9&lt;&gt;"",C94&lt;Setup!$B$9,IFERROR(INDEX(Meetings!$B$7:$B$56,MATCH(N94,Meetings!$A$7:$A$56,0)),0)&lt;Setup!$B$9),"Missed at the last meeting. ","")&amp;IF(AND(ISNUMBER(R94),R94&lt;0),"Overdue "&amp;-R94&amp;IF(R94=-1," day. "," days. "),"")&amp;IF(O94&lt;&gt;"","Came back from "&amp;O94&amp;". ","")))))</f>
        <v/>
      </c>
      <c r="U94" s="59" t="str">
        <f t="shared" si="5"/>
        <v/>
      </c>
    </row>
    <row r="95" spans="1:21" ht="30" customHeight="1" x14ac:dyDescent="0.3">
      <c r="A95" s="51" t="s">
        <v>255</v>
      </c>
      <c r="B95" s="19"/>
      <c r="C95" s="52" t="str">
        <f>IF(B95="","",IFERROR(INDEX(Meetings!$B$7:$B$56,MATCH(B95,Meetings!$A$7:$A$56,0)),"?"))</f>
        <v/>
      </c>
      <c r="D95" s="19"/>
      <c r="E95" s="53"/>
      <c r="F95" s="19"/>
      <c r="G95" s="54"/>
      <c r="H95" s="53"/>
      <c r="I95" s="53"/>
      <c r="J95" s="19"/>
      <c r="K95" s="19"/>
      <c r="L95" s="54"/>
      <c r="M95" s="53"/>
      <c r="N95" s="19"/>
      <c r="O95" s="19"/>
      <c r="P95" s="53"/>
      <c r="Q95" s="55" t="str">
        <f>IF(OR(E95="",NOT(ISNUMBER(C95))),"",IF(S95="Closed",IF(L95="","",L95-C95),Setup!$B$7-C95))</f>
        <v/>
      </c>
      <c r="R95" s="56" t="str">
        <f>IF(OR(E95="",G95="",S95="Closed",S95="Dropped"),"",G95-Setup!$B$7)</f>
        <v/>
      </c>
      <c r="S95" s="57" t="str">
        <f t="shared" si="4"/>
        <v/>
      </c>
      <c r="T95" s="58" t="str">
        <f>IF(E95="","",IF(IF(E95="","",IF(S95="Dropped","Dropped"&amp;IF(P95="",": write why",""),IF(F95="","No owner. ",IF(COUNTIF(Setup!$D$20:$D$39,F95)&gt;0,"A department: belongs to nobody. ",""))&amp;IF(G95="","No date. ","")&amp;IF(H95="","No picture of done. ","")&amp;IF(S95="Can’t tell","No status: open or closed? ","")&amp;IF(AND(S95="Closed",OR(K95="",M95="")),"Closed with no "&amp;IF(K95="","name","")&amp;IF(AND(K95="",M95=""),", no ","")&amp;IF(M95="","evidence","")&amp;". ","")&amp;IF(AND(S95&lt;&gt;"Closed",ISNUMBER(C95),Setup!$B$9&lt;&gt;"",C95&lt;Setup!$B$9,IFERROR(INDEX(Meetings!$B$7:$B$56,MATCH(N95,Meetings!$A$7:$A$56,0)),0)&lt;Setup!$B$9),"Missed at the last meeting. ","")&amp;IF(AND(ISNUMBER(R95),R95&lt;0),"Overdue "&amp;-R95&amp;IF(R95=-1," day. "," days. "),"")&amp;IF(O95&lt;&gt;"","Came back from "&amp;O95&amp;". ","")))="","✔",IF(E95="","",IF(S95="Dropped","Dropped"&amp;IF(P95="",": write why",""),IF(F95="","No owner. ",IF(COUNTIF(Setup!$D$20:$D$39,F95)&gt;0,"A department: belongs to nobody. ",""))&amp;IF(G95="","No date. ","")&amp;IF(H95="","No picture of done. ","")&amp;IF(S95="Can’t tell","No status: open or closed? ","")&amp;IF(AND(S95="Closed",OR(K95="",M95="")),"Closed with no "&amp;IF(K95="","name","")&amp;IF(AND(K95="",M95=""),", no ","")&amp;IF(M95="","evidence","")&amp;". ","")&amp;IF(AND(S95&lt;&gt;"Closed",ISNUMBER(C95),Setup!$B$9&lt;&gt;"",C95&lt;Setup!$B$9,IFERROR(INDEX(Meetings!$B$7:$B$56,MATCH(N95,Meetings!$A$7:$A$56,0)),0)&lt;Setup!$B$9),"Missed at the last meeting. ","")&amp;IF(AND(ISNUMBER(R95),R95&lt;0),"Overdue "&amp;-R95&amp;IF(R95=-1," day. "," days. "),"")&amp;IF(O95&lt;&gt;"","Came back from "&amp;O95&amp;". ","")))))</f>
        <v/>
      </c>
      <c r="U95" s="59" t="str">
        <f t="shared" si="5"/>
        <v/>
      </c>
    </row>
    <row r="96" spans="1:21" ht="30" customHeight="1" x14ac:dyDescent="0.3">
      <c r="A96" s="51" t="s">
        <v>256</v>
      </c>
      <c r="B96" s="19"/>
      <c r="C96" s="52" t="str">
        <f>IF(B96="","",IFERROR(INDEX(Meetings!$B$7:$B$56,MATCH(B96,Meetings!$A$7:$A$56,0)),"?"))</f>
        <v/>
      </c>
      <c r="D96" s="19"/>
      <c r="E96" s="53"/>
      <c r="F96" s="19"/>
      <c r="G96" s="54"/>
      <c r="H96" s="53"/>
      <c r="I96" s="53"/>
      <c r="J96" s="19"/>
      <c r="K96" s="19"/>
      <c r="L96" s="54"/>
      <c r="M96" s="53"/>
      <c r="N96" s="19"/>
      <c r="O96" s="19"/>
      <c r="P96" s="53"/>
      <c r="Q96" s="55" t="str">
        <f>IF(OR(E96="",NOT(ISNUMBER(C96))),"",IF(S96="Closed",IF(L96="","",L96-C96),Setup!$B$7-C96))</f>
        <v/>
      </c>
      <c r="R96" s="56" t="str">
        <f>IF(OR(E96="",G96="",S96="Closed",S96="Dropped"),"",G96-Setup!$B$7)</f>
        <v/>
      </c>
      <c r="S96" s="57" t="str">
        <f t="shared" si="4"/>
        <v/>
      </c>
      <c r="T96" s="58" t="str">
        <f>IF(E96="","",IF(IF(E96="","",IF(S96="Dropped","Dropped"&amp;IF(P96="",": write why",""),IF(F96="","No owner. ",IF(COUNTIF(Setup!$D$20:$D$39,F96)&gt;0,"A department: belongs to nobody. ",""))&amp;IF(G96="","No date. ","")&amp;IF(H96="","No picture of done. ","")&amp;IF(S96="Can’t tell","No status: open or closed? ","")&amp;IF(AND(S96="Closed",OR(K96="",M96="")),"Closed with no "&amp;IF(K96="","name","")&amp;IF(AND(K96="",M96=""),", no ","")&amp;IF(M96="","evidence","")&amp;". ","")&amp;IF(AND(S96&lt;&gt;"Closed",ISNUMBER(C96),Setup!$B$9&lt;&gt;"",C96&lt;Setup!$B$9,IFERROR(INDEX(Meetings!$B$7:$B$56,MATCH(N96,Meetings!$A$7:$A$56,0)),0)&lt;Setup!$B$9),"Missed at the last meeting. ","")&amp;IF(AND(ISNUMBER(R96),R96&lt;0),"Overdue "&amp;-R96&amp;IF(R96=-1," day. "," days. "),"")&amp;IF(O96&lt;&gt;"","Came back from "&amp;O96&amp;". ","")))="","✔",IF(E96="","",IF(S96="Dropped","Dropped"&amp;IF(P96="",": write why",""),IF(F96="","No owner. ",IF(COUNTIF(Setup!$D$20:$D$39,F96)&gt;0,"A department: belongs to nobody. ",""))&amp;IF(G96="","No date. ","")&amp;IF(H96="","No picture of done. ","")&amp;IF(S96="Can’t tell","No status: open or closed? ","")&amp;IF(AND(S96="Closed",OR(K96="",M96="")),"Closed with no "&amp;IF(K96="","name","")&amp;IF(AND(K96="",M96=""),", no ","")&amp;IF(M96="","evidence","")&amp;". ","")&amp;IF(AND(S96&lt;&gt;"Closed",ISNUMBER(C96),Setup!$B$9&lt;&gt;"",C96&lt;Setup!$B$9,IFERROR(INDEX(Meetings!$B$7:$B$56,MATCH(N96,Meetings!$A$7:$A$56,0)),0)&lt;Setup!$B$9),"Missed at the last meeting. ","")&amp;IF(AND(ISNUMBER(R96),R96&lt;0),"Overdue "&amp;-R96&amp;IF(R96=-1," day. "," days. "),"")&amp;IF(O96&lt;&gt;"","Came back from "&amp;O96&amp;". ","")))))</f>
        <v/>
      </c>
      <c r="U96" s="59" t="str">
        <f t="shared" si="5"/>
        <v/>
      </c>
    </row>
    <row r="97" spans="1:21" ht="30" customHeight="1" x14ac:dyDescent="0.3">
      <c r="A97" s="51" t="s">
        <v>257</v>
      </c>
      <c r="B97" s="19"/>
      <c r="C97" s="52" t="str">
        <f>IF(B97="","",IFERROR(INDEX(Meetings!$B$7:$B$56,MATCH(B97,Meetings!$A$7:$A$56,0)),"?"))</f>
        <v/>
      </c>
      <c r="D97" s="19"/>
      <c r="E97" s="53"/>
      <c r="F97" s="19"/>
      <c r="G97" s="54"/>
      <c r="H97" s="53"/>
      <c r="I97" s="53"/>
      <c r="J97" s="19"/>
      <c r="K97" s="19"/>
      <c r="L97" s="54"/>
      <c r="M97" s="53"/>
      <c r="N97" s="19"/>
      <c r="O97" s="19"/>
      <c r="P97" s="53"/>
      <c r="Q97" s="55" t="str">
        <f>IF(OR(E97="",NOT(ISNUMBER(C97))),"",IF(S97="Closed",IF(L97="","",L97-C97),Setup!$B$7-C97))</f>
        <v/>
      </c>
      <c r="R97" s="56" t="str">
        <f>IF(OR(E97="",G97="",S97="Closed",S97="Dropped"),"",G97-Setup!$B$7)</f>
        <v/>
      </c>
      <c r="S97" s="57" t="str">
        <f t="shared" si="4"/>
        <v/>
      </c>
      <c r="T97" s="58" t="str">
        <f>IF(E97="","",IF(IF(E97="","",IF(S97="Dropped","Dropped"&amp;IF(P97="",": write why",""),IF(F97="","No owner. ",IF(COUNTIF(Setup!$D$20:$D$39,F97)&gt;0,"A department: belongs to nobody. ",""))&amp;IF(G97="","No date. ","")&amp;IF(H97="","No picture of done. ","")&amp;IF(S97="Can’t tell","No status: open or closed? ","")&amp;IF(AND(S97="Closed",OR(K97="",M97="")),"Closed with no "&amp;IF(K97="","name","")&amp;IF(AND(K97="",M97=""),", no ","")&amp;IF(M97="","evidence","")&amp;". ","")&amp;IF(AND(S97&lt;&gt;"Closed",ISNUMBER(C97),Setup!$B$9&lt;&gt;"",C97&lt;Setup!$B$9,IFERROR(INDEX(Meetings!$B$7:$B$56,MATCH(N97,Meetings!$A$7:$A$56,0)),0)&lt;Setup!$B$9),"Missed at the last meeting. ","")&amp;IF(AND(ISNUMBER(R97),R97&lt;0),"Overdue "&amp;-R97&amp;IF(R97=-1," day. "," days. "),"")&amp;IF(O97&lt;&gt;"","Came back from "&amp;O97&amp;". ","")))="","✔",IF(E97="","",IF(S97="Dropped","Dropped"&amp;IF(P97="",": write why",""),IF(F97="","No owner. ",IF(COUNTIF(Setup!$D$20:$D$39,F97)&gt;0,"A department: belongs to nobody. ",""))&amp;IF(G97="","No date. ","")&amp;IF(H97="","No picture of done. ","")&amp;IF(S97="Can’t tell","No status: open or closed? ","")&amp;IF(AND(S97="Closed",OR(K97="",M97="")),"Closed with no "&amp;IF(K97="","name","")&amp;IF(AND(K97="",M97=""),", no ","")&amp;IF(M97="","evidence","")&amp;". ","")&amp;IF(AND(S97&lt;&gt;"Closed",ISNUMBER(C97),Setup!$B$9&lt;&gt;"",C97&lt;Setup!$B$9,IFERROR(INDEX(Meetings!$B$7:$B$56,MATCH(N97,Meetings!$A$7:$A$56,0)),0)&lt;Setup!$B$9),"Missed at the last meeting. ","")&amp;IF(AND(ISNUMBER(R97),R97&lt;0),"Overdue "&amp;-R97&amp;IF(R97=-1," day. "," days. "),"")&amp;IF(O97&lt;&gt;"","Came back from "&amp;O97&amp;". ","")))))</f>
        <v/>
      </c>
      <c r="U97" s="59" t="str">
        <f t="shared" si="5"/>
        <v/>
      </c>
    </row>
    <row r="98" spans="1:21" ht="30" customHeight="1" x14ac:dyDescent="0.3">
      <c r="A98" s="51" t="s">
        <v>258</v>
      </c>
      <c r="B98" s="19"/>
      <c r="C98" s="52" t="str">
        <f>IF(B98="","",IFERROR(INDEX(Meetings!$B$7:$B$56,MATCH(B98,Meetings!$A$7:$A$56,0)),"?"))</f>
        <v/>
      </c>
      <c r="D98" s="19"/>
      <c r="E98" s="53"/>
      <c r="F98" s="19"/>
      <c r="G98" s="54"/>
      <c r="H98" s="53"/>
      <c r="I98" s="53"/>
      <c r="J98" s="19"/>
      <c r="K98" s="19"/>
      <c r="L98" s="54"/>
      <c r="M98" s="53"/>
      <c r="N98" s="19"/>
      <c r="O98" s="19"/>
      <c r="P98" s="53"/>
      <c r="Q98" s="55" t="str">
        <f>IF(OR(E98="",NOT(ISNUMBER(C98))),"",IF(S98="Closed",IF(L98="","",L98-C98),Setup!$B$7-C98))</f>
        <v/>
      </c>
      <c r="R98" s="56" t="str">
        <f>IF(OR(E98="",G98="",S98="Closed",S98="Dropped"),"",G98-Setup!$B$7)</f>
        <v/>
      </c>
      <c r="S98" s="57" t="str">
        <f t="shared" si="4"/>
        <v/>
      </c>
      <c r="T98" s="58" t="str">
        <f>IF(E98="","",IF(IF(E98="","",IF(S98="Dropped","Dropped"&amp;IF(P98="",": write why",""),IF(F98="","No owner. ",IF(COUNTIF(Setup!$D$20:$D$39,F98)&gt;0,"A department: belongs to nobody. ",""))&amp;IF(G98="","No date. ","")&amp;IF(H98="","No picture of done. ","")&amp;IF(S98="Can’t tell","No status: open or closed? ","")&amp;IF(AND(S98="Closed",OR(K98="",M98="")),"Closed with no "&amp;IF(K98="","name","")&amp;IF(AND(K98="",M98=""),", no ","")&amp;IF(M98="","evidence","")&amp;". ","")&amp;IF(AND(S98&lt;&gt;"Closed",ISNUMBER(C98),Setup!$B$9&lt;&gt;"",C98&lt;Setup!$B$9,IFERROR(INDEX(Meetings!$B$7:$B$56,MATCH(N98,Meetings!$A$7:$A$56,0)),0)&lt;Setup!$B$9),"Missed at the last meeting. ","")&amp;IF(AND(ISNUMBER(R98),R98&lt;0),"Overdue "&amp;-R98&amp;IF(R98=-1," day. "," days. "),"")&amp;IF(O98&lt;&gt;"","Came back from "&amp;O98&amp;". ","")))="","✔",IF(E98="","",IF(S98="Dropped","Dropped"&amp;IF(P98="",": write why",""),IF(F98="","No owner. ",IF(COUNTIF(Setup!$D$20:$D$39,F98)&gt;0,"A department: belongs to nobody. ",""))&amp;IF(G98="","No date. ","")&amp;IF(H98="","No picture of done. ","")&amp;IF(S98="Can’t tell","No status: open or closed? ","")&amp;IF(AND(S98="Closed",OR(K98="",M98="")),"Closed with no "&amp;IF(K98="","name","")&amp;IF(AND(K98="",M98=""),", no ","")&amp;IF(M98="","evidence","")&amp;". ","")&amp;IF(AND(S98&lt;&gt;"Closed",ISNUMBER(C98),Setup!$B$9&lt;&gt;"",C98&lt;Setup!$B$9,IFERROR(INDEX(Meetings!$B$7:$B$56,MATCH(N98,Meetings!$A$7:$A$56,0)),0)&lt;Setup!$B$9),"Missed at the last meeting. ","")&amp;IF(AND(ISNUMBER(R98),R98&lt;0),"Overdue "&amp;-R98&amp;IF(R98=-1," day. "," days. "),"")&amp;IF(O98&lt;&gt;"","Came back from "&amp;O98&amp;". ","")))))</f>
        <v/>
      </c>
      <c r="U98" s="59" t="str">
        <f t="shared" si="5"/>
        <v/>
      </c>
    </row>
    <row r="99" spans="1:21" ht="30" customHeight="1" x14ac:dyDescent="0.3">
      <c r="A99" s="51" t="s">
        <v>259</v>
      </c>
      <c r="B99" s="19"/>
      <c r="C99" s="52" t="str">
        <f>IF(B99="","",IFERROR(INDEX(Meetings!$B$7:$B$56,MATCH(B99,Meetings!$A$7:$A$56,0)),"?"))</f>
        <v/>
      </c>
      <c r="D99" s="19"/>
      <c r="E99" s="53"/>
      <c r="F99" s="19"/>
      <c r="G99" s="54"/>
      <c r="H99" s="53"/>
      <c r="I99" s="53"/>
      <c r="J99" s="19"/>
      <c r="K99" s="19"/>
      <c r="L99" s="54"/>
      <c r="M99" s="53"/>
      <c r="N99" s="19"/>
      <c r="O99" s="19"/>
      <c r="P99" s="53"/>
      <c r="Q99" s="55" t="str">
        <f>IF(OR(E99="",NOT(ISNUMBER(C99))),"",IF(S99="Closed",IF(L99="","",L99-C99),Setup!$B$7-C99))</f>
        <v/>
      </c>
      <c r="R99" s="56" t="str">
        <f>IF(OR(E99="",G99="",S99="Closed",S99="Dropped"),"",G99-Setup!$B$7)</f>
        <v/>
      </c>
      <c r="S99" s="57" t="str">
        <f t="shared" si="4"/>
        <v/>
      </c>
      <c r="T99" s="58" t="str">
        <f>IF(E99="","",IF(IF(E99="","",IF(S99="Dropped","Dropped"&amp;IF(P99="",": write why",""),IF(F99="","No owner. ",IF(COUNTIF(Setup!$D$20:$D$39,F99)&gt;0,"A department: belongs to nobody. ",""))&amp;IF(G99="","No date. ","")&amp;IF(H99="","No picture of done. ","")&amp;IF(S99="Can’t tell","No status: open or closed? ","")&amp;IF(AND(S99="Closed",OR(K99="",M99="")),"Closed with no "&amp;IF(K99="","name","")&amp;IF(AND(K99="",M99=""),", no ","")&amp;IF(M99="","evidence","")&amp;". ","")&amp;IF(AND(S99&lt;&gt;"Closed",ISNUMBER(C99),Setup!$B$9&lt;&gt;"",C99&lt;Setup!$B$9,IFERROR(INDEX(Meetings!$B$7:$B$56,MATCH(N99,Meetings!$A$7:$A$56,0)),0)&lt;Setup!$B$9),"Missed at the last meeting. ","")&amp;IF(AND(ISNUMBER(R99),R99&lt;0),"Overdue "&amp;-R99&amp;IF(R99=-1," day. "," days. "),"")&amp;IF(O99&lt;&gt;"","Came back from "&amp;O99&amp;". ","")))="","✔",IF(E99="","",IF(S99="Dropped","Dropped"&amp;IF(P99="",": write why",""),IF(F99="","No owner. ",IF(COUNTIF(Setup!$D$20:$D$39,F99)&gt;0,"A department: belongs to nobody. ",""))&amp;IF(G99="","No date. ","")&amp;IF(H99="","No picture of done. ","")&amp;IF(S99="Can’t tell","No status: open or closed? ","")&amp;IF(AND(S99="Closed",OR(K99="",M99="")),"Closed with no "&amp;IF(K99="","name","")&amp;IF(AND(K99="",M99=""),", no ","")&amp;IF(M99="","evidence","")&amp;". ","")&amp;IF(AND(S99&lt;&gt;"Closed",ISNUMBER(C99),Setup!$B$9&lt;&gt;"",C99&lt;Setup!$B$9,IFERROR(INDEX(Meetings!$B$7:$B$56,MATCH(N99,Meetings!$A$7:$A$56,0)),0)&lt;Setup!$B$9),"Missed at the last meeting. ","")&amp;IF(AND(ISNUMBER(R99),R99&lt;0),"Overdue "&amp;-R99&amp;IF(R99=-1," day. "," days. "),"")&amp;IF(O99&lt;&gt;"","Came back from "&amp;O99&amp;". ","")))))</f>
        <v/>
      </c>
      <c r="U99" s="59" t="str">
        <f t="shared" si="5"/>
        <v/>
      </c>
    </row>
    <row r="100" spans="1:21" ht="30" customHeight="1" x14ac:dyDescent="0.3">
      <c r="A100" s="51" t="s">
        <v>260</v>
      </c>
      <c r="B100" s="19"/>
      <c r="C100" s="52" t="str">
        <f>IF(B100="","",IFERROR(INDEX(Meetings!$B$7:$B$56,MATCH(B100,Meetings!$A$7:$A$56,0)),"?"))</f>
        <v/>
      </c>
      <c r="D100" s="19"/>
      <c r="E100" s="53"/>
      <c r="F100" s="19"/>
      <c r="G100" s="54"/>
      <c r="H100" s="53"/>
      <c r="I100" s="53"/>
      <c r="J100" s="19"/>
      <c r="K100" s="19"/>
      <c r="L100" s="54"/>
      <c r="M100" s="53"/>
      <c r="N100" s="19"/>
      <c r="O100" s="19"/>
      <c r="P100" s="53"/>
      <c r="Q100" s="55" t="str">
        <f>IF(OR(E100="",NOT(ISNUMBER(C100))),"",IF(S100="Closed",IF(L100="","",L100-C100),Setup!$B$7-C100))</f>
        <v/>
      </c>
      <c r="R100" s="56" t="str">
        <f>IF(OR(E100="",G100="",S100="Closed",S100="Dropped"),"",G100-Setup!$B$7)</f>
        <v/>
      </c>
      <c r="S100" s="57" t="str">
        <f t="shared" si="4"/>
        <v/>
      </c>
      <c r="T100" s="58" t="str">
        <f>IF(E100="","",IF(IF(E100="","",IF(S100="Dropped","Dropped"&amp;IF(P100="",": write why",""),IF(F100="","No owner. ",IF(COUNTIF(Setup!$D$20:$D$39,F100)&gt;0,"A department: belongs to nobody. ",""))&amp;IF(G100="","No date. ","")&amp;IF(H100="","No picture of done. ","")&amp;IF(S100="Can’t tell","No status: open or closed? ","")&amp;IF(AND(S100="Closed",OR(K100="",M100="")),"Closed with no "&amp;IF(K100="","name","")&amp;IF(AND(K100="",M100=""),", no ","")&amp;IF(M100="","evidence","")&amp;". ","")&amp;IF(AND(S100&lt;&gt;"Closed",ISNUMBER(C100),Setup!$B$9&lt;&gt;"",C100&lt;Setup!$B$9,IFERROR(INDEX(Meetings!$B$7:$B$56,MATCH(N100,Meetings!$A$7:$A$56,0)),0)&lt;Setup!$B$9),"Missed at the last meeting. ","")&amp;IF(AND(ISNUMBER(R100),R100&lt;0),"Overdue "&amp;-R100&amp;IF(R100=-1," day. "," days. "),"")&amp;IF(O100&lt;&gt;"","Came back from "&amp;O100&amp;". ","")))="","✔",IF(E100="","",IF(S100="Dropped","Dropped"&amp;IF(P100="",": write why",""),IF(F100="","No owner. ",IF(COUNTIF(Setup!$D$20:$D$39,F100)&gt;0,"A department: belongs to nobody. ",""))&amp;IF(G100="","No date. ","")&amp;IF(H100="","No picture of done. ","")&amp;IF(S100="Can’t tell","No status: open or closed? ","")&amp;IF(AND(S100="Closed",OR(K100="",M100="")),"Closed with no "&amp;IF(K100="","name","")&amp;IF(AND(K100="",M100=""),", no ","")&amp;IF(M100="","evidence","")&amp;". ","")&amp;IF(AND(S100&lt;&gt;"Closed",ISNUMBER(C100),Setup!$B$9&lt;&gt;"",C100&lt;Setup!$B$9,IFERROR(INDEX(Meetings!$B$7:$B$56,MATCH(N100,Meetings!$A$7:$A$56,0)),0)&lt;Setup!$B$9),"Missed at the last meeting. ","")&amp;IF(AND(ISNUMBER(R100),R100&lt;0),"Overdue "&amp;-R100&amp;IF(R100=-1," day. "," days. "),"")&amp;IF(O100&lt;&gt;"","Came back from "&amp;O100&amp;". ","")))))</f>
        <v/>
      </c>
      <c r="U100" s="59" t="str">
        <f t="shared" si="5"/>
        <v/>
      </c>
    </row>
    <row r="101" spans="1:21" ht="30" customHeight="1" x14ac:dyDescent="0.3">
      <c r="A101" s="51" t="s">
        <v>261</v>
      </c>
      <c r="B101" s="19"/>
      <c r="C101" s="52" t="str">
        <f>IF(B101="","",IFERROR(INDEX(Meetings!$B$7:$B$56,MATCH(B101,Meetings!$A$7:$A$56,0)),"?"))</f>
        <v/>
      </c>
      <c r="D101" s="19"/>
      <c r="E101" s="53"/>
      <c r="F101" s="19"/>
      <c r="G101" s="54"/>
      <c r="H101" s="53"/>
      <c r="I101" s="53"/>
      <c r="J101" s="19"/>
      <c r="K101" s="19"/>
      <c r="L101" s="54"/>
      <c r="M101" s="53"/>
      <c r="N101" s="19"/>
      <c r="O101" s="19"/>
      <c r="P101" s="53"/>
      <c r="Q101" s="55" t="str">
        <f>IF(OR(E101="",NOT(ISNUMBER(C101))),"",IF(S101="Closed",IF(L101="","",L101-C101),Setup!$B$7-C101))</f>
        <v/>
      </c>
      <c r="R101" s="56" t="str">
        <f>IF(OR(E101="",G101="",S101="Closed",S101="Dropped"),"",G101-Setup!$B$7)</f>
        <v/>
      </c>
      <c r="S101" s="57" t="str">
        <f t="shared" si="4"/>
        <v/>
      </c>
      <c r="T101" s="58" t="str">
        <f>IF(E101="","",IF(IF(E101="","",IF(S101="Dropped","Dropped"&amp;IF(P101="",": write why",""),IF(F101="","No owner. ",IF(COUNTIF(Setup!$D$20:$D$39,F101)&gt;0,"A department: belongs to nobody. ",""))&amp;IF(G101="","No date. ","")&amp;IF(H101="","No picture of done. ","")&amp;IF(S101="Can’t tell","No status: open or closed? ","")&amp;IF(AND(S101="Closed",OR(K101="",M101="")),"Closed with no "&amp;IF(K101="","name","")&amp;IF(AND(K101="",M101=""),", no ","")&amp;IF(M101="","evidence","")&amp;". ","")&amp;IF(AND(S101&lt;&gt;"Closed",ISNUMBER(C101),Setup!$B$9&lt;&gt;"",C101&lt;Setup!$B$9,IFERROR(INDEX(Meetings!$B$7:$B$56,MATCH(N101,Meetings!$A$7:$A$56,0)),0)&lt;Setup!$B$9),"Missed at the last meeting. ","")&amp;IF(AND(ISNUMBER(R101),R101&lt;0),"Overdue "&amp;-R101&amp;IF(R101=-1," day. "," days. "),"")&amp;IF(O101&lt;&gt;"","Came back from "&amp;O101&amp;". ","")))="","✔",IF(E101="","",IF(S101="Dropped","Dropped"&amp;IF(P101="",": write why",""),IF(F101="","No owner. ",IF(COUNTIF(Setup!$D$20:$D$39,F101)&gt;0,"A department: belongs to nobody. ",""))&amp;IF(G101="","No date. ","")&amp;IF(H101="","No picture of done. ","")&amp;IF(S101="Can’t tell","No status: open or closed? ","")&amp;IF(AND(S101="Closed",OR(K101="",M101="")),"Closed with no "&amp;IF(K101="","name","")&amp;IF(AND(K101="",M101=""),", no ","")&amp;IF(M101="","evidence","")&amp;". ","")&amp;IF(AND(S101&lt;&gt;"Closed",ISNUMBER(C101),Setup!$B$9&lt;&gt;"",C101&lt;Setup!$B$9,IFERROR(INDEX(Meetings!$B$7:$B$56,MATCH(N101,Meetings!$A$7:$A$56,0)),0)&lt;Setup!$B$9),"Missed at the last meeting. ","")&amp;IF(AND(ISNUMBER(R101),R101&lt;0),"Overdue "&amp;-R101&amp;IF(R101=-1," day. "," days. "),"")&amp;IF(O101&lt;&gt;"","Came back from "&amp;O101&amp;". ","")))))</f>
        <v/>
      </c>
      <c r="U101" s="59" t="str">
        <f t="shared" si="5"/>
        <v/>
      </c>
    </row>
    <row r="102" spans="1:21" ht="30" customHeight="1" x14ac:dyDescent="0.3">
      <c r="A102" s="51" t="s">
        <v>262</v>
      </c>
      <c r="B102" s="19"/>
      <c r="C102" s="52" t="str">
        <f>IF(B102="","",IFERROR(INDEX(Meetings!$B$7:$B$56,MATCH(B102,Meetings!$A$7:$A$56,0)),"?"))</f>
        <v/>
      </c>
      <c r="D102" s="19"/>
      <c r="E102" s="53"/>
      <c r="F102" s="19"/>
      <c r="G102" s="54"/>
      <c r="H102" s="53"/>
      <c r="I102" s="53"/>
      <c r="J102" s="19"/>
      <c r="K102" s="19"/>
      <c r="L102" s="54"/>
      <c r="M102" s="53"/>
      <c r="N102" s="19"/>
      <c r="O102" s="19"/>
      <c r="P102" s="53"/>
      <c r="Q102" s="55" t="str">
        <f>IF(OR(E102="",NOT(ISNUMBER(C102))),"",IF(S102="Closed",IF(L102="","",L102-C102),Setup!$B$7-C102))</f>
        <v/>
      </c>
      <c r="R102" s="56" t="str">
        <f>IF(OR(E102="",G102="",S102="Closed",S102="Dropped"),"",G102-Setup!$B$7)</f>
        <v/>
      </c>
      <c r="S102" s="57" t="str">
        <f t="shared" si="4"/>
        <v/>
      </c>
      <c r="T102" s="58" t="str">
        <f>IF(E102="","",IF(IF(E102="","",IF(S102="Dropped","Dropped"&amp;IF(P102="",": write why",""),IF(F102="","No owner. ",IF(COUNTIF(Setup!$D$20:$D$39,F102)&gt;0,"A department: belongs to nobody. ",""))&amp;IF(G102="","No date. ","")&amp;IF(H102="","No picture of done. ","")&amp;IF(S102="Can’t tell","No status: open or closed? ","")&amp;IF(AND(S102="Closed",OR(K102="",M102="")),"Closed with no "&amp;IF(K102="","name","")&amp;IF(AND(K102="",M102=""),", no ","")&amp;IF(M102="","evidence","")&amp;". ","")&amp;IF(AND(S102&lt;&gt;"Closed",ISNUMBER(C102),Setup!$B$9&lt;&gt;"",C102&lt;Setup!$B$9,IFERROR(INDEX(Meetings!$B$7:$B$56,MATCH(N102,Meetings!$A$7:$A$56,0)),0)&lt;Setup!$B$9),"Missed at the last meeting. ","")&amp;IF(AND(ISNUMBER(R102),R102&lt;0),"Overdue "&amp;-R102&amp;IF(R102=-1," day. "," days. "),"")&amp;IF(O102&lt;&gt;"","Came back from "&amp;O102&amp;". ","")))="","✔",IF(E102="","",IF(S102="Dropped","Dropped"&amp;IF(P102="",": write why",""),IF(F102="","No owner. ",IF(COUNTIF(Setup!$D$20:$D$39,F102)&gt;0,"A department: belongs to nobody. ",""))&amp;IF(G102="","No date. ","")&amp;IF(H102="","No picture of done. ","")&amp;IF(S102="Can’t tell","No status: open or closed? ","")&amp;IF(AND(S102="Closed",OR(K102="",M102="")),"Closed with no "&amp;IF(K102="","name","")&amp;IF(AND(K102="",M102=""),", no ","")&amp;IF(M102="","evidence","")&amp;". ","")&amp;IF(AND(S102&lt;&gt;"Closed",ISNUMBER(C102),Setup!$B$9&lt;&gt;"",C102&lt;Setup!$B$9,IFERROR(INDEX(Meetings!$B$7:$B$56,MATCH(N102,Meetings!$A$7:$A$56,0)),0)&lt;Setup!$B$9),"Missed at the last meeting. ","")&amp;IF(AND(ISNUMBER(R102),R102&lt;0),"Overdue "&amp;-R102&amp;IF(R102=-1," day. "," days. "),"")&amp;IF(O102&lt;&gt;"","Came back from "&amp;O102&amp;". ","")))))</f>
        <v/>
      </c>
      <c r="U102" s="59" t="str">
        <f t="shared" si="5"/>
        <v/>
      </c>
    </row>
    <row r="103" spans="1:21" ht="30" customHeight="1" x14ac:dyDescent="0.3">
      <c r="A103" s="51" t="s">
        <v>263</v>
      </c>
      <c r="B103" s="19"/>
      <c r="C103" s="52" t="str">
        <f>IF(B103="","",IFERROR(INDEX(Meetings!$B$7:$B$56,MATCH(B103,Meetings!$A$7:$A$56,0)),"?"))</f>
        <v/>
      </c>
      <c r="D103" s="19"/>
      <c r="E103" s="53"/>
      <c r="F103" s="19"/>
      <c r="G103" s="54"/>
      <c r="H103" s="53"/>
      <c r="I103" s="53"/>
      <c r="J103" s="19"/>
      <c r="K103" s="19"/>
      <c r="L103" s="54"/>
      <c r="M103" s="53"/>
      <c r="N103" s="19"/>
      <c r="O103" s="19"/>
      <c r="P103" s="53"/>
      <c r="Q103" s="55" t="str">
        <f>IF(OR(E103="",NOT(ISNUMBER(C103))),"",IF(S103="Closed",IF(L103="","",L103-C103),Setup!$B$7-C103))</f>
        <v/>
      </c>
      <c r="R103" s="56" t="str">
        <f>IF(OR(E103="",G103="",S103="Closed",S103="Dropped"),"",G103-Setup!$B$7)</f>
        <v/>
      </c>
      <c r="S103" s="57" t="str">
        <f t="shared" si="4"/>
        <v/>
      </c>
      <c r="T103" s="58" t="str">
        <f>IF(E103="","",IF(IF(E103="","",IF(S103="Dropped","Dropped"&amp;IF(P103="",": write why",""),IF(F103="","No owner. ",IF(COUNTIF(Setup!$D$20:$D$39,F103)&gt;0,"A department: belongs to nobody. ",""))&amp;IF(G103="","No date. ","")&amp;IF(H103="","No picture of done. ","")&amp;IF(S103="Can’t tell","No status: open or closed? ","")&amp;IF(AND(S103="Closed",OR(K103="",M103="")),"Closed with no "&amp;IF(K103="","name","")&amp;IF(AND(K103="",M103=""),", no ","")&amp;IF(M103="","evidence","")&amp;". ","")&amp;IF(AND(S103&lt;&gt;"Closed",ISNUMBER(C103),Setup!$B$9&lt;&gt;"",C103&lt;Setup!$B$9,IFERROR(INDEX(Meetings!$B$7:$B$56,MATCH(N103,Meetings!$A$7:$A$56,0)),0)&lt;Setup!$B$9),"Missed at the last meeting. ","")&amp;IF(AND(ISNUMBER(R103),R103&lt;0),"Overdue "&amp;-R103&amp;IF(R103=-1," day. "," days. "),"")&amp;IF(O103&lt;&gt;"","Came back from "&amp;O103&amp;". ","")))="","✔",IF(E103="","",IF(S103="Dropped","Dropped"&amp;IF(P103="",": write why",""),IF(F103="","No owner. ",IF(COUNTIF(Setup!$D$20:$D$39,F103)&gt;0,"A department: belongs to nobody. ",""))&amp;IF(G103="","No date. ","")&amp;IF(H103="","No picture of done. ","")&amp;IF(S103="Can’t tell","No status: open or closed? ","")&amp;IF(AND(S103="Closed",OR(K103="",M103="")),"Closed with no "&amp;IF(K103="","name","")&amp;IF(AND(K103="",M103=""),", no ","")&amp;IF(M103="","evidence","")&amp;". ","")&amp;IF(AND(S103&lt;&gt;"Closed",ISNUMBER(C103),Setup!$B$9&lt;&gt;"",C103&lt;Setup!$B$9,IFERROR(INDEX(Meetings!$B$7:$B$56,MATCH(N103,Meetings!$A$7:$A$56,0)),0)&lt;Setup!$B$9),"Missed at the last meeting. ","")&amp;IF(AND(ISNUMBER(R103),R103&lt;0),"Overdue "&amp;-R103&amp;IF(R103=-1," day. "," days. "),"")&amp;IF(O103&lt;&gt;"","Came back from "&amp;O103&amp;". ","")))))</f>
        <v/>
      </c>
      <c r="U103" s="59" t="str">
        <f t="shared" si="5"/>
        <v/>
      </c>
    </row>
    <row r="104" spans="1:21" ht="30" customHeight="1" x14ac:dyDescent="0.3">
      <c r="A104" s="51" t="s">
        <v>264</v>
      </c>
      <c r="B104" s="19"/>
      <c r="C104" s="52" t="str">
        <f>IF(B104="","",IFERROR(INDEX(Meetings!$B$7:$B$56,MATCH(B104,Meetings!$A$7:$A$56,0)),"?"))</f>
        <v/>
      </c>
      <c r="D104" s="19"/>
      <c r="E104" s="53"/>
      <c r="F104" s="19"/>
      <c r="G104" s="54"/>
      <c r="H104" s="53"/>
      <c r="I104" s="53"/>
      <c r="J104" s="19"/>
      <c r="K104" s="19"/>
      <c r="L104" s="54"/>
      <c r="M104" s="53"/>
      <c r="N104" s="19"/>
      <c r="O104" s="19"/>
      <c r="P104" s="53"/>
      <c r="Q104" s="55" t="str">
        <f>IF(OR(E104="",NOT(ISNUMBER(C104))),"",IF(S104="Closed",IF(L104="","",L104-C104),Setup!$B$7-C104))</f>
        <v/>
      </c>
      <c r="R104" s="56" t="str">
        <f>IF(OR(E104="",G104="",S104="Closed",S104="Dropped"),"",G104-Setup!$B$7)</f>
        <v/>
      </c>
      <c r="S104" s="57" t="str">
        <f t="shared" si="4"/>
        <v/>
      </c>
      <c r="T104" s="58" t="str">
        <f>IF(E104="","",IF(IF(E104="","",IF(S104="Dropped","Dropped"&amp;IF(P104="",": write why",""),IF(F104="","No owner. ",IF(COUNTIF(Setup!$D$20:$D$39,F104)&gt;0,"A department: belongs to nobody. ",""))&amp;IF(G104="","No date. ","")&amp;IF(H104="","No picture of done. ","")&amp;IF(S104="Can’t tell","No status: open or closed? ","")&amp;IF(AND(S104="Closed",OR(K104="",M104="")),"Closed with no "&amp;IF(K104="","name","")&amp;IF(AND(K104="",M104=""),", no ","")&amp;IF(M104="","evidence","")&amp;". ","")&amp;IF(AND(S104&lt;&gt;"Closed",ISNUMBER(C104),Setup!$B$9&lt;&gt;"",C104&lt;Setup!$B$9,IFERROR(INDEX(Meetings!$B$7:$B$56,MATCH(N104,Meetings!$A$7:$A$56,0)),0)&lt;Setup!$B$9),"Missed at the last meeting. ","")&amp;IF(AND(ISNUMBER(R104),R104&lt;0),"Overdue "&amp;-R104&amp;IF(R104=-1," day. "," days. "),"")&amp;IF(O104&lt;&gt;"","Came back from "&amp;O104&amp;". ","")))="","✔",IF(E104="","",IF(S104="Dropped","Dropped"&amp;IF(P104="",": write why",""),IF(F104="","No owner. ",IF(COUNTIF(Setup!$D$20:$D$39,F104)&gt;0,"A department: belongs to nobody. ",""))&amp;IF(G104="","No date. ","")&amp;IF(H104="","No picture of done. ","")&amp;IF(S104="Can’t tell","No status: open or closed? ","")&amp;IF(AND(S104="Closed",OR(K104="",M104="")),"Closed with no "&amp;IF(K104="","name","")&amp;IF(AND(K104="",M104=""),", no ","")&amp;IF(M104="","evidence","")&amp;". ","")&amp;IF(AND(S104&lt;&gt;"Closed",ISNUMBER(C104),Setup!$B$9&lt;&gt;"",C104&lt;Setup!$B$9,IFERROR(INDEX(Meetings!$B$7:$B$56,MATCH(N104,Meetings!$A$7:$A$56,0)),0)&lt;Setup!$B$9),"Missed at the last meeting. ","")&amp;IF(AND(ISNUMBER(R104),R104&lt;0),"Overdue "&amp;-R104&amp;IF(R104=-1," day. "," days. "),"")&amp;IF(O104&lt;&gt;"","Came back from "&amp;O104&amp;". ","")))))</f>
        <v/>
      </c>
      <c r="U104" s="59" t="str">
        <f t="shared" si="5"/>
        <v/>
      </c>
    </row>
    <row r="105" spans="1:21" ht="30" customHeight="1" x14ac:dyDescent="0.3">
      <c r="A105" s="51" t="s">
        <v>265</v>
      </c>
      <c r="B105" s="19"/>
      <c r="C105" s="52" t="str">
        <f>IF(B105="","",IFERROR(INDEX(Meetings!$B$7:$B$56,MATCH(B105,Meetings!$A$7:$A$56,0)),"?"))</f>
        <v/>
      </c>
      <c r="D105" s="19"/>
      <c r="E105" s="53"/>
      <c r="F105" s="19"/>
      <c r="G105" s="54"/>
      <c r="H105" s="53"/>
      <c r="I105" s="53"/>
      <c r="J105" s="19"/>
      <c r="K105" s="19"/>
      <c r="L105" s="54"/>
      <c r="M105" s="53"/>
      <c r="N105" s="19"/>
      <c r="O105" s="19"/>
      <c r="P105" s="53"/>
      <c r="Q105" s="55" t="str">
        <f>IF(OR(E105="",NOT(ISNUMBER(C105))),"",IF(S105="Closed",IF(L105="","",L105-C105),Setup!$B$7-C105))</f>
        <v/>
      </c>
      <c r="R105" s="56" t="str">
        <f>IF(OR(E105="",G105="",S105="Closed",S105="Dropped"),"",G105-Setup!$B$7)</f>
        <v/>
      </c>
      <c r="S105" s="57" t="str">
        <f t="shared" si="4"/>
        <v/>
      </c>
      <c r="T105" s="58" t="str">
        <f>IF(E105="","",IF(IF(E105="","",IF(S105="Dropped","Dropped"&amp;IF(P105="",": write why",""),IF(F105="","No owner. ",IF(COUNTIF(Setup!$D$20:$D$39,F105)&gt;0,"A department: belongs to nobody. ",""))&amp;IF(G105="","No date. ","")&amp;IF(H105="","No picture of done. ","")&amp;IF(S105="Can’t tell","No status: open or closed? ","")&amp;IF(AND(S105="Closed",OR(K105="",M105="")),"Closed with no "&amp;IF(K105="","name","")&amp;IF(AND(K105="",M105=""),", no ","")&amp;IF(M105="","evidence","")&amp;". ","")&amp;IF(AND(S105&lt;&gt;"Closed",ISNUMBER(C105),Setup!$B$9&lt;&gt;"",C105&lt;Setup!$B$9,IFERROR(INDEX(Meetings!$B$7:$B$56,MATCH(N105,Meetings!$A$7:$A$56,0)),0)&lt;Setup!$B$9),"Missed at the last meeting. ","")&amp;IF(AND(ISNUMBER(R105),R105&lt;0),"Overdue "&amp;-R105&amp;IF(R105=-1," day. "," days. "),"")&amp;IF(O105&lt;&gt;"","Came back from "&amp;O105&amp;". ","")))="","✔",IF(E105="","",IF(S105="Dropped","Dropped"&amp;IF(P105="",": write why",""),IF(F105="","No owner. ",IF(COUNTIF(Setup!$D$20:$D$39,F105)&gt;0,"A department: belongs to nobody. ",""))&amp;IF(G105="","No date. ","")&amp;IF(H105="","No picture of done. ","")&amp;IF(S105="Can’t tell","No status: open or closed? ","")&amp;IF(AND(S105="Closed",OR(K105="",M105="")),"Closed with no "&amp;IF(K105="","name","")&amp;IF(AND(K105="",M105=""),", no ","")&amp;IF(M105="","evidence","")&amp;". ","")&amp;IF(AND(S105&lt;&gt;"Closed",ISNUMBER(C105),Setup!$B$9&lt;&gt;"",C105&lt;Setup!$B$9,IFERROR(INDEX(Meetings!$B$7:$B$56,MATCH(N105,Meetings!$A$7:$A$56,0)),0)&lt;Setup!$B$9),"Missed at the last meeting. ","")&amp;IF(AND(ISNUMBER(R105),R105&lt;0),"Overdue "&amp;-R105&amp;IF(R105=-1," day. "," days. "),"")&amp;IF(O105&lt;&gt;"","Came back from "&amp;O105&amp;". ","")))))</f>
        <v/>
      </c>
      <c r="U105" s="59" t="str">
        <f t="shared" si="5"/>
        <v/>
      </c>
    </row>
    <row r="106" spans="1:21" ht="30" customHeight="1" x14ac:dyDescent="0.3">
      <c r="A106" s="51" t="s">
        <v>266</v>
      </c>
      <c r="B106" s="19"/>
      <c r="C106" s="52" t="str">
        <f>IF(B106="","",IFERROR(INDEX(Meetings!$B$7:$B$56,MATCH(B106,Meetings!$A$7:$A$56,0)),"?"))</f>
        <v/>
      </c>
      <c r="D106" s="19"/>
      <c r="E106" s="53"/>
      <c r="F106" s="19"/>
      <c r="G106" s="54"/>
      <c r="H106" s="53"/>
      <c r="I106" s="53"/>
      <c r="J106" s="19"/>
      <c r="K106" s="19"/>
      <c r="L106" s="54"/>
      <c r="M106" s="53"/>
      <c r="N106" s="19"/>
      <c r="O106" s="19"/>
      <c r="P106" s="53"/>
      <c r="Q106" s="55" t="str">
        <f>IF(OR(E106="",NOT(ISNUMBER(C106))),"",IF(S106="Closed",IF(L106="","",L106-C106),Setup!$B$7-C106))</f>
        <v/>
      </c>
      <c r="R106" s="56" t="str">
        <f>IF(OR(E106="",G106="",S106="Closed",S106="Dropped"),"",G106-Setup!$B$7)</f>
        <v/>
      </c>
      <c r="S106" s="57" t="str">
        <f t="shared" si="4"/>
        <v/>
      </c>
      <c r="T106" s="58" t="str">
        <f>IF(E106="","",IF(IF(E106="","",IF(S106="Dropped","Dropped"&amp;IF(P106="",": write why",""),IF(F106="","No owner. ",IF(COUNTIF(Setup!$D$20:$D$39,F106)&gt;0,"A department: belongs to nobody. ",""))&amp;IF(G106="","No date. ","")&amp;IF(H106="","No picture of done. ","")&amp;IF(S106="Can’t tell","No status: open or closed? ","")&amp;IF(AND(S106="Closed",OR(K106="",M106="")),"Closed with no "&amp;IF(K106="","name","")&amp;IF(AND(K106="",M106=""),", no ","")&amp;IF(M106="","evidence","")&amp;". ","")&amp;IF(AND(S106&lt;&gt;"Closed",ISNUMBER(C106),Setup!$B$9&lt;&gt;"",C106&lt;Setup!$B$9,IFERROR(INDEX(Meetings!$B$7:$B$56,MATCH(N106,Meetings!$A$7:$A$56,0)),0)&lt;Setup!$B$9),"Missed at the last meeting. ","")&amp;IF(AND(ISNUMBER(R106),R106&lt;0),"Overdue "&amp;-R106&amp;IF(R106=-1," day. "," days. "),"")&amp;IF(O106&lt;&gt;"","Came back from "&amp;O106&amp;". ","")))="","✔",IF(E106="","",IF(S106="Dropped","Dropped"&amp;IF(P106="",": write why",""),IF(F106="","No owner. ",IF(COUNTIF(Setup!$D$20:$D$39,F106)&gt;0,"A department: belongs to nobody. ",""))&amp;IF(G106="","No date. ","")&amp;IF(H106="","No picture of done. ","")&amp;IF(S106="Can’t tell","No status: open or closed? ","")&amp;IF(AND(S106="Closed",OR(K106="",M106="")),"Closed with no "&amp;IF(K106="","name","")&amp;IF(AND(K106="",M106=""),", no ","")&amp;IF(M106="","evidence","")&amp;". ","")&amp;IF(AND(S106&lt;&gt;"Closed",ISNUMBER(C106),Setup!$B$9&lt;&gt;"",C106&lt;Setup!$B$9,IFERROR(INDEX(Meetings!$B$7:$B$56,MATCH(N106,Meetings!$A$7:$A$56,0)),0)&lt;Setup!$B$9),"Missed at the last meeting. ","")&amp;IF(AND(ISNUMBER(R106),R106&lt;0),"Overdue "&amp;-R106&amp;IF(R106=-1," day. "," days. "),"")&amp;IF(O106&lt;&gt;"","Came back from "&amp;O106&amp;". ","")))))</f>
        <v/>
      </c>
      <c r="U106" s="59" t="str">
        <f t="shared" si="5"/>
        <v/>
      </c>
    </row>
    <row r="108" spans="1:21" x14ac:dyDescent="0.3">
      <c r="A108" s="36" t="s">
        <v>267</v>
      </c>
    </row>
  </sheetData>
  <conditionalFormatting sqref="R7:R106">
    <cfRule type="cellIs" dxfId="11" priority="6" operator="lessThan">
      <formula>0</formula>
    </cfRule>
  </conditionalFormatting>
  <conditionalFormatting sqref="S7:S106">
    <cfRule type="cellIs" dxfId="9" priority="1" operator="equal">
      <formula>"Open"</formula>
    </cfRule>
    <cfRule type="cellIs" dxfId="8" priority="2" operator="equal">
      <formula>"Closed"</formula>
    </cfRule>
    <cfRule type="cellIs" dxfId="7" priority="3" operator="equal">
      <formula>"Can’t tell"</formula>
    </cfRule>
    <cfRule type="cellIs" dxfId="6" priority="4" operator="equal">
      <formula>"Dropped"</formula>
    </cfRule>
  </conditionalFormatting>
  <conditionalFormatting sqref="T7:T106">
    <cfRule type="expression" dxfId="5" priority="5">
      <formula>AND(T7&lt;&gt;"",T7&lt;&gt;"✔")</formula>
    </cfRule>
  </conditionalFormatting>
  <printOptions horizontalCentered="1"/>
  <pageMargins left="0.4" right="0.4" top="0.5" bottom="0.5" header="0.5" footer="0.5"/>
  <pageSetup paperSize="9" scale="39" fitToHeight="0" orientation="landscape" r:id="rId1"/>
  <extLst>
    <ext xmlns:x14="http://schemas.microsoft.com/office/spreadsheetml/2009/9/main" uri="{78C0D931-6437-407d-A8EE-F0AAD7539E65}">
      <x14:conditionalFormattings>
        <x14:conditionalFormatting xmlns:xm="http://schemas.microsoft.com/office/excel/2006/main">
          <x14:cfRule type="expression" priority="8" id="{00000000-000E-0000-0200-000008000000}">
            <xm:f>AND(E7&lt;&gt;"",OR(F7="",COUNTIF(Setup!$D$20:$D$39,F7)&gt;0))</xm:f>
            <x14:dxf>
              <font>
                <b/>
                <color rgb="FFBE123C"/>
                <name val="Arial"/>
              </font>
              <fill>
                <patternFill patternType="solid">
                  <fgColor rgb="FFFFE4E6"/>
                </patternFill>
              </fill>
            </x14:dxf>
          </x14:cfRule>
          <xm:sqref>F7:F106</xm:sqref>
        </x14:conditionalFormatting>
        <x14:conditionalFormatting xmlns:xm="http://schemas.microsoft.com/office/excel/2006/main">
          <x14:cfRule type="expression" priority="7" id="{00000000-000E-0000-0200-000007000000}">
            <xm:f>AND(ISNUMBER(R7),R7&gt;=0,R7&lt;=Setup!$B$8)</xm:f>
            <x14:dxf>
              <font>
                <b/>
                <color rgb="FFB45309"/>
                <name val="Arial"/>
              </font>
              <fill>
                <patternFill patternType="solid">
                  <fgColor rgb="FFFEF3C7"/>
                </patternFill>
              </fill>
            </x14:dxf>
          </x14:cfRule>
          <xm:sqref>R7:R106</xm:sqref>
        </x14:conditionalFormatting>
      </x14:conditionalFormattings>
    </ext>
    <ext xmlns:x14="http://schemas.microsoft.com/office/spreadsheetml/2009/9/main" uri="{CCE6A557-97BC-4b89-ADB6-D9C93CAAB3DF}">
      <x14:dataValidations xmlns:xm="http://schemas.microsoft.com/office/excel/2006/main" count="4">
        <x14:dataValidation type="list" allowBlank="1" xr:uid="{00000000-0002-0000-0200-000000000000}">
          <x14:formula1>
            <xm:f>Meetings!$A$7:$A$56</xm:f>
          </x14:formula1>
          <xm:sqref>B7:B106 N7:N106</xm:sqref>
        </x14:dataValidation>
        <x14:dataValidation type="list" allowBlank="1" xr:uid="{00000000-0002-0000-0200-000002000000}">
          <x14:formula1>
            <xm:f>Setup!$L$20:$L$23</xm:f>
          </x14:formula1>
          <xm:sqref>D7:D106</xm:sqref>
        </x14:dataValidation>
        <x14:dataValidation type="list" allowBlank="1" xr:uid="{00000000-0002-0000-0200-000003000000}">
          <x14:formula1>
            <xm:f>Setup!$A$20:$A$39</xm:f>
          </x14:formula1>
          <xm:sqref>F7:F106 K7:K106</xm:sqref>
        </x14:dataValidation>
        <x14:dataValidation type="list" allowBlank="1" xr:uid="{00000000-0002-0000-0200-000005000000}">
          <x14:formula1>
            <xm:f>Setup!$J$20:$J$23</xm:f>
          </x14:formula1>
          <xm:sqref>J7:J106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B82F6"/>
    <pageSetUpPr fitToPage="1"/>
  </sheetPr>
  <dimension ref="A1:K58"/>
  <sheetViews>
    <sheetView showGridLines="0" view="pageBreakPreview" zoomScale="60" zoomScaleNormal="100" workbookViewId="0">
      <pane xSplit="1" ySplit="6" topLeftCell="B7" activePane="bottomRight" state="frozen"/>
      <selection pane="topRight"/>
      <selection pane="bottomLeft"/>
      <selection pane="bottomRight"/>
    </sheetView>
  </sheetViews>
  <sheetFormatPr defaultRowHeight="14.4" x14ac:dyDescent="0.3"/>
  <cols>
    <col min="1" max="1" width="7" customWidth="1"/>
    <col min="2" max="2" width="13" customWidth="1"/>
    <col min="3" max="3" width="20" customWidth="1"/>
    <col min="4" max="4" width="18" customWidth="1"/>
    <col min="5" max="5" width="13" customWidth="1"/>
    <col min="6" max="6" width="9" customWidth="1"/>
    <col min="7" max="7" width="10" customWidth="1"/>
    <col min="8" max="10" width="9" customWidth="1"/>
    <col min="11" max="11" width="40" customWidth="1"/>
  </cols>
  <sheetData>
    <row r="1" spans="1:11" ht="28.05" customHeight="1" x14ac:dyDescent="0.4">
      <c r="A1" s="43" t="s">
        <v>44</v>
      </c>
      <c r="K1" s="95" t="s">
        <v>57</v>
      </c>
    </row>
    <row r="2" spans="1:11" x14ac:dyDescent="0.3">
      <c r="A2" s="44" t="s">
        <v>268</v>
      </c>
    </row>
    <row r="3" spans="1:11" x14ac:dyDescent="0.3">
      <c r="A3" s="45" t="s">
        <v>269</v>
      </c>
    </row>
    <row r="4" spans="1:11" x14ac:dyDescent="0.3">
      <c r="A4" s="46"/>
      <c r="B4" s="46"/>
      <c r="C4" s="46"/>
      <c r="D4" s="46"/>
      <c r="E4" s="46"/>
      <c r="F4" s="46"/>
      <c r="G4" s="46"/>
      <c r="H4" s="46"/>
      <c r="I4" s="46"/>
      <c r="J4" s="46"/>
      <c r="K4" s="46"/>
    </row>
    <row r="6" spans="1:11" ht="31.95" customHeight="1" x14ac:dyDescent="0.3">
      <c r="A6" s="47" t="s">
        <v>66</v>
      </c>
      <c r="B6" s="47" t="s">
        <v>76</v>
      </c>
      <c r="C6" s="47" t="s">
        <v>91</v>
      </c>
      <c r="D6" s="47" t="s">
        <v>270</v>
      </c>
      <c r="E6" s="48" t="s">
        <v>271</v>
      </c>
      <c r="F6" s="48" t="s">
        <v>272</v>
      </c>
      <c r="G6" s="48" t="s">
        <v>273</v>
      </c>
      <c r="H6" s="48" t="s">
        <v>274</v>
      </c>
      <c r="I6" s="47" t="s">
        <v>13</v>
      </c>
      <c r="J6" s="48" t="s">
        <v>30</v>
      </c>
      <c r="K6" s="47" t="s">
        <v>99</v>
      </c>
    </row>
    <row r="7" spans="1:11" x14ac:dyDescent="0.3">
      <c r="A7" s="60" t="s">
        <v>104</v>
      </c>
      <c r="B7" s="54">
        <v>46073</v>
      </c>
      <c r="C7" s="19" t="s">
        <v>275</v>
      </c>
      <c r="D7" s="19" t="s">
        <v>137</v>
      </c>
      <c r="E7" s="54">
        <v>46077</v>
      </c>
      <c r="F7" s="55">
        <f t="shared" ref="F7:F38" si="0">IF(OR(B7="",E7=""),"",NETWORKDAYS(B7,E7)-1)</f>
        <v>2</v>
      </c>
      <c r="G7" s="55">
        <f>IF(B7="","",COUNTIF(Actions!$B$7:$B$106,A7))</f>
        <v>3</v>
      </c>
      <c r="H7" s="55">
        <f>IF(B7="","",COUNTIFS(Actions!$B$7:$B$106,A7,Actions!$S$7:$S$106,"Open"))</f>
        <v>1</v>
      </c>
      <c r="I7" s="55">
        <f>IF(B7="","",COUNTIFS(Actions!$B$7:$B$106,A7,Actions!$S$7:$S$106,"Closed"))</f>
        <v>1</v>
      </c>
      <c r="J7" s="55">
        <f>IF(B7="","",COUNTIFS(Actions!$B$7:$B$106,A7,Actions!$S$7:$S$106,"Can’t tell"))</f>
        <v>1</v>
      </c>
      <c r="K7" s="53"/>
    </row>
    <row r="8" spans="1:11" x14ac:dyDescent="0.3">
      <c r="A8" s="60" t="s">
        <v>107</v>
      </c>
      <c r="B8" s="54">
        <v>46080</v>
      </c>
      <c r="C8" s="19" t="s">
        <v>275</v>
      </c>
      <c r="D8" s="19" t="s">
        <v>137</v>
      </c>
      <c r="E8" s="54">
        <v>46083</v>
      </c>
      <c r="F8" s="55">
        <f t="shared" si="0"/>
        <v>1</v>
      </c>
      <c r="G8" s="55">
        <f>IF(B8="","",COUNTIF(Actions!$B$7:$B$106,A8))</f>
        <v>3</v>
      </c>
      <c r="H8" s="55">
        <f>IF(B8="","",COUNTIFS(Actions!$B$7:$B$106,A8,Actions!$S$7:$S$106,"Open"))</f>
        <v>2</v>
      </c>
      <c r="I8" s="55">
        <f>IF(B8="","",COUNTIFS(Actions!$B$7:$B$106,A8,Actions!$S$7:$S$106,"Closed"))</f>
        <v>1</v>
      </c>
      <c r="J8" s="55">
        <f>IF(B8="","",COUNTIFS(Actions!$B$7:$B$106,A8,Actions!$S$7:$S$106,"Can’t tell"))</f>
        <v>0</v>
      </c>
      <c r="K8" s="53"/>
    </row>
    <row r="9" spans="1:11" x14ac:dyDescent="0.3">
      <c r="A9" s="60" t="s">
        <v>114</v>
      </c>
      <c r="B9" s="54">
        <v>46087</v>
      </c>
      <c r="C9" s="19" t="s">
        <v>275</v>
      </c>
      <c r="D9" s="19" t="s">
        <v>137</v>
      </c>
      <c r="E9" s="54">
        <v>46087</v>
      </c>
      <c r="F9" s="55">
        <f t="shared" si="0"/>
        <v>0</v>
      </c>
      <c r="G9" s="55">
        <f>IF(B9="","",COUNTIF(Actions!$B$7:$B$106,A9))</f>
        <v>5</v>
      </c>
      <c r="H9" s="55">
        <f>IF(B9="","",COUNTIFS(Actions!$B$7:$B$106,A9,Actions!$S$7:$S$106,"Open"))</f>
        <v>5</v>
      </c>
      <c r="I9" s="55">
        <f>IF(B9="","",COUNTIFS(Actions!$B$7:$B$106,A9,Actions!$S$7:$S$106,"Closed"))</f>
        <v>0</v>
      </c>
      <c r="J9" s="55">
        <f>IF(B9="","",COUNTIFS(Actions!$B$7:$B$106,A9,Actions!$S$7:$S$106,"Can’t tell"))</f>
        <v>0</v>
      </c>
      <c r="K9" s="53"/>
    </row>
    <row r="10" spans="1:11" x14ac:dyDescent="0.3">
      <c r="A10" s="60" t="s">
        <v>158</v>
      </c>
      <c r="B10" s="54">
        <v>46090</v>
      </c>
      <c r="C10" s="19" t="s">
        <v>276</v>
      </c>
      <c r="D10" s="19" t="s">
        <v>137</v>
      </c>
      <c r="E10" s="54">
        <v>46090</v>
      </c>
      <c r="F10" s="55">
        <f t="shared" si="0"/>
        <v>0</v>
      </c>
      <c r="G10" s="55">
        <f>IF(B10="","",COUNTIF(Actions!$B$7:$B$106,A10))</f>
        <v>2</v>
      </c>
      <c r="H10" s="55">
        <f>IF(B10="","",COUNTIFS(Actions!$B$7:$B$106,A10,Actions!$S$7:$S$106,"Open"))</f>
        <v>1</v>
      </c>
      <c r="I10" s="55">
        <f>IF(B10="","",COUNTIFS(Actions!$B$7:$B$106,A10,Actions!$S$7:$S$106,"Closed"))</f>
        <v>1</v>
      </c>
      <c r="J10" s="55">
        <f>IF(B10="","",COUNTIFS(Actions!$B$7:$B$106,A10,Actions!$S$7:$S$106,"Can’t tell"))</f>
        <v>0</v>
      </c>
      <c r="K10" s="53"/>
    </row>
    <row r="11" spans="1:11" x14ac:dyDescent="0.3">
      <c r="A11" s="60" t="s">
        <v>121</v>
      </c>
      <c r="B11" s="54">
        <v>46094</v>
      </c>
      <c r="C11" s="19" t="s">
        <v>275</v>
      </c>
      <c r="D11" s="19" t="s">
        <v>137</v>
      </c>
      <c r="E11" s="54">
        <v>46094</v>
      </c>
      <c r="F11" s="55">
        <f t="shared" si="0"/>
        <v>0</v>
      </c>
      <c r="G11" s="55">
        <f>IF(B11="","",COUNTIF(Actions!$B$7:$B$106,A11))</f>
        <v>3</v>
      </c>
      <c r="H11" s="55">
        <f>IF(B11="","",COUNTIFS(Actions!$B$7:$B$106,A11,Actions!$S$7:$S$106,"Open"))</f>
        <v>3</v>
      </c>
      <c r="I11" s="55">
        <f>IF(B11="","",COUNTIFS(Actions!$B$7:$B$106,A11,Actions!$S$7:$S$106,"Closed"))</f>
        <v>0</v>
      </c>
      <c r="J11" s="55">
        <f>IF(B11="","",COUNTIFS(Actions!$B$7:$B$106,A11,Actions!$S$7:$S$106,"Can’t tell"))</f>
        <v>0</v>
      </c>
      <c r="K11" s="53"/>
    </row>
    <row r="12" spans="1:11" x14ac:dyDescent="0.3">
      <c r="A12" s="60" t="s">
        <v>277</v>
      </c>
      <c r="B12" s="54"/>
      <c r="C12" s="19"/>
      <c r="D12" s="19"/>
      <c r="E12" s="54"/>
      <c r="F12" s="55" t="str">
        <f t="shared" si="0"/>
        <v/>
      </c>
      <c r="G12" s="55" t="str">
        <f>IF(B12="","",COUNTIF(Actions!$B$7:$B$106,A12))</f>
        <v/>
      </c>
      <c r="H12" s="55" t="str">
        <f>IF(B12="","",COUNTIFS(Actions!$B$7:$B$106,A12,Actions!$S$7:$S$106,"Open"))</f>
        <v/>
      </c>
      <c r="I12" s="55" t="str">
        <f>IF(B12="","",COUNTIFS(Actions!$B$7:$B$106,A12,Actions!$S$7:$S$106,"Closed"))</f>
        <v/>
      </c>
      <c r="J12" s="55" t="str">
        <f>IF(B12="","",COUNTIFS(Actions!$B$7:$B$106,A12,Actions!$S$7:$S$106,"Can’t tell"))</f>
        <v/>
      </c>
      <c r="K12" s="53"/>
    </row>
    <row r="13" spans="1:11" x14ac:dyDescent="0.3">
      <c r="A13" s="60" t="s">
        <v>278</v>
      </c>
      <c r="B13" s="54"/>
      <c r="C13" s="19"/>
      <c r="D13" s="19"/>
      <c r="E13" s="54"/>
      <c r="F13" s="55" t="str">
        <f t="shared" si="0"/>
        <v/>
      </c>
      <c r="G13" s="55" t="str">
        <f>IF(B13="","",COUNTIF(Actions!$B$7:$B$106,A13))</f>
        <v/>
      </c>
      <c r="H13" s="55" t="str">
        <f>IF(B13="","",COUNTIFS(Actions!$B$7:$B$106,A13,Actions!$S$7:$S$106,"Open"))</f>
        <v/>
      </c>
      <c r="I13" s="55" t="str">
        <f>IF(B13="","",COUNTIFS(Actions!$B$7:$B$106,A13,Actions!$S$7:$S$106,"Closed"))</f>
        <v/>
      </c>
      <c r="J13" s="55" t="str">
        <f>IF(B13="","",COUNTIFS(Actions!$B$7:$B$106,A13,Actions!$S$7:$S$106,"Can’t tell"))</f>
        <v/>
      </c>
      <c r="K13" s="53"/>
    </row>
    <row r="14" spans="1:11" x14ac:dyDescent="0.3">
      <c r="A14" s="60" t="s">
        <v>279</v>
      </c>
      <c r="B14" s="54"/>
      <c r="C14" s="19"/>
      <c r="D14" s="19"/>
      <c r="E14" s="54"/>
      <c r="F14" s="55" t="str">
        <f t="shared" si="0"/>
        <v/>
      </c>
      <c r="G14" s="55" t="str">
        <f>IF(B14="","",COUNTIF(Actions!$B$7:$B$106,A14))</f>
        <v/>
      </c>
      <c r="H14" s="55" t="str">
        <f>IF(B14="","",COUNTIFS(Actions!$B$7:$B$106,A14,Actions!$S$7:$S$106,"Open"))</f>
        <v/>
      </c>
      <c r="I14" s="55" t="str">
        <f>IF(B14="","",COUNTIFS(Actions!$B$7:$B$106,A14,Actions!$S$7:$S$106,"Closed"))</f>
        <v/>
      </c>
      <c r="J14" s="55" t="str">
        <f>IF(B14="","",COUNTIFS(Actions!$B$7:$B$106,A14,Actions!$S$7:$S$106,"Can’t tell"))</f>
        <v/>
      </c>
      <c r="K14" s="53"/>
    </row>
    <row r="15" spans="1:11" x14ac:dyDescent="0.3">
      <c r="A15" s="60" t="s">
        <v>280</v>
      </c>
      <c r="B15" s="54"/>
      <c r="C15" s="19"/>
      <c r="D15" s="19"/>
      <c r="E15" s="54"/>
      <c r="F15" s="55" t="str">
        <f t="shared" si="0"/>
        <v/>
      </c>
      <c r="G15" s="55" t="str">
        <f>IF(B15="","",COUNTIF(Actions!$B$7:$B$106,A15))</f>
        <v/>
      </c>
      <c r="H15" s="55" t="str">
        <f>IF(B15="","",COUNTIFS(Actions!$B$7:$B$106,A15,Actions!$S$7:$S$106,"Open"))</f>
        <v/>
      </c>
      <c r="I15" s="55" t="str">
        <f>IF(B15="","",COUNTIFS(Actions!$B$7:$B$106,A15,Actions!$S$7:$S$106,"Closed"))</f>
        <v/>
      </c>
      <c r="J15" s="55" t="str">
        <f>IF(B15="","",COUNTIFS(Actions!$B$7:$B$106,A15,Actions!$S$7:$S$106,"Can’t tell"))</f>
        <v/>
      </c>
      <c r="K15" s="53"/>
    </row>
    <row r="16" spans="1:11" x14ac:dyDescent="0.3">
      <c r="A16" s="60" t="s">
        <v>281</v>
      </c>
      <c r="B16" s="54"/>
      <c r="C16" s="19"/>
      <c r="D16" s="19"/>
      <c r="E16" s="54"/>
      <c r="F16" s="55" t="str">
        <f t="shared" si="0"/>
        <v/>
      </c>
      <c r="G16" s="55" t="str">
        <f>IF(B16="","",COUNTIF(Actions!$B$7:$B$106,A16))</f>
        <v/>
      </c>
      <c r="H16" s="55" t="str">
        <f>IF(B16="","",COUNTIFS(Actions!$B$7:$B$106,A16,Actions!$S$7:$S$106,"Open"))</f>
        <v/>
      </c>
      <c r="I16" s="55" t="str">
        <f>IF(B16="","",COUNTIFS(Actions!$B$7:$B$106,A16,Actions!$S$7:$S$106,"Closed"))</f>
        <v/>
      </c>
      <c r="J16" s="55" t="str">
        <f>IF(B16="","",COUNTIFS(Actions!$B$7:$B$106,A16,Actions!$S$7:$S$106,"Can’t tell"))</f>
        <v/>
      </c>
      <c r="K16" s="53"/>
    </row>
    <row r="17" spans="1:11" x14ac:dyDescent="0.3">
      <c r="A17" s="60" t="s">
        <v>282</v>
      </c>
      <c r="B17" s="54"/>
      <c r="C17" s="19"/>
      <c r="D17" s="19"/>
      <c r="E17" s="54"/>
      <c r="F17" s="55" t="str">
        <f t="shared" si="0"/>
        <v/>
      </c>
      <c r="G17" s="55" t="str">
        <f>IF(B17="","",COUNTIF(Actions!$B$7:$B$106,A17))</f>
        <v/>
      </c>
      <c r="H17" s="55" t="str">
        <f>IF(B17="","",COUNTIFS(Actions!$B$7:$B$106,A17,Actions!$S$7:$S$106,"Open"))</f>
        <v/>
      </c>
      <c r="I17" s="55" t="str">
        <f>IF(B17="","",COUNTIFS(Actions!$B$7:$B$106,A17,Actions!$S$7:$S$106,"Closed"))</f>
        <v/>
      </c>
      <c r="J17" s="55" t="str">
        <f>IF(B17="","",COUNTIFS(Actions!$B$7:$B$106,A17,Actions!$S$7:$S$106,"Can’t tell"))</f>
        <v/>
      </c>
      <c r="K17" s="53"/>
    </row>
    <row r="18" spans="1:11" x14ac:dyDescent="0.3">
      <c r="A18" s="60" t="s">
        <v>283</v>
      </c>
      <c r="B18" s="54"/>
      <c r="C18" s="19"/>
      <c r="D18" s="19"/>
      <c r="E18" s="54"/>
      <c r="F18" s="55" t="str">
        <f t="shared" si="0"/>
        <v/>
      </c>
      <c r="G18" s="55" t="str">
        <f>IF(B18="","",COUNTIF(Actions!$B$7:$B$106,A18))</f>
        <v/>
      </c>
      <c r="H18" s="55" t="str">
        <f>IF(B18="","",COUNTIFS(Actions!$B$7:$B$106,A18,Actions!$S$7:$S$106,"Open"))</f>
        <v/>
      </c>
      <c r="I18" s="55" t="str">
        <f>IF(B18="","",COUNTIFS(Actions!$B$7:$B$106,A18,Actions!$S$7:$S$106,"Closed"))</f>
        <v/>
      </c>
      <c r="J18" s="55" t="str">
        <f>IF(B18="","",COUNTIFS(Actions!$B$7:$B$106,A18,Actions!$S$7:$S$106,"Can’t tell"))</f>
        <v/>
      </c>
      <c r="K18" s="53"/>
    </row>
    <row r="19" spans="1:11" x14ac:dyDescent="0.3">
      <c r="A19" s="60" t="s">
        <v>284</v>
      </c>
      <c r="B19" s="54"/>
      <c r="C19" s="19"/>
      <c r="D19" s="19"/>
      <c r="E19" s="54"/>
      <c r="F19" s="55" t="str">
        <f t="shared" si="0"/>
        <v/>
      </c>
      <c r="G19" s="55" t="str">
        <f>IF(B19="","",COUNTIF(Actions!$B$7:$B$106,A19))</f>
        <v/>
      </c>
      <c r="H19" s="55" t="str">
        <f>IF(B19="","",COUNTIFS(Actions!$B$7:$B$106,A19,Actions!$S$7:$S$106,"Open"))</f>
        <v/>
      </c>
      <c r="I19" s="55" t="str">
        <f>IF(B19="","",COUNTIFS(Actions!$B$7:$B$106,A19,Actions!$S$7:$S$106,"Closed"))</f>
        <v/>
      </c>
      <c r="J19" s="55" t="str">
        <f>IF(B19="","",COUNTIFS(Actions!$B$7:$B$106,A19,Actions!$S$7:$S$106,"Can’t tell"))</f>
        <v/>
      </c>
      <c r="K19" s="53"/>
    </row>
    <row r="20" spans="1:11" x14ac:dyDescent="0.3">
      <c r="A20" s="60" t="s">
        <v>285</v>
      </c>
      <c r="B20" s="54"/>
      <c r="C20" s="19"/>
      <c r="D20" s="19"/>
      <c r="E20" s="54"/>
      <c r="F20" s="55" t="str">
        <f t="shared" si="0"/>
        <v/>
      </c>
      <c r="G20" s="55" t="str">
        <f>IF(B20="","",COUNTIF(Actions!$B$7:$B$106,A20))</f>
        <v/>
      </c>
      <c r="H20" s="55" t="str">
        <f>IF(B20="","",COUNTIFS(Actions!$B$7:$B$106,A20,Actions!$S$7:$S$106,"Open"))</f>
        <v/>
      </c>
      <c r="I20" s="55" t="str">
        <f>IF(B20="","",COUNTIFS(Actions!$B$7:$B$106,A20,Actions!$S$7:$S$106,"Closed"))</f>
        <v/>
      </c>
      <c r="J20" s="55" t="str">
        <f>IF(B20="","",COUNTIFS(Actions!$B$7:$B$106,A20,Actions!$S$7:$S$106,"Can’t tell"))</f>
        <v/>
      </c>
      <c r="K20" s="53"/>
    </row>
    <row r="21" spans="1:11" x14ac:dyDescent="0.3">
      <c r="A21" s="60" t="s">
        <v>286</v>
      </c>
      <c r="B21" s="54"/>
      <c r="C21" s="19"/>
      <c r="D21" s="19"/>
      <c r="E21" s="54"/>
      <c r="F21" s="55" t="str">
        <f t="shared" si="0"/>
        <v/>
      </c>
      <c r="G21" s="55" t="str">
        <f>IF(B21="","",COUNTIF(Actions!$B$7:$B$106,A21))</f>
        <v/>
      </c>
      <c r="H21" s="55" t="str">
        <f>IF(B21="","",COUNTIFS(Actions!$B$7:$B$106,A21,Actions!$S$7:$S$106,"Open"))</f>
        <v/>
      </c>
      <c r="I21" s="55" t="str">
        <f>IF(B21="","",COUNTIFS(Actions!$B$7:$B$106,A21,Actions!$S$7:$S$106,"Closed"))</f>
        <v/>
      </c>
      <c r="J21" s="55" t="str">
        <f>IF(B21="","",COUNTIFS(Actions!$B$7:$B$106,A21,Actions!$S$7:$S$106,"Can’t tell"))</f>
        <v/>
      </c>
      <c r="K21" s="53"/>
    </row>
    <row r="22" spans="1:11" x14ac:dyDescent="0.3">
      <c r="A22" s="60" t="s">
        <v>287</v>
      </c>
      <c r="B22" s="54"/>
      <c r="C22" s="19"/>
      <c r="D22" s="19"/>
      <c r="E22" s="54"/>
      <c r="F22" s="55" t="str">
        <f t="shared" si="0"/>
        <v/>
      </c>
      <c r="G22" s="55" t="str">
        <f>IF(B22="","",COUNTIF(Actions!$B$7:$B$106,A22))</f>
        <v/>
      </c>
      <c r="H22" s="55" t="str">
        <f>IF(B22="","",COUNTIFS(Actions!$B$7:$B$106,A22,Actions!$S$7:$S$106,"Open"))</f>
        <v/>
      </c>
      <c r="I22" s="55" t="str">
        <f>IF(B22="","",COUNTIFS(Actions!$B$7:$B$106,A22,Actions!$S$7:$S$106,"Closed"))</f>
        <v/>
      </c>
      <c r="J22" s="55" t="str">
        <f>IF(B22="","",COUNTIFS(Actions!$B$7:$B$106,A22,Actions!$S$7:$S$106,"Can’t tell"))</f>
        <v/>
      </c>
      <c r="K22" s="53"/>
    </row>
    <row r="23" spans="1:11" x14ac:dyDescent="0.3">
      <c r="A23" s="60" t="s">
        <v>288</v>
      </c>
      <c r="B23" s="54"/>
      <c r="C23" s="19"/>
      <c r="D23" s="19"/>
      <c r="E23" s="54"/>
      <c r="F23" s="55" t="str">
        <f t="shared" si="0"/>
        <v/>
      </c>
      <c r="G23" s="55" t="str">
        <f>IF(B23="","",COUNTIF(Actions!$B$7:$B$106,A23))</f>
        <v/>
      </c>
      <c r="H23" s="55" t="str">
        <f>IF(B23="","",COUNTIFS(Actions!$B$7:$B$106,A23,Actions!$S$7:$S$106,"Open"))</f>
        <v/>
      </c>
      <c r="I23" s="55" t="str">
        <f>IF(B23="","",COUNTIFS(Actions!$B$7:$B$106,A23,Actions!$S$7:$S$106,"Closed"))</f>
        <v/>
      </c>
      <c r="J23" s="55" t="str">
        <f>IF(B23="","",COUNTIFS(Actions!$B$7:$B$106,A23,Actions!$S$7:$S$106,"Can’t tell"))</f>
        <v/>
      </c>
      <c r="K23" s="53"/>
    </row>
    <row r="24" spans="1:11" x14ac:dyDescent="0.3">
      <c r="A24" s="60" t="s">
        <v>289</v>
      </c>
      <c r="B24" s="54"/>
      <c r="C24" s="19"/>
      <c r="D24" s="19"/>
      <c r="E24" s="54"/>
      <c r="F24" s="55" t="str">
        <f t="shared" si="0"/>
        <v/>
      </c>
      <c r="G24" s="55" t="str">
        <f>IF(B24="","",COUNTIF(Actions!$B$7:$B$106,A24))</f>
        <v/>
      </c>
      <c r="H24" s="55" t="str">
        <f>IF(B24="","",COUNTIFS(Actions!$B$7:$B$106,A24,Actions!$S$7:$S$106,"Open"))</f>
        <v/>
      </c>
      <c r="I24" s="55" t="str">
        <f>IF(B24="","",COUNTIFS(Actions!$B$7:$B$106,A24,Actions!$S$7:$S$106,"Closed"))</f>
        <v/>
      </c>
      <c r="J24" s="55" t="str">
        <f>IF(B24="","",COUNTIFS(Actions!$B$7:$B$106,A24,Actions!$S$7:$S$106,"Can’t tell"))</f>
        <v/>
      </c>
      <c r="K24" s="53"/>
    </row>
    <row r="25" spans="1:11" x14ac:dyDescent="0.3">
      <c r="A25" s="60" t="s">
        <v>290</v>
      </c>
      <c r="B25" s="54"/>
      <c r="C25" s="19"/>
      <c r="D25" s="19"/>
      <c r="E25" s="54"/>
      <c r="F25" s="55" t="str">
        <f t="shared" si="0"/>
        <v/>
      </c>
      <c r="G25" s="55" t="str">
        <f>IF(B25="","",COUNTIF(Actions!$B$7:$B$106,A25))</f>
        <v/>
      </c>
      <c r="H25" s="55" t="str">
        <f>IF(B25="","",COUNTIFS(Actions!$B$7:$B$106,A25,Actions!$S$7:$S$106,"Open"))</f>
        <v/>
      </c>
      <c r="I25" s="55" t="str">
        <f>IF(B25="","",COUNTIFS(Actions!$B$7:$B$106,A25,Actions!$S$7:$S$106,"Closed"))</f>
        <v/>
      </c>
      <c r="J25" s="55" t="str">
        <f>IF(B25="","",COUNTIFS(Actions!$B$7:$B$106,A25,Actions!$S$7:$S$106,"Can’t tell"))</f>
        <v/>
      </c>
      <c r="K25" s="53"/>
    </row>
    <row r="26" spans="1:11" x14ac:dyDescent="0.3">
      <c r="A26" s="60" t="s">
        <v>291</v>
      </c>
      <c r="B26" s="54"/>
      <c r="C26" s="19"/>
      <c r="D26" s="19"/>
      <c r="E26" s="54"/>
      <c r="F26" s="55" t="str">
        <f t="shared" si="0"/>
        <v/>
      </c>
      <c r="G26" s="55" t="str">
        <f>IF(B26="","",COUNTIF(Actions!$B$7:$B$106,A26))</f>
        <v/>
      </c>
      <c r="H26" s="55" t="str">
        <f>IF(B26="","",COUNTIFS(Actions!$B$7:$B$106,A26,Actions!$S$7:$S$106,"Open"))</f>
        <v/>
      </c>
      <c r="I26" s="55" t="str">
        <f>IF(B26="","",COUNTIFS(Actions!$B$7:$B$106,A26,Actions!$S$7:$S$106,"Closed"))</f>
        <v/>
      </c>
      <c r="J26" s="55" t="str">
        <f>IF(B26="","",COUNTIFS(Actions!$B$7:$B$106,A26,Actions!$S$7:$S$106,"Can’t tell"))</f>
        <v/>
      </c>
      <c r="K26" s="53"/>
    </row>
    <row r="27" spans="1:11" x14ac:dyDescent="0.3">
      <c r="A27" s="60" t="s">
        <v>292</v>
      </c>
      <c r="B27" s="54"/>
      <c r="C27" s="19"/>
      <c r="D27" s="19"/>
      <c r="E27" s="54"/>
      <c r="F27" s="55" t="str">
        <f t="shared" si="0"/>
        <v/>
      </c>
      <c r="G27" s="55" t="str">
        <f>IF(B27="","",COUNTIF(Actions!$B$7:$B$106,A27))</f>
        <v/>
      </c>
      <c r="H27" s="55" t="str">
        <f>IF(B27="","",COUNTIFS(Actions!$B$7:$B$106,A27,Actions!$S$7:$S$106,"Open"))</f>
        <v/>
      </c>
      <c r="I27" s="55" t="str">
        <f>IF(B27="","",COUNTIFS(Actions!$B$7:$B$106,A27,Actions!$S$7:$S$106,"Closed"))</f>
        <v/>
      </c>
      <c r="J27" s="55" t="str">
        <f>IF(B27="","",COUNTIFS(Actions!$B$7:$B$106,A27,Actions!$S$7:$S$106,"Can’t tell"))</f>
        <v/>
      </c>
      <c r="K27" s="53"/>
    </row>
    <row r="28" spans="1:11" x14ac:dyDescent="0.3">
      <c r="A28" s="60" t="s">
        <v>293</v>
      </c>
      <c r="B28" s="54"/>
      <c r="C28" s="19"/>
      <c r="D28" s="19"/>
      <c r="E28" s="54"/>
      <c r="F28" s="55" t="str">
        <f t="shared" si="0"/>
        <v/>
      </c>
      <c r="G28" s="55" t="str">
        <f>IF(B28="","",COUNTIF(Actions!$B$7:$B$106,A28))</f>
        <v/>
      </c>
      <c r="H28" s="55" t="str">
        <f>IF(B28="","",COUNTIFS(Actions!$B$7:$B$106,A28,Actions!$S$7:$S$106,"Open"))</f>
        <v/>
      </c>
      <c r="I28" s="55" t="str">
        <f>IF(B28="","",COUNTIFS(Actions!$B$7:$B$106,A28,Actions!$S$7:$S$106,"Closed"))</f>
        <v/>
      </c>
      <c r="J28" s="55" t="str">
        <f>IF(B28="","",COUNTIFS(Actions!$B$7:$B$106,A28,Actions!$S$7:$S$106,"Can’t tell"))</f>
        <v/>
      </c>
      <c r="K28" s="53"/>
    </row>
    <row r="29" spans="1:11" x14ac:dyDescent="0.3">
      <c r="A29" s="60" t="s">
        <v>294</v>
      </c>
      <c r="B29" s="54"/>
      <c r="C29" s="19"/>
      <c r="D29" s="19"/>
      <c r="E29" s="54"/>
      <c r="F29" s="55" t="str">
        <f t="shared" si="0"/>
        <v/>
      </c>
      <c r="G29" s="55" t="str">
        <f>IF(B29="","",COUNTIF(Actions!$B$7:$B$106,A29))</f>
        <v/>
      </c>
      <c r="H29" s="55" t="str">
        <f>IF(B29="","",COUNTIFS(Actions!$B$7:$B$106,A29,Actions!$S$7:$S$106,"Open"))</f>
        <v/>
      </c>
      <c r="I29" s="55" t="str">
        <f>IF(B29="","",COUNTIFS(Actions!$B$7:$B$106,A29,Actions!$S$7:$S$106,"Closed"))</f>
        <v/>
      </c>
      <c r="J29" s="55" t="str">
        <f>IF(B29="","",COUNTIFS(Actions!$B$7:$B$106,A29,Actions!$S$7:$S$106,"Can’t tell"))</f>
        <v/>
      </c>
      <c r="K29" s="53"/>
    </row>
    <row r="30" spans="1:11" x14ac:dyDescent="0.3">
      <c r="A30" s="60" t="s">
        <v>295</v>
      </c>
      <c r="B30" s="54"/>
      <c r="C30" s="19"/>
      <c r="D30" s="19"/>
      <c r="E30" s="54"/>
      <c r="F30" s="55" t="str">
        <f t="shared" si="0"/>
        <v/>
      </c>
      <c r="G30" s="55" t="str">
        <f>IF(B30="","",COUNTIF(Actions!$B$7:$B$106,A30))</f>
        <v/>
      </c>
      <c r="H30" s="55" t="str">
        <f>IF(B30="","",COUNTIFS(Actions!$B$7:$B$106,A30,Actions!$S$7:$S$106,"Open"))</f>
        <v/>
      </c>
      <c r="I30" s="55" t="str">
        <f>IF(B30="","",COUNTIFS(Actions!$B$7:$B$106,A30,Actions!$S$7:$S$106,"Closed"))</f>
        <v/>
      </c>
      <c r="J30" s="55" t="str">
        <f>IF(B30="","",COUNTIFS(Actions!$B$7:$B$106,A30,Actions!$S$7:$S$106,"Can’t tell"))</f>
        <v/>
      </c>
      <c r="K30" s="53"/>
    </row>
    <row r="31" spans="1:11" x14ac:dyDescent="0.3">
      <c r="A31" s="60" t="s">
        <v>296</v>
      </c>
      <c r="B31" s="54"/>
      <c r="C31" s="19"/>
      <c r="D31" s="19"/>
      <c r="E31" s="54"/>
      <c r="F31" s="55" t="str">
        <f t="shared" si="0"/>
        <v/>
      </c>
      <c r="G31" s="55" t="str">
        <f>IF(B31="","",COUNTIF(Actions!$B$7:$B$106,A31))</f>
        <v/>
      </c>
      <c r="H31" s="55" t="str">
        <f>IF(B31="","",COUNTIFS(Actions!$B$7:$B$106,A31,Actions!$S$7:$S$106,"Open"))</f>
        <v/>
      </c>
      <c r="I31" s="55" t="str">
        <f>IF(B31="","",COUNTIFS(Actions!$B$7:$B$106,A31,Actions!$S$7:$S$106,"Closed"))</f>
        <v/>
      </c>
      <c r="J31" s="55" t="str">
        <f>IF(B31="","",COUNTIFS(Actions!$B$7:$B$106,A31,Actions!$S$7:$S$106,"Can’t tell"))</f>
        <v/>
      </c>
      <c r="K31" s="53"/>
    </row>
    <row r="32" spans="1:11" x14ac:dyDescent="0.3">
      <c r="A32" s="60" t="s">
        <v>297</v>
      </c>
      <c r="B32" s="54"/>
      <c r="C32" s="19"/>
      <c r="D32" s="19"/>
      <c r="E32" s="54"/>
      <c r="F32" s="55" t="str">
        <f t="shared" si="0"/>
        <v/>
      </c>
      <c r="G32" s="55" t="str">
        <f>IF(B32="","",COUNTIF(Actions!$B$7:$B$106,A32))</f>
        <v/>
      </c>
      <c r="H32" s="55" t="str">
        <f>IF(B32="","",COUNTIFS(Actions!$B$7:$B$106,A32,Actions!$S$7:$S$106,"Open"))</f>
        <v/>
      </c>
      <c r="I32" s="55" t="str">
        <f>IF(B32="","",COUNTIFS(Actions!$B$7:$B$106,A32,Actions!$S$7:$S$106,"Closed"))</f>
        <v/>
      </c>
      <c r="J32" s="55" t="str">
        <f>IF(B32="","",COUNTIFS(Actions!$B$7:$B$106,A32,Actions!$S$7:$S$106,"Can’t tell"))</f>
        <v/>
      </c>
      <c r="K32" s="53"/>
    </row>
    <row r="33" spans="1:11" x14ac:dyDescent="0.3">
      <c r="A33" s="60" t="s">
        <v>298</v>
      </c>
      <c r="B33" s="54"/>
      <c r="C33" s="19"/>
      <c r="D33" s="19"/>
      <c r="E33" s="54"/>
      <c r="F33" s="55" t="str">
        <f t="shared" si="0"/>
        <v/>
      </c>
      <c r="G33" s="55" t="str">
        <f>IF(B33="","",COUNTIF(Actions!$B$7:$B$106,A33))</f>
        <v/>
      </c>
      <c r="H33" s="55" t="str">
        <f>IF(B33="","",COUNTIFS(Actions!$B$7:$B$106,A33,Actions!$S$7:$S$106,"Open"))</f>
        <v/>
      </c>
      <c r="I33" s="55" t="str">
        <f>IF(B33="","",COUNTIFS(Actions!$B$7:$B$106,A33,Actions!$S$7:$S$106,"Closed"))</f>
        <v/>
      </c>
      <c r="J33" s="55" t="str">
        <f>IF(B33="","",COUNTIFS(Actions!$B$7:$B$106,A33,Actions!$S$7:$S$106,"Can’t tell"))</f>
        <v/>
      </c>
      <c r="K33" s="53"/>
    </row>
    <row r="34" spans="1:11" x14ac:dyDescent="0.3">
      <c r="A34" s="60" t="s">
        <v>299</v>
      </c>
      <c r="B34" s="54"/>
      <c r="C34" s="19"/>
      <c r="D34" s="19"/>
      <c r="E34" s="54"/>
      <c r="F34" s="55" t="str">
        <f t="shared" si="0"/>
        <v/>
      </c>
      <c r="G34" s="55" t="str">
        <f>IF(B34="","",COUNTIF(Actions!$B$7:$B$106,A34))</f>
        <v/>
      </c>
      <c r="H34" s="55" t="str">
        <f>IF(B34="","",COUNTIFS(Actions!$B$7:$B$106,A34,Actions!$S$7:$S$106,"Open"))</f>
        <v/>
      </c>
      <c r="I34" s="55" t="str">
        <f>IF(B34="","",COUNTIFS(Actions!$B$7:$B$106,A34,Actions!$S$7:$S$106,"Closed"))</f>
        <v/>
      </c>
      <c r="J34" s="55" t="str">
        <f>IF(B34="","",COUNTIFS(Actions!$B$7:$B$106,A34,Actions!$S$7:$S$106,"Can’t tell"))</f>
        <v/>
      </c>
      <c r="K34" s="53"/>
    </row>
    <row r="35" spans="1:11" x14ac:dyDescent="0.3">
      <c r="A35" s="60" t="s">
        <v>300</v>
      </c>
      <c r="B35" s="54"/>
      <c r="C35" s="19"/>
      <c r="D35" s="19"/>
      <c r="E35" s="54"/>
      <c r="F35" s="55" t="str">
        <f t="shared" si="0"/>
        <v/>
      </c>
      <c r="G35" s="55" t="str">
        <f>IF(B35="","",COUNTIF(Actions!$B$7:$B$106,A35))</f>
        <v/>
      </c>
      <c r="H35" s="55" t="str">
        <f>IF(B35="","",COUNTIFS(Actions!$B$7:$B$106,A35,Actions!$S$7:$S$106,"Open"))</f>
        <v/>
      </c>
      <c r="I35" s="55" t="str">
        <f>IF(B35="","",COUNTIFS(Actions!$B$7:$B$106,A35,Actions!$S$7:$S$106,"Closed"))</f>
        <v/>
      </c>
      <c r="J35" s="55" t="str">
        <f>IF(B35="","",COUNTIFS(Actions!$B$7:$B$106,A35,Actions!$S$7:$S$106,"Can’t tell"))</f>
        <v/>
      </c>
      <c r="K35" s="53"/>
    </row>
    <row r="36" spans="1:11" x14ac:dyDescent="0.3">
      <c r="A36" s="60" t="s">
        <v>301</v>
      </c>
      <c r="B36" s="54"/>
      <c r="C36" s="19"/>
      <c r="D36" s="19"/>
      <c r="E36" s="54"/>
      <c r="F36" s="55" t="str">
        <f t="shared" si="0"/>
        <v/>
      </c>
      <c r="G36" s="55" t="str">
        <f>IF(B36="","",COUNTIF(Actions!$B$7:$B$106,A36))</f>
        <v/>
      </c>
      <c r="H36" s="55" t="str">
        <f>IF(B36="","",COUNTIFS(Actions!$B$7:$B$106,A36,Actions!$S$7:$S$106,"Open"))</f>
        <v/>
      </c>
      <c r="I36" s="55" t="str">
        <f>IF(B36="","",COUNTIFS(Actions!$B$7:$B$106,A36,Actions!$S$7:$S$106,"Closed"))</f>
        <v/>
      </c>
      <c r="J36" s="55" t="str">
        <f>IF(B36="","",COUNTIFS(Actions!$B$7:$B$106,A36,Actions!$S$7:$S$106,"Can’t tell"))</f>
        <v/>
      </c>
      <c r="K36" s="53"/>
    </row>
    <row r="37" spans="1:11" x14ac:dyDescent="0.3">
      <c r="A37" s="60" t="s">
        <v>302</v>
      </c>
      <c r="B37" s="54"/>
      <c r="C37" s="19"/>
      <c r="D37" s="19"/>
      <c r="E37" s="54"/>
      <c r="F37" s="55" t="str">
        <f t="shared" si="0"/>
        <v/>
      </c>
      <c r="G37" s="55" t="str">
        <f>IF(B37="","",COUNTIF(Actions!$B$7:$B$106,A37))</f>
        <v/>
      </c>
      <c r="H37" s="55" t="str">
        <f>IF(B37="","",COUNTIFS(Actions!$B$7:$B$106,A37,Actions!$S$7:$S$106,"Open"))</f>
        <v/>
      </c>
      <c r="I37" s="55" t="str">
        <f>IF(B37="","",COUNTIFS(Actions!$B$7:$B$106,A37,Actions!$S$7:$S$106,"Closed"))</f>
        <v/>
      </c>
      <c r="J37" s="55" t="str">
        <f>IF(B37="","",COUNTIFS(Actions!$B$7:$B$106,A37,Actions!$S$7:$S$106,"Can’t tell"))</f>
        <v/>
      </c>
      <c r="K37" s="53"/>
    </row>
    <row r="38" spans="1:11" x14ac:dyDescent="0.3">
      <c r="A38" s="60" t="s">
        <v>303</v>
      </c>
      <c r="B38" s="54"/>
      <c r="C38" s="19"/>
      <c r="D38" s="19"/>
      <c r="E38" s="54"/>
      <c r="F38" s="55" t="str">
        <f t="shared" si="0"/>
        <v/>
      </c>
      <c r="G38" s="55" t="str">
        <f>IF(B38="","",COUNTIF(Actions!$B$7:$B$106,A38))</f>
        <v/>
      </c>
      <c r="H38" s="55" t="str">
        <f>IF(B38="","",COUNTIFS(Actions!$B$7:$B$106,A38,Actions!$S$7:$S$106,"Open"))</f>
        <v/>
      </c>
      <c r="I38" s="55" t="str">
        <f>IF(B38="","",COUNTIFS(Actions!$B$7:$B$106,A38,Actions!$S$7:$S$106,"Closed"))</f>
        <v/>
      </c>
      <c r="J38" s="55" t="str">
        <f>IF(B38="","",COUNTIFS(Actions!$B$7:$B$106,A38,Actions!$S$7:$S$106,"Can’t tell"))</f>
        <v/>
      </c>
      <c r="K38" s="53"/>
    </row>
    <row r="39" spans="1:11" x14ac:dyDescent="0.3">
      <c r="A39" s="60" t="s">
        <v>304</v>
      </c>
      <c r="B39" s="54"/>
      <c r="C39" s="19"/>
      <c r="D39" s="19"/>
      <c r="E39" s="54"/>
      <c r="F39" s="55" t="str">
        <f t="shared" ref="F39:F70" si="1">IF(OR(B39="",E39=""),"",NETWORKDAYS(B39,E39)-1)</f>
        <v/>
      </c>
      <c r="G39" s="55" t="str">
        <f>IF(B39="","",COUNTIF(Actions!$B$7:$B$106,A39))</f>
        <v/>
      </c>
      <c r="H39" s="55" t="str">
        <f>IF(B39="","",COUNTIFS(Actions!$B$7:$B$106,A39,Actions!$S$7:$S$106,"Open"))</f>
        <v/>
      </c>
      <c r="I39" s="55" t="str">
        <f>IF(B39="","",COUNTIFS(Actions!$B$7:$B$106,A39,Actions!$S$7:$S$106,"Closed"))</f>
        <v/>
      </c>
      <c r="J39" s="55" t="str">
        <f>IF(B39="","",COUNTIFS(Actions!$B$7:$B$106,A39,Actions!$S$7:$S$106,"Can’t tell"))</f>
        <v/>
      </c>
      <c r="K39" s="53"/>
    </row>
    <row r="40" spans="1:11" x14ac:dyDescent="0.3">
      <c r="A40" s="60" t="s">
        <v>305</v>
      </c>
      <c r="B40" s="54"/>
      <c r="C40" s="19"/>
      <c r="D40" s="19"/>
      <c r="E40" s="54"/>
      <c r="F40" s="55" t="str">
        <f t="shared" si="1"/>
        <v/>
      </c>
      <c r="G40" s="55" t="str">
        <f>IF(B40="","",COUNTIF(Actions!$B$7:$B$106,A40))</f>
        <v/>
      </c>
      <c r="H40" s="55" t="str">
        <f>IF(B40="","",COUNTIFS(Actions!$B$7:$B$106,A40,Actions!$S$7:$S$106,"Open"))</f>
        <v/>
      </c>
      <c r="I40" s="55" t="str">
        <f>IF(B40="","",COUNTIFS(Actions!$B$7:$B$106,A40,Actions!$S$7:$S$106,"Closed"))</f>
        <v/>
      </c>
      <c r="J40" s="55" t="str">
        <f>IF(B40="","",COUNTIFS(Actions!$B$7:$B$106,A40,Actions!$S$7:$S$106,"Can’t tell"))</f>
        <v/>
      </c>
      <c r="K40" s="53"/>
    </row>
    <row r="41" spans="1:11" x14ac:dyDescent="0.3">
      <c r="A41" s="60" t="s">
        <v>306</v>
      </c>
      <c r="B41" s="54"/>
      <c r="C41" s="19"/>
      <c r="D41" s="19"/>
      <c r="E41" s="54"/>
      <c r="F41" s="55" t="str">
        <f t="shared" si="1"/>
        <v/>
      </c>
      <c r="G41" s="55" t="str">
        <f>IF(B41="","",COUNTIF(Actions!$B$7:$B$106,A41))</f>
        <v/>
      </c>
      <c r="H41" s="55" t="str">
        <f>IF(B41="","",COUNTIFS(Actions!$B$7:$B$106,A41,Actions!$S$7:$S$106,"Open"))</f>
        <v/>
      </c>
      <c r="I41" s="55" t="str">
        <f>IF(B41="","",COUNTIFS(Actions!$B$7:$B$106,A41,Actions!$S$7:$S$106,"Closed"))</f>
        <v/>
      </c>
      <c r="J41" s="55" t="str">
        <f>IF(B41="","",COUNTIFS(Actions!$B$7:$B$106,A41,Actions!$S$7:$S$106,"Can’t tell"))</f>
        <v/>
      </c>
      <c r="K41" s="53"/>
    </row>
    <row r="42" spans="1:11" x14ac:dyDescent="0.3">
      <c r="A42" s="60" t="s">
        <v>307</v>
      </c>
      <c r="B42" s="54"/>
      <c r="C42" s="19"/>
      <c r="D42" s="19"/>
      <c r="E42" s="54"/>
      <c r="F42" s="55" t="str">
        <f t="shared" si="1"/>
        <v/>
      </c>
      <c r="G42" s="55" t="str">
        <f>IF(B42="","",COUNTIF(Actions!$B$7:$B$106,A42))</f>
        <v/>
      </c>
      <c r="H42" s="55" t="str">
        <f>IF(B42="","",COUNTIFS(Actions!$B$7:$B$106,A42,Actions!$S$7:$S$106,"Open"))</f>
        <v/>
      </c>
      <c r="I42" s="55" t="str">
        <f>IF(B42="","",COUNTIFS(Actions!$B$7:$B$106,A42,Actions!$S$7:$S$106,"Closed"))</f>
        <v/>
      </c>
      <c r="J42" s="55" t="str">
        <f>IF(B42="","",COUNTIFS(Actions!$B$7:$B$106,A42,Actions!$S$7:$S$106,"Can’t tell"))</f>
        <v/>
      </c>
      <c r="K42" s="53"/>
    </row>
    <row r="43" spans="1:11" x14ac:dyDescent="0.3">
      <c r="A43" s="60" t="s">
        <v>308</v>
      </c>
      <c r="B43" s="54"/>
      <c r="C43" s="19"/>
      <c r="D43" s="19"/>
      <c r="E43" s="54"/>
      <c r="F43" s="55" t="str">
        <f t="shared" si="1"/>
        <v/>
      </c>
      <c r="G43" s="55" t="str">
        <f>IF(B43="","",COUNTIF(Actions!$B$7:$B$106,A43))</f>
        <v/>
      </c>
      <c r="H43" s="55" t="str">
        <f>IF(B43="","",COUNTIFS(Actions!$B$7:$B$106,A43,Actions!$S$7:$S$106,"Open"))</f>
        <v/>
      </c>
      <c r="I43" s="55" t="str">
        <f>IF(B43="","",COUNTIFS(Actions!$B$7:$B$106,A43,Actions!$S$7:$S$106,"Closed"))</f>
        <v/>
      </c>
      <c r="J43" s="55" t="str">
        <f>IF(B43="","",COUNTIFS(Actions!$B$7:$B$106,A43,Actions!$S$7:$S$106,"Can’t tell"))</f>
        <v/>
      </c>
      <c r="K43" s="53"/>
    </row>
    <row r="44" spans="1:11" x14ac:dyDescent="0.3">
      <c r="A44" s="60" t="s">
        <v>309</v>
      </c>
      <c r="B44" s="54"/>
      <c r="C44" s="19"/>
      <c r="D44" s="19"/>
      <c r="E44" s="54"/>
      <c r="F44" s="55" t="str">
        <f t="shared" si="1"/>
        <v/>
      </c>
      <c r="G44" s="55" t="str">
        <f>IF(B44="","",COUNTIF(Actions!$B$7:$B$106,A44))</f>
        <v/>
      </c>
      <c r="H44" s="55" t="str">
        <f>IF(B44="","",COUNTIFS(Actions!$B$7:$B$106,A44,Actions!$S$7:$S$106,"Open"))</f>
        <v/>
      </c>
      <c r="I44" s="55" t="str">
        <f>IF(B44="","",COUNTIFS(Actions!$B$7:$B$106,A44,Actions!$S$7:$S$106,"Closed"))</f>
        <v/>
      </c>
      <c r="J44" s="55" t="str">
        <f>IF(B44="","",COUNTIFS(Actions!$B$7:$B$106,A44,Actions!$S$7:$S$106,"Can’t tell"))</f>
        <v/>
      </c>
      <c r="K44" s="53"/>
    </row>
    <row r="45" spans="1:11" x14ac:dyDescent="0.3">
      <c r="A45" s="60" t="s">
        <v>310</v>
      </c>
      <c r="B45" s="54"/>
      <c r="C45" s="19"/>
      <c r="D45" s="19"/>
      <c r="E45" s="54"/>
      <c r="F45" s="55" t="str">
        <f t="shared" si="1"/>
        <v/>
      </c>
      <c r="G45" s="55" t="str">
        <f>IF(B45="","",COUNTIF(Actions!$B$7:$B$106,A45))</f>
        <v/>
      </c>
      <c r="H45" s="55" t="str">
        <f>IF(B45="","",COUNTIFS(Actions!$B$7:$B$106,A45,Actions!$S$7:$S$106,"Open"))</f>
        <v/>
      </c>
      <c r="I45" s="55" t="str">
        <f>IF(B45="","",COUNTIFS(Actions!$B$7:$B$106,A45,Actions!$S$7:$S$106,"Closed"))</f>
        <v/>
      </c>
      <c r="J45" s="55" t="str">
        <f>IF(B45="","",COUNTIFS(Actions!$B$7:$B$106,A45,Actions!$S$7:$S$106,"Can’t tell"))</f>
        <v/>
      </c>
      <c r="K45" s="53"/>
    </row>
    <row r="46" spans="1:11" x14ac:dyDescent="0.3">
      <c r="A46" s="60" t="s">
        <v>311</v>
      </c>
      <c r="B46" s="54"/>
      <c r="C46" s="19"/>
      <c r="D46" s="19"/>
      <c r="E46" s="54"/>
      <c r="F46" s="55" t="str">
        <f t="shared" si="1"/>
        <v/>
      </c>
      <c r="G46" s="55" t="str">
        <f>IF(B46="","",COUNTIF(Actions!$B$7:$B$106,A46))</f>
        <v/>
      </c>
      <c r="H46" s="55" t="str">
        <f>IF(B46="","",COUNTIFS(Actions!$B$7:$B$106,A46,Actions!$S$7:$S$106,"Open"))</f>
        <v/>
      </c>
      <c r="I46" s="55" t="str">
        <f>IF(B46="","",COUNTIFS(Actions!$B$7:$B$106,A46,Actions!$S$7:$S$106,"Closed"))</f>
        <v/>
      </c>
      <c r="J46" s="55" t="str">
        <f>IF(B46="","",COUNTIFS(Actions!$B$7:$B$106,A46,Actions!$S$7:$S$106,"Can’t tell"))</f>
        <v/>
      </c>
      <c r="K46" s="53"/>
    </row>
    <row r="47" spans="1:11" x14ac:dyDescent="0.3">
      <c r="A47" s="60" t="s">
        <v>312</v>
      </c>
      <c r="B47" s="54"/>
      <c r="C47" s="19"/>
      <c r="D47" s="19"/>
      <c r="E47" s="54"/>
      <c r="F47" s="55" t="str">
        <f t="shared" si="1"/>
        <v/>
      </c>
      <c r="G47" s="55" t="str">
        <f>IF(B47="","",COUNTIF(Actions!$B$7:$B$106,A47))</f>
        <v/>
      </c>
      <c r="H47" s="55" t="str">
        <f>IF(B47="","",COUNTIFS(Actions!$B$7:$B$106,A47,Actions!$S$7:$S$106,"Open"))</f>
        <v/>
      </c>
      <c r="I47" s="55" t="str">
        <f>IF(B47="","",COUNTIFS(Actions!$B$7:$B$106,A47,Actions!$S$7:$S$106,"Closed"))</f>
        <v/>
      </c>
      <c r="J47" s="55" t="str">
        <f>IF(B47="","",COUNTIFS(Actions!$B$7:$B$106,A47,Actions!$S$7:$S$106,"Can’t tell"))</f>
        <v/>
      </c>
      <c r="K47" s="53"/>
    </row>
    <row r="48" spans="1:11" x14ac:dyDescent="0.3">
      <c r="A48" s="60" t="s">
        <v>313</v>
      </c>
      <c r="B48" s="54"/>
      <c r="C48" s="19"/>
      <c r="D48" s="19"/>
      <c r="E48" s="54"/>
      <c r="F48" s="55" t="str">
        <f t="shared" si="1"/>
        <v/>
      </c>
      <c r="G48" s="55" t="str">
        <f>IF(B48="","",COUNTIF(Actions!$B$7:$B$106,A48))</f>
        <v/>
      </c>
      <c r="H48" s="55" t="str">
        <f>IF(B48="","",COUNTIFS(Actions!$B$7:$B$106,A48,Actions!$S$7:$S$106,"Open"))</f>
        <v/>
      </c>
      <c r="I48" s="55" t="str">
        <f>IF(B48="","",COUNTIFS(Actions!$B$7:$B$106,A48,Actions!$S$7:$S$106,"Closed"))</f>
        <v/>
      </c>
      <c r="J48" s="55" t="str">
        <f>IF(B48="","",COUNTIFS(Actions!$B$7:$B$106,A48,Actions!$S$7:$S$106,"Can’t tell"))</f>
        <v/>
      </c>
      <c r="K48" s="53"/>
    </row>
    <row r="49" spans="1:11" x14ac:dyDescent="0.3">
      <c r="A49" s="60" t="s">
        <v>314</v>
      </c>
      <c r="B49" s="54"/>
      <c r="C49" s="19"/>
      <c r="D49" s="19"/>
      <c r="E49" s="54"/>
      <c r="F49" s="55" t="str">
        <f t="shared" si="1"/>
        <v/>
      </c>
      <c r="G49" s="55" t="str">
        <f>IF(B49="","",COUNTIF(Actions!$B$7:$B$106,A49))</f>
        <v/>
      </c>
      <c r="H49" s="55" t="str">
        <f>IF(B49="","",COUNTIFS(Actions!$B$7:$B$106,A49,Actions!$S$7:$S$106,"Open"))</f>
        <v/>
      </c>
      <c r="I49" s="55" t="str">
        <f>IF(B49="","",COUNTIFS(Actions!$B$7:$B$106,A49,Actions!$S$7:$S$106,"Closed"))</f>
        <v/>
      </c>
      <c r="J49" s="55" t="str">
        <f>IF(B49="","",COUNTIFS(Actions!$B$7:$B$106,A49,Actions!$S$7:$S$106,"Can’t tell"))</f>
        <v/>
      </c>
      <c r="K49" s="53"/>
    </row>
    <row r="50" spans="1:11" x14ac:dyDescent="0.3">
      <c r="A50" s="60" t="s">
        <v>315</v>
      </c>
      <c r="B50" s="54"/>
      <c r="C50" s="19"/>
      <c r="D50" s="19"/>
      <c r="E50" s="54"/>
      <c r="F50" s="55" t="str">
        <f t="shared" si="1"/>
        <v/>
      </c>
      <c r="G50" s="55" t="str">
        <f>IF(B50="","",COUNTIF(Actions!$B$7:$B$106,A50))</f>
        <v/>
      </c>
      <c r="H50" s="55" t="str">
        <f>IF(B50="","",COUNTIFS(Actions!$B$7:$B$106,A50,Actions!$S$7:$S$106,"Open"))</f>
        <v/>
      </c>
      <c r="I50" s="55" t="str">
        <f>IF(B50="","",COUNTIFS(Actions!$B$7:$B$106,A50,Actions!$S$7:$S$106,"Closed"))</f>
        <v/>
      </c>
      <c r="J50" s="55" t="str">
        <f>IF(B50="","",COUNTIFS(Actions!$B$7:$B$106,A50,Actions!$S$7:$S$106,"Can’t tell"))</f>
        <v/>
      </c>
      <c r="K50" s="53"/>
    </row>
    <row r="51" spans="1:11" x14ac:dyDescent="0.3">
      <c r="A51" s="60" t="s">
        <v>316</v>
      </c>
      <c r="B51" s="54"/>
      <c r="C51" s="19"/>
      <c r="D51" s="19"/>
      <c r="E51" s="54"/>
      <c r="F51" s="55" t="str">
        <f t="shared" si="1"/>
        <v/>
      </c>
      <c r="G51" s="55" t="str">
        <f>IF(B51="","",COUNTIF(Actions!$B$7:$B$106,A51))</f>
        <v/>
      </c>
      <c r="H51" s="55" t="str">
        <f>IF(B51="","",COUNTIFS(Actions!$B$7:$B$106,A51,Actions!$S$7:$S$106,"Open"))</f>
        <v/>
      </c>
      <c r="I51" s="55" t="str">
        <f>IF(B51="","",COUNTIFS(Actions!$B$7:$B$106,A51,Actions!$S$7:$S$106,"Closed"))</f>
        <v/>
      </c>
      <c r="J51" s="55" t="str">
        <f>IF(B51="","",COUNTIFS(Actions!$B$7:$B$106,A51,Actions!$S$7:$S$106,"Can’t tell"))</f>
        <v/>
      </c>
      <c r="K51" s="53"/>
    </row>
    <row r="52" spans="1:11" x14ac:dyDescent="0.3">
      <c r="A52" s="60" t="s">
        <v>317</v>
      </c>
      <c r="B52" s="54"/>
      <c r="C52" s="19"/>
      <c r="D52" s="19"/>
      <c r="E52" s="54"/>
      <c r="F52" s="55" t="str">
        <f t="shared" si="1"/>
        <v/>
      </c>
      <c r="G52" s="55" t="str">
        <f>IF(B52="","",COUNTIF(Actions!$B$7:$B$106,A52))</f>
        <v/>
      </c>
      <c r="H52" s="55" t="str">
        <f>IF(B52="","",COUNTIFS(Actions!$B$7:$B$106,A52,Actions!$S$7:$S$106,"Open"))</f>
        <v/>
      </c>
      <c r="I52" s="55" t="str">
        <f>IF(B52="","",COUNTIFS(Actions!$B$7:$B$106,A52,Actions!$S$7:$S$106,"Closed"))</f>
        <v/>
      </c>
      <c r="J52" s="55" t="str">
        <f>IF(B52="","",COUNTIFS(Actions!$B$7:$B$106,A52,Actions!$S$7:$S$106,"Can’t tell"))</f>
        <v/>
      </c>
      <c r="K52" s="53"/>
    </row>
    <row r="53" spans="1:11" x14ac:dyDescent="0.3">
      <c r="A53" s="60" t="s">
        <v>318</v>
      </c>
      <c r="B53" s="54"/>
      <c r="C53" s="19"/>
      <c r="D53" s="19"/>
      <c r="E53" s="54"/>
      <c r="F53" s="55" t="str">
        <f t="shared" si="1"/>
        <v/>
      </c>
      <c r="G53" s="55" t="str">
        <f>IF(B53="","",COUNTIF(Actions!$B$7:$B$106,A53))</f>
        <v/>
      </c>
      <c r="H53" s="55" t="str">
        <f>IF(B53="","",COUNTIFS(Actions!$B$7:$B$106,A53,Actions!$S$7:$S$106,"Open"))</f>
        <v/>
      </c>
      <c r="I53" s="55" t="str">
        <f>IF(B53="","",COUNTIFS(Actions!$B$7:$B$106,A53,Actions!$S$7:$S$106,"Closed"))</f>
        <v/>
      </c>
      <c r="J53" s="55" t="str">
        <f>IF(B53="","",COUNTIFS(Actions!$B$7:$B$106,A53,Actions!$S$7:$S$106,"Can’t tell"))</f>
        <v/>
      </c>
      <c r="K53" s="53"/>
    </row>
    <row r="54" spans="1:11" x14ac:dyDescent="0.3">
      <c r="A54" s="60" t="s">
        <v>319</v>
      </c>
      <c r="B54" s="54"/>
      <c r="C54" s="19"/>
      <c r="D54" s="19"/>
      <c r="E54" s="54"/>
      <c r="F54" s="55" t="str">
        <f t="shared" si="1"/>
        <v/>
      </c>
      <c r="G54" s="55" t="str">
        <f>IF(B54="","",COUNTIF(Actions!$B$7:$B$106,A54))</f>
        <v/>
      </c>
      <c r="H54" s="55" t="str">
        <f>IF(B54="","",COUNTIFS(Actions!$B$7:$B$106,A54,Actions!$S$7:$S$106,"Open"))</f>
        <v/>
      </c>
      <c r="I54" s="55" t="str">
        <f>IF(B54="","",COUNTIFS(Actions!$B$7:$B$106,A54,Actions!$S$7:$S$106,"Closed"))</f>
        <v/>
      </c>
      <c r="J54" s="55" t="str">
        <f>IF(B54="","",COUNTIFS(Actions!$B$7:$B$106,A54,Actions!$S$7:$S$106,"Can’t tell"))</f>
        <v/>
      </c>
      <c r="K54" s="53"/>
    </row>
    <row r="55" spans="1:11" x14ac:dyDescent="0.3">
      <c r="A55" s="60" t="s">
        <v>320</v>
      </c>
      <c r="B55" s="54"/>
      <c r="C55" s="19"/>
      <c r="D55" s="19"/>
      <c r="E55" s="54"/>
      <c r="F55" s="55" t="str">
        <f t="shared" si="1"/>
        <v/>
      </c>
      <c r="G55" s="55" t="str">
        <f>IF(B55="","",COUNTIF(Actions!$B$7:$B$106,A55))</f>
        <v/>
      </c>
      <c r="H55" s="55" t="str">
        <f>IF(B55="","",COUNTIFS(Actions!$B$7:$B$106,A55,Actions!$S$7:$S$106,"Open"))</f>
        <v/>
      </c>
      <c r="I55" s="55" t="str">
        <f>IF(B55="","",COUNTIFS(Actions!$B$7:$B$106,A55,Actions!$S$7:$S$106,"Closed"))</f>
        <v/>
      </c>
      <c r="J55" s="55" t="str">
        <f>IF(B55="","",COUNTIFS(Actions!$B$7:$B$106,A55,Actions!$S$7:$S$106,"Can’t tell"))</f>
        <v/>
      </c>
      <c r="K55" s="53"/>
    </row>
    <row r="56" spans="1:11" x14ac:dyDescent="0.3">
      <c r="A56" s="60" t="s">
        <v>321</v>
      </c>
      <c r="B56" s="54"/>
      <c r="C56" s="19"/>
      <c r="D56" s="19"/>
      <c r="E56" s="54"/>
      <c r="F56" s="55" t="str">
        <f t="shared" si="1"/>
        <v/>
      </c>
      <c r="G56" s="55" t="str">
        <f>IF(B56="","",COUNTIF(Actions!$B$7:$B$106,A56))</f>
        <v/>
      </c>
      <c r="H56" s="55" t="str">
        <f>IF(B56="","",COUNTIFS(Actions!$B$7:$B$106,A56,Actions!$S$7:$S$106,"Open"))</f>
        <v/>
      </c>
      <c r="I56" s="55" t="str">
        <f>IF(B56="","",COUNTIFS(Actions!$B$7:$B$106,A56,Actions!$S$7:$S$106,"Closed"))</f>
        <v/>
      </c>
      <c r="J56" s="55" t="str">
        <f>IF(B56="","",COUNTIFS(Actions!$B$7:$B$106,A56,Actions!$S$7:$S$106,"Can’t tell"))</f>
        <v/>
      </c>
      <c r="K56" s="53"/>
    </row>
    <row r="58" spans="1:11" x14ac:dyDescent="0.3">
      <c r="A58" s="36" t="s">
        <v>322</v>
      </c>
    </row>
  </sheetData>
  <conditionalFormatting sqref="F7:F56">
    <cfRule type="cellIs" dxfId="4" priority="1" operator="greaterThan">
      <formula>1</formula>
    </cfRule>
  </conditionalFormatting>
  <conditionalFormatting sqref="J7:J56">
    <cfRule type="cellIs" dxfId="3" priority="2" operator="greaterThan">
      <formula>0</formula>
    </cfRule>
  </conditionalFormatting>
  <printOptions horizontalCentered="1"/>
  <pageMargins left="0.4" right="0.4" top="0.5" bottom="0.5" header="0.5" footer="0.5"/>
  <pageSetup paperSize="9" scale="88" fitToHeight="0" orientation="landscape" r:id="rId1"/>
  <extLst>
    <ext xmlns:x14="http://schemas.microsoft.com/office/spreadsheetml/2009/9/main" uri="{CCE6A557-97BC-4b89-ADB6-D9C93CAAB3DF}">
      <x14:dataValidations xmlns:xm="http://schemas.microsoft.com/office/excel/2006/main" count="2">
        <x14:dataValidation type="list" allowBlank="1" xr:uid="{00000000-0002-0000-0300-000000000000}">
          <x14:formula1>
            <xm:f>Setup!$H$20:$H$39</xm:f>
          </x14:formula1>
          <xm:sqref>C7:C56</xm:sqref>
        </x14:dataValidation>
        <x14:dataValidation type="list" allowBlank="1" xr:uid="{00000000-0002-0000-0300-000001000000}">
          <x14:formula1>
            <xm:f>Setup!$A$20:$A$39</xm:f>
          </x14:formula1>
          <xm:sqref>D7:D56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B82F6"/>
    <pageSetUpPr fitToPage="1"/>
  </sheetPr>
  <dimension ref="A1:N38"/>
  <sheetViews>
    <sheetView showGridLines="0" view="pageBreakPreview" zoomScale="60" zoomScaleNormal="100" workbookViewId="0">
      <pane xSplit="3" ySplit="6" topLeftCell="D7" activePane="bottomRight" state="frozen"/>
      <selection pane="topRight"/>
      <selection pane="bottomLeft"/>
      <selection pane="bottomRight"/>
    </sheetView>
  </sheetViews>
  <sheetFormatPr defaultRowHeight="14.4" x14ac:dyDescent="0.3"/>
  <cols>
    <col min="1" max="1" width="6" customWidth="1"/>
    <col min="2" max="2" width="11" customWidth="1"/>
    <col min="3" max="3" width="28" customWidth="1"/>
    <col min="4" max="5" width="26" customWidth="1"/>
    <col min="6" max="6" width="24" customWidth="1"/>
    <col min="7" max="7" width="12" customWidth="1"/>
    <col min="8" max="9" width="9" customWidth="1"/>
    <col min="10" max="10" width="34" customWidth="1"/>
    <col min="11" max="11" width="9" customWidth="1"/>
    <col min="12" max="12" width="11" customWidth="1"/>
    <col min="13" max="14" width="30" customWidth="1"/>
  </cols>
  <sheetData>
    <row r="1" spans="1:14" ht="28.05" customHeight="1" x14ac:dyDescent="0.4">
      <c r="A1" s="43" t="s">
        <v>46</v>
      </c>
      <c r="N1" s="95" t="s">
        <v>57</v>
      </c>
    </row>
    <row r="2" spans="1:14" x14ac:dyDescent="0.3">
      <c r="A2" s="44" t="s">
        <v>323</v>
      </c>
    </row>
    <row r="3" spans="1:14" x14ac:dyDescent="0.3">
      <c r="A3" s="45" t="s">
        <v>324</v>
      </c>
    </row>
    <row r="4" spans="1:14" x14ac:dyDescent="0.3">
      <c r="A4" s="46"/>
      <c r="B4" s="46"/>
      <c r="C4" s="46"/>
      <c r="D4" s="46"/>
      <c r="E4" s="46"/>
      <c r="F4" s="46"/>
      <c r="G4" s="46"/>
      <c r="H4" s="46"/>
      <c r="I4" s="46"/>
      <c r="J4" s="46"/>
      <c r="K4" s="46"/>
      <c r="L4" s="46"/>
      <c r="M4" s="46"/>
      <c r="N4" s="46"/>
    </row>
    <row r="6" spans="1:14" ht="31.95" customHeight="1" x14ac:dyDescent="0.3">
      <c r="A6" s="47" t="s">
        <v>66</v>
      </c>
      <c r="B6" s="47" t="s">
        <v>76</v>
      </c>
      <c r="C6" s="48" t="s">
        <v>325</v>
      </c>
      <c r="D6" s="48" t="s">
        <v>326</v>
      </c>
      <c r="E6" s="48" t="s">
        <v>327</v>
      </c>
      <c r="F6" s="48" t="s">
        <v>328</v>
      </c>
      <c r="G6" s="48" t="s">
        <v>329</v>
      </c>
      <c r="H6" s="48" t="s">
        <v>330</v>
      </c>
      <c r="I6" s="47" t="s">
        <v>331</v>
      </c>
      <c r="J6" s="48" t="s">
        <v>332</v>
      </c>
      <c r="K6" s="48" t="s">
        <v>333</v>
      </c>
      <c r="L6" s="48" t="s">
        <v>95</v>
      </c>
      <c r="M6" s="50" t="s">
        <v>334</v>
      </c>
      <c r="N6" s="49" t="s">
        <v>335</v>
      </c>
    </row>
    <row r="7" spans="1:14" ht="30" customHeight="1" x14ac:dyDescent="0.3">
      <c r="A7" s="61" t="s">
        <v>336</v>
      </c>
      <c r="B7" s="54">
        <v>46085</v>
      </c>
      <c r="C7" s="53" t="s">
        <v>337</v>
      </c>
      <c r="D7" s="53" t="s">
        <v>338</v>
      </c>
      <c r="E7" s="53" t="s">
        <v>339</v>
      </c>
      <c r="F7" s="53" t="s">
        <v>340</v>
      </c>
      <c r="G7" s="62" t="s">
        <v>341</v>
      </c>
      <c r="H7" s="63">
        <v>0.38194444444444442</v>
      </c>
      <c r="I7" s="63">
        <v>0.3923611111111111</v>
      </c>
      <c r="J7" s="53" t="s">
        <v>342</v>
      </c>
      <c r="K7" s="19"/>
      <c r="L7" s="54">
        <v>46085</v>
      </c>
      <c r="M7" s="58" t="str">
        <f t="shared" ref="M7:M36" si="0">IF(C7="","",IF(H7="",IF(I7="","","Rang, never wrote: no record of how it was solved"),IF(I7="","Written; ring them",IF(H7&lt;=I7,"✔ Written first, then rang","Rang first: the email came after"))))</f>
        <v>✔ Written first, then rang</v>
      </c>
      <c r="N7" s="58" t="str">
        <f t="shared" ref="N7:N36" si="1">IF(C7="","",IF(F7="","Copy the people who hold each record",IF(G7="Y","Escalation: someone copied holds neither record","✔ Narrow and complete")))</f>
        <v>✔ Narrow and complete</v>
      </c>
    </row>
    <row r="8" spans="1:14" ht="30" customHeight="1" x14ac:dyDescent="0.3">
      <c r="A8" s="61" t="s">
        <v>343</v>
      </c>
      <c r="B8" s="54">
        <v>46091</v>
      </c>
      <c r="C8" s="53" t="s">
        <v>344</v>
      </c>
      <c r="D8" s="53" t="s">
        <v>345</v>
      </c>
      <c r="E8" s="53" t="s">
        <v>346</v>
      </c>
      <c r="F8" s="53" t="s">
        <v>347</v>
      </c>
      <c r="G8" s="62" t="s">
        <v>348</v>
      </c>
      <c r="H8" s="63">
        <v>0.4861111111111111</v>
      </c>
      <c r="I8" s="63">
        <v>0.46180555555555558</v>
      </c>
      <c r="J8" s="53"/>
      <c r="K8" s="19" t="s">
        <v>178</v>
      </c>
      <c r="L8" s="54"/>
      <c r="M8" s="58" t="str">
        <f t="shared" si="0"/>
        <v>Rang first: the email came after</v>
      </c>
      <c r="N8" s="58" t="str">
        <f t="shared" si="1"/>
        <v>Escalation: someone copied holds neither record</v>
      </c>
    </row>
    <row r="9" spans="1:14" ht="30" customHeight="1" x14ac:dyDescent="0.3">
      <c r="A9" s="61" t="s">
        <v>349</v>
      </c>
      <c r="B9" s="54">
        <v>46093</v>
      </c>
      <c r="C9" s="53" t="s">
        <v>350</v>
      </c>
      <c r="D9" s="53" t="s">
        <v>351</v>
      </c>
      <c r="E9" s="53" t="s">
        <v>352</v>
      </c>
      <c r="F9" s="53" t="s">
        <v>353</v>
      </c>
      <c r="G9" s="62" t="s">
        <v>341</v>
      </c>
      <c r="H9" s="63">
        <v>0.35416666666666669</v>
      </c>
      <c r="I9" s="63">
        <v>0.36458333333333331</v>
      </c>
      <c r="J9" s="53" t="s">
        <v>354</v>
      </c>
      <c r="K9" s="19"/>
      <c r="L9" s="54">
        <v>46093</v>
      </c>
      <c r="M9" s="58" t="str">
        <f t="shared" si="0"/>
        <v>✔ Written first, then rang</v>
      </c>
      <c r="N9" s="58" t="str">
        <f t="shared" si="1"/>
        <v>✔ Narrow and complete</v>
      </c>
    </row>
    <row r="10" spans="1:14" ht="30" customHeight="1" x14ac:dyDescent="0.3">
      <c r="A10" s="61" t="s">
        <v>355</v>
      </c>
      <c r="B10" s="54"/>
      <c r="C10" s="53"/>
      <c r="D10" s="53"/>
      <c r="E10" s="53"/>
      <c r="F10" s="53"/>
      <c r="G10" s="62"/>
      <c r="H10" s="63"/>
      <c r="I10" s="63"/>
      <c r="J10" s="53"/>
      <c r="K10" s="19"/>
      <c r="L10" s="54"/>
      <c r="M10" s="58" t="str">
        <f t="shared" si="0"/>
        <v/>
      </c>
      <c r="N10" s="58" t="str">
        <f t="shared" si="1"/>
        <v/>
      </c>
    </row>
    <row r="11" spans="1:14" ht="30" customHeight="1" x14ac:dyDescent="0.3">
      <c r="A11" s="61" t="s">
        <v>356</v>
      </c>
      <c r="B11" s="54"/>
      <c r="C11" s="53"/>
      <c r="D11" s="53"/>
      <c r="E11" s="53"/>
      <c r="F11" s="53"/>
      <c r="G11" s="62"/>
      <c r="H11" s="63"/>
      <c r="I11" s="63"/>
      <c r="J11" s="53"/>
      <c r="K11" s="19"/>
      <c r="L11" s="54"/>
      <c r="M11" s="58" t="str">
        <f t="shared" si="0"/>
        <v/>
      </c>
      <c r="N11" s="58" t="str">
        <f t="shared" si="1"/>
        <v/>
      </c>
    </row>
    <row r="12" spans="1:14" ht="30" customHeight="1" x14ac:dyDescent="0.3">
      <c r="A12" s="61" t="s">
        <v>357</v>
      </c>
      <c r="B12" s="54"/>
      <c r="C12" s="53"/>
      <c r="D12" s="53"/>
      <c r="E12" s="53"/>
      <c r="F12" s="53"/>
      <c r="G12" s="62"/>
      <c r="H12" s="63"/>
      <c r="I12" s="63"/>
      <c r="J12" s="53"/>
      <c r="K12" s="19"/>
      <c r="L12" s="54"/>
      <c r="M12" s="58" t="str">
        <f t="shared" si="0"/>
        <v/>
      </c>
      <c r="N12" s="58" t="str">
        <f t="shared" si="1"/>
        <v/>
      </c>
    </row>
    <row r="13" spans="1:14" ht="30" customHeight="1" x14ac:dyDescent="0.3">
      <c r="A13" s="61" t="s">
        <v>358</v>
      </c>
      <c r="B13" s="54"/>
      <c r="C13" s="53"/>
      <c r="D13" s="53"/>
      <c r="E13" s="53"/>
      <c r="F13" s="53"/>
      <c r="G13" s="62"/>
      <c r="H13" s="63"/>
      <c r="I13" s="63"/>
      <c r="J13" s="53"/>
      <c r="K13" s="19"/>
      <c r="L13" s="54"/>
      <c r="M13" s="58" t="str">
        <f t="shared" si="0"/>
        <v/>
      </c>
      <c r="N13" s="58" t="str">
        <f t="shared" si="1"/>
        <v/>
      </c>
    </row>
    <row r="14" spans="1:14" ht="30" customHeight="1" x14ac:dyDescent="0.3">
      <c r="A14" s="61" t="s">
        <v>359</v>
      </c>
      <c r="B14" s="54"/>
      <c r="C14" s="53"/>
      <c r="D14" s="53"/>
      <c r="E14" s="53"/>
      <c r="F14" s="53"/>
      <c r="G14" s="62"/>
      <c r="H14" s="63"/>
      <c r="I14" s="63"/>
      <c r="J14" s="53"/>
      <c r="K14" s="19"/>
      <c r="L14" s="54"/>
      <c r="M14" s="58" t="str">
        <f t="shared" si="0"/>
        <v/>
      </c>
      <c r="N14" s="58" t="str">
        <f t="shared" si="1"/>
        <v/>
      </c>
    </row>
    <row r="15" spans="1:14" ht="30" customHeight="1" x14ac:dyDescent="0.3">
      <c r="A15" s="61" t="s">
        <v>360</v>
      </c>
      <c r="B15" s="54"/>
      <c r="C15" s="53"/>
      <c r="D15" s="53"/>
      <c r="E15" s="53"/>
      <c r="F15" s="53"/>
      <c r="G15" s="62"/>
      <c r="H15" s="63"/>
      <c r="I15" s="63"/>
      <c r="J15" s="53"/>
      <c r="K15" s="19"/>
      <c r="L15" s="54"/>
      <c r="M15" s="58" t="str">
        <f t="shared" si="0"/>
        <v/>
      </c>
      <c r="N15" s="58" t="str">
        <f t="shared" si="1"/>
        <v/>
      </c>
    </row>
    <row r="16" spans="1:14" ht="30" customHeight="1" x14ac:dyDescent="0.3">
      <c r="A16" s="61" t="s">
        <v>361</v>
      </c>
      <c r="B16" s="54"/>
      <c r="C16" s="53"/>
      <c r="D16" s="53"/>
      <c r="E16" s="53"/>
      <c r="F16" s="53"/>
      <c r="G16" s="62"/>
      <c r="H16" s="63"/>
      <c r="I16" s="63"/>
      <c r="J16" s="53"/>
      <c r="K16" s="19"/>
      <c r="L16" s="54"/>
      <c r="M16" s="58" t="str">
        <f t="shared" si="0"/>
        <v/>
      </c>
      <c r="N16" s="58" t="str">
        <f t="shared" si="1"/>
        <v/>
      </c>
    </row>
    <row r="17" spans="1:14" ht="30" customHeight="1" x14ac:dyDescent="0.3">
      <c r="A17" s="61" t="s">
        <v>362</v>
      </c>
      <c r="B17" s="54"/>
      <c r="C17" s="53"/>
      <c r="D17" s="53"/>
      <c r="E17" s="53"/>
      <c r="F17" s="53"/>
      <c r="G17" s="62"/>
      <c r="H17" s="63"/>
      <c r="I17" s="63"/>
      <c r="J17" s="53"/>
      <c r="K17" s="19"/>
      <c r="L17" s="54"/>
      <c r="M17" s="58" t="str">
        <f t="shared" si="0"/>
        <v/>
      </c>
      <c r="N17" s="58" t="str">
        <f t="shared" si="1"/>
        <v/>
      </c>
    </row>
    <row r="18" spans="1:14" ht="30" customHeight="1" x14ac:dyDescent="0.3">
      <c r="A18" s="61" t="s">
        <v>363</v>
      </c>
      <c r="B18" s="54"/>
      <c r="C18" s="53"/>
      <c r="D18" s="53"/>
      <c r="E18" s="53"/>
      <c r="F18" s="53"/>
      <c r="G18" s="62"/>
      <c r="H18" s="63"/>
      <c r="I18" s="63"/>
      <c r="J18" s="53"/>
      <c r="K18" s="19"/>
      <c r="L18" s="54"/>
      <c r="M18" s="58" t="str">
        <f t="shared" si="0"/>
        <v/>
      </c>
      <c r="N18" s="58" t="str">
        <f t="shared" si="1"/>
        <v/>
      </c>
    </row>
    <row r="19" spans="1:14" ht="30" customHeight="1" x14ac:dyDescent="0.3">
      <c r="A19" s="61" t="s">
        <v>364</v>
      </c>
      <c r="B19" s="54"/>
      <c r="C19" s="53"/>
      <c r="D19" s="53"/>
      <c r="E19" s="53"/>
      <c r="F19" s="53"/>
      <c r="G19" s="62"/>
      <c r="H19" s="63"/>
      <c r="I19" s="63"/>
      <c r="J19" s="53"/>
      <c r="K19" s="19"/>
      <c r="L19" s="54"/>
      <c r="M19" s="58" t="str">
        <f t="shared" si="0"/>
        <v/>
      </c>
      <c r="N19" s="58" t="str">
        <f t="shared" si="1"/>
        <v/>
      </c>
    </row>
    <row r="20" spans="1:14" ht="30" customHeight="1" x14ac:dyDescent="0.3">
      <c r="A20" s="61" t="s">
        <v>365</v>
      </c>
      <c r="B20" s="54"/>
      <c r="C20" s="53"/>
      <c r="D20" s="53"/>
      <c r="E20" s="53"/>
      <c r="F20" s="53"/>
      <c r="G20" s="62"/>
      <c r="H20" s="63"/>
      <c r="I20" s="63"/>
      <c r="J20" s="53"/>
      <c r="K20" s="19"/>
      <c r="L20" s="54"/>
      <c r="M20" s="58" t="str">
        <f t="shared" si="0"/>
        <v/>
      </c>
      <c r="N20" s="58" t="str">
        <f t="shared" si="1"/>
        <v/>
      </c>
    </row>
    <row r="21" spans="1:14" ht="30" customHeight="1" x14ac:dyDescent="0.3">
      <c r="A21" s="61" t="s">
        <v>366</v>
      </c>
      <c r="B21" s="54"/>
      <c r="C21" s="53"/>
      <c r="D21" s="53"/>
      <c r="E21" s="53"/>
      <c r="F21" s="53"/>
      <c r="G21" s="62"/>
      <c r="H21" s="63"/>
      <c r="I21" s="63"/>
      <c r="J21" s="53"/>
      <c r="K21" s="19"/>
      <c r="L21" s="54"/>
      <c r="M21" s="58" t="str">
        <f t="shared" si="0"/>
        <v/>
      </c>
      <c r="N21" s="58" t="str">
        <f t="shared" si="1"/>
        <v/>
      </c>
    </row>
    <row r="22" spans="1:14" ht="30" customHeight="1" x14ac:dyDescent="0.3">
      <c r="A22" s="61" t="s">
        <v>367</v>
      </c>
      <c r="B22" s="54"/>
      <c r="C22" s="53"/>
      <c r="D22" s="53"/>
      <c r="E22" s="53"/>
      <c r="F22" s="53"/>
      <c r="G22" s="62"/>
      <c r="H22" s="63"/>
      <c r="I22" s="63"/>
      <c r="J22" s="53"/>
      <c r="K22" s="19"/>
      <c r="L22" s="54"/>
      <c r="M22" s="58" t="str">
        <f t="shared" si="0"/>
        <v/>
      </c>
      <c r="N22" s="58" t="str">
        <f t="shared" si="1"/>
        <v/>
      </c>
    </row>
    <row r="23" spans="1:14" ht="30" customHeight="1" x14ac:dyDescent="0.3">
      <c r="A23" s="61" t="s">
        <v>368</v>
      </c>
      <c r="B23" s="54"/>
      <c r="C23" s="53"/>
      <c r="D23" s="53"/>
      <c r="E23" s="53"/>
      <c r="F23" s="53"/>
      <c r="G23" s="62"/>
      <c r="H23" s="63"/>
      <c r="I23" s="63"/>
      <c r="J23" s="53"/>
      <c r="K23" s="19"/>
      <c r="L23" s="54"/>
      <c r="M23" s="58" t="str">
        <f t="shared" si="0"/>
        <v/>
      </c>
      <c r="N23" s="58" t="str">
        <f t="shared" si="1"/>
        <v/>
      </c>
    </row>
    <row r="24" spans="1:14" ht="30" customHeight="1" x14ac:dyDescent="0.3">
      <c r="A24" s="61" t="s">
        <v>369</v>
      </c>
      <c r="B24" s="54"/>
      <c r="C24" s="53"/>
      <c r="D24" s="53"/>
      <c r="E24" s="53"/>
      <c r="F24" s="53"/>
      <c r="G24" s="62"/>
      <c r="H24" s="63"/>
      <c r="I24" s="63"/>
      <c r="J24" s="53"/>
      <c r="K24" s="19"/>
      <c r="L24" s="54"/>
      <c r="M24" s="58" t="str">
        <f t="shared" si="0"/>
        <v/>
      </c>
      <c r="N24" s="58" t="str">
        <f t="shared" si="1"/>
        <v/>
      </c>
    </row>
    <row r="25" spans="1:14" ht="30" customHeight="1" x14ac:dyDescent="0.3">
      <c r="A25" s="61" t="s">
        <v>370</v>
      </c>
      <c r="B25" s="54"/>
      <c r="C25" s="53"/>
      <c r="D25" s="53"/>
      <c r="E25" s="53"/>
      <c r="F25" s="53"/>
      <c r="G25" s="62"/>
      <c r="H25" s="63"/>
      <c r="I25" s="63"/>
      <c r="J25" s="53"/>
      <c r="K25" s="19"/>
      <c r="L25" s="54"/>
      <c r="M25" s="58" t="str">
        <f t="shared" si="0"/>
        <v/>
      </c>
      <c r="N25" s="58" t="str">
        <f t="shared" si="1"/>
        <v/>
      </c>
    </row>
    <row r="26" spans="1:14" ht="30" customHeight="1" x14ac:dyDescent="0.3">
      <c r="A26" s="61" t="s">
        <v>371</v>
      </c>
      <c r="B26" s="54"/>
      <c r="C26" s="53"/>
      <c r="D26" s="53"/>
      <c r="E26" s="53"/>
      <c r="F26" s="53"/>
      <c r="G26" s="62"/>
      <c r="H26" s="63"/>
      <c r="I26" s="63"/>
      <c r="J26" s="53"/>
      <c r="K26" s="19"/>
      <c r="L26" s="54"/>
      <c r="M26" s="58" t="str">
        <f t="shared" si="0"/>
        <v/>
      </c>
      <c r="N26" s="58" t="str">
        <f t="shared" si="1"/>
        <v/>
      </c>
    </row>
    <row r="27" spans="1:14" ht="30" customHeight="1" x14ac:dyDescent="0.3">
      <c r="A27" s="61" t="s">
        <v>372</v>
      </c>
      <c r="B27" s="54"/>
      <c r="C27" s="53"/>
      <c r="D27" s="53"/>
      <c r="E27" s="53"/>
      <c r="F27" s="53"/>
      <c r="G27" s="62"/>
      <c r="H27" s="63"/>
      <c r="I27" s="63"/>
      <c r="J27" s="53"/>
      <c r="K27" s="19"/>
      <c r="L27" s="54"/>
      <c r="M27" s="58" t="str">
        <f t="shared" si="0"/>
        <v/>
      </c>
      <c r="N27" s="58" t="str">
        <f t="shared" si="1"/>
        <v/>
      </c>
    </row>
    <row r="28" spans="1:14" ht="30" customHeight="1" x14ac:dyDescent="0.3">
      <c r="A28" s="61" t="s">
        <v>373</v>
      </c>
      <c r="B28" s="54"/>
      <c r="C28" s="53"/>
      <c r="D28" s="53"/>
      <c r="E28" s="53"/>
      <c r="F28" s="53"/>
      <c r="G28" s="62"/>
      <c r="H28" s="63"/>
      <c r="I28" s="63"/>
      <c r="J28" s="53"/>
      <c r="K28" s="19"/>
      <c r="L28" s="54"/>
      <c r="M28" s="58" t="str">
        <f t="shared" si="0"/>
        <v/>
      </c>
      <c r="N28" s="58" t="str">
        <f t="shared" si="1"/>
        <v/>
      </c>
    </row>
    <row r="29" spans="1:14" ht="30" customHeight="1" x14ac:dyDescent="0.3">
      <c r="A29" s="61" t="s">
        <v>374</v>
      </c>
      <c r="B29" s="54"/>
      <c r="C29" s="53"/>
      <c r="D29" s="53"/>
      <c r="E29" s="53"/>
      <c r="F29" s="53"/>
      <c r="G29" s="62"/>
      <c r="H29" s="63"/>
      <c r="I29" s="63"/>
      <c r="J29" s="53"/>
      <c r="K29" s="19"/>
      <c r="L29" s="54"/>
      <c r="M29" s="58" t="str">
        <f t="shared" si="0"/>
        <v/>
      </c>
      <c r="N29" s="58" t="str">
        <f t="shared" si="1"/>
        <v/>
      </c>
    </row>
    <row r="30" spans="1:14" ht="30" customHeight="1" x14ac:dyDescent="0.3">
      <c r="A30" s="61" t="s">
        <v>375</v>
      </c>
      <c r="B30" s="54"/>
      <c r="C30" s="53"/>
      <c r="D30" s="53"/>
      <c r="E30" s="53"/>
      <c r="F30" s="53"/>
      <c r="G30" s="62"/>
      <c r="H30" s="63"/>
      <c r="I30" s="63"/>
      <c r="J30" s="53"/>
      <c r="K30" s="19"/>
      <c r="L30" s="54"/>
      <c r="M30" s="58" t="str">
        <f t="shared" si="0"/>
        <v/>
      </c>
      <c r="N30" s="58" t="str">
        <f t="shared" si="1"/>
        <v/>
      </c>
    </row>
    <row r="31" spans="1:14" ht="30" customHeight="1" x14ac:dyDescent="0.3">
      <c r="A31" s="61" t="s">
        <v>376</v>
      </c>
      <c r="B31" s="54"/>
      <c r="C31" s="53"/>
      <c r="D31" s="53"/>
      <c r="E31" s="53"/>
      <c r="F31" s="53"/>
      <c r="G31" s="62"/>
      <c r="H31" s="63"/>
      <c r="I31" s="63"/>
      <c r="J31" s="53"/>
      <c r="K31" s="19"/>
      <c r="L31" s="54"/>
      <c r="M31" s="58" t="str">
        <f t="shared" si="0"/>
        <v/>
      </c>
      <c r="N31" s="58" t="str">
        <f t="shared" si="1"/>
        <v/>
      </c>
    </row>
    <row r="32" spans="1:14" ht="30" customHeight="1" x14ac:dyDescent="0.3">
      <c r="A32" s="61" t="s">
        <v>377</v>
      </c>
      <c r="B32" s="54"/>
      <c r="C32" s="53"/>
      <c r="D32" s="53"/>
      <c r="E32" s="53"/>
      <c r="F32" s="53"/>
      <c r="G32" s="62"/>
      <c r="H32" s="63"/>
      <c r="I32" s="63"/>
      <c r="J32" s="53"/>
      <c r="K32" s="19"/>
      <c r="L32" s="54"/>
      <c r="M32" s="58" t="str">
        <f t="shared" si="0"/>
        <v/>
      </c>
      <c r="N32" s="58" t="str">
        <f t="shared" si="1"/>
        <v/>
      </c>
    </row>
    <row r="33" spans="1:14" ht="30" customHeight="1" x14ac:dyDescent="0.3">
      <c r="A33" s="61" t="s">
        <v>378</v>
      </c>
      <c r="B33" s="54"/>
      <c r="C33" s="53"/>
      <c r="D33" s="53"/>
      <c r="E33" s="53"/>
      <c r="F33" s="53"/>
      <c r="G33" s="62"/>
      <c r="H33" s="63"/>
      <c r="I33" s="63"/>
      <c r="J33" s="53"/>
      <c r="K33" s="19"/>
      <c r="L33" s="54"/>
      <c r="M33" s="58" t="str">
        <f t="shared" si="0"/>
        <v/>
      </c>
      <c r="N33" s="58" t="str">
        <f t="shared" si="1"/>
        <v/>
      </c>
    </row>
    <row r="34" spans="1:14" ht="30" customHeight="1" x14ac:dyDescent="0.3">
      <c r="A34" s="61" t="s">
        <v>379</v>
      </c>
      <c r="B34" s="54"/>
      <c r="C34" s="53"/>
      <c r="D34" s="53"/>
      <c r="E34" s="53"/>
      <c r="F34" s="53"/>
      <c r="G34" s="62"/>
      <c r="H34" s="63"/>
      <c r="I34" s="63"/>
      <c r="J34" s="53"/>
      <c r="K34" s="19"/>
      <c r="L34" s="54"/>
      <c r="M34" s="58" t="str">
        <f t="shared" si="0"/>
        <v/>
      </c>
      <c r="N34" s="58" t="str">
        <f t="shared" si="1"/>
        <v/>
      </c>
    </row>
    <row r="35" spans="1:14" ht="30" customHeight="1" x14ac:dyDescent="0.3">
      <c r="A35" s="61" t="s">
        <v>380</v>
      </c>
      <c r="B35" s="54"/>
      <c r="C35" s="53"/>
      <c r="D35" s="53"/>
      <c r="E35" s="53"/>
      <c r="F35" s="53"/>
      <c r="G35" s="62"/>
      <c r="H35" s="63"/>
      <c r="I35" s="63"/>
      <c r="J35" s="53"/>
      <c r="K35" s="19"/>
      <c r="L35" s="54"/>
      <c r="M35" s="58" t="str">
        <f t="shared" si="0"/>
        <v/>
      </c>
      <c r="N35" s="58" t="str">
        <f t="shared" si="1"/>
        <v/>
      </c>
    </row>
    <row r="36" spans="1:14" ht="30" customHeight="1" x14ac:dyDescent="0.3">
      <c r="A36" s="61" t="s">
        <v>381</v>
      </c>
      <c r="B36" s="54"/>
      <c r="C36" s="53"/>
      <c r="D36" s="53"/>
      <c r="E36" s="53"/>
      <c r="F36" s="53"/>
      <c r="G36" s="62"/>
      <c r="H36" s="63"/>
      <c r="I36" s="63"/>
      <c r="J36" s="53"/>
      <c r="K36" s="19"/>
      <c r="L36" s="54"/>
      <c r="M36" s="58" t="str">
        <f t="shared" si="0"/>
        <v/>
      </c>
      <c r="N36" s="58" t="str">
        <f t="shared" si="1"/>
        <v/>
      </c>
    </row>
    <row r="38" spans="1:14" x14ac:dyDescent="0.3">
      <c r="A38" s="36" t="s">
        <v>382</v>
      </c>
    </row>
  </sheetData>
  <conditionalFormatting sqref="M7:N36">
    <cfRule type="expression" dxfId="2" priority="1">
      <formula>LEFT(M7,1)="✔"</formula>
    </cfRule>
    <cfRule type="expression" dxfId="1" priority="2">
      <formula>AND(M7&lt;&gt;"",LEFT(M7,1)&lt;&gt;"✔")</formula>
    </cfRule>
  </conditionalFormatting>
  <dataValidations count="1">
    <dataValidation type="list" allowBlank="1" sqref="G7:G36" xr:uid="{00000000-0002-0000-0400-000000000000}">
      <formula1>"Y,N"</formula1>
    </dataValidation>
  </dataValidations>
  <printOptions horizontalCentered="1"/>
  <pageMargins left="0.4" right="0.4" top="0.5" bottom="0.5" header="0.5" footer="0.5"/>
  <pageSetup paperSize="9" scale="52"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B82F6"/>
    <pageSetUpPr fitToPage="1"/>
  </sheetPr>
  <dimension ref="A1:I58"/>
  <sheetViews>
    <sheetView showGridLines="0" view="pageBreakPreview" zoomScale="60" zoomScaleNormal="100" workbookViewId="0">
      <pane xSplit="3" ySplit="6" topLeftCell="D7" activePane="bottomRight" state="frozen"/>
      <selection pane="topRight"/>
      <selection pane="bottomLeft"/>
      <selection pane="bottomRight"/>
    </sheetView>
  </sheetViews>
  <sheetFormatPr defaultRowHeight="14.4" x14ac:dyDescent="0.3"/>
  <cols>
    <col min="1" max="1" width="6" customWidth="1"/>
    <col min="2" max="2" width="11" customWidth="1"/>
    <col min="3" max="3" width="9" customWidth="1"/>
    <col min="4" max="4" width="50" customWidth="1"/>
    <col min="5" max="5" width="17" customWidth="1"/>
    <col min="6" max="6" width="30" customWidth="1"/>
    <col min="7" max="7" width="11" customWidth="1"/>
    <col min="8" max="8" width="14" customWidth="1"/>
    <col min="9" max="9" width="34" customWidth="1"/>
  </cols>
  <sheetData>
    <row r="1" spans="1:9" ht="28.05" customHeight="1" x14ac:dyDescent="0.4">
      <c r="A1" s="43" t="s">
        <v>48</v>
      </c>
      <c r="I1" s="95" t="s">
        <v>57</v>
      </c>
    </row>
    <row r="2" spans="1:9" x14ac:dyDescent="0.3">
      <c r="A2" s="44" t="s">
        <v>383</v>
      </c>
    </row>
    <row r="3" spans="1:9" x14ac:dyDescent="0.3">
      <c r="A3" s="45" t="s">
        <v>384</v>
      </c>
    </row>
    <row r="4" spans="1:9" x14ac:dyDescent="0.3">
      <c r="A4" s="46"/>
      <c r="B4" s="46"/>
      <c r="C4" s="46"/>
      <c r="D4" s="46"/>
      <c r="E4" s="46"/>
      <c r="F4" s="46"/>
      <c r="G4" s="46"/>
      <c r="H4" s="46"/>
      <c r="I4" s="46"/>
    </row>
    <row r="6" spans="1:9" ht="31.95" customHeight="1" x14ac:dyDescent="0.3">
      <c r="A6" s="47" t="s">
        <v>66</v>
      </c>
      <c r="B6" s="47" t="s">
        <v>76</v>
      </c>
      <c r="C6" s="47" t="s">
        <v>6</v>
      </c>
      <c r="D6" s="47" t="s">
        <v>385</v>
      </c>
      <c r="E6" s="48" t="s">
        <v>386</v>
      </c>
      <c r="F6" s="48" t="s">
        <v>387</v>
      </c>
      <c r="G6" s="48" t="s">
        <v>388</v>
      </c>
      <c r="H6" s="48" t="s">
        <v>389</v>
      </c>
      <c r="I6" s="47" t="s">
        <v>99</v>
      </c>
    </row>
    <row r="7" spans="1:9" ht="30" customHeight="1" x14ac:dyDescent="0.3">
      <c r="A7" s="61" t="s">
        <v>390</v>
      </c>
      <c r="B7" s="54">
        <v>46087</v>
      </c>
      <c r="C7" s="19" t="s">
        <v>114</v>
      </c>
      <c r="D7" s="53" t="s">
        <v>391</v>
      </c>
      <c r="E7" s="19" t="s">
        <v>137</v>
      </c>
      <c r="F7" s="53" t="s">
        <v>392</v>
      </c>
      <c r="G7" s="19"/>
      <c r="H7" s="19" t="s">
        <v>393</v>
      </c>
      <c r="I7" s="53" t="s">
        <v>394</v>
      </c>
    </row>
    <row r="8" spans="1:9" ht="30" customHeight="1" x14ac:dyDescent="0.3">
      <c r="A8" s="61" t="s">
        <v>395</v>
      </c>
      <c r="B8" s="54">
        <v>46090</v>
      </c>
      <c r="C8" s="19" t="s">
        <v>158</v>
      </c>
      <c r="D8" s="53" t="s">
        <v>396</v>
      </c>
      <c r="E8" s="19" t="s">
        <v>137</v>
      </c>
      <c r="F8" s="53" t="s">
        <v>397</v>
      </c>
      <c r="G8" s="19"/>
      <c r="H8" s="19" t="s">
        <v>157</v>
      </c>
      <c r="I8" s="53" t="s">
        <v>398</v>
      </c>
    </row>
    <row r="9" spans="1:9" ht="30" customHeight="1" x14ac:dyDescent="0.3">
      <c r="A9" s="61" t="s">
        <v>399</v>
      </c>
      <c r="B9" s="54"/>
      <c r="C9" s="19"/>
      <c r="D9" s="53"/>
      <c r="E9" s="19"/>
      <c r="F9" s="53"/>
      <c r="G9" s="19"/>
      <c r="H9" s="19"/>
      <c r="I9" s="53"/>
    </row>
    <row r="10" spans="1:9" ht="30" customHeight="1" x14ac:dyDescent="0.3">
      <c r="A10" s="61" t="s">
        <v>400</v>
      </c>
      <c r="B10" s="54"/>
      <c r="C10" s="19"/>
      <c r="D10" s="53"/>
      <c r="E10" s="19"/>
      <c r="F10" s="53"/>
      <c r="G10" s="19"/>
      <c r="H10" s="19"/>
      <c r="I10" s="53"/>
    </row>
    <row r="11" spans="1:9" ht="30" customHeight="1" x14ac:dyDescent="0.3">
      <c r="A11" s="61" t="s">
        <v>401</v>
      </c>
      <c r="B11" s="54"/>
      <c r="C11" s="19"/>
      <c r="D11" s="53"/>
      <c r="E11" s="19"/>
      <c r="F11" s="53"/>
      <c r="G11" s="19"/>
      <c r="H11" s="19"/>
      <c r="I11" s="53"/>
    </row>
    <row r="12" spans="1:9" ht="30" customHeight="1" x14ac:dyDescent="0.3">
      <c r="A12" s="61" t="s">
        <v>402</v>
      </c>
      <c r="B12" s="54"/>
      <c r="C12" s="19"/>
      <c r="D12" s="53"/>
      <c r="E12" s="19"/>
      <c r="F12" s="53"/>
      <c r="G12" s="19"/>
      <c r="H12" s="19"/>
      <c r="I12" s="53"/>
    </row>
    <row r="13" spans="1:9" ht="30" customHeight="1" x14ac:dyDescent="0.3">
      <c r="A13" s="61" t="s">
        <v>403</v>
      </c>
      <c r="B13" s="54"/>
      <c r="C13" s="19"/>
      <c r="D13" s="53"/>
      <c r="E13" s="19"/>
      <c r="F13" s="53"/>
      <c r="G13" s="19"/>
      <c r="H13" s="19"/>
      <c r="I13" s="53"/>
    </row>
    <row r="14" spans="1:9" ht="30" customHeight="1" x14ac:dyDescent="0.3">
      <c r="A14" s="61" t="s">
        <v>404</v>
      </c>
      <c r="B14" s="54"/>
      <c r="C14" s="19"/>
      <c r="D14" s="53"/>
      <c r="E14" s="19"/>
      <c r="F14" s="53"/>
      <c r="G14" s="19"/>
      <c r="H14" s="19"/>
      <c r="I14" s="53"/>
    </row>
    <row r="15" spans="1:9" ht="30" customHeight="1" x14ac:dyDescent="0.3">
      <c r="A15" s="61" t="s">
        <v>405</v>
      </c>
      <c r="B15" s="54"/>
      <c r="C15" s="19"/>
      <c r="D15" s="53"/>
      <c r="E15" s="19"/>
      <c r="F15" s="53"/>
      <c r="G15" s="19"/>
      <c r="H15" s="19"/>
      <c r="I15" s="53"/>
    </row>
    <row r="16" spans="1:9" ht="30" customHeight="1" x14ac:dyDescent="0.3">
      <c r="A16" s="61" t="s">
        <v>406</v>
      </c>
      <c r="B16" s="54"/>
      <c r="C16" s="19"/>
      <c r="D16" s="53"/>
      <c r="E16" s="19"/>
      <c r="F16" s="53"/>
      <c r="G16" s="19"/>
      <c r="H16" s="19"/>
      <c r="I16" s="53"/>
    </row>
    <row r="17" spans="1:9" ht="30" customHeight="1" x14ac:dyDescent="0.3">
      <c r="A17" s="61" t="s">
        <v>407</v>
      </c>
      <c r="B17" s="54"/>
      <c r="C17" s="19"/>
      <c r="D17" s="53"/>
      <c r="E17" s="19"/>
      <c r="F17" s="53"/>
      <c r="G17" s="19"/>
      <c r="H17" s="19"/>
      <c r="I17" s="53"/>
    </row>
    <row r="18" spans="1:9" ht="30" customHeight="1" x14ac:dyDescent="0.3">
      <c r="A18" s="61" t="s">
        <v>408</v>
      </c>
      <c r="B18" s="54"/>
      <c r="C18" s="19"/>
      <c r="D18" s="53"/>
      <c r="E18" s="19"/>
      <c r="F18" s="53"/>
      <c r="G18" s="19"/>
      <c r="H18" s="19"/>
      <c r="I18" s="53"/>
    </row>
    <row r="19" spans="1:9" ht="30" customHeight="1" x14ac:dyDescent="0.3">
      <c r="A19" s="61" t="s">
        <v>409</v>
      </c>
      <c r="B19" s="54"/>
      <c r="C19" s="19"/>
      <c r="D19" s="53"/>
      <c r="E19" s="19"/>
      <c r="F19" s="53"/>
      <c r="G19" s="19"/>
      <c r="H19" s="19"/>
      <c r="I19" s="53"/>
    </row>
    <row r="20" spans="1:9" ht="30" customHeight="1" x14ac:dyDescent="0.3">
      <c r="A20" s="61" t="s">
        <v>410</v>
      </c>
      <c r="B20" s="54"/>
      <c r="C20" s="19"/>
      <c r="D20" s="53"/>
      <c r="E20" s="19"/>
      <c r="F20" s="53"/>
      <c r="G20" s="19"/>
      <c r="H20" s="19"/>
      <c r="I20" s="53"/>
    </row>
    <row r="21" spans="1:9" ht="30" customHeight="1" x14ac:dyDescent="0.3">
      <c r="A21" s="61" t="s">
        <v>411</v>
      </c>
      <c r="B21" s="54"/>
      <c r="C21" s="19"/>
      <c r="D21" s="53"/>
      <c r="E21" s="19"/>
      <c r="F21" s="53"/>
      <c r="G21" s="19"/>
      <c r="H21" s="19"/>
      <c r="I21" s="53"/>
    </row>
    <row r="22" spans="1:9" ht="30" customHeight="1" x14ac:dyDescent="0.3">
      <c r="A22" s="61" t="s">
        <v>412</v>
      </c>
      <c r="B22" s="54"/>
      <c r="C22" s="19"/>
      <c r="D22" s="53"/>
      <c r="E22" s="19"/>
      <c r="F22" s="53"/>
      <c r="G22" s="19"/>
      <c r="H22" s="19"/>
      <c r="I22" s="53"/>
    </row>
    <row r="23" spans="1:9" ht="30" customHeight="1" x14ac:dyDescent="0.3">
      <c r="A23" s="61" t="s">
        <v>413</v>
      </c>
      <c r="B23" s="54"/>
      <c r="C23" s="19"/>
      <c r="D23" s="53"/>
      <c r="E23" s="19"/>
      <c r="F23" s="53"/>
      <c r="G23" s="19"/>
      <c r="H23" s="19"/>
      <c r="I23" s="53"/>
    </row>
    <row r="24" spans="1:9" ht="30" customHeight="1" x14ac:dyDescent="0.3">
      <c r="A24" s="61" t="s">
        <v>414</v>
      </c>
      <c r="B24" s="54"/>
      <c r="C24" s="19"/>
      <c r="D24" s="53"/>
      <c r="E24" s="19"/>
      <c r="F24" s="53"/>
      <c r="G24" s="19"/>
      <c r="H24" s="19"/>
      <c r="I24" s="53"/>
    </row>
    <row r="25" spans="1:9" ht="30" customHeight="1" x14ac:dyDescent="0.3">
      <c r="A25" s="61" t="s">
        <v>415</v>
      </c>
      <c r="B25" s="54"/>
      <c r="C25" s="19"/>
      <c r="D25" s="53"/>
      <c r="E25" s="19"/>
      <c r="F25" s="53"/>
      <c r="G25" s="19"/>
      <c r="H25" s="19"/>
      <c r="I25" s="53"/>
    </row>
    <row r="26" spans="1:9" ht="30" customHeight="1" x14ac:dyDescent="0.3">
      <c r="A26" s="61" t="s">
        <v>416</v>
      </c>
      <c r="B26" s="54"/>
      <c r="C26" s="19"/>
      <c r="D26" s="53"/>
      <c r="E26" s="19"/>
      <c r="F26" s="53"/>
      <c r="G26" s="19"/>
      <c r="H26" s="19"/>
      <c r="I26" s="53"/>
    </row>
    <row r="27" spans="1:9" ht="30" customHeight="1" x14ac:dyDescent="0.3">
      <c r="A27" s="61" t="s">
        <v>417</v>
      </c>
      <c r="B27" s="54"/>
      <c r="C27" s="19"/>
      <c r="D27" s="53"/>
      <c r="E27" s="19"/>
      <c r="F27" s="53"/>
      <c r="G27" s="19"/>
      <c r="H27" s="19"/>
      <c r="I27" s="53"/>
    </row>
    <row r="28" spans="1:9" ht="30" customHeight="1" x14ac:dyDescent="0.3">
      <c r="A28" s="61" t="s">
        <v>418</v>
      </c>
      <c r="B28" s="54"/>
      <c r="C28" s="19"/>
      <c r="D28" s="53"/>
      <c r="E28" s="19"/>
      <c r="F28" s="53"/>
      <c r="G28" s="19"/>
      <c r="H28" s="19"/>
      <c r="I28" s="53"/>
    </row>
    <row r="29" spans="1:9" ht="30" customHeight="1" x14ac:dyDescent="0.3">
      <c r="A29" s="61" t="s">
        <v>419</v>
      </c>
      <c r="B29" s="54"/>
      <c r="C29" s="19"/>
      <c r="D29" s="53"/>
      <c r="E29" s="19"/>
      <c r="F29" s="53"/>
      <c r="G29" s="19"/>
      <c r="H29" s="19"/>
      <c r="I29" s="53"/>
    </row>
    <row r="30" spans="1:9" ht="30" customHeight="1" x14ac:dyDescent="0.3">
      <c r="A30" s="61" t="s">
        <v>420</v>
      </c>
      <c r="B30" s="54"/>
      <c r="C30" s="19"/>
      <c r="D30" s="53"/>
      <c r="E30" s="19"/>
      <c r="F30" s="53"/>
      <c r="G30" s="19"/>
      <c r="H30" s="19"/>
      <c r="I30" s="53"/>
    </row>
    <row r="31" spans="1:9" ht="30" customHeight="1" x14ac:dyDescent="0.3">
      <c r="A31" s="61" t="s">
        <v>421</v>
      </c>
      <c r="B31" s="54"/>
      <c r="C31" s="19"/>
      <c r="D31" s="53"/>
      <c r="E31" s="19"/>
      <c r="F31" s="53"/>
      <c r="G31" s="19"/>
      <c r="H31" s="19"/>
      <c r="I31" s="53"/>
    </row>
    <row r="32" spans="1:9" ht="30" customHeight="1" x14ac:dyDescent="0.3">
      <c r="A32" s="61" t="s">
        <v>422</v>
      </c>
      <c r="B32" s="54"/>
      <c r="C32" s="19"/>
      <c r="D32" s="53"/>
      <c r="E32" s="19"/>
      <c r="F32" s="53"/>
      <c r="G32" s="19"/>
      <c r="H32" s="19"/>
      <c r="I32" s="53"/>
    </row>
    <row r="33" spans="1:9" ht="30" customHeight="1" x14ac:dyDescent="0.3">
      <c r="A33" s="61" t="s">
        <v>423</v>
      </c>
      <c r="B33" s="54"/>
      <c r="C33" s="19"/>
      <c r="D33" s="53"/>
      <c r="E33" s="19"/>
      <c r="F33" s="53"/>
      <c r="G33" s="19"/>
      <c r="H33" s="19"/>
      <c r="I33" s="53"/>
    </row>
    <row r="34" spans="1:9" ht="30" customHeight="1" x14ac:dyDescent="0.3">
      <c r="A34" s="61" t="s">
        <v>424</v>
      </c>
      <c r="B34" s="54"/>
      <c r="C34" s="19"/>
      <c r="D34" s="53"/>
      <c r="E34" s="19"/>
      <c r="F34" s="53"/>
      <c r="G34" s="19"/>
      <c r="H34" s="19"/>
      <c r="I34" s="53"/>
    </row>
    <row r="35" spans="1:9" ht="30" customHeight="1" x14ac:dyDescent="0.3">
      <c r="A35" s="61" t="s">
        <v>425</v>
      </c>
      <c r="B35" s="54"/>
      <c r="C35" s="19"/>
      <c r="D35" s="53"/>
      <c r="E35" s="19"/>
      <c r="F35" s="53"/>
      <c r="G35" s="19"/>
      <c r="H35" s="19"/>
      <c r="I35" s="53"/>
    </row>
    <row r="36" spans="1:9" ht="30" customHeight="1" x14ac:dyDescent="0.3">
      <c r="A36" s="61" t="s">
        <v>426</v>
      </c>
      <c r="B36" s="54"/>
      <c r="C36" s="19"/>
      <c r="D36" s="53"/>
      <c r="E36" s="19"/>
      <c r="F36" s="53"/>
      <c r="G36" s="19"/>
      <c r="H36" s="19"/>
      <c r="I36" s="53"/>
    </row>
    <row r="37" spans="1:9" ht="30" customHeight="1" x14ac:dyDescent="0.3">
      <c r="A37" s="61" t="s">
        <v>427</v>
      </c>
      <c r="B37" s="54"/>
      <c r="C37" s="19"/>
      <c r="D37" s="53"/>
      <c r="E37" s="19"/>
      <c r="F37" s="53"/>
      <c r="G37" s="19"/>
      <c r="H37" s="19"/>
      <c r="I37" s="53"/>
    </row>
    <row r="38" spans="1:9" ht="30" customHeight="1" x14ac:dyDescent="0.3">
      <c r="A38" s="61" t="s">
        <v>428</v>
      </c>
      <c r="B38" s="54"/>
      <c r="C38" s="19"/>
      <c r="D38" s="53"/>
      <c r="E38" s="19"/>
      <c r="F38" s="53"/>
      <c r="G38" s="19"/>
      <c r="H38" s="19"/>
      <c r="I38" s="53"/>
    </row>
    <row r="39" spans="1:9" ht="30" customHeight="1" x14ac:dyDescent="0.3">
      <c r="A39" s="61" t="s">
        <v>429</v>
      </c>
      <c r="B39" s="54"/>
      <c r="C39" s="19"/>
      <c r="D39" s="53"/>
      <c r="E39" s="19"/>
      <c r="F39" s="53"/>
      <c r="G39" s="19"/>
      <c r="H39" s="19"/>
      <c r="I39" s="53"/>
    </row>
    <row r="40" spans="1:9" ht="30" customHeight="1" x14ac:dyDescent="0.3">
      <c r="A40" s="61" t="s">
        <v>430</v>
      </c>
      <c r="B40" s="54"/>
      <c r="C40" s="19"/>
      <c r="D40" s="53"/>
      <c r="E40" s="19"/>
      <c r="F40" s="53"/>
      <c r="G40" s="19"/>
      <c r="H40" s="19"/>
      <c r="I40" s="53"/>
    </row>
    <row r="41" spans="1:9" ht="30" customHeight="1" x14ac:dyDescent="0.3">
      <c r="A41" s="61" t="s">
        <v>431</v>
      </c>
      <c r="B41" s="54"/>
      <c r="C41" s="19"/>
      <c r="D41" s="53"/>
      <c r="E41" s="19"/>
      <c r="F41" s="53"/>
      <c r="G41" s="19"/>
      <c r="H41" s="19"/>
      <c r="I41" s="53"/>
    </row>
    <row r="42" spans="1:9" ht="30" customHeight="1" x14ac:dyDescent="0.3">
      <c r="A42" s="61" t="s">
        <v>432</v>
      </c>
      <c r="B42" s="54"/>
      <c r="C42" s="19"/>
      <c r="D42" s="53"/>
      <c r="E42" s="19"/>
      <c r="F42" s="53"/>
      <c r="G42" s="19"/>
      <c r="H42" s="19"/>
      <c r="I42" s="53"/>
    </row>
    <row r="43" spans="1:9" ht="30" customHeight="1" x14ac:dyDescent="0.3">
      <c r="A43" s="61" t="s">
        <v>433</v>
      </c>
      <c r="B43" s="54"/>
      <c r="C43" s="19"/>
      <c r="D43" s="53"/>
      <c r="E43" s="19"/>
      <c r="F43" s="53"/>
      <c r="G43" s="19"/>
      <c r="H43" s="19"/>
      <c r="I43" s="53"/>
    </row>
    <row r="44" spans="1:9" ht="30" customHeight="1" x14ac:dyDescent="0.3">
      <c r="A44" s="61" t="s">
        <v>434</v>
      </c>
      <c r="B44" s="54"/>
      <c r="C44" s="19"/>
      <c r="D44" s="53"/>
      <c r="E44" s="19"/>
      <c r="F44" s="53"/>
      <c r="G44" s="19"/>
      <c r="H44" s="19"/>
      <c r="I44" s="53"/>
    </row>
    <row r="45" spans="1:9" ht="30" customHeight="1" x14ac:dyDescent="0.3">
      <c r="A45" s="61" t="s">
        <v>435</v>
      </c>
      <c r="B45" s="54"/>
      <c r="C45" s="19"/>
      <c r="D45" s="53"/>
      <c r="E45" s="19"/>
      <c r="F45" s="53"/>
      <c r="G45" s="19"/>
      <c r="H45" s="19"/>
      <c r="I45" s="53"/>
    </row>
    <row r="46" spans="1:9" ht="30" customHeight="1" x14ac:dyDescent="0.3">
      <c r="A46" s="61" t="s">
        <v>436</v>
      </c>
      <c r="B46" s="54"/>
      <c r="C46" s="19"/>
      <c r="D46" s="53"/>
      <c r="E46" s="19"/>
      <c r="F46" s="53"/>
      <c r="G46" s="19"/>
      <c r="H46" s="19"/>
      <c r="I46" s="53"/>
    </row>
    <row r="47" spans="1:9" ht="30" customHeight="1" x14ac:dyDescent="0.3">
      <c r="A47" s="61" t="s">
        <v>437</v>
      </c>
      <c r="B47" s="54"/>
      <c r="C47" s="19"/>
      <c r="D47" s="53"/>
      <c r="E47" s="19"/>
      <c r="F47" s="53"/>
      <c r="G47" s="19"/>
      <c r="H47" s="19"/>
      <c r="I47" s="53"/>
    </row>
    <row r="48" spans="1:9" ht="30" customHeight="1" x14ac:dyDescent="0.3">
      <c r="A48" s="61" t="s">
        <v>438</v>
      </c>
      <c r="B48" s="54"/>
      <c r="C48" s="19"/>
      <c r="D48" s="53"/>
      <c r="E48" s="19"/>
      <c r="F48" s="53"/>
      <c r="G48" s="19"/>
      <c r="H48" s="19"/>
      <c r="I48" s="53"/>
    </row>
    <row r="49" spans="1:9" ht="30" customHeight="1" x14ac:dyDescent="0.3">
      <c r="A49" s="61" t="s">
        <v>439</v>
      </c>
      <c r="B49" s="54"/>
      <c r="C49" s="19"/>
      <c r="D49" s="53"/>
      <c r="E49" s="19"/>
      <c r="F49" s="53"/>
      <c r="G49" s="19"/>
      <c r="H49" s="19"/>
      <c r="I49" s="53"/>
    </row>
    <row r="50" spans="1:9" ht="30" customHeight="1" x14ac:dyDescent="0.3">
      <c r="A50" s="61" t="s">
        <v>440</v>
      </c>
      <c r="B50" s="54"/>
      <c r="C50" s="19"/>
      <c r="D50" s="53"/>
      <c r="E50" s="19"/>
      <c r="F50" s="53"/>
      <c r="G50" s="19"/>
      <c r="H50" s="19"/>
      <c r="I50" s="53"/>
    </row>
    <row r="51" spans="1:9" ht="30" customHeight="1" x14ac:dyDescent="0.3">
      <c r="A51" s="61" t="s">
        <v>441</v>
      </c>
      <c r="B51" s="54"/>
      <c r="C51" s="19"/>
      <c r="D51" s="53"/>
      <c r="E51" s="19"/>
      <c r="F51" s="53"/>
      <c r="G51" s="19"/>
      <c r="H51" s="19"/>
      <c r="I51" s="53"/>
    </row>
    <row r="52" spans="1:9" ht="30" customHeight="1" x14ac:dyDescent="0.3">
      <c r="A52" s="61" t="s">
        <v>442</v>
      </c>
      <c r="B52" s="54"/>
      <c r="C52" s="19"/>
      <c r="D52" s="53"/>
      <c r="E52" s="19"/>
      <c r="F52" s="53"/>
      <c r="G52" s="19"/>
      <c r="H52" s="19"/>
      <c r="I52" s="53"/>
    </row>
    <row r="53" spans="1:9" ht="30" customHeight="1" x14ac:dyDescent="0.3">
      <c r="A53" s="61" t="s">
        <v>443</v>
      </c>
      <c r="B53" s="54"/>
      <c r="C53" s="19"/>
      <c r="D53" s="53"/>
      <c r="E53" s="19"/>
      <c r="F53" s="53"/>
      <c r="G53" s="19"/>
      <c r="H53" s="19"/>
      <c r="I53" s="53"/>
    </row>
    <row r="54" spans="1:9" ht="30" customHeight="1" x14ac:dyDescent="0.3">
      <c r="A54" s="61" t="s">
        <v>444</v>
      </c>
      <c r="B54" s="54"/>
      <c r="C54" s="19"/>
      <c r="D54" s="53"/>
      <c r="E54" s="19"/>
      <c r="F54" s="53"/>
      <c r="G54" s="19"/>
      <c r="H54" s="19"/>
      <c r="I54" s="53"/>
    </row>
    <row r="55" spans="1:9" ht="30" customHeight="1" x14ac:dyDescent="0.3">
      <c r="A55" s="61" t="s">
        <v>445</v>
      </c>
      <c r="B55" s="54"/>
      <c r="C55" s="19"/>
      <c r="D55" s="53"/>
      <c r="E55" s="19"/>
      <c r="F55" s="53"/>
      <c r="G55" s="19"/>
      <c r="H55" s="19"/>
      <c r="I55" s="53"/>
    </row>
    <row r="56" spans="1:9" ht="30" customHeight="1" x14ac:dyDescent="0.3">
      <c r="A56" s="61" t="s">
        <v>446</v>
      </c>
      <c r="B56" s="54"/>
      <c r="C56" s="19"/>
      <c r="D56" s="53"/>
      <c r="E56" s="19"/>
      <c r="F56" s="53"/>
      <c r="G56" s="19"/>
      <c r="H56" s="19"/>
      <c r="I56" s="53"/>
    </row>
    <row r="58" spans="1:9" x14ac:dyDescent="0.3">
      <c r="A58" s="36" t="s">
        <v>447</v>
      </c>
    </row>
  </sheetData>
  <conditionalFormatting sqref="F7:F56">
    <cfRule type="expression" dxfId="0" priority="1">
      <formula>AND(D7&lt;&gt;"",F7="")</formula>
    </cfRule>
  </conditionalFormatting>
  <printOptions horizontalCentered="1"/>
  <pageMargins left="0.4" right="0.4" top="0.5" bottom="0.5" header="0.5" footer="0.5"/>
  <pageSetup paperSize="9" scale="76" fitToHeight="0" orientation="landscape" r:id="rId1"/>
  <extLst>
    <ext xmlns:x14="http://schemas.microsoft.com/office/spreadsheetml/2009/9/main" uri="{CCE6A557-97BC-4b89-ADB6-D9C93CAAB3DF}">
      <x14:dataValidations xmlns:xm="http://schemas.microsoft.com/office/excel/2006/main" count="2">
        <x14:dataValidation type="list" allowBlank="1" xr:uid="{00000000-0002-0000-0500-000000000000}">
          <x14:formula1>
            <xm:f>Meetings!$A$7:$A$56</xm:f>
          </x14:formula1>
          <xm:sqref>C7:C56</xm:sqref>
        </x14:dataValidation>
        <x14:dataValidation type="list" allowBlank="1" xr:uid="{00000000-0002-0000-0500-000001000000}">
          <x14:formula1>
            <xm:f>Setup!$A$20:$A$39</xm:f>
          </x14:formula1>
          <xm:sqref>E7:E56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F172A"/>
    <pageSetUpPr fitToPage="1"/>
  </sheetPr>
  <dimension ref="A1:L42"/>
  <sheetViews>
    <sheetView showGridLines="0" view="pageBreakPreview" zoomScale="60" zoomScaleNormal="100" workbookViewId="0">
      <selection activeCell="J46" sqref="J46"/>
    </sheetView>
  </sheetViews>
  <sheetFormatPr defaultRowHeight="14.4" x14ac:dyDescent="0.3"/>
  <cols>
    <col min="1" max="1" width="30" customWidth="1"/>
    <col min="2" max="2" width="18" customWidth="1"/>
    <col min="3" max="3" width="3" customWidth="1"/>
    <col min="4" max="4" width="22" customWidth="1"/>
    <col min="5" max="5" width="3" customWidth="1"/>
    <col min="6" max="6" width="18" customWidth="1"/>
    <col min="7" max="7" width="3" customWidth="1"/>
    <col min="8" max="8" width="22" customWidth="1"/>
    <col min="9" max="9" width="3" customWidth="1"/>
    <col min="10" max="10" width="14" customWidth="1"/>
    <col min="11" max="11" width="3" customWidth="1"/>
    <col min="12" max="12" width="20" customWidth="1"/>
  </cols>
  <sheetData>
    <row r="1" spans="1:12" ht="28.05" customHeight="1" x14ac:dyDescent="0.4">
      <c r="A1" s="43" t="s">
        <v>50</v>
      </c>
      <c r="L1" s="95" t="s">
        <v>57</v>
      </c>
    </row>
    <row r="2" spans="1:12" x14ac:dyDescent="0.3">
      <c r="A2" s="44" t="s">
        <v>448</v>
      </c>
    </row>
    <row r="3" spans="1:12" x14ac:dyDescent="0.3">
      <c r="A3" s="45" t="s">
        <v>449</v>
      </c>
    </row>
    <row r="4" spans="1:12" x14ac:dyDescent="0.3">
      <c r="A4" s="64"/>
      <c r="B4" s="64"/>
      <c r="C4" s="64"/>
      <c r="D4" s="64"/>
      <c r="E4" s="64"/>
      <c r="F4" s="64"/>
      <c r="G4" s="64"/>
      <c r="H4" s="64"/>
      <c r="I4" s="64"/>
      <c r="J4" s="64"/>
      <c r="K4" s="64"/>
      <c r="L4" s="64"/>
    </row>
    <row r="6" spans="1:12" x14ac:dyDescent="0.3">
      <c r="A6" s="65" t="s">
        <v>450</v>
      </c>
      <c r="B6" s="19" t="s">
        <v>451</v>
      </c>
    </row>
    <row r="7" spans="1:12" x14ac:dyDescent="0.3">
      <c r="A7" s="65" t="s">
        <v>452</v>
      </c>
      <c r="B7" s="66">
        <v>46094</v>
      </c>
      <c r="D7" s="23" t="s">
        <v>453</v>
      </c>
    </row>
    <row r="8" spans="1:12" x14ac:dyDescent="0.3">
      <c r="A8" s="65" t="s">
        <v>454</v>
      </c>
      <c r="B8" s="67">
        <v>7</v>
      </c>
    </row>
    <row r="9" spans="1:12" x14ac:dyDescent="0.3">
      <c r="A9" s="65" t="s">
        <v>455</v>
      </c>
      <c r="B9" s="68">
        <f>IF(COUNTIFS(Meetings!$B$7:$B$56,"&lt;="&amp;B7)=0,"",_xlfn.MAXIFS(Meetings!$B$7:$B$56,Meetings!$B$7:$B$56,"&lt;="&amp;B7))</f>
        <v>46094</v>
      </c>
      <c r="D9" s="23" t="s">
        <v>456</v>
      </c>
    </row>
    <row r="10" spans="1:12" x14ac:dyDescent="0.3">
      <c r="A10" s="65" t="s">
        <v>457</v>
      </c>
      <c r="B10" s="69" t="str">
        <f>IF(B9="","",INDEX(Meetings!$A$7:$A$56,MATCH(B9,Meetings!$B$7:$B$56,0)))</f>
        <v>M05</v>
      </c>
    </row>
    <row r="18" spans="1:12" x14ac:dyDescent="0.3">
      <c r="A18" s="30" t="s">
        <v>458</v>
      </c>
    </row>
    <row r="19" spans="1:12" x14ac:dyDescent="0.3">
      <c r="A19" s="70" t="s">
        <v>459</v>
      </c>
      <c r="D19" s="71" t="s">
        <v>460</v>
      </c>
      <c r="H19" s="70" t="s">
        <v>461</v>
      </c>
      <c r="J19" s="70" t="s">
        <v>93</v>
      </c>
      <c r="L19" s="70" t="s">
        <v>462</v>
      </c>
    </row>
    <row r="20" spans="1:12" x14ac:dyDescent="0.3">
      <c r="A20" s="19" t="s">
        <v>106</v>
      </c>
      <c r="D20" s="19" t="s">
        <v>118</v>
      </c>
      <c r="H20" s="19" t="s">
        <v>275</v>
      </c>
      <c r="J20" s="19" t="s">
        <v>27</v>
      </c>
      <c r="L20" s="19" t="s">
        <v>67</v>
      </c>
    </row>
    <row r="21" spans="1:12" x14ac:dyDescent="0.3">
      <c r="A21" s="19" t="s">
        <v>137</v>
      </c>
      <c r="D21" s="19" t="s">
        <v>111</v>
      </c>
      <c r="H21" s="19" t="s">
        <v>276</v>
      </c>
      <c r="J21" s="19" t="s">
        <v>13</v>
      </c>
      <c r="L21" s="19" t="s">
        <v>159</v>
      </c>
    </row>
    <row r="22" spans="1:12" x14ac:dyDescent="0.3">
      <c r="A22" s="19" t="s">
        <v>113</v>
      </c>
      <c r="D22" s="19" t="s">
        <v>463</v>
      </c>
      <c r="H22" s="19" t="s">
        <v>464</v>
      </c>
      <c r="J22" s="19" t="s">
        <v>465</v>
      </c>
      <c r="L22" s="19" t="s">
        <v>179</v>
      </c>
    </row>
    <row r="23" spans="1:12" x14ac:dyDescent="0.3">
      <c r="A23" s="19" t="s">
        <v>181</v>
      </c>
      <c r="D23" s="19" t="s">
        <v>466</v>
      </c>
      <c r="H23" s="19" t="s">
        <v>467</v>
      </c>
      <c r="J23" s="19" t="s">
        <v>468</v>
      </c>
      <c r="L23" s="19" t="s">
        <v>469</v>
      </c>
    </row>
    <row r="24" spans="1:12" x14ac:dyDescent="0.3">
      <c r="A24" s="19" t="s">
        <v>132</v>
      </c>
      <c r="D24" s="19" t="s">
        <v>470</v>
      </c>
      <c r="H24" s="19" t="s">
        <v>471</v>
      </c>
      <c r="J24" s="19"/>
      <c r="L24" s="19"/>
    </row>
    <row r="25" spans="1:12" x14ac:dyDescent="0.3">
      <c r="A25" s="19" t="s">
        <v>150</v>
      </c>
      <c r="D25" s="19" t="s">
        <v>472</v>
      </c>
      <c r="H25" s="19" t="s">
        <v>473</v>
      </c>
      <c r="J25" s="19"/>
      <c r="L25" s="19"/>
    </row>
    <row r="26" spans="1:12" x14ac:dyDescent="0.3">
      <c r="A26" s="19" t="s">
        <v>165</v>
      </c>
      <c r="D26" s="19" t="s">
        <v>474</v>
      </c>
      <c r="H26" s="19"/>
      <c r="J26" s="19"/>
      <c r="L26" s="19"/>
    </row>
    <row r="27" spans="1:12" x14ac:dyDescent="0.3">
      <c r="A27" s="19" t="s">
        <v>127</v>
      </c>
      <c r="D27" s="19" t="s">
        <v>475</v>
      </c>
      <c r="H27" s="19"/>
      <c r="J27" s="19"/>
      <c r="L27" s="19"/>
    </row>
    <row r="28" spans="1:12" x14ac:dyDescent="0.3">
      <c r="A28" s="19" t="s">
        <v>174</v>
      </c>
      <c r="D28" s="19" t="s">
        <v>476</v>
      </c>
      <c r="H28" s="19"/>
      <c r="J28" s="19"/>
      <c r="L28" s="19"/>
    </row>
    <row r="29" spans="1:12" x14ac:dyDescent="0.3">
      <c r="A29" s="19" t="s">
        <v>477</v>
      </c>
      <c r="D29" s="19" t="s">
        <v>478</v>
      </c>
      <c r="H29" s="19"/>
      <c r="J29" s="19"/>
      <c r="L29" s="19"/>
    </row>
    <row r="30" spans="1:12" x14ac:dyDescent="0.3">
      <c r="A30" s="19" t="s">
        <v>479</v>
      </c>
      <c r="D30" s="19"/>
      <c r="H30" s="19"/>
      <c r="J30" s="19"/>
      <c r="L30" s="19"/>
    </row>
    <row r="31" spans="1:12" x14ac:dyDescent="0.3">
      <c r="A31" s="19"/>
      <c r="D31" s="19"/>
      <c r="H31" s="19"/>
      <c r="J31" s="19"/>
      <c r="L31" s="19"/>
    </row>
    <row r="32" spans="1:12" x14ac:dyDescent="0.3">
      <c r="A32" s="19"/>
      <c r="D32" s="19"/>
      <c r="H32" s="19"/>
      <c r="J32" s="19"/>
      <c r="L32" s="19"/>
    </row>
    <row r="33" spans="1:12" x14ac:dyDescent="0.3">
      <c r="A33" s="19"/>
      <c r="D33" s="19"/>
      <c r="H33" s="19"/>
      <c r="J33" s="19"/>
      <c r="L33" s="19"/>
    </row>
    <row r="34" spans="1:12" x14ac:dyDescent="0.3">
      <c r="A34" s="19"/>
      <c r="D34" s="19"/>
      <c r="H34" s="19"/>
      <c r="J34" s="19"/>
      <c r="L34" s="19"/>
    </row>
    <row r="35" spans="1:12" x14ac:dyDescent="0.3">
      <c r="A35" s="19"/>
      <c r="D35" s="19"/>
      <c r="H35" s="19"/>
      <c r="J35" s="19"/>
      <c r="L35" s="19"/>
    </row>
    <row r="36" spans="1:12" x14ac:dyDescent="0.3">
      <c r="A36" s="19"/>
      <c r="D36" s="19"/>
      <c r="H36" s="19"/>
      <c r="J36" s="19"/>
      <c r="L36" s="19"/>
    </row>
    <row r="37" spans="1:12" x14ac:dyDescent="0.3">
      <c r="A37" s="19"/>
      <c r="D37" s="19"/>
      <c r="H37" s="19"/>
      <c r="J37" s="19"/>
      <c r="L37" s="19"/>
    </row>
    <row r="38" spans="1:12" x14ac:dyDescent="0.3">
      <c r="A38" s="19"/>
      <c r="D38" s="19"/>
      <c r="H38" s="19"/>
      <c r="J38" s="19"/>
      <c r="L38" s="19"/>
    </row>
    <row r="39" spans="1:12" x14ac:dyDescent="0.3">
      <c r="A39" s="19"/>
      <c r="D39" s="19"/>
      <c r="H39" s="19"/>
      <c r="J39" s="19"/>
      <c r="L39" s="19"/>
    </row>
    <row r="41" spans="1:12" ht="24" customHeight="1" x14ac:dyDescent="0.3">
      <c r="A41" s="72" t="s">
        <v>480</v>
      </c>
      <c r="B41" s="73"/>
      <c r="C41" s="73"/>
      <c r="D41" s="73"/>
      <c r="E41" s="73"/>
      <c r="F41" s="73"/>
      <c r="G41" s="73"/>
      <c r="H41" s="73"/>
      <c r="I41" s="73"/>
      <c r="J41" s="73"/>
      <c r="K41" s="73"/>
      <c r="L41" s="73"/>
    </row>
    <row r="42" spans="1:12" x14ac:dyDescent="0.3">
      <c r="A42" s="73"/>
      <c r="B42" s="73"/>
      <c r="C42" s="73"/>
      <c r="D42" s="73"/>
      <c r="E42" s="73"/>
      <c r="F42" s="73"/>
      <c r="G42" s="73"/>
      <c r="H42" s="73"/>
      <c r="I42" s="73"/>
      <c r="J42" s="73"/>
      <c r="K42" s="73"/>
      <c r="L42" s="73"/>
    </row>
  </sheetData>
  <mergeCells count="1">
    <mergeCell ref="A41:L42"/>
  </mergeCells>
  <printOptions horizontalCentered="1"/>
  <pageMargins left="0.4" right="0.4" top="0.5" bottom="0.5" header="0.5" footer="0.5"/>
  <pageSetup paperSize="9" scale="6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Start</vt:lpstr>
      <vt:lpstr>Dashboard</vt:lpstr>
      <vt:lpstr>Actions</vt:lpstr>
      <vt:lpstr>Meetings</vt:lpstr>
      <vt:lpstr>Discrepancies</vt:lpstr>
      <vt:lpstr>Decisions</vt:lpstr>
      <vt:lpstr>Setup</vt:lpstr>
      <vt:lpstr>Actions!Print_Area</vt:lpstr>
      <vt:lpstr>Dashboard!Print_Area</vt:lpstr>
      <vt:lpstr>Decisions!Print_Area</vt:lpstr>
      <vt:lpstr>Discrepancies!Print_Area</vt:lpstr>
      <vt:lpstr>Meetings!Print_Area</vt:lpstr>
      <vt:lpstr>Setup!Print_Area</vt:lpstr>
      <vt:lpstr>Start!Print_Area</vt:lpstr>
      <vt:lpstr>Actions!Print_Titles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The Project Control Hub</dc:creator>
  <cp:lastModifiedBy>The Project Control Hub</cp:lastModifiedBy>
  <dcterms:created xsi:type="dcterms:W3CDTF">2026-10-13T14:20:20Z</dcterms:created>
  <dcterms:modified xsi:type="dcterms:W3CDTF">2026-10-13T14:27:00Z</dcterms:modified>
</cp:coreProperties>
</file>