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49E7C595-C301-4155-8319-555BF0FD331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tart" sheetId="1" r:id="rId1"/>
    <sheet name="Dashboard" sheetId="2" r:id="rId2"/>
    <sheet name="Setup" sheetId="3" r:id="rId3"/>
    <sheet name="Register" sheetId="4" r:id="rId4"/>
    <sheet name="History" sheetId="5" r:id="rId5"/>
  </sheets>
  <definedNames>
    <definedName name="_xlnm.Print_Area" localSheetId="1">Dashboard!$A$1:$N$63</definedName>
    <definedName name="_xlnm.Print_Area" localSheetId="4">History!$A$1:$H$37</definedName>
    <definedName name="_xlnm.Print_Area" localSheetId="3">Register!$A$1:$W$62</definedName>
    <definedName name="_xlnm.Print_Area" localSheetId="2">Setup!$A$1:$D$34</definedName>
    <definedName name="_xlnm.Print_Area" localSheetId="0">Start!$A$1:$F$43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<sst xmlns="http://schemas.openxmlformats.org/spreadsheetml/2006/main" count="377" uniqueCount="277">
  <si>
    <t>Risk register</t>
  </si>
  <si>
    <t>Written as sentences, priced in money, split into what information can fix and what only money can cover.</t>
  </si>
  <si>
    <t>The Project Control Hub · free template</t>
  </si>
  <si>
    <t>A REVIEW, IN SIX STEPS</t>
  </si>
  <si>
    <t>Setup  →</t>
  </si>
  <si>
    <t>Set the review date and the contingency you carry.</t>
  </si>
  <si>
    <t>1 minute</t>
  </si>
  <si>
    <t>Register  →</t>
  </si>
  <si>
    <t>Write each risk as one sentence: Because [a fact today], [an uncertain event] may occur, which would lead to [an effect in money or days]. The Sentence column checks all three parts.</t>
  </si>
  <si>
    <t>per risk</t>
  </si>
  <si>
    <t>Kind: ask the one question. If finding out would shrink it, it is epistemic; if not, aleatory.</t>
  </si>
  <si>
    <t>Money: probability and impact give the expected value. For every epistemic risk, write what it would cost to find out. A zero is usually an email nobody has sent.</t>
  </si>
  <si>
    <t>Response: a type, the action, its price, one person, a date, and the condition that closes the risk.</t>
  </si>
  <si>
    <t>Dashboard  →</t>
  </si>
  <si>
    <t>Read it at the review. Then copy the "This review" row into History.</t>
  </si>
  <si>
    <t>5 minutes</t>
  </si>
  <si>
    <t>THE ONE QUESTION</t>
  </si>
  <si>
    <t>Epistemic</t>
  </si>
  <si>
    <t>The answer already exists somewhere. Spend money finding out and it gets smaller. It wants information: a borehole, a phone call, a credit check.</t>
  </si>
  <si>
    <t>Aleatory</t>
  </si>
  <si>
    <t>It has not happened yet, so nobody can know it. It wants money: measure the spread and hold contingency against it.</t>
  </si>
  <si>
    <t>Mixed</t>
  </si>
  <si>
    <t>Part countable today, part not. Say so rather than forcing it into one column.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</si>
  <si>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</si>
  <si>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</si>
  <si>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</si>
  <si>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</si>
  <si>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</si>
  <si>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Green</t>
  </si>
  <si>
    <t>Done, complete, or free to resolve.</t>
  </si>
  <si>
    <t>Amber</t>
  </si>
  <si>
    <t>Something is missing: a part of the sentence, a price, a date.</t>
  </si>
  <si>
    <t>Red</t>
  </si>
  <si>
    <t>Overdue, or an open risk with nobody against it.</t>
  </si>
  <si>
    <t>WHAT IS IN THIS FILE</t>
  </si>
  <si>
    <t>Dashboard</t>
  </si>
  <si>
    <t>Six numbers, four charts and the ten largest open risks.</t>
  </si>
  <si>
    <t>Setup</t>
  </si>
  <si>
    <t>Review date, contingency, and the team and category lists.</t>
  </si>
  <si>
    <t>Register</t>
  </si>
  <si>
    <t>Forty rows: sentence, kind, money, response, owner, date, status.</t>
  </si>
  <si>
    <t>History</t>
  </si>
  <si>
    <t>One row per review, for the exposure trend.</t>
  </si>
  <si>
    <t>EXPLAINED IN</t>
  </si>
  <si>
    <t>Risk Topic 4 · Writing a risk as a sentence</t>
  </si>
  <si>
    <t>Risk Topic 6 · Why the matrix misleads</t>
  </si>
  <si>
    <t>Risk Topic 8 · Aleatory and epistemic uncertainty</t>
  </si>
  <si>
    <t>Risk Topic 13 · Response strategies</t>
  </si>
  <si>
    <t>Blank: forty rows ready to fill. The example file shows the fourteen risks of the example project.</t>
  </si>
  <si>
    <t>Free to use and adapt on your own projects. https://theprojectcontrolhub.com/</t>
  </si>
  <si>
    <t>The Project Control Hub</t>
  </si>
  <si>
    <t>TOTAL EXPECTED VALUE</t>
  </si>
  <si>
    <t>EPISTEMIC · BUY INFORMATION</t>
  </si>
  <si>
    <t>FREE TO RESOLVE</t>
  </si>
  <si>
    <t>RESPONSE SPEND</t>
  </si>
  <si>
    <t>CONTINGENCY CARRIED</t>
  </si>
  <si>
    <t>RESPONSES OVERDUE</t>
  </si>
  <si>
    <t>Chart data (formulas)</t>
  </si>
  <si>
    <t>Top 10 by expected value</t>
  </si>
  <si>
    <t>The one question for every line:  if I spent money finding out, would the uncertainty get smaller?   Yes → epistemic: buy information.   No → aleatory: hold money.</t>
  </si>
  <si>
    <t>WHERE THE MONEY IS</t>
  </si>
  <si>
    <t>Expected value by kind</t>
  </si>
  <si>
    <t>Epistemic: expected value against cost to find out</t>
  </si>
  <si>
    <t>Risk</t>
  </si>
  <si>
    <t>Expected value</t>
  </si>
  <si>
    <t>Cost to find out</t>
  </si>
  <si>
    <t>BUY INFORMATION OR HOLD MONEY</t>
  </si>
  <si>
    <t>THE TEN LARGEST OPEN RISKS</t>
  </si>
  <si>
    <t>Kind</t>
  </si>
  <si>
    <t>EV ($)</t>
  </si>
  <si>
    <t>Response</t>
  </si>
  <si>
    <t>Owner</t>
  </si>
  <si>
    <t>Due</t>
  </si>
  <si>
    <t>Response status</t>
  </si>
  <si>
    <t>Overdue</t>
  </si>
  <si>
    <t>Everything on this page reads from the Register. A red Owner cell is an open risk with nobody against it.</t>
  </si>
  <si>
    <t>The review date, the contingency you carry, and the lists the register uses.</t>
  </si>
  <si>
    <t>Change the review date at every review. Overdue responses are counted against it.</t>
  </si>
  <si>
    <t>Project</t>
  </si>
  <si>
    <t>Example project</t>
  </si>
  <si>
    <t>Review number</t>
  </si>
  <si>
    <t>Review date (as at)</t>
  </si>
  <si>
    <t>Contingency carried ($)</t>
  </si>
  <si>
    <t>Risk Topic 1: the 5% rule gave $47,553.</t>
  </si>
  <si>
    <t>Prepared by</t>
  </si>
  <si>
    <t>Project controls</t>
  </si>
  <si>
    <t>Team (Owner drop-down)</t>
  </si>
  <si>
    <t>Categories (Category drop-down)</t>
  </si>
  <si>
    <t>Project manager</t>
  </si>
  <si>
    <t>Ground</t>
  </si>
  <si>
    <t>Engineer</t>
  </si>
  <si>
    <t>Design</t>
  </si>
  <si>
    <t>Design manager</t>
  </si>
  <si>
    <t>Procurement</t>
  </si>
  <si>
    <t>Planner</t>
  </si>
  <si>
    <t>Commercial</t>
  </si>
  <si>
    <t>Buyer</t>
  </si>
  <si>
    <t>Permits</t>
  </si>
  <si>
    <t>Site services</t>
  </si>
  <si>
    <t>QS</t>
  </si>
  <si>
    <t>Weather</t>
  </si>
  <si>
    <t>Site manager</t>
  </si>
  <si>
    <t>Plant</t>
  </si>
  <si>
    <t>Ahmet</t>
  </si>
  <si>
    <t>One risk per row, written as a sentence, priced in money, with one person against the response.</t>
  </si>
  <si>
    <t>The test for Kind: if you spent money finding out, would the uncertainty get smaller? Yes = Epistemic. No = Aleatory.</t>
  </si>
  <si>
    <t>ID</t>
  </si>
  <si>
    <t>Because… (a fact today)</t>
  </si>
  <si>
    <t>…may occur (the uncertain event)</t>
  </si>
  <si>
    <t>…which would lead to (the effect)</t>
  </si>
  <si>
    <t>Sentence</t>
  </si>
  <si>
    <t>Category</t>
  </si>
  <si>
    <t>Probability</t>
  </si>
  <si>
    <t>Impact ($)</t>
  </si>
  <si>
    <t>Expected value ($)</t>
  </si>
  <si>
    <t>Cost to find out ($)</t>
  </si>
  <si>
    <t>Value of finding out</t>
  </si>
  <si>
    <t>Response action</t>
  </si>
  <si>
    <t>Response cost ($)</t>
  </si>
  <si>
    <t>Closes when</t>
  </si>
  <si>
    <t>Risk status</t>
  </si>
  <si>
    <t>Days overdue</t>
  </si>
  <si>
    <t>Note</t>
  </si>
  <si>
    <t>r</t>
  </si>
  <si>
    <t>e</t>
  </si>
  <si>
    <t>R01</t>
  </si>
  <si>
    <t>Rock in the pile bores</t>
  </si>
  <si>
    <t>the ground investigation covered five boreholes on a forty-two pile site</t>
  </si>
  <si>
    <t>rock may be encountered below pile toe level away from the tested locations</t>
  </si>
  <si>
    <t>a heavier rig, two more days per affected bore and a delayed pile cap sequence</t>
  </si>
  <si>
    <t>Investigate</t>
  </si>
  <si>
    <t>Drill two boreholes in the north half</t>
  </si>
  <si>
    <t>In progress</t>
  </si>
  <si>
    <t>The last bore is drilled</t>
  </si>
  <si>
    <t>Open</t>
  </si>
  <si>
    <t>R02</t>
  </si>
  <si>
    <t>Groundwater in February</t>
  </si>
  <si>
    <t>the groundwater readings were taken in summer</t>
  </si>
  <si>
    <t>groundwater may stand higher in the excavations in February</t>
  </si>
  <si>
    <t>dewatering and slower excavation for the raft</t>
  </si>
  <si>
    <t>Take a winter standpipe reading</t>
  </si>
  <si>
    <t>Not started</t>
  </si>
  <si>
    <t>The raft excavation is backfilled</t>
  </si>
  <si>
    <t>R03</t>
  </si>
  <si>
    <t>Wayleave unconfirmed</t>
  </si>
  <si>
    <t>the access road crosses third-party land and no wayleave is signed</t>
  </si>
  <si>
    <t>the landowner may refuse or delay access</t>
  </si>
  <si>
    <t>deliveries without a road and a longer haul route</t>
  </si>
  <si>
    <t>Escalate</t>
  </si>
  <si>
    <t>Issue the wayleave letter (Ahmet)</t>
  </si>
  <si>
    <t>The first lorry drives onto site</t>
  </si>
  <si>
    <t>R04</t>
  </si>
  <si>
    <t>Supplier insolvency</t>
  </si>
  <si>
    <t>the steel supplier is small and had not been credit checked</t>
  </si>
  <si>
    <t>the supplier may fail before delivery</t>
  </si>
  <si>
    <t>a re-order at a higher price and a gap in deliveries</t>
  </si>
  <si>
    <t>Reduce</t>
  </si>
  <si>
    <t>Credit check the supplier</t>
  </si>
  <si>
    <t>Done</t>
  </si>
  <si>
    <t>The last steel is delivered</t>
  </si>
  <si>
    <t>R05</t>
  </si>
  <si>
    <t>Long-lead switchgear</t>
  </si>
  <si>
    <t>the switchgear lead time has only been quoted verbally</t>
  </si>
  <si>
    <t>delivery may come later than energisation needs</t>
  </si>
  <si>
    <t>a late energisation and standing time at the end</t>
  </si>
  <si>
    <t>Order early and confirm the lead time in writing</t>
  </si>
  <si>
    <t>The switchgear is on site</t>
  </si>
  <si>
    <t>R06</t>
  </si>
  <si>
    <t>Discharge consent</t>
  </si>
  <si>
    <t>no pre-application enquiry has been made</t>
  </si>
  <si>
    <t>the discharge consent may be refused or conditioned</t>
  </si>
  <si>
    <t>redesigned drainage and a later connection</t>
  </si>
  <si>
    <t>Send the pre-application enquiry</t>
  </si>
  <si>
    <t>Consent is granted</t>
  </si>
  <si>
    <t>R07</t>
  </si>
  <si>
    <t>Waterproofing interface</t>
  </si>
  <si>
    <t>the drawings do not say who laps the membrane at the raft edge</t>
  </si>
  <si>
    <t>the interface may be built twice or not at all</t>
  </si>
  <si>
    <t>rework and a leak path at the raft edge</t>
  </si>
  <si>
    <t>Send one clarification to the designer</t>
  </si>
  <si>
    <t>The clarification is answered</t>
  </si>
  <si>
    <t>R08</t>
  </si>
  <si>
    <t>Temporary water</t>
  </si>
  <si>
    <t>the contract is silent on who provides temporary water</t>
  </si>
  <si>
    <t>the client may not provide it</t>
  </si>
  <si>
    <t>a temporary supply at our cost</t>
  </si>
  <si>
    <t>One email to the client</t>
  </si>
  <si>
    <t>The client answers</t>
  </si>
  <si>
    <t>R09</t>
  </si>
  <si>
    <t>Temporary power</t>
  </si>
  <si>
    <t>the contract is silent on who provides temporary power</t>
  </si>
  <si>
    <t>generators at our cost</t>
  </si>
  <si>
    <t>R10</t>
  </si>
  <si>
    <t>Late detailing</t>
  </si>
  <si>
    <t>the drawings are still at revision B</t>
  </si>
  <si>
    <t>reinforcement details may arrive after the steel is due on site</t>
  </si>
  <si>
    <t>idle gangs, rework and late pours</t>
  </si>
  <si>
    <t>Issue the bar schedule revision</t>
  </si>
  <si>
    <t>The last bar schedule is issued</t>
  </si>
  <si>
    <t>R11</t>
  </si>
  <si>
    <t>Steel escalation</t>
  </si>
  <si>
    <t>the steel order is not yet placed at a fixed price</t>
  </si>
  <si>
    <t>the steel index may rise before the order</t>
  </si>
  <si>
    <t>a higher price for the remaining tonnage</t>
  </si>
  <si>
    <t>The order is signed at a fixed price</t>
  </si>
  <si>
    <t>R12</t>
  </si>
  <si>
    <t>Winter shutdown</t>
  </si>
  <si>
    <t>the raft pours fall in January and February</t>
  </si>
  <si>
    <t>frost may stop concreting for days at a time</t>
  </si>
  <si>
    <t>lost working days and protection costs</t>
  </si>
  <si>
    <t>Accept</t>
  </si>
  <si>
    <t>Hold in contingency</t>
  </si>
  <si>
    <t>The raft pours are complete</t>
  </si>
  <si>
    <t>R13</t>
  </si>
  <si>
    <t>Crane breakdown</t>
  </si>
  <si>
    <t>the job relies on a single crane</t>
  </si>
  <si>
    <t>the crane may break down during a critical lift period</t>
  </si>
  <si>
    <t>standing gangs and a hired replacement</t>
  </si>
  <si>
    <t>The crane is demobilised</t>
  </si>
  <si>
    <t>R14</t>
  </si>
  <si>
    <t>Pump failure</t>
  </si>
  <si>
    <t>every pour relies on one concrete pump</t>
  </si>
  <si>
    <t>the pump may fail during a pour</t>
  </si>
  <si>
    <t>a cold joint, rework and a lost pour ($12,000)</t>
  </si>
  <si>
    <t>Standby pump on pour days</t>
  </si>
  <si>
    <t>The last pour is complete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</si>
  <si>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</si>
  <si>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</si>
  <si>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</si>
  <si>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</si>
  <si>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</si>
  <si>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</si>
  <si>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</si>
  <si>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</si>
  <si>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</si>
  <si>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</si>
  <si>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</si>
  <si>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</si>
  <si>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</si>
  <si>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</si>
  <si>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</si>
  <si>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</si>
  <si>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</si>
  <si>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</si>
  <si>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</si>
  <si>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</si>
  <si>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</si>
  <si>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</si>
  <si>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</si>
  <si>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</si>
  <si>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</si>
  <si>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</si>
  <si>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Summary</t>
  </si>
  <si>
    <t>Open risks</t>
  </si>
  <si>
    <t>Total expected value ($)</t>
  </si>
  <si>
    <t xml:space="preserve">  epistemic ($)</t>
  </si>
  <si>
    <t xml:space="preserve">  aleatory ($)</t>
  </si>
  <si>
    <t xml:space="preserve">  mixed ($)</t>
  </si>
  <si>
    <t>Epistemic risks</t>
  </si>
  <si>
    <t>Cost to resolve the epistemic risks ($)</t>
  </si>
  <si>
    <t>Epistemic risks that cost nothing to resolve</t>
  </si>
  <si>
    <t>Total response spend ($)</t>
  </si>
  <si>
    <t>Responses priced</t>
  </si>
  <si>
    <t>Responses done</t>
  </si>
  <si>
    <t>Open risks with no owner</t>
  </si>
  <si>
    <t>Responses overdue</t>
  </si>
  <si>
    <t>Sentences incomplete</t>
  </si>
  <si>
    <t>One row per review, so the trend is visible: is the register getting shorter and cheaper?</t>
  </si>
  <si>
    <t>At each review: copy the blue "This review" row and Paste Special → Values into the next empty row.</t>
  </si>
  <si>
    <t>This review (live)</t>
  </si>
  <si>
    <t>Review</t>
  </si>
  <si>
    <t>Date</t>
  </si>
  <si>
    <t>Total EV ($)</t>
  </si>
  <si>
    <t>Epistemic EV ($)</t>
  </si>
  <si>
    <t>Aleatory EV ($)</t>
  </si>
  <si>
    <t>Contingency ($)</t>
  </si>
  <si>
    <t>Response spend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</si>
</sst>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\ mmm\ yyyy"/>
    <numFmt numFmtId="166" formatCode="\$#,##0;\(\$#,##0\);&quot;-&quot;"/>
    <numFmt numFmtId="167" formatCode="d\ mmm"/>
    <numFmt numFmtId="168" formatCode="0.0&quot;× its cost&quot;"/>
  </numFmts>
  <fonts count="41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.5"/>
      <color rgb="FF1D4ED8"/>
      <name val="Arial"/>
      <family val="2"/>
      <charset val="162"/>
    </font>
    <font>
      <b/>
      <sz val="9.5"/>
      <color rgb="FFFFFFFF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CBD5E1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11"/>
      <color rgb="FFC2410C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C2410C"/>
      <name val="Arial"/>
      <family val="2"/>
      <charset val="162"/>
    </font>
    <font>
      <b/>
      <sz val="22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0369A1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6D28D9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10"/>
      <color rgb="FF0369A1"/>
      <name val="Arial"/>
      <family val="2"/>
      <charset val="162"/>
    </font>
    <font>
      <sz val="8.5"/>
      <color rgb="FF64748B"/>
      <name val="Arial"/>
      <family val="2"/>
      <charset val="162"/>
    </font>
    <font>
      <b/>
      <sz val="9.5"/>
      <color rgb="FFC2410C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C2410C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6D28D9"/>
      <name val="Arial"/>
      <family val="2"/>
      <charset val="162"/>
    </font>
    <font>
      <b/>
      <sz val="10"/>
      <color rgb="FF475569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45309"/>
      <name val="Arial"/>
      <family val="2"/>
      <charset val="162"/>
    </font>
    <font>
      <b/>
      <sz val="10"/>
      <color rgb="FFBE123C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9"/>
      <color rgb="FF059669"/>
      <name val="Arial"/>
      <family val="2"/>
      <charset val="162"/>
    </font>
  </fonts>
  <fills count="19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5F3FF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F0F9FF"/>
      </patternFill>
    </fill>
    <fill>
      <patternFill patternType="solid">
        <fgColor rgb="FF0369A1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F97316"/>
      </bottom>
      <diagonal/>
    </border>
    <border>
      <left/>
      <right/>
      <top/>
      <bottom style="medium">
        <color rgb="FF475569"/>
      </bottom>
      <diagonal/>
    </border>
    <border>
      <left/>
      <right/>
      <top style="thick">
        <color rgb="FFC2410C"/>
      </top>
      <bottom/>
      <diagonal/>
    </border>
    <border>
      <left/>
      <right/>
      <top style="thick">
        <color rgb="FF0369A1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6D28D9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BE123C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8" fillId="3" borderId="0" xfId="0" applyFont="1" applyFill="1" applyProtection="1">
      <protection locked="0"/>
    </xf>
    <xf numFmtId="0" fontId="29" fillId="3" borderId="0" xfId="0" applyFont="1" applyFill="1" applyProtection="1">
      <protection locked="0"/>
    </xf>
    <xf numFmtId="0" fontId="31" fillId="0" borderId="0" xfId="0" applyFont="1" applyAlignment="1" applyProtection="1">
      <alignment vertical="top"/>
      <protection locked="0"/>
    </xf>
    <xf numFmtId="0" fontId="32" fillId="3" borderId="11" xfId="0" applyFont="1" applyFill="1" applyBorder="1" applyAlignment="1" applyProtection="1">
      <alignment horizontal="center" vertical="center"/>
      <protection locked="0"/>
    </xf>
    <xf numFmtId="0" fontId="33" fillId="0" borderId="11" xfId="0" applyFont="1" applyBorder="1" applyAlignment="1" applyProtection="1">
      <alignment vertical="center"/>
      <protection locked="0"/>
    </xf>
    <xf numFmtId="0" fontId="9" fillId="0" borderId="11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32" fillId="5" borderId="11" xfId="0" applyFont="1" applyFill="1" applyBorder="1" applyAlignment="1" applyProtection="1">
      <alignment horizontal="center" vertical="center"/>
      <protection locked="0"/>
    </xf>
    <xf numFmtId="0" fontId="32" fillId="14" borderId="11" xfId="0" applyFont="1" applyFill="1" applyBorder="1" applyAlignment="1" applyProtection="1">
      <alignment horizontal="center" vertical="center"/>
      <protection locked="0"/>
    </xf>
    <xf numFmtId="0" fontId="32" fillId="15" borderId="11" xfId="0" applyFont="1" applyFill="1" applyBorder="1" applyAlignment="1" applyProtection="1">
      <alignment horizontal="center" vertical="center"/>
      <protection locked="0"/>
    </xf>
    <xf numFmtId="0" fontId="32" fillId="16" borderId="11" xfId="0" applyFont="1" applyFill="1" applyBorder="1" applyAlignment="1" applyProtection="1">
      <alignment horizontal="center" vertical="center"/>
      <protection locked="0"/>
    </xf>
    <xf numFmtId="0" fontId="24" fillId="8" borderId="2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top" wrapText="1"/>
      <protection locked="0"/>
    </xf>
    <xf numFmtId="0" fontId="34" fillId="10" borderId="2" xfId="0" applyFont="1" applyFill="1" applyBorder="1" applyAlignment="1" applyProtection="1">
      <alignment vertical="center"/>
      <protection locked="0"/>
    </xf>
    <xf numFmtId="0" fontId="35" fillId="11" borderId="2" xfId="0" applyFont="1" applyFill="1" applyBorder="1" applyAlignment="1" applyProtection="1">
      <alignment vertical="center"/>
      <protection locked="0"/>
    </xf>
    <xf numFmtId="0" fontId="11" fillId="2" borderId="2" xfId="0" applyFont="1" applyFill="1" applyBorder="1" applyProtection="1">
      <protection locked="0"/>
    </xf>
    <xf numFmtId="0" fontId="9" fillId="0" borderId="0" xfId="0" applyFont="1" applyAlignment="1" applyProtection="1">
      <alignment vertical="top"/>
      <protection locked="0"/>
    </xf>
    <xf numFmtId="0" fontId="4" fillId="17" borderId="2" xfId="0" applyFont="1" applyFill="1" applyBorder="1" applyProtection="1">
      <protection locked="0"/>
    </xf>
    <xf numFmtId="0" fontId="36" fillId="9" borderId="2" xfId="0" applyFont="1" applyFill="1" applyBorder="1" applyProtection="1">
      <protection locked="0"/>
    </xf>
    <xf numFmtId="0" fontId="37" fillId="18" borderId="2" xfId="0" applyFont="1" applyFill="1" applyBorder="1" applyProtection="1">
      <protection locked="0"/>
    </xf>
    <xf numFmtId="0" fontId="38" fillId="12" borderId="2" xfId="0" applyFont="1" applyFill="1" applyBorder="1" applyProtection="1">
      <protection locked="0"/>
    </xf>
    <xf numFmtId="0" fontId="33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3" fillId="3" borderId="0" xfId="0" applyFont="1" applyFill="1" applyProtection="1">
      <protection locked="0"/>
    </xf>
    <xf numFmtId="0" fontId="14" fillId="3" borderId="0" xfId="0" applyFont="1" applyFill="1" applyProtection="1">
      <protection locked="0"/>
    </xf>
    <xf numFmtId="0" fontId="16" fillId="6" borderId="0" xfId="0" applyFont="1" applyFill="1" applyAlignment="1" applyProtection="1">
      <alignment horizontal="center"/>
      <protection locked="0"/>
    </xf>
    <xf numFmtId="0" fontId="19" fillId="8" borderId="0" xfId="0" applyFont="1" applyFill="1" applyAlignment="1" applyProtection="1">
      <alignment horizontal="center"/>
      <protection locked="0"/>
    </xf>
    <xf numFmtId="0" fontId="20" fillId="9" borderId="0" xfId="0" applyFont="1" applyFill="1" applyAlignment="1" applyProtection="1">
      <alignment horizontal="center"/>
      <protection locked="0"/>
    </xf>
    <xf numFmtId="0" fontId="21" fillId="10" borderId="0" xfId="0" applyFont="1" applyFill="1" applyAlignment="1" applyProtection="1">
      <alignment horizontal="center"/>
      <protection locked="0"/>
    </xf>
    <xf numFmtId="0" fontId="22" fillId="11" borderId="0" xfId="0" applyFont="1" applyFill="1" applyAlignment="1" applyProtection="1">
      <alignment horizontal="center"/>
      <protection locked="0"/>
    </xf>
    <xf numFmtId="0" fontId="23" fillId="12" borderId="0" xfId="0" applyFont="1" applyFill="1" applyAlignment="1" applyProtection="1">
      <alignment horizont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0" borderId="0" xfId="0" applyFont="1" applyProtection="1">
      <protection locked="0"/>
    </xf>
    <xf numFmtId="166" fontId="17" fillId="6" borderId="0" xfId="0" applyNumberFormat="1" applyFont="1" applyFill="1" applyAlignment="1" applyProtection="1">
      <alignment horizontal="center" vertical="center"/>
      <protection locked="0"/>
    </xf>
    <xf numFmtId="166" fontId="17" fillId="8" borderId="0" xfId="0" applyNumberFormat="1" applyFont="1" applyFill="1" applyAlignment="1" applyProtection="1">
      <alignment horizontal="center" vertical="center"/>
      <protection locked="0"/>
    </xf>
    <xf numFmtId="1" fontId="17" fillId="9" borderId="0" xfId="0" applyNumberFormat="1" applyFont="1" applyFill="1" applyAlignment="1" applyProtection="1">
      <alignment horizontal="center" vertical="center"/>
      <protection locked="0"/>
    </xf>
    <xf numFmtId="166" fontId="17" fillId="10" borderId="0" xfId="0" applyNumberFormat="1" applyFont="1" applyFill="1" applyAlignment="1" applyProtection="1">
      <alignment horizontal="center" vertical="center"/>
      <protection locked="0"/>
    </xf>
    <xf numFmtId="166" fontId="17" fillId="11" borderId="0" xfId="0" applyNumberFormat="1" applyFont="1" applyFill="1" applyAlignment="1" applyProtection="1">
      <alignment horizontal="center" vertical="center"/>
      <protection locked="0"/>
    </xf>
    <xf numFmtId="1" fontId="17" fillId="12" borderId="0" xfId="0" applyNumberFormat="1" applyFont="1" applyFill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vertical="top"/>
      <protection locked="0"/>
    </xf>
    <xf numFmtId="166" fontId="25" fillId="0" borderId="2" xfId="0" applyNumberFormat="1" applyFont="1" applyBorder="1" applyAlignment="1" applyProtection="1">
      <alignment vertical="top"/>
      <protection locked="0"/>
    </xf>
    <xf numFmtId="0" fontId="18" fillId="6" borderId="0" xfId="0" applyFont="1" applyFill="1" applyAlignment="1" applyProtection="1">
      <alignment horizontal="center" vertical="top" wrapText="1"/>
      <protection locked="0"/>
    </xf>
    <xf numFmtId="0" fontId="18" fillId="8" borderId="0" xfId="0" applyFont="1" applyFill="1" applyAlignment="1" applyProtection="1">
      <alignment horizontal="center" vertical="top" wrapText="1"/>
      <protection locked="0"/>
    </xf>
    <xf numFmtId="0" fontId="18" fillId="9" borderId="0" xfId="0" applyFont="1" applyFill="1" applyAlignment="1" applyProtection="1">
      <alignment horizontal="center" vertical="top" wrapText="1"/>
      <protection locked="0"/>
    </xf>
    <xf numFmtId="0" fontId="18" fillId="10" borderId="0" xfId="0" applyFont="1" applyFill="1" applyAlignment="1" applyProtection="1">
      <alignment horizontal="center" vertical="top" wrapText="1"/>
      <protection locked="0"/>
    </xf>
    <xf numFmtId="0" fontId="18" fillId="11" borderId="0" xfId="0" applyFont="1" applyFill="1" applyAlignment="1" applyProtection="1">
      <alignment horizontal="center" vertical="top" wrapText="1"/>
      <protection locked="0"/>
    </xf>
    <xf numFmtId="0" fontId="18" fillId="12" borderId="0" xfId="0" applyFont="1" applyFill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4" fillId="13" borderId="0" xfId="0" applyFont="1" applyFill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Protection="1"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7" fontId="9" fillId="0" borderId="11" xfId="0" applyNumberFormat="1" applyFont="1" applyBorder="1" applyAlignment="1" applyProtection="1">
      <alignment horizontal="center" vertical="center"/>
      <protection locked="0"/>
    </xf>
    <xf numFmtId="1" fontId="9" fillId="0" borderId="11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left" vertical="center" wrapText="1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Protection="1"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9" fillId="0" borderId="2" xfId="0" applyFont="1" applyBorder="1" applyAlignment="1" applyProtection="1">
      <alignment horizontal="center" vertical="top" wrapText="1"/>
      <protection locked="0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9" fontId="5" fillId="2" borderId="2" xfId="0" applyNumberFormat="1" applyFont="1" applyFill="1" applyBorder="1" applyAlignment="1" applyProtection="1">
      <alignment horizontal="center" vertical="top" wrapText="1"/>
      <protection locked="0"/>
    </xf>
    <xf numFmtId="166" fontId="4" fillId="0" borderId="2" xfId="0" applyNumberFormat="1" applyFont="1" applyBorder="1" applyAlignment="1" applyProtection="1">
      <alignment vertical="top"/>
      <protection locked="0"/>
    </xf>
    <xf numFmtId="168" fontId="9" fillId="0" borderId="2" xfId="0" applyNumberFormat="1" applyFont="1" applyBorder="1" applyAlignment="1" applyProtection="1">
      <alignment horizontal="center" vertical="top" wrapText="1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1" fontId="9" fillId="0" borderId="2" xfId="0" applyNumberFormat="1" applyFont="1" applyBorder="1" applyAlignment="1" applyProtection="1">
      <alignment horizontal="center" vertical="top" wrapText="1"/>
      <protection locked="0"/>
    </xf>
    <xf numFmtId="1" fontId="10" fillId="0" borderId="2" xfId="0" applyNumberFormat="1" applyFont="1" applyBorder="1" applyAlignment="1" applyProtection="1">
      <alignment vertical="top"/>
      <protection locked="0"/>
    </xf>
    <xf numFmtId="166" fontId="11" fillId="2" borderId="2" xfId="0" applyNumberFormat="1" applyFont="1" applyFill="1" applyBorder="1" applyAlignment="1" applyProtection="1">
      <alignment vertical="top"/>
      <protection locked="0"/>
    </xf>
    <xf numFmtId="0" fontId="12" fillId="0" borderId="0" xfId="0" applyFont="1" applyAlignment="1" applyProtection="1">
      <alignment vertical="top"/>
      <protection locked="0"/>
    </xf>
    <xf numFmtId="1" fontId="9" fillId="6" borderId="2" xfId="0" applyNumberFormat="1" applyFont="1" applyFill="1" applyBorder="1" applyAlignment="1" applyProtection="1">
      <alignment vertical="top"/>
      <protection locked="0"/>
    </xf>
    <xf numFmtId="166" fontId="4" fillId="6" borderId="2" xfId="0" applyNumberFormat="1" applyFont="1" applyFill="1" applyBorder="1" applyAlignment="1" applyProtection="1">
      <alignment vertical="top"/>
      <protection locked="0"/>
    </xf>
    <xf numFmtId="166" fontId="9" fillId="6" borderId="2" xfId="0" applyNumberFormat="1" applyFont="1" applyFill="1" applyBorder="1" applyAlignment="1" applyProtection="1">
      <alignment vertical="top"/>
      <protection locked="0"/>
    </xf>
    <xf numFmtId="0" fontId="0" fillId="0" borderId="4" xfId="0" applyBorder="1" applyProtection="1">
      <protection locked="0"/>
    </xf>
    <xf numFmtId="1" fontId="4" fillId="7" borderId="2" xfId="0" applyNumberFormat="1" applyFont="1" applyFill="1" applyBorder="1" applyAlignment="1" applyProtection="1">
      <alignment vertical="top"/>
      <protection locked="0"/>
    </xf>
    <xf numFmtId="165" fontId="4" fillId="7" borderId="2" xfId="0" applyNumberFormat="1" applyFont="1" applyFill="1" applyBorder="1" applyAlignment="1" applyProtection="1">
      <alignment vertical="top"/>
      <protection locked="0"/>
    </xf>
    <xf numFmtId="166" fontId="4" fillId="7" borderId="2" xfId="0" applyNumberFormat="1" applyFont="1" applyFill="1" applyBorder="1" applyAlignment="1" applyProtection="1">
      <alignment vertical="top"/>
      <protection locked="0"/>
    </xf>
    <xf numFmtId="0" fontId="30" fillId="3" borderId="0" xfId="0" applyFont="1" applyFill="1" applyProtection="1"/>
    <xf numFmtId="0" fontId="15" fillId="3" borderId="0" xfId="0" applyFont="1" applyFill="1" applyAlignment="1" applyProtection="1">
      <alignment horizontal="right"/>
    </xf>
    <xf numFmtId="0" fontId="0" fillId="0" borderId="0" xfId="0" applyProtection="1"/>
    <xf numFmtId="0" fontId="40" fillId="0" borderId="0" xfId="0" applyFont="1" applyAlignment="1" applyProtection="1">
      <alignment horizontal="right"/>
    </xf>
  </cellXfs>
  <cellStyles count="1">
    <cellStyle name="Normal" xfId="0" builtinId="0"/>
  </cellStyles>
  <dxfs count="17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1D4ED8"/>
        <name val="Arial"/>
      </font>
      <fill>
        <patternFill patternType="solid">
          <fgColor rgb="FFDBEAFE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6D28D9"/>
        <name val="Arial"/>
      </font>
      <fill>
        <patternFill patternType="solid">
          <fgColor rgb="FFF5F3FF"/>
        </patternFill>
      </fill>
    </dxf>
    <dxf>
      <font>
        <b/>
        <color rgb="FF0369A1"/>
        <name val="Arial"/>
      </font>
      <fill>
        <patternFill patternType="solid">
          <fgColor rgb="FFE0F2FE"/>
        </patternFill>
      </fill>
    </dxf>
    <dxf>
      <font>
        <color rgb="FF047857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2"/>
        <color rgb="FFBE123C"/>
        <name val="Arial"/>
      </font>
    </dxf>
    <dxf>
      <font>
        <b/>
        <sz val="22"/>
        <color rgb="FFB45309"/>
        <name val="Arial"/>
      </font>
    </dxf>
    <dxf>
      <fill>
        <patternFill patternType="solid">
          <fgColor rgb="FFFFE4E6"/>
        </patternFill>
      </fill>
    </dxf>
    <dxf>
      <font>
        <b/>
        <color rgb="FF6D28D9"/>
        <name val="Arial"/>
      </font>
      <fill>
        <patternFill patternType="solid">
          <fgColor rgb="FFF5F3FF"/>
        </patternFill>
      </fill>
    </dxf>
    <dxf>
      <font>
        <b/>
        <color rgb="FF0369A1"/>
        <name val="Arial"/>
      </font>
      <fill>
        <patternFill patternType="solid">
          <fgColor rgb="FFE0F2F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Top ten risks by expected value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F97316"/>
            </a:solidFill>
            <a:ln>
              <a:solidFill>
                <a:srgbClr val="F9731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Dashboard!$P$7:$P$16</c:f>
            </c:strRef>
          </c:cat>
          <c:val>
            <c:numRef>
              <c:f>Dashboard!$Q$7:$Q$16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9731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C4-4C36-8160-78A33F6E6DC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Expected value by kind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369A1"/>
            </a:solidFill>
            <a:ln>
              <a:solidFill>
                <a:srgbClr val="0369A1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Dashboard!$P$19:$P$21</c:f>
            </c:strRef>
          </c:cat>
          <c:val>
            <c:numRef>
              <c:f>Dashboard!$Q$19:$Q$21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369A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21-4C6F-9B45-B559C99D6C6D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Epistemic: worth vs cost to find out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Dashboard!$Q$24</c:f>
            </c:strRef>
          </c:tx>
          <c:spPr>
            <a:solidFill>
              <a:srgbClr val="F97316"/>
            </a:solidFill>
            <a:ln>
              <a:solidFill>
                <a:srgbClr val="F97316"/>
              </a:solidFill>
              <a:prstDash val="solid"/>
            </a:ln>
          </c:spPr>
          <c:invertIfNegative val="1"/>
          <c:cat>
            <c:strRef>
              <c:f>Dashboard!$P$25:$P$34</c:f>
            </c:strRef>
          </c:cat>
          <c:val>
            <c:numRef>
              <c:f>Dashboard!$Q$25:$Q$34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9731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0F-4638-A681-D4EA282F4509}"/>
            </c:ext>
          </c:extLst>
        </c:ser>
        <c:ser>
          <c:idx val="1"/>
          <c:order val="1"/>
          <c:tx>
            <c:strRef>
              <c:f>Dashboard!$R$24</c:f>
            </c:strRef>
          </c:tx>
          <c:spPr>
            <a:solidFill>
              <a:srgbClr val="047857"/>
            </a:solidFill>
            <a:ln>
              <a:solidFill>
                <a:srgbClr val="047857"/>
              </a:solidFill>
              <a:prstDash val="solid"/>
            </a:ln>
          </c:spPr>
          <c:invertIfNegative val="1"/>
          <c:cat>
            <c:strRef>
              <c:f>Dashboard!$P$25:$P$34</c:f>
            </c:strRef>
          </c:cat>
          <c:val>
            <c:numRef>
              <c:f>Dashboard!$R$25:$R$34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4785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C0F-4638-A681-D4EA282F4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Exposure, review by review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History!$D$7</c:f>
            </c:strRef>
          </c:tx>
          <c:spPr>
            <a:ln w="26000">
              <a:solidFill>
                <a:srgbClr val="C2410C"/>
              </a:solidFill>
              <a:prstDash val="solid"/>
            </a:ln>
          </c:spPr>
          <c:marker>
            <c:symbol val="none"/>
          </c:marker>
          <c:cat>
            <c:numRef>
              <c:f>History!$A$8:$A$10</c:f>
            </c:numRef>
          </c:cat>
          <c:val>
            <c:numRef>
              <c:f>History!$D$8:$D$10</c:f>
            </c:numRef>
          </c:val>
          <c:smooth val="0"/>
          <c:extLst>
            <c:ext xmlns:c16="http://schemas.microsoft.com/office/drawing/2014/chart" uri="{C3380CC4-5D6E-409C-BE32-E72D297353CC}">
              <c16:uniqueId val="{00000000-6F72-4719-B1A1-A8245C8A1EA1}"/>
            </c:ext>
          </c:extLst>
        </c:ser>
        <c:ser>
          <c:idx val="1"/>
          <c:order val="1"/>
          <c:tx>
            <c:strRef>
              <c:f>History!$E$7</c:f>
            </c:strRef>
          </c:tx>
          <c:spPr>
            <a:ln w="26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History!$A$8:$A$10</c:f>
            </c:numRef>
          </c:cat>
          <c:val>
            <c:numRef>
              <c:f>History!$E$8:$E$10</c:f>
            </c:numRef>
          </c:val>
          <c:smooth val="0"/>
          <c:extLst>
            <c:ext xmlns:c16="http://schemas.microsoft.com/office/drawing/2014/chart" uri="{C3380CC4-5D6E-409C-BE32-E72D297353CC}">
              <c16:uniqueId val="{00000001-6F72-4719-B1A1-A8245C8A1EA1}"/>
            </c:ext>
          </c:extLst>
        </c:ser>
        <c:ser>
          <c:idx val="2"/>
          <c:order val="2"/>
          <c:tx>
            <c:strRef>
              <c:f>History!$G$7</c:f>
            </c:strRef>
          </c:tx>
          <c:spPr>
            <a:ln w="26000">
              <a:solidFill>
                <a:srgbClr val="475569"/>
              </a:solidFill>
              <a:prstDash val="dash"/>
            </a:ln>
          </c:spPr>
          <c:marker>
            <c:symbol val="none"/>
          </c:marker>
          <c:cat>
            <c:numRef>
              <c:f>History!$A$8:$A$10</c:f>
            </c:numRef>
          </c:cat>
          <c:val>
            <c:numRef>
              <c:f>History!$G$8:$G$10</c:f>
            </c:numRef>
          </c:val>
          <c:smooth val="0"/>
          <c:extLst>
            <c:ext xmlns:c16="http://schemas.microsoft.com/office/drawing/2014/chart" uri="{C3380CC4-5D6E-409C-BE32-E72D297353CC}">
              <c16:uniqueId val="{00000002-6F72-4719-B1A1-A8245C8A1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0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15240</xdr:colOff>
      <xdr:row>13</xdr:row>
      <xdr:rowOff>0</xdr:rowOff>
    </xdr:from>
    <xdr:ext cx="52324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31</xdr:row>
      <xdr:rowOff>0</xdr:rowOff>
    </xdr:from>
    <xdr:ext cx="50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15240</xdr:colOff>
      <xdr:row>31</xdr:row>
      <xdr:rowOff>0</xdr:rowOff>
    </xdr:from>
    <xdr:ext cx="52324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risk-week-8.html" TargetMode="External"/><Relationship Id="rId2" Type="http://schemas.openxmlformats.org/officeDocument/2006/relationships/hyperlink" Target="https://theprojectcontrolhub.com/risk-week-6.html" TargetMode="External"/><Relationship Id="rId1" Type="http://schemas.openxmlformats.org/officeDocument/2006/relationships/hyperlink" Target="https://theprojectcontrolhub.com/risk-week-4.html" TargetMode="External"/><Relationship Id="rId4" Type="http://schemas.openxmlformats.org/officeDocument/2006/relationships/hyperlink" Target="https://theprojectcontrolhub.com/risk-week-13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/Relationships>
</file>

<file path=xl/worksheets/_rels/sheet5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3"/>
  <sheetViews>
    <sheetView showGridLines="0" tabSelected="1" workbookViewId="0">
      <selection activeCell="B4" sqref="B4"/>
    </sheetView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2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104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40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40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40.049999999999997" customHeight="1" x14ac:dyDescent="0.3">
      <c r="B10" s="11">
        <v>3</v>
      </c>
      <c r="C10" s="7" t="s">
        <v>7</v>
      </c>
      <c r="D10" s="8" t="s">
        <v>10</v>
      </c>
      <c r="E10" s="9" t="s">
        <v>9</v>
      </c>
    </row>
    <row r="11" spans="1:6" ht="40.049999999999997" customHeight="1" x14ac:dyDescent="0.3">
      <c r="B11" s="10">
        <v>4</v>
      </c>
      <c r="C11" s="7" t="s">
        <v>7</v>
      </c>
      <c r="D11" s="8" t="s">
        <v>11</v>
      </c>
      <c r="E11" s="9" t="s">
        <v>9</v>
      </c>
    </row>
    <row r="12" spans="1:6" ht="40.049999999999997" customHeight="1" x14ac:dyDescent="0.3">
      <c r="B12" s="12">
        <v>5</v>
      </c>
      <c r="C12" s="7" t="s">
        <v>7</v>
      </c>
      <c r="D12" s="8" t="s">
        <v>12</v>
      </c>
      <c r="E12" s="9" t="s">
        <v>9</v>
      </c>
    </row>
    <row r="13" spans="1:6" ht="40.049999999999997" customHeight="1" x14ac:dyDescent="0.3">
      <c r="B13" s="13">
        <v>6</v>
      </c>
      <c r="C13" s="7" t="s">
        <v>13</v>
      </c>
      <c r="D13" s="8" t="s">
        <v>14</v>
      </c>
      <c r="E13" s="9" t="s">
        <v>15</v>
      </c>
    </row>
    <row r="15" spans="1:6" x14ac:dyDescent="0.3">
      <c r="B15" s="5" t="s">
        <v>16</v>
      </c>
    </row>
    <row r="16" spans="1:6" ht="30" customHeight="1" x14ac:dyDescent="0.3">
      <c r="C16" s="14" t="s">
        <v>17</v>
      </c>
      <c r="D16" s="15" t="s">
        <v>18</v>
      </c>
    </row>
    <row r="17" spans="2:4" ht="30" customHeight="1" x14ac:dyDescent="0.3">
      <c r="C17" s="16" t="s">
        <v>19</v>
      </c>
      <c r="D17" s="15" t="s">
        <v>20</v>
      </c>
    </row>
    <row r="18" spans="2:4" ht="30" customHeight="1" x14ac:dyDescent="0.3">
      <c r="C18" s="17" t="s">
        <v>21</v>
      </c>
      <c r="D18" s="15" t="s">
        <v>22</v>
      </c>
    </row>
    <row r="20" spans="2:4" x14ac:dyDescent="0.3">
      <c r="B20" s="5" t="s">
        <v>23</v>
      </c>
    </row>
    <row r="21" spans="2:4" x14ac:dyDescent="0.3">
      <c r="C21" s="18" t="s">
        <v>24</v>
      </c>
      <c r="D21" s="19" t="s">
        <v>25</v>
      </c>
    </row>
    <row r="22" spans="2:4" x14ac:dyDescent="0.3">
      <c r="C22" s="20" t="s">
        <v>26</v>
      </c>
      <c r="D22" s="19" t="s">
        <v>27</v>
      </c>
    </row>
    <row r="23" spans="2:4" x14ac:dyDescent="0.3">
      <c r="C23" s="21" t="s">
        <v>28</v>
      </c>
      <c r="D23" s="19" t="s">
        <v>29</v>
      </c>
    </row>
    <row r="24" spans="2:4" x14ac:dyDescent="0.3">
      <c r="C24" s="22" t="s">
        <v>30</v>
      </c>
      <c r="D24" s="19" t="s">
        <v>31</v>
      </c>
    </row>
    <row r="25" spans="2:4" x14ac:dyDescent="0.3">
      <c r="C25" s="23" t="s">
        <v>32</v>
      </c>
      <c r="D25" s="19" t="s">
        <v>33</v>
      </c>
    </row>
    <row r="27" spans="2:4" x14ac:dyDescent="0.3">
      <c r="B27" s="5" t="s">
        <v>34</v>
      </c>
    </row>
    <row r="28" spans="2:4" x14ac:dyDescent="0.3">
      <c r="C28" s="24" t="s">
        <v>35</v>
      </c>
      <c r="D28" s="19" t="s">
        <v>36</v>
      </c>
    </row>
    <row r="29" spans="2:4" x14ac:dyDescent="0.3">
      <c r="C29" s="24" t="s">
        <v>37</v>
      </c>
      <c r="D29" s="19" t="s">
        <v>38</v>
      </c>
    </row>
    <row r="30" spans="2:4" x14ac:dyDescent="0.3">
      <c r="C30" s="24" t="s">
        <v>39</v>
      </c>
      <c r="D30" s="19" t="s">
        <v>40</v>
      </c>
    </row>
    <row r="31" spans="2:4" x14ac:dyDescent="0.3">
      <c r="C31" s="24" t="s">
        <v>41</v>
      </c>
      <c r="D31" s="19" t="s">
        <v>42</v>
      </c>
    </row>
    <row r="33" spans="2:5" x14ac:dyDescent="0.3">
      <c r="B33" s="5" t="s">
        <v>43</v>
      </c>
    </row>
    <row r="34" spans="2:5" x14ac:dyDescent="0.3">
      <c r="C34" s="25" t="s">
        <v>44</v>
      </c>
    </row>
    <row r="35" spans="2:5" x14ac:dyDescent="0.3">
      <c r="C35" s="25" t="s">
        <v>45</v>
      </c>
    </row>
    <row r="36" spans="2:5" x14ac:dyDescent="0.3">
      <c r="C36" s="25" t="s">
        <v>46</v>
      </c>
    </row>
    <row r="37" spans="2:5" x14ac:dyDescent="0.3">
      <c r="C37" s="25" t="s">
        <v>47</v>
      </c>
    </row>
    <row r="39" spans="2:5" ht="25.95" customHeight="1" x14ac:dyDescent="0.3">
      <c r="B39" s="26" t="s">
        <v>48</v>
      </c>
      <c r="C39" s="27"/>
      <c r="D39" s="27"/>
      <c r="E39" s="27"/>
    </row>
    <row r="40" spans="2:5" x14ac:dyDescent="0.3">
      <c r="B40" s="27"/>
      <c r="C40" s="27"/>
      <c r="D40" s="27"/>
      <c r="E40" s="27"/>
    </row>
    <row r="41" spans="2:5" x14ac:dyDescent="0.3">
      <c r="B41" s="27"/>
      <c r="C41" s="27"/>
      <c r="D41" s="27"/>
      <c r="E41" s="27"/>
    </row>
    <row r="43" spans="2:5" x14ac:dyDescent="0.3">
      <c r="B43" s="28" t="s">
        <v>49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9:E41"/>
  </mergeCells>
  <hyperlinks>
    <hyperlink ref="C8" location="'Setup'!A1" display="Setup  →" xr:uid="{00000000-0004-0000-0000-000000000000}"/>
    <hyperlink ref="C9" location="'Register'!A1" display="Register  →" xr:uid="{00000000-0004-0000-0000-000001000000}"/>
    <hyperlink ref="C10" location="'Register'!A1" display="Register  →" xr:uid="{00000000-0004-0000-0000-000002000000}"/>
    <hyperlink ref="C11" location="'Register'!A1" display="Register  →" xr:uid="{00000000-0004-0000-0000-000003000000}"/>
    <hyperlink ref="C12" location="'Register'!A1" display="Register  →" xr:uid="{00000000-0004-0000-0000-000004000000}"/>
    <hyperlink ref="C13" location="'Dashboard'!A1" display="Dashboard  →" xr:uid="{00000000-0004-0000-0000-000005000000}"/>
    <hyperlink ref="C28" location="'Dashboard'!A1" display="Dashboard" xr:uid="{00000000-0004-0000-0000-000006000000}"/>
    <hyperlink ref="C29" location="'Setup'!A1" display="Setup" xr:uid="{00000000-0004-0000-0000-000007000000}"/>
    <hyperlink ref="C30" location="'Register'!A1" display="Register" xr:uid="{00000000-0004-0000-0000-000008000000}"/>
    <hyperlink ref="C31" location="'History'!A1" display="History" xr:uid="{00000000-0004-0000-0000-000009000000}"/>
    <hyperlink ref="C34" r:id="rId1" xr:uid="{00000000-0004-0000-0000-00000A000000}"/>
    <hyperlink ref="C35" r:id="rId2" xr:uid="{00000000-0004-0000-0000-00000B000000}"/>
    <hyperlink ref="C36" r:id="rId3" xr:uid="{00000000-0004-0000-0000-00000C000000}"/>
    <hyperlink ref="C37" r:id="rId4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7316"/>
    <pageSetUpPr fitToPage="1"/>
  </sheetPr>
  <dimension ref="A1:R62"/>
  <sheetViews>
    <sheetView showGridLines="0" workbookViewId="0">
      <pane ySplit="3" topLeftCell="A16" activePane="bottomLeft" state="frozen"/>
      <selection pane="bottomLeft" activeCell="K2" sqref="K2:M2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5" width="8.88671875" style="2"/>
    <col min="16" max="16" width="26" style="2" customWidth="1"/>
    <col min="17" max="18" width="12" style="2" customWidth="1"/>
    <col min="19" max="16384" width="8.88671875" style="2"/>
  </cols>
  <sheetData>
    <row r="1" spans="1:18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 ht="31.95" customHeight="1" x14ac:dyDescent="0.4">
      <c r="A2" s="1"/>
      <c r="B2" s="29" t="s">
        <v>0</v>
      </c>
      <c r="C2" s="1"/>
      <c r="D2" s="1"/>
      <c r="E2" s="1"/>
      <c r="F2" s="1"/>
      <c r="G2" s="1"/>
      <c r="H2" s="1"/>
      <c r="I2" s="1"/>
      <c r="J2" s="1"/>
      <c r="K2" s="105" t="s">
        <v>50</v>
      </c>
      <c r="L2" s="106"/>
      <c r="M2" s="106"/>
      <c r="N2" s="1"/>
    </row>
    <row r="3" spans="1:18" ht="22.05" customHeight="1" x14ac:dyDescent="0.3">
      <c r="A3" s="1"/>
      <c r="B3" s="30">
        <f>IF(Setup!B6="","Fill in the Setup sheet first",Setup!B6&amp;"   ·   Review "&amp;Setup!B7&amp;"   ·   "&amp;TEXT(Setup!B8,"d mmm yyyy")&amp;"   ·   "&amp;Setup!B10)</f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8" ht="19.95" customHeight="1" x14ac:dyDescent="0.3">
      <c r="B5" s="31" t="s">
        <v>51</v>
      </c>
      <c r="C5" s="27"/>
      <c r="D5" s="32" t="s">
        <v>52</v>
      </c>
      <c r="E5" s="27"/>
      <c r="F5" s="33" t="s">
        <v>53</v>
      </c>
      <c r="G5" s="27"/>
      <c r="H5" s="34" t="s">
        <v>54</v>
      </c>
      <c r="I5" s="27"/>
      <c r="J5" s="35" t="s">
        <v>55</v>
      </c>
      <c r="K5" s="27"/>
      <c r="L5" s="36" t="s">
        <v>56</v>
      </c>
      <c r="M5" s="27"/>
      <c r="P5" s="37" t="s">
        <v>57</v>
      </c>
      <c r="Q5" s="38"/>
      <c r="R5" s="38"/>
    </row>
    <row r="6" spans="1:18" ht="22.05" customHeight="1" x14ac:dyDescent="0.3">
      <c r="B6" s="39">
        <f>Register!$E$50</f>
      </c>
      <c r="C6" s="27"/>
      <c r="D6" s="40">
        <f>Register!$E$51</f>
      </c>
      <c r="E6" s="27"/>
      <c r="F6" s="41">
        <f>Register!$E$56</f>
      </c>
      <c r="G6" s="27"/>
      <c r="H6" s="42">
        <f>Register!$E$57</f>
      </c>
      <c r="I6" s="27"/>
      <c r="J6" s="43">
        <f>Setup!B9</f>
      </c>
      <c r="K6" s="27"/>
      <c r="L6" s="44">
        <f>Register!$E$61</f>
      </c>
      <c r="M6" s="27"/>
      <c r="P6" s="37" t="s">
        <v>58</v>
      </c>
      <c r="Q6" s="38"/>
      <c r="R6" s="38"/>
    </row>
    <row r="7" spans="1:18" ht="22.05" customHeight="1" x14ac:dyDescent="0.3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P7" s="45">
        <f>IFERROR(INDEX(Register!$B$7:$B$46,MATCH(1,Register!$X$7:$X$46,0)),"")</f>
      </c>
      <c r="Q7" s="46">
        <f>IFERROR(INDEX(Register!$K$7:$K$46,MATCH(1,Register!$X$7:$X$46,0)),0)</f>
      </c>
      <c r="R7" s="38"/>
    </row>
    <row r="8" spans="1:18" ht="19.95" customHeight="1" x14ac:dyDescent="0.3">
      <c r="B8" s="47">
        <f>"across "&amp;Register!$E$49&amp;" open risks"</f>
      </c>
      <c r="C8" s="27"/>
      <c r="D8" s="48">
        <f>Register!$E$54&amp;" risks  ·  "&amp;TEXT(Register!$E$55,"$#,##0")&amp;" to find out"</f>
      </c>
      <c r="E8" s="27"/>
      <c r="F8" s="49">
        <f>"epistemic risks: send the emails"</f>
      </c>
      <c r="G8" s="27"/>
      <c r="H8" s="50">
        <f>Register!$E$58&amp;" priced  ·  "&amp;Register!$E$59&amp;" done"</f>
      </c>
      <c r="I8" s="27"/>
      <c r="J8" s="51">
        <f>IF(OR(Setup!B9="",Register!$E$50=0),"",TEXT(Setup!B9/Register!$E$50,"0%")&amp;" of the expected value")</f>
      </c>
      <c r="K8" s="27"/>
      <c r="L8" s="52">
        <f>Register!$E$60&amp;" open risk(s) with no owner"</f>
      </c>
      <c r="M8" s="27"/>
      <c r="P8" s="45">
        <f>IFERROR(INDEX(Register!$B$7:$B$46,MATCH(2,Register!$X$7:$X$46,0)),"")</f>
      </c>
      <c r="Q8" s="46">
        <f>IFERROR(INDEX(Register!$K$7:$K$46,MATCH(2,Register!$X$7:$X$46,0)),0)</f>
      </c>
      <c r="R8" s="38"/>
    </row>
    <row r="9" spans="1:18" x14ac:dyDescent="0.3">
      <c r="B9" s="53"/>
      <c r="C9" s="53"/>
      <c r="D9" s="54"/>
      <c r="E9" s="54"/>
      <c r="F9" s="55"/>
      <c r="G9" s="55"/>
      <c r="H9" s="56"/>
      <c r="I9" s="56"/>
      <c r="J9" s="57"/>
      <c r="K9" s="57"/>
      <c r="L9" s="58"/>
      <c r="M9" s="58"/>
      <c r="P9" s="45">
        <f>IFERROR(INDEX(Register!$B$7:$B$46,MATCH(3,Register!$X$7:$X$46,0)),"")</f>
      </c>
      <c r="Q9" s="46">
        <f>IFERROR(INDEX(Register!$K$7:$K$46,MATCH(3,Register!$X$7:$X$46,0)),0)</f>
      </c>
      <c r="R9" s="38"/>
    </row>
    <row r="10" spans="1:18" x14ac:dyDescent="0.3">
      <c r="P10" s="45">
        <f>IFERROR(INDEX(Register!$B$7:$B$46,MATCH(4,Register!$X$7:$X$46,0)),"")</f>
      </c>
      <c r="Q10" s="46">
        <f>IFERROR(INDEX(Register!$K$7:$K$46,MATCH(4,Register!$X$7:$X$46,0)),0)</f>
      </c>
      <c r="R10" s="38"/>
    </row>
    <row r="11" spans="1:18" ht="30" customHeight="1" x14ac:dyDescent="0.3">
      <c r="B11" s="59" t="s">
        <v>59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P11" s="45">
        <f>IFERROR(INDEX(Register!$B$7:$B$46,MATCH(5,Register!$X$7:$X$46,0)),"")</f>
      </c>
      <c r="Q11" s="46">
        <f>IFERROR(INDEX(Register!$K$7:$K$46,MATCH(5,Register!$X$7:$X$46,0)),0)</f>
      </c>
      <c r="R11" s="38"/>
    </row>
    <row r="12" spans="1:18" x14ac:dyDescent="0.3">
      <c r="P12" s="45">
        <f>IFERROR(INDEX(Register!$B$7:$B$46,MATCH(6,Register!$X$7:$X$46,0)),"")</f>
      </c>
      <c r="Q12" s="46">
        <f>IFERROR(INDEX(Register!$K$7:$K$46,MATCH(6,Register!$X$7:$X$46,0)),0)</f>
      </c>
      <c r="R12" s="38"/>
    </row>
    <row r="13" spans="1:18" x14ac:dyDescent="0.3">
      <c r="B13" s="60" t="s">
        <v>60</v>
      </c>
      <c r="P13" s="45">
        <f>IFERROR(INDEX(Register!$B$7:$B$46,MATCH(7,Register!$X$7:$X$46,0)),"")</f>
      </c>
      <c r="Q13" s="46">
        <f>IFERROR(INDEX(Register!$K$7:$K$46,MATCH(7,Register!$X$7:$X$46,0)),0)</f>
      </c>
      <c r="R13" s="38"/>
    </row>
    <row r="14" spans="1:18" x14ac:dyDescent="0.3">
      <c r="P14" s="45">
        <f>IFERROR(INDEX(Register!$B$7:$B$46,MATCH(8,Register!$X$7:$X$46,0)),"")</f>
      </c>
      <c r="Q14" s="46">
        <f>IFERROR(INDEX(Register!$K$7:$K$46,MATCH(8,Register!$X$7:$X$46,0)),0)</f>
      </c>
      <c r="R14" s="38"/>
    </row>
    <row r="15" spans="1:18" x14ac:dyDescent="0.3">
      <c r="P15" s="45">
        <f>IFERROR(INDEX(Register!$B$7:$B$46,MATCH(9,Register!$X$7:$X$46,0)),"")</f>
      </c>
      <c r="Q15" s="46">
        <f>IFERROR(INDEX(Register!$K$7:$K$46,MATCH(9,Register!$X$7:$X$46,0)),0)</f>
      </c>
      <c r="R15" s="38"/>
    </row>
    <row r="16" spans="1:18" x14ac:dyDescent="0.3">
      <c r="P16" s="45">
        <f>IFERROR(INDEX(Register!$B$7:$B$46,MATCH(10,Register!$X$7:$X$46,0)),"")</f>
      </c>
      <c r="Q16" s="46">
        <f>IFERROR(INDEX(Register!$K$7:$K$46,MATCH(10,Register!$X$7:$X$46,0)),0)</f>
      </c>
      <c r="R16" s="38"/>
    </row>
    <row r="17" spans="2:18" x14ac:dyDescent="0.3">
      <c r="P17" s="38"/>
      <c r="Q17" s="38"/>
      <c r="R17" s="38"/>
    </row>
    <row r="18" spans="2:18" x14ac:dyDescent="0.3">
      <c r="P18" s="37" t="s">
        <v>61</v>
      </c>
      <c r="Q18" s="38"/>
      <c r="R18" s="38"/>
    </row>
    <row r="19" spans="2:18" x14ac:dyDescent="0.3">
      <c r="P19" s="45" t="s">
        <v>17</v>
      </c>
      <c r="Q19" s="46">
        <f>Register!$E$51</f>
      </c>
      <c r="R19" s="38"/>
    </row>
    <row r="20" spans="2:18" x14ac:dyDescent="0.3">
      <c r="P20" s="45" t="s">
        <v>19</v>
      </c>
      <c r="Q20" s="46">
        <f>Register!$E$52</f>
      </c>
      <c r="R20" s="38"/>
    </row>
    <row r="21" spans="2:18" x14ac:dyDescent="0.3">
      <c r="P21" s="45" t="s">
        <v>21</v>
      </c>
      <c r="Q21" s="46">
        <f>Register!$E$53</f>
      </c>
      <c r="R21" s="38"/>
    </row>
    <row r="22" spans="2:18" x14ac:dyDescent="0.3">
      <c r="P22" s="38"/>
      <c r="Q22" s="38"/>
      <c r="R22" s="38"/>
    </row>
    <row r="23" spans="2:18" x14ac:dyDescent="0.3">
      <c r="P23" s="37" t="s">
        <v>62</v>
      </c>
      <c r="Q23" s="38"/>
      <c r="R23" s="38"/>
    </row>
    <row r="24" spans="2:18" x14ac:dyDescent="0.3">
      <c r="P24" s="45" t="s">
        <v>63</v>
      </c>
      <c r="Q24" s="45" t="s">
        <v>64</v>
      </c>
      <c r="R24" s="45" t="s">
        <v>65</v>
      </c>
    </row>
    <row r="25" spans="2:18" x14ac:dyDescent="0.3">
      <c r="P25" s="45">
        <f>IFERROR(INDEX(Register!$B$7:$B$46,MATCH(1,Register!$Y$7:$Y$46,0)),"")</f>
      </c>
      <c r="Q25" s="46">
        <f>IFERROR(INDEX(Register!$K$7:$K$46,MATCH(1,Register!$Y$7:$Y$46,0)),0)</f>
      </c>
      <c r="R25" s="46">
        <f>IFERROR(INDEX(Register!$L$7:$L$46,MATCH(1,Register!$Y$7:$Y$46,0))+0,0)</f>
      </c>
    </row>
    <row r="26" spans="2:18" x14ac:dyDescent="0.3">
      <c r="P26" s="45">
        <f>IFERROR(INDEX(Register!$B$7:$B$46,MATCH(2,Register!$Y$7:$Y$46,0)),"")</f>
      </c>
      <c r="Q26" s="46">
        <f>IFERROR(INDEX(Register!$K$7:$K$46,MATCH(2,Register!$Y$7:$Y$46,0)),0)</f>
      </c>
      <c r="R26" s="46">
        <f>IFERROR(INDEX(Register!$L$7:$L$46,MATCH(2,Register!$Y$7:$Y$46,0))+0,0)</f>
      </c>
    </row>
    <row r="27" spans="2:18" x14ac:dyDescent="0.3">
      <c r="P27" s="45">
        <f>IFERROR(INDEX(Register!$B$7:$B$46,MATCH(3,Register!$Y$7:$Y$46,0)),"")</f>
      </c>
      <c r="Q27" s="46">
        <f>IFERROR(INDEX(Register!$K$7:$K$46,MATCH(3,Register!$Y$7:$Y$46,0)),0)</f>
      </c>
      <c r="R27" s="46">
        <f>IFERROR(INDEX(Register!$L$7:$L$46,MATCH(3,Register!$Y$7:$Y$46,0))+0,0)</f>
      </c>
    </row>
    <row r="28" spans="2:18" x14ac:dyDescent="0.3">
      <c r="P28" s="45">
        <f>IFERROR(INDEX(Register!$B$7:$B$46,MATCH(4,Register!$Y$7:$Y$46,0)),"")</f>
      </c>
      <c r="Q28" s="46">
        <f>IFERROR(INDEX(Register!$K$7:$K$46,MATCH(4,Register!$Y$7:$Y$46,0)),0)</f>
      </c>
      <c r="R28" s="46">
        <f>IFERROR(INDEX(Register!$L$7:$L$46,MATCH(4,Register!$Y$7:$Y$46,0))+0,0)</f>
      </c>
    </row>
    <row r="29" spans="2:18" x14ac:dyDescent="0.3">
      <c r="P29" s="45">
        <f>IFERROR(INDEX(Register!$B$7:$B$46,MATCH(5,Register!$Y$7:$Y$46,0)),"")</f>
      </c>
      <c r="Q29" s="46">
        <f>IFERROR(INDEX(Register!$K$7:$K$46,MATCH(5,Register!$Y$7:$Y$46,0)),0)</f>
      </c>
      <c r="R29" s="46">
        <f>IFERROR(INDEX(Register!$L$7:$L$46,MATCH(5,Register!$Y$7:$Y$46,0))+0,0)</f>
      </c>
    </row>
    <row r="30" spans="2:18" x14ac:dyDescent="0.3">
      <c r="P30" s="45">
        <f>IFERROR(INDEX(Register!$B$7:$B$46,MATCH(6,Register!$Y$7:$Y$46,0)),"")</f>
      </c>
      <c r="Q30" s="46">
        <f>IFERROR(INDEX(Register!$K$7:$K$46,MATCH(6,Register!$Y$7:$Y$46,0)),0)</f>
      </c>
      <c r="R30" s="46">
        <f>IFERROR(INDEX(Register!$L$7:$L$46,MATCH(6,Register!$Y$7:$Y$46,0))+0,0)</f>
      </c>
    </row>
    <row r="31" spans="2:18" x14ac:dyDescent="0.3">
      <c r="B31" s="60" t="s">
        <v>66</v>
      </c>
      <c r="P31" s="45">
        <f>IFERROR(INDEX(Register!$B$7:$B$46,MATCH(7,Register!$Y$7:$Y$46,0)),"")</f>
      </c>
      <c r="Q31" s="46">
        <f>IFERROR(INDEX(Register!$K$7:$K$46,MATCH(7,Register!$Y$7:$Y$46,0)),0)</f>
      </c>
      <c r="R31" s="46">
        <f>IFERROR(INDEX(Register!$L$7:$L$46,MATCH(7,Register!$Y$7:$Y$46,0))+0,0)</f>
      </c>
    </row>
    <row r="32" spans="2:18" x14ac:dyDescent="0.3">
      <c r="P32" s="45">
        <f>IFERROR(INDEX(Register!$B$7:$B$46,MATCH(8,Register!$Y$7:$Y$46,0)),"")</f>
      </c>
      <c r="Q32" s="46">
        <f>IFERROR(INDEX(Register!$K$7:$K$46,MATCH(8,Register!$Y$7:$Y$46,0)),0)</f>
      </c>
      <c r="R32" s="46">
        <f>IFERROR(INDEX(Register!$L$7:$L$46,MATCH(8,Register!$Y$7:$Y$46,0))+0,0)</f>
      </c>
    </row>
    <row r="33" spans="16:18" x14ac:dyDescent="0.3">
      <c r="P33" s="45">
        <f>IFERROR(INDEX(Register!$B$7:$B$46,MATCH(9,Register!$Y$7:$Y$46,0)),"")</f>
      </c>
      <c r="Q33" s="46">
        <f>IFERROR(INDEX(Register!$K$7:$K$46,MATCH(9,Register!$Y$7:$Y$46,0)),0)</f>
      </c>
      <c r="R33" s="46">
        <f>IFERROR(INDEX(Register!$L$7:$L$46,MATCH(9,Register!$Y$7:$Y$46,0))+0,0)</f>
      </c>
    </row>
    <row r="34" spans="16:18" x14ac:dyDescent="0.3">
      <c r="P34" s="45">
        <f>IFERROR(INDEX(Register!$B$7:$B$46,MATCH(10,Register!$Y$7:$Y$46,0)),"")</f>
      </c>
      <c r="Q34" s="46">
        <f>IFERROR(INDEX(Register!$K$7:$K$46,MATCH(10,Register!$Y$7:$Y$46,0)),0)</f>
      </c>
      <c r="R34" s="46">
        <f>IFERROR(INDEX(Register!$L$7:$L$46,MATCH(10,Register!$Y$7:$Y$46,0))+0,0)</f>
      </c>
    </row>
    <row r="35" spans="16:18" x14ac:dyDescent="0.3">
      <c r="P35" s="45">
        <f>IFERROR(INDEX(Register!$B$7:$B$46,MATCH(11,Register!$Y$7:$Y$46,0)),"")</f>
      </c>
      <c r="Q35" s="46">
        <f>IFERROR(INDEX(Register!$K$7:$K$46,MATCH(11,Register!$Y$7:$Y$46,0)),0)</f>
      </c>
      <c r="R35" s="46">
        <f>IFERROR(INDEX(Register!$L$7:$L$46,MATCH(11,Register!$Y$7:$Y$46,0))+0,0)</f>
      </c>
    </row>
    <row r="36" spans="16:18" x14ac:dyDescent="0.3">
      <c r="P36" s="45">
        <f>IFERROR(INDEX(Register!$B$7:$B$46,MATCH(12,Register!$Y$7:$Y$46,0)),"")</f>
      </c>
      <c r="Q36" s="46">
        <f>IFERROR(INDEX(Register!$K$7:$K$46,MATCH(12,Register!$Y$7:$Y$46,0)),0)</f>
      </c>
      <c r="R36" s="46">
        <f>IFERROR(INDEX(Register!$L$7:$L$46,MATCH(12,Register!$Y$7:$Y$46,0))+0,0)</f>
      </c>
    </row>
    <row r="49" spans="2:12" x14ac:dyDescent="0.3">
      <c r="B49" s="60" t="s">
        <v>67</v>
      </c>
    </row>
    <row r="50" spans="2:12" ht="24" customHeight="1" x14ac:dyDescent="0.3">
      <c r="B50" s="61" t="s">
        <v>63</v>
      </c>
      <c r="C50" s="27"/>
      <c r="D50" s="27"/>
      <c r="E50" s="62" t="s">
        <v>68</v>
      </c>
      <c r="F50" s="62" t="s">
        <v>69</v>
      </c>
      <c r="G50" s="62" t="s">
        <v>70</v>
      </c>
      <c r="H50" s="61" t="s">
        <v>71</v>
      </c>
      <c r="I50" s="27"/>
      <c r="J50" s="62" t="s">
        <v>72</v>
      </c>
      <c r="K50" s="62" t="s">
        <v>73</v>
      </c>
      <c r="L50" s="62" t="s">
        <v>74</v>
      </c>
    </row>
    <row r="51" spans="2:12" ht="19.95" customHeight="1" x14ac:dyDescent="0.3">
      <c r="B51" s="63">
        <f>IFERROR(INDEX(Register!$B$7:$B$46,MATCH(1,Register!$X$7:$X$46,0))&amp;"","")</f>
      </c>
      <c r="C51" s="64"/>
      <c r="D51" s="64"/>
      <c r="E51" s="65">
        <f>IFERROR(INDEX(Register!$H$7:$H$46,MATCH(1,Register!$X$7:$X$46,0))&amp;"","")</f>
      </c>
      <c r="F51" s="66">
        <f>IFERROR(IF(INDEX(Register!$K$7:$K$46,MATCH(1,Register!$X$7:$X$46,0))="","",INDEX(Register!$K$7:$K$46,MATCH(1,Register!$X$7:$X$46,0))),"")</f>
      </c>
      <c r="G51" s="65">
        <f>IFERROR(INDEX(Register!$N$7:$N$46,MATCH(1,Register!$X$7:$X$46,0))&amp;"","")</f>
      </c>
      <c r="H51" s="63">
        <f>IFERROR(INDEX(Register!$Q$7:$Q$46,MATCH(1,Register!$X$7:$X$46,0))&amp;"","")</f>
      </c>
      <c r="I51" s="64"/>
      <c r="J51" s="67">
        <f>IFERROR(IF(INDEX(Register!$R$7:$R$46,MATCH(1,Register!$X$7:$X$46,0))="","",INDEX(Register!$R$7:$R$46,MATCH(1,Register!$X$7:$X$46,0))),"")</f>
      </c>
      <c r="K51" s="65">
        <f>IFERROR(INDEX(Register!$S$7:$S$46,MATCH(1,Register!$X$7:$X$46,0))&amp;"","")</f>
      </c>
      <c r="L51" s="68">
        <f>IFERROR(IF(INDEX(Register!$V$7:$V$46,MATCH(1,Register!$X$7:$X$46,0))="","",INDEX(Register!$V$7:$V$46,MATCH(1,Register!$X$7:$X$46,0))),"")</f>
      </c>
    </row>
    <row r="52" spans="2:12" ht="19.95" customHeight="1" x14ac:dyDescent="0.3">
      <c r="B52" s="63">
        <f>IFERROR(INDEX(Register!$B$7:$B$46,MATCH(2,Register!$X$7:$X$46,0))&amp;"","")</f>
      </c>
      <c r="C52" s="64"/>
      <c r="D52" s="64"/>
      <c r="E52" s="65">
        <f>IFERROR(INDEX(Register!$H$7:$H$46,MATCH(2,Register!$X$7:$X$46,0))&amp;"","")</f>
      </c>
      <c r="F52" s="66">
        <f>IFERROR(IF(INDEX(Register!$K$7:$K$46,MATCH(2,Register!$X$7:$X$46,0))="","",INDEX(Register!$K$7:$K$46,MATCH(2,Register!$X$7:$X$46,0))),"")</f>
      </c>
      <c r="G52" s="65">
        <f>IFERROR(INDEX(Register!$N$7:$N$46,MATCH(2,Register!$X$7:$X$46,0))&amp;"","")</f>
      </c>
      <c r="H52" s="63">
        <f>IFERROR(INDEX(Register!$Q$7:$Q$46,MATCH(2,Register!$X$7:$X$46,0))&amp;"","")</f>
      </c>
      <c r="I52" s="64"/>
      <c r="J52" s="67">
        <f>IFERROR(IF(INDEX(Register!$R$7:$R$46,MATCH(2,Register!$X$7:$X$46,0))="","",INDEX(Register!$R$7:$R$46,MATCH(2,Register!$X$7:$X$46,0))),"")</f>
      </c>
      <c r="K52" s="65">
        <f>IFERROR(INDEX(Register!$S$7:$S$46,MATCH(2,Register!$X$7:$X$46,0))&amp;"","")</f>
      </c>
      <c r="L52" s="68">
        <f>IFERROR(IF(INDEX(Register!$V$7:$V$46,MATCH(2,Register!$X$7:$X$46,0))="","",INDEX(Register!$V$7:$V$46,MATCH(2,Register!$X$7:$X$46,0))),"")</f>
      </c>
    </row>
    <row r="53" spans="2:12" ht="19.95" customHeight="1" x14ac:dyDescent="0.3">
      <c r="B53" s="63">
        <f>IFERROR(INDEX(Register!$B$7:$B$46,MATCH(3,Register!$X$7:$X$46,0))&amp;"","")</f>
      </c>
      <c r="C53" s="64"/>
      <c r="D53" s="64"/>
      <c r="E53" s="65">
        <f>IFERROR(INDEX(Register!$H$7:$H$46,MATCH(3,Register!$X$7:$X$46,0))&amp;"","")</f>
      </c>
      <c r="F53" s="66">
        <f>IFERROR(IF(INDEX(Register!$K$7:$K$46,MATCH(3,Register!$X$7:$X$46,0))="","",INDEX(Register!$K$7:$K$46,MATCH(3,Register!$X$7:$X$46,0))),"")</f>
      </c>
      <c r="G53" s="65">
        <f>IFERROR(INDEX(Register!$N$7:$N$46,MATCH(3,Register!$X$7:$X$46,0))&amp;"","")</f>
      </c>
      <c r="H53" s="63">
        <f>IFERROR(INDEX(Register!$Q$7:$Q$46,MATCH(3,Register!$X$7:$X$46,0))&amp;"","")</f>
      </c>
      <c r="I53" s="64"/>
      <c r="J53" s="67">
        <f>IFERROR(IF(INDEX(Register!$R$7:$R$46,MATCH(3,Register!$X$7:$X$46,0))="","",INDEX(Register!$R$7:$R$46,MATCH(3,Register!$X$7:$X$46,0))),"")</f>
      </c>
      <c r="K53" s="65">
        <f>IFERROR(INDEX(Register!$S$7:$S$46,MATCH(3,Register!$X$7:$X$46,0))&amp;"","")</f>
      </c>
      <c r="L53" s="68">
        <f>IFERROR(IF(INDEX(Register!$V$7:$V$46,MATCH(3,Register!$X$7:$X$46,0))="","",INDEX(Register!$V$7:$V$46,MATCH(3,Register!$X$7:$X$46,0))),"")</f>
      </c>
    </row>
    <row r="54" spans="2:12" ht="19.95" customHeight="1" x14ac:dyDescent="0.3">
      <c r="B54" s="63">
        <f>IFERROR(INDEX(Register!$B$7:$B$46,MATCH(4,Register!$X$7:$X$46,0))&amp;"","")</f>
      </c>
      <c r="C54" s="64"/>
      <c r="D54" s="64"/>
      <c r="E54" s="65">
        <f>IFERROR(INDEX(Register!$H$7:$H$46,MATCH(4,Register!$X$7:$X$46,0))&amp;"","")</f>
      </c>
      <c r="F54" s="66">
        <f>IFERROR(IF(INDEX(Register!$K$7:$K$46,MATCH(4,Register!$X$7:$X$46,0))="","",INDEX(Register!$K$7:$K$46,MATCH(4,Register!$X$7:$X$46,0))),"")</f>
      </c>
      <c r="G54" s="65">
        <f>IFERROR(INDEX(Register!$N$7:$N$46,MATCH(4,Register!$X$7:$X$46,0))&amp;"","")</f>
      </c>
      <c r="H54" s="63">
        <f>IFERROR(INDEX(Register!$Q$7:$Q$46,MATCH(4,Register!$X$7:$X$46,0))&amp;"","")</f>
      </c>
      <c r="I54" s="64"/>
      <c r="J54" s="67">
        <f>IFERROR(IF(INDEX(Register!$R$7:$R$46,MATCH(4,Register!$X$7:$X$46,0))="","",INDEX(Register!$R$7:$R$46,MATCH(4,Register!$X$7:$X$46,0))),"")</f>
      </c>
      <c r="K54" s="65">
        <f>IFERROR(INDEX(Register!$S$7:$S$46,MATCH(4,Register!$X$7:$X$46,0))&amp;"","")</f>
      </c>
      <c r="L54" s="68">
        <f>IFERROR(IF(INDEX(Register!$V$7:$V$46,MATCH(4,Register!$X$7:$X$46,0))="","",INDEX(Register!$V$7:$V$46,MATCH(4,Register!$X$7:$X$46,0))),"")</f>
      </c>
    </row>
    <row r="55" spans="2:12" ht="19.95" customHeight="1" x14ac:dyDescent="0.3">
      <c r="B55" s="63">
        <f>IFERROR(INDEX(Register!$B$7:$B$46,MATCH(5,Register!$X$7:$X$46,0))&amp;"","")</f>
      </c>
      <c r="C55" s="64"/>
      <c r="D55" s="64"/>
      <c r="E55" s="65">
        <f>IFERROR(INDEX(Register!$H$7:$H$46,MATCH(5,Register!$X$7:$X$46,0))&amp;"","")</f>
      </c>
      <c r="F55" s="66">
        <f>IFERROR(IF(INDEX(Register!$K$7:$K$46,MATCH(5,Register!$X$7:$X$46,0))="","",INDEX(Register!$K$7:$K$46,MATCH(5,Register!$X$7:$X$46,0))),"")</f>
      </c>
      <c r="G55" s="65">
        <f>IFERROR(INDEX(Register!$N$7:$N$46,MATCH(5,Register!$X$7:$X$46,0))&amp;"","")</f>
      </c>
      <c r="H55" s="63">
        <f>IFERROR(INDEX(Register!$Q$7:$Q$46,MATCH(5,Register!$X$7:$X$46,0))&amp;"","")</f>
      </c>
      <c r="I55" s="64"/>
      <c r="J55" s="67">
        <f>IFERROR(IF(INDEX(Register!$R$7:$R$46,MATCH(5,Register!$X$7:$X$46,0))="","",INDEX(Register!$R$7:$R$46,MATCH(5,Register!$X$7:$X$46,0))),"")</f>
      </c>
      <c r="K55" s="65">
        <f>IFERROR(INDEX(Register!$S$7:$S$46,MATCH(5,Register!$X$7:$X$46,0))&amp;"","")</f>
      </c>
      <c r="L55" s="68">
        <f>IFERROR(IF(INDEX(Register!$V$7:$V$46,MATCH(5,Register!$X$7:$X$46,0))="","",INDEX(Register!$V$7:$V$46,MATCH(5,Register!$X$7:$X$46,0))),"")</f>
      </c>
    </row>
    <row r="56" spans="2:12" ht="19.95" customHeight="1" x14ac:dyDescent="0.3">
      <c r="B56" s="63">
        <f>IFERROR(INDEX(Register!$B$7:$B$46,MATCH(6,Register!$X$7:$X$46,0))&amp;"","")</f>
      </c>
      <c r="C56" s="64"/>
      <c r="D56" s="64"/>
      <c r="E56" s="65">
        <f>IFERROR(INDEX(Register!$H$7:$H$46,MATCH(6,Register!$X$7:$X$46,0))&amp;"","")</f>
      </c>
      <c r="F56" s="66">
        <f>IFERROR(IF(INDEX(Register!$K$7:$K$46,MATCH(6,Register!$X$7:$X$46,0))="","",INDEX(Register!$K$7:$K$46,MATCH(6,Register!$X$7:$X$46,0))),"")</f>
      </c>
      <c r="G56" s="65">
        <f>IFERROR(INDEX(Register!$N$7:$N$46,MATCH(6,Register!$X$7:$X$46,0))&amp;"","")</f>
      </c>
      <c r="H56" s="63">
        <f>IFERROR(INDEX(Register!$Q$7:$Q$46,MATCH(6,Register!$X$7:$X$46,0))&amp;"","")</f>
      </c>
      <c r="I56" s="64"/>
      <c r="J56" s="67">
        <f>IFERROR(IF(INDEX(Register!$R$7:$R$46,MATCH(6,Register!$X$7:$X$46,0))="","",INDEX(Register!$R$7:$R$46,MATCH(6,Register!$X$7:$X$46,0))),"")</f>
      </c>
      <c r="K56" s="65">
        <f>IFERROR(INDEX(Register!$S$7:$S$46,MATCH(6,Register!$X$7:$X$46,0))&amp;"","")</f>
      </c>
      <c r="L56" s="68">
        <f>IFERROR(IF(INDEX(Register!$V$7:$V$46,MATCH(6,Register!$X$7:$X$46,0))="","",INDEX(Register!$V$7:$V$46,MATCH(6,Register!$X$7:$X$46,0))),"")</f>
      </c>
    </row>
    <row r="57" spans="2:12" ht="19.95" customHeight="1" x14ac:dyDescent="0.3">
      <c r="B57" s="63">
        <f>IFERROR(INDEX(Register!$B$7:$B$46,MATCH(7,Register!$X$7:$X$46,0))&amp;"","")</f>
      </c>
      <c r="C57" s="64"/>
      <c r="D57" s="64"/>
      <c r="E57" s="65">
        <f>IFERROR(INDEX(Register!$H$7:$H$46,MATCH(7,Register!$X$7:$X$46,0))&amp;"","")</f>
      </c>
      <c r="F57" s="66">
        <f>IFERROR(IF(INDEX(Register!$K$7:$K$46,MATCH(7,Register!$X$7:$X$46,0))="","",INDEX(Register!$K$7:$K$46,MATCH(7,Register!$X$7:$X$46,0))),"")</f>
      </c>
      <c r="G57" s="65">
        <f>IFERROR(INDEX(Register!$N$7:$N$46,MATCH(7,Register!$X$7:$X$46,0))&amp;"","")</f>
      </c>
      <c r="H57" s="63">
        <f>IFERROR(INDEX(Register!$Q$7:$Q$46,MATCH(7,Register!$X$7:$X$46,0))&amp;"","")</f>
      </c>
      <c r="I57" s="64"/>
      <c r="J57" s="67">
        <f>IFERROR(IF(INDEX(Register!$R$7:$R$46,MATCH(7,Register!$X$7:$X$46,0))="","",INDEX(Register!$R$7:$R$46,MATCH(7,Register!$X$7:$X$46,0))),"")</f>
      </c>
      <c r="K57" s="65">
        <f>IFERROR(INDEX(Register!$S$7:$S$46,MATCH(7,Register!$X$7:$X$46,0))&amp;"","")</f>
      </c>
      <c r="L57" s="68">
        <f>IFERROR(IF(INDEX(Register!$V$7:$V$46,MATCH(7,Register!$X$7:$X$46,0))="","",INDEX(Register!$V$7:$V$46,MATCH(7,Register!$X$7:$X$46,0))),"")</f>
      </c>
    </row>
    <row r="58" spans="2:12" ht="19.95" customHeight="1" x14ac:dyDescent="0.3">
      <c r="B58" s="63">
        <f>IFERROR(INDEX(Register!$B$7:$B$46,MATCH(8,Register!$X$7:$X$46,0))&amp;"","")</f>
      </c>
      <c r="C58" s="64"/>
      <c r="D58" s="64"/>
      <c r="E58" s="65">
        <f>IFERROR(INDEX(Register!$H$7:$H$46,MATCH(8,Register!$X$7:$X$46,0))&amp;"","")</f>
      </c>
      <c r="F58" s="66">
        <f>IFERROR(IF(INDEX(Register!$K$7:$K$46,MATCH(8,Register!$X$7:$X$46,0))="","",INDEX(Register!$K$7:$K$46,MATCH(8,Register!$X$7:$X$46,0))),"")</f>
      </c>
      <c r="G58" s="65">
        <f>IFERROR(INDEX(Register!$N$7:$N$46,MATCH(8,Register!$X$7:$X$46,0))&amp;"","")</f>
      </c>
      <c r="H58" s="63">
        <f>IFERROR(INDEX(Register!$Q$7:$Q$46,MATCH(8,Register!$X$7:$X$46,0))&amp;"","")</f>
      </c>
      <c r="I58" s="64"/>
      <c r="J58" s="67">
        <f>IFERROR(IF(INDEX(Register!$R$7:$R$46,MATCH(8,Register!$X$7:$X$46,0))="","",INDEX(Register!$R$7:$R$46,MATCH(8,Register!$X$7:$X$46,0))),"")</f>
      </c>
      <c r="K58" s="65">
        <f>IFERROR(INDEX(Register!$S$7:$S$46,MATCH(8,Register!$X$7:$X$46,0))&amp;"","")</f>
      </c>
      <c r="L58" s="68">
        <f>IFERROR(IF(INDEX(Register!$V$7:$V$46,MATCH(8,Register!$X$7:$X$46,0))="","",INDEX(Register!$V$7:$V$46,MATCH(8,Register!$X$7:$X$46,0))),"")</f>
      </c>
    </row>
    <row r="59" spans="2:12" ht="19.95" customHeight="1" x14ac:dyDescent="0.3">
      <c r="B59" s="63">
        <f>IFERROR(INDEX(Register!$B$7:$B$46,MATCH(9,Register!$X$7:$X$46,0))&amp;"","")</f>
      </c>
      <c r="C59" s="64"/>
      <c r="D59" s="64"/>
      <c r="E59" s="65">
        <f>IFERROR(INDEX(Register!$H$7:$H$46,MATCH(9,Register!$X$7:$X$46,0))&amp;"","")</f>
      </c>
      <c r="F59" s="66">
        <f>IFERROR(IF(INDEX(Register!$K$7:$K$46,MATCH(9,Register!$X$7:$X$46,0))="","",INDEX(Register!$K$7:$K$46,MATCH(9,Register!$X$7:$X$46,0))),"")</f>
      </c>
      <c r="G59" s="65">
        <f>IFERROR(INDEX(Register!$N$7:$N$46,MATCH(9,Register!$X$7:$X$46,0))&amp;"","")</f>
      </c>
      <c r="H59" s="63">
        <f>IFERROR(INDEX(Register!$Q$7:$Q$46,MATCH(9,Register!$X$7:$X$46,0))&amp;"","")</f>
      </c>
      <c r="I59" s="64"/>
      <c r="J59" s="67">
        <f>IFERROR(IF(INDEX(Register!$R$7:$R$46,MATCH(9,Register!$X$7:$X$46,0))="","",INDEX(Register!$R$7:$R$46,MATCH(9,Register!$X$7:$X$46,0))),"")</f>
      </c>
      <c r="K59" s="65">
        <f>IFERROR(INDEX(Register!$S$7:$S$46,MATCH(9,Register!$X$7:$X$46,0))&amp;"","")</f>
      </c>
      <c r="L59" s="68">
        <f>IFERROR(IF(INDEX(Register!$V$7:$V$46,MATCH(9,Register!$X$7:$X$46,0))="","",INDEX(Register!$V$7:$V$46,MATCH(9,Register!$X$7:$X$46,0))),"")</f>
      </c>
    </row>
    <row r="60" spans="2:12" ht="19.95" customHeight="1" x14ac:dyDescent="0.3">
      <c r="B60" s="63">
        <f>IFERROR(INDEX(Register!$B$7:$B$46,MATCH(10,Register!$X$7:$X$46,0))&amp;"","")</f>
      </c>
      <c r="C60" s="64"/>
      <c r="D60" s="64"/>
      <c r="E60" s="65">
        <f>IFERROR(INDEX(Register!$H$7:$H$46,MATCH(10,Register!$X$7:$X$46,0))&amp;"","")</f>
      </c>
      <c r="F60" s="66">
        <f>IFERROR(IF(INDEX(Register!$K$7:$K$46,MATCH(10,Register!$X$7:$X$46,0))="","",INDEX(Register!$K$7:$K$46,MATCH(10,Register!$X$7:$X$46,0))),"")</f>
      </c>
      <c r="G60" s="65">
        <f>IFERROR(INDEX(Register!$N$7:$N$46,MATCH(10,Register!$X$7:$X$46,0))&amp;"","")</f>
      </c>
      <c r="H60" s="63">
        <f>IFERROR(INDEX(Register!$Q$7:$Q$46,MATCH(10,Register!$X$7:$X$46,0))&amp;"","")</f>
      </c>
      <c r="I60" s="64"/>
      <c r="J60" s="67">
        <f>IFERROR(IF(INDEX(Register!$R$7:$R$46,MATCH(10,Register!$X$7:$X$46,0))="","",INDEX(Register!$R$7:$R$46,MATCH(10,Register!$X$7:$X$46,0))),"")</f>
      </c>
      <c r="K60" s="65">
        <f>IFERROR(INDEX(Register!$S$7:$S$46,MATCH(10,Register!$X$7:$X$46,0))&amp;"","")</f>
      </c>
      <c r="L60" s="68">
        <f>IFERROR(IF(INDEX(Register!$V$7:$V$46,MATCH(10,Register!$X$7:$X$46,0))="","",INDEX(Register!$V$7:$V$46,MATCH(10,Register!$X$7:$X$46,0))),"")</f>
      </c>
    </row>
    <row r="62" spans="2:12" x14ac:dyDescent="0.3">
      <c r="B62" s="69" t="s">
        <v>75</v>
      </c>
    </row>
  </sheetData>
  <sheetProtection sheet="1" formatCells="0" formatColumns="0" formatRows="0" insertColumns="0" insertRows="0" insertHyperlinks="0" deleteColumns="0" deleteRows="0" sort="0" autoFilter="0" pivotTables="0"/>
  <mergeCells count="42">
    <mergeCell ref="B59:D59"/>
    <mergeCell ref="H6:I7"/>
    <mergeCell ref="B5:C5"/>
    <mergeCell ref="J6:K7"/>
    <mergeCell ref="D5:E5"/>
    <mergeCell ref="B56:D56"/>
    <mergeCell ref="B58:D58"/>
    <mergeCell ref="H5:I5"/>
    <mergeCell ref="B52:D52"/>
    <mergeCell ref="H8:I8"/>
    <mergeCell ref="J8:K8"/>
    <mergeCell ref="D6:E7"/>
    <mergeCell ref="H57:I57"/>
    <mergeCell ref="F6:G7"/>
    <mergeCell ref="B54:D54"/>
    <mergeCell ref="D8:E8"/>
    <mergeCell ref="K2:M2"/>
    <mergeCell ref="H59:I59"/>
    <mergeCell ref="L6:M7"/>
    <mergeCell ref="F5:G5"/>
    <mergeCell ref="H60:I60"/>
    <mergeCell ref="H51:I51"/>
    <mergeCell ref="L5:M5"/>
    <mergeCell ref="L8:M8"/>
    <mergeCell ref="H52:I52"/>
    <mergeCell ref="F8:G8"/>
    <mergeCell ref="H53:I53"/>
    <mergeCell ref="B60:D60"/>
    <mergeCell ref="B11:M11"/>
    <mergeCell ref="J5:K5"/>
    <mergeCell ref="B57:D57"/>
    <mergeCell ref="H54:I54"/>
    <mergeCell ref="B6:C7"/>
    <mergeCell ref="B53:D53"/>
    <mergeCell ref="H50:I50"/>
    <mergeCell ref="H55:I55"/>
    <mergeCell ref="H58:I58"/>
    <mergeCell ref="H56:I56"/>
    <mergeCell ref="B8:C8"/>
    <mergeCell ref="B55:D55"/>
    <mergeCell ref="B51:D51"/>
    <mergeCell ref="B50:D50"/>
  </mergeCells>
  <conditionalFormatting sqref="E51:E60">
    <cfRule type="cellIs" dxfId="16" priority="5" operator="equal">
      <formula>"Epistemic"</formula>
    </cfRule>
    <cfRule type="cellIs" dxfId="15" priority="6" operator="equal">
      <formula>"Aleatory"</formula>
    </cfRule>
  </conditionalFormatting>
  <conditionalFormatting sqref="H51:I60">
    <cfRule type="expression" dxfId="14" priority="4">
      <formula>AND($B51&lt;&gt;"",$H51="")</formula>
    </cfRule>
  </conditionalFormatting>
  <conditionalFormatting sqref="L6">
    <cfRule type="expression" dxfId="12" priority="1">
      <formula>L6&gt;0</formula>
    </cfRule>
  </conditionalFormatting>
  <conditionalFormatting sqref="M51:M60">
    <cfRule type="cellIs" dxfId="11" priority="3" operator="greaterThan">
      <formula>0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AND(ISNUMBER(J6),J6&lt;Register!$E$50)</xm:f>
            <x14:dxf>
              <font>
                <b/>
                <sz val="22"/>
                <color rgb="FFB45309"/>
                <name val="Arial"/>
              </font>
            </x14:dxf>
          </x14:cfRule>
          <xm:sqref>J6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34"/>
  <sheetViews>
    <sheetView showGridLines="0" workbookViewId="0"/>
  </sheetViews>
  <sheetFormatPr defaultRowHeight="14.4" x14ac:dyDescent="0.3"/>
  <cols>
    <col min="1" max="1" width="32" style="2" customWidth="1"/>
    <col min="2" max="2" width="30" style="2" customWidth="1"/>
    <col min="3" max="3" width="4" style="2" customWidth="1"/>
    <col min="4" max="4" width="30" style="2" customWidth="1"/>
    <col min="5" max="16384" width="8.88671875" style="2"/>
  </cols>
  <sheetData>
    <row r="1" spans="1:4" ht="28.05" customHeight="1" x14ac:dyDescent="0.4">
      <c r="A1" s="70" t="s">
        <v>37</v>
      </c>
      <c r="D1" s="107" t="s">
        <v>50</v>
      </c>
    </row>
    <row r="2" spans="1:4" x14ac:dyDescent="0.3">
      <c r="A2" s="71" t="s">
        <v>76</v>
      </c>
    </row>
    <row r="3" spans="1:4" x14ac:dyDescent="0.3">
      <c r="A3" s="72" t="s">
        <v>77</v>
      </c>
    </row>
    <row r="4" spans="1:4" x14ac:dyDescent="0.3">
      <c r="A4" s="73"/>
      <c r="B4" s="73"/>
      <c r="C4" s="73"/>
      <c r="D4" s="73"/>
    </row>
    <row r="6" spans="1:4" x14ac:dyDescent="0.3">
      <c r="A6" s="74" t="s">
        <v>78</v>
      </c>
      <c r="B6" s="75"/>
    </row>
    <row r="7" spans="1:4" x14ac:dyDescent="0.3">
      <c r="A7" s="74" t="s">
        <v>80</v>
      </c>
      <c r="B7" s="76"/>
    </row>
    <row r="8" spans="1:4" x14ac:dyDescent="0.3">
      <c r="A8" s="74" t="s">
        <v>81</v>
      </c>
      <c r="B8" s="77"/>
    </row>
    <row r="9" spans="1:4" x14ac:dyDescent="0.3">
      <c r="A9" s="74" t="s">
        <v>82</v>
      </c>
      <c r="B9" s="78"/>
      <c r="D9" s="28" t="s">
        <v>83</v>
      </c>
    </row>
    <row r="10" spans="1:4" x14ac:dyDescent="0.3">
      <c r="A10" s="74" t="s">
        <v>84</v>
      </c>
      <c r="B10" s="75"/>
    </row>
    <row r="14" spans="1:4" x14ac:dyDescent="0.3">
      <c r="A14" s="79" t="s">
        <v>86</v>
      </c>
      <c r="D14" s="79" t="s">
        <v>87</v>
      </c>
    </row>
    <row r="15" spans="1:4" x14ac:dyDescent="0.3">
      <c r="B15" s="75"/>
      <c r="D15" s="75"/>
    </row>
    <row r="16" spans="1:4" x14ac:dyDescent="0.3">
      <c r="B16" s="75"/>
      <c r="D16" s="75"/>
    </row>
    <row r="17" spans="2:4" x14ac:dyDescent="0.3">
      <c r="B17" s="75"/>
      <c r="D17" s="75"/>
    </row>
    <row r="18" spans="2:4" x14ac:dyDescent="0.3">
      <c r="B18" s="75"/>
      <c r="D18" s="75"/>
    </row>
    <row r="19" spans="2:4" x14ac:dyDescent="0.3">
      <c r="B19" s="75"/>
      <c r="D19" s="75"/>
    </row>
    <row r="20" spans="2:4" x14ac:dyDescent="0.3">
      <c r="B20" s="75"/>
      <c r="D20" s="75"/>
    </row>
    <row r="21" spans="2:4" x14ac:dyDescent="0.3">
      <c r="B21" s="75"/>
      <c r="D21" s="75"/>
    </row>
    <row r="22" spans="2:4" x14ac:dyDescent="0.3">
      <c r="B22" s="75"/>
      <c r="D22" s="75"/>
    </row>
    <row r="23" spans="2:4" x14ac:dyDescent="0.3">
      <c r="B23" s="75"/>
      <c r="D23" s="75"/>
    </row>
    <row r="24" spans="2:4" x14ac:dyDescent="0.3">
      <c r="B24" s="75"/>
      <c r="D24" s="75"/>
    </row>
    <row r="25" spans="2:4" x14ac:dyDescent="0.3">
      <c r="B25" s="75"/>
      <c r="D25" s="75"/>
    </row>
    <row r="26" spans="2:4" x14ac:dyDescent="0.3">
      <c r="B26" s="75"/>
      <c r="D26" s="75"/>
    </row>
    <row r="27" spans="2:4" x14ac:dyDescent="0.3">
      <c r="B27" s="75"/>
      <c r="D27" s="75"/>
    </row>
    <row r="28" spans="2:4" x14ac:dyDescent="0.3">
      <c r="B28" s="75"/>
      <c r="D28" s="75"/>
    </row>
    <row r="29" spans="2:4" x14ac:dyDescent="0.3">
      <c r="B29" s="75"/>
      <c r="D29" s="75"/>
    </row>
    <row r="30" spans="2:4" x14ac:dyDescent="0.3">
      <c r="B30" s="75"/>
    </row>
    <row r="31" spans="2:4" x14ac:dyDescent="0.3">
      <c r="B31" s="75"/>
    </row>
    <row r="32" spans="2:4" x14ac:dyDescent="0.3">
      <c r="B32" s="75"/>
    </row>
    <row r="33" spans="2:2" x14ac:dyDescent="0.3">
      <c r="B33" s="75"/>
    </row>
    <row r="34" spans="2:2" x14ac:dyDescent="0.3">
      <c r="B34" s="75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97316"/>
    <pageSetUpPr fitToPage="1"/>
  </sheetPr>
  <dimension ref="A1:Y62"/>
  <sheetViews>
    <sheetView showGridLines="0" workbookViewId="0">
      <pane xSplit="2" ySplit="6" topLeftCell="C15" activePane="bottomRight" state="frozen"/>
      <selection pane="topRight"/>
      <selection pane="bottomLeft"/>
      <selection pane="bottomRight" activeCell="V2" sqref="V2"/>
    </sheetView>
  </sheetViews>
  <sheetFormatPr defaultRowHeight="14.4" x14ac:dyDescent="0.3"/>
  <cols>
    <col min="1" max="1" width="6" style="2" customWidth="1"/>
    <col min="2" max="2" width="24" style="2" customWidth="1"/>
    <col min="3" max="5" width="30" style="2" customWidth="1"/>
    <col min="6" max="6" width="13" style="2" customWidth="1"/>
    <col min="7" max="7" width="12" style="2" customWidth="1"/>
    <col min="8" max="10" width="11" style="2" customWidth="1"/>
    <col min="11" max="11" width="13" style="2" customWidth="1"/>
    <col min="12" max="12" width="12" style="2" customWidth="1"/>
    <col min="13" max="13" width="15" style="2" customWidth="1"/>
    <col min="14" max="14" width="12" style="2" customWidth="1"/>
    <col min="15" max="15" width="28" style="2" customWidth="1"/>
    <col min="16" max="16" width="12" style="2" customWidth="1"/>
    <col min="17" max="17" width="15" style="2" customWidth="1"/>
    <col min="18" max="18" width="10" style="2" customWidth="1"/>
    <col min="19" max="19" width="12" style="2" customWidth="1"/>
    <col min="20" max="20" width="26" style="2" customWidth="1"/>
    <col min="21" max="21" width="10" style="2" customWidth="1"/>
    <col min="22" max="22" width="9" style="2" customWidth="1"/>
    <col min="23" max="23" width="26" style="2" customWidth="1"/>
    <col min="24" max="25" width="3" style="2" customWidth="1"/>
    <col min="26" max="16384" width="8.88671875" style="2"/>
  </cols>
  <sheetData>
    <row r="1" spans="1:25" ht="28.05" customHeight="1" x14ac:dyDescent="0.4">
      <c r="A1" s="70" t="s">
        <v>0</v>
      </c>
      <c r="W1" s="107" t="s">
        <v>50</v>
      </c>
    </row>
    <row r="2" spans="1:25" x14ac:dyDescent="0.3">
      <c r="A2" s="71" t="s">
        <v>104</v>
      </c>
    </row>
    <row r="3" spans="1:25" x14ac:dyDescent="0.3">
      <c r="A3" s="72" t="s">
        <v>105</v>
      </c>
    </row>
    <row r="4" spans="1:25" x14ac:dyDescent="0.3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</row>
    <row r="6" spans="1:25" ht="31.95" customHeight="1" x14ac:dyDescent="0.3">
      <c r="A6" s="81" t="s">
        <v>106</v>
      </c>
      <c r="B6" s="81" t="s">
        <v>63</v>
      </c>
      <c r="C6" s="82" t="s">
        <v>107</v>
      </c>
      <c r="D6" s="82" t="s">
        <v>108</v>
      </c>
      <c r="E6" s="82" t="s">
        <v>109</v>
      </c>
      <c r="F6" s="81" t="s">
        <v>110</v>
      </c>
      <c r="G6" s="81" t="s">
        <v>111</v>
      </c>
      <c r="H6" s="81" t="s">
        <v>68</v>
      </c>
      <c r="I6" s="83" t="s">
        <v>112</v>
      </c>
      <c r="J6" s="83" t="s">
        <v>113</v>
      </c>
      <c r="K6" s="83" t="s">
        <v>114</v>
      </c>
      <c r="L6" s="83" t="s">
        <v>115</v>
      </c>
      <c r="M6" s="83" t="s">
        <v>116</v>
      </c>
      <c r="N6" s="81" t="s">
        <v>70</v>
      </c>
      <c r="O6" s="84" t="s">
        <v>117</v>
      </c>
      <c r="P6" s="84" t="s">
        <v>118</v>
      </c>
      <c r="Q6" s="81" t="s">
        <v>71</v>
      </c>
      <c r="R6" s="81" t="s">
        <v>72</v>
      </c>
      <c r="S6" s="84" t="s">
        <v>73</v>
      </c>
      <c r="T6" s="84" t="s">
        <v>119</v>
      </c>
      <c r="U6" s="84" t="s">
        <v>120</v>
      </c>
      <c r="V6" s="84" t="s">
        <v>121</v>
      </c>
      <c r="W6" s="81" t="s">
        <v>122</v>
      </c>
      <c r="X6" s="81" t="s">
        <v>123</v>
      </c>
      <c r="Y6" s="81" t="s">
        <v>124</v>
      </c>
    </row>
    <row r="7" spans="1:25" ht="39.6" x14ac:dyDescent="0.3">
      <c r="A7" s="85" t="s">
        <v>125</v>
      </c>
      <c r="B7" s="86"/>
      <c r="C7" s="86"/>
      <c r="D7" s="86"/>
      <c r="E7" s="86"/>
      <c r="F7" s="87">
        <f t="shared" ref="F7:F46" si="0">IF(B7="","",IF(AND(C7&lt;&gt;"",D7&lt;&gt;"",E7&lt;&gt;""),"✔ complete","Missing "&amp;MID(IF(C7="",", cause","")&amp;IF(D7="",", event","")&amp;IF(E7="",", effect",""),3,40)))</f>
      </c>
      <c r="G7" s="75"/>
      <c r="H7" s="88"/>
      <c r="I7" s="89"/>
      <c r="J7" s="78"/>
      <c r="K7" s="90">
        <f>IF(AND(ISNUMBER(I7),ISNUMBER(J7)),I7*J7,"")</f>
      </c>
      <c r="L7" s="78"/>
      <c r="M7" s="91">
        <f t="shared" ref="M7:M46" si="1">IF(OR(H7&lt;&gt;"Epistemic",L7="",K7=""),"",IF(L7=0,"Free: ask",K7/L7))</f>
      </c>
      <c r="N7" s="75"/>
      <c r="O7" s="86"/>
      <c r="P7" s="78"/>
      <c r="Q7" s="75"/>
      <c r="R7" s="92"/>
      <c r="S7" s="88"/>
      <c r="T7" s="86"/>
      <c r="U7" s="88"/>
      <c r="V7" s="93">
        <f>IF(OR(B7="",R7="",S7="Done",U7="Closed"),"",IF(Setup!$B$8&gt;R7,Setup!$B$8-R7,""))</f>
      </c>
      <c r="W7" s="86"/>
      <c r="X7" s="94">
        <f>IF(AND(ISNUMBER(K7),U7&lt;&gt;"Closed"),RANK(K7,$K$7:$K$46)+COUNTIF($K$7:K7,K7)-1,"")</f>
      </c>
      <c r="Y7" s="94">
        <f>IF(AND(H7="Epistemic",U7&lt;&gt;"Closed"),COUNTIF($H$7:H7,"Epistemic"),"")</f>
      </c>
    </row>
    <row r="8" spans="1:25" ht="26.4" x14ac:dyDescent="0.3">
      <c r="A8" s="85" t="s">
        <v>135</v>
      </c>
      <c r="B8" s="86"/>
      <c r="C8" s="86"/>
      <c r="D8" s="86"/>
      <c r="E8" s="86"/>
      <c r="F8" s="87">
        <f t="shared" si="0"/>
      </c>
      <c r="G8" s="75"/>
      <c r="H8" s="88"/>
      <c r="I8" s="89"/>
      <c r="J8" s="78"/>
      <c r="K8" s="90">
        <f>IF(AND(ISNUMBER(I8),ISNUMBER(J8)),I8*J8,"")</f>
      </c>
      <c r="L8" s="78"/>
      <c r="M8" s="91">
        <f t="shared" si="1"/>
      </c>
      <c r="N8" s="75"/>
      <c r="O8" s="86"/>
      <c r="P8" s="78"/>
      <c r="Q8" s="75"/>
      <c r="R8" s="92"/>
      <c r="S8" s="88"/>
      <c r="T8" s="86"/>
      <c r="U8" s="88"/>
      <c r="V8" s="93">
        <f>IF(OR(B8="",R8="",S8="Done",U8="Closed"),"",IF(Setup!$B$8&gt;R8,Setup!$B$8-R8,""))</f>
      </c>
      <c r="W8" s="86"/>
      <c r="X8" s="94">
        <f>IF(AND(ISNUMBER(K8),U8&lt;&gt;"Closed"),RANK(K8,$K$7:$K$46)+COUNTIF($K$7:K8,K8)-1,"")</f>
      </c>
      <c r="Y8" s="94">
        <f>IF(AND(H8="Epistemic",U8&lt;&gt;"Closed"),COUNTIF($H$7:H8,"Epistemic"),"")</f>
      </c>
    </row>
    <row r="9" spans="1:25" ht="39.6" x14ac:dyDescent="0.3">
      <c r="A9" s="85" t="s">
        <v>143</v>
      </c>
      <c r="B9" s="86"/>
      <c r="C9" s="86"/>
      <c r="D9" s="86"/>
      <c r="E9" s="86"/>
      <c r="F9" s="87">
        <f t="shared" si="0"/>
      </c>
      <c r="G9" s="75"/>
      <c r="H9" s="88"/>
      <c r="I9" s="89"/>
      <c r="J9" s="78"/>
      <c r="K9" s="90">
        <f>IF(AND(ISNUMBER(I9),ISNUMBER(J9)),I9*J9,"")</f>
      </c>
      <c r="L9" s="78"/>
      <c r="M9" s="91">
        <f t="shared" si="1"/>
      </c>
      <c r="N9" s="75"/>
      <c r="O9" s="86"/>
      <c r="P9" s="78"/>
      <c r="Q9" s="75"/>
      <c r="R9" s="92"/>
      <c r="S9" s="88"/>
      <c r="T9" s="86"/>
      <c r="U9" s="88"/>
      <c r="V9" s="93">
        <f>IF(OR(B9="",R9="",S9="Done",U9="Closed"),"",IF(Setup!$B$8&gt;R9,Setup!$B$8-R9,""))</f>
      </c>
      <c r="W9" s="86"/>
      <c r="X9" s="94">
        <f>IF(AND(ISNUMBER(K9),U9&lt;&gt;"Closed"),RANK(K9,$K$7:$K$46)+COUNTIF($K$7:K9,K9)-1,"")</f>
      </c>
      <c r="Y9" s="94">
        <f>IF(AND(H9="Epistemic",U9&lt;&gt;"Closed"),COUNTIF($H$7:H9,"Epistemic"),"")</f>
      </c>
    </row>
    <row r="10" spans="1:25" ht="26.4" x14ac:dyDescent="0.3">
      <c r="A10" s="85" t="s">
        <v>151</v>
      </c>
      <c r="B10" s="86"/>
      <c r="C10" s="86"/>
      <c r="D10" s="86"/>
      <c r="E10" s="86"/>
      <c r="F10" s="87">
        <f t="shared" si="0"/>
      </c>
      <c r="G10" s="75"/>
      <c r="H10" s="88"/>
      <c r="I10" s="89"/>
      <c r="J10" s="78"/>
      <c r="K10" s="90">
        <f>IF(AND(ISNUMBER(I10),ISNUMBER(J10)),I10*J10,"")</f>
      </c>
      <c r="L10" s="78"/>
      <c r="M10" s="91">
        <f t="shared" si="1"/>
      </c>
      <c r="N10" s="75"/>
      <c r="O10" s="86"/>
      <c r="P10" s="78"/>
      <c r="Q10" s="75"/>
      <c r="R10" s="92"/>
      <c r="S10" s="88"/>
      <c r="T10" s="86"/>
      <c r="U10" s="88"/>
      <c r="V10" s="93">
        <f>IF(OR(B10="",R10="",S10="Done",U10="Closed"),"",IF(Setup!$B$8&gt;R10,Setup!$B$8-R10,""))</f>
      </c>
      <c r="W10" s="86"/>
      <c r="X10" s="94">
        <f>IF(AND(ISNUMBER(K10),U10&lt;&gt;"Closed"),RANK(K10,$K$7:$K$46)+COUNTIF($K$7:K10,K10)-1,"")</f>
      </c>
      <c r="Y10" s="94">
        <f>IF(AND(H10="Epistemic",U10&lt;&gt;"Closed"),COUNTIF($H$7:H10,"Epistemic"),"")</f>
      </c>
    </row>
    <row r="11" spans="1:25" ht="26.4" x14ac:dyDescent="0.3">
      <c r="A11" s="85" t="s">
        <v>160</v>
      </c>
      <c r="B11" s="86"/>
      <c r="C11" s="86"/>
      <c r="D11" s="86"/>
      <c r="E11" s="86"/>
      <c r="F11" s="87">
        <f t="shared" si="0"/>
      </c>
      <c r="G11" s="75"/>
      <c r="H11" s="88"/>
      <c r="I11" s="89"/>
      <c r="J11" s="78"/>
      <c r="K11" s="90">
        <f>IF(AND(ISNUMBER(I11),ISNUMBER(J11)),I11*J11,"")</f>
      </c>
      <c r="L11" s="78"/>
      <c r="M11" s="91">
        <f t="shared" si="1"/>
      </c>
      <c r="N11" s="75"/>
      <c r="O11" s="86"/>
      <c r="P11" s="78"/>
      <c r="Q11" s="75"/>
      <c r="R11" s="92"/>
      <c r="S11" s="88"/>
      <c r="T11" s="86"/>
      <c r="U11" s="88"/>
      <c r="V11" s="93">
        <f>IF(OR(B11="",R11="",S11="Done",U11="Closed"),"",IF(Setup!$B$8&gt;R11,Setup!$B$8-R11,""))</f>
      </c>
      <c r="W11" s="86"/>
      <c r="X11" s="94">
        <f>IF(AND(ISNUMBER(K11),U11&lt;&gt;"Closed"),RANK(K11,$K$7:$K$46)+COUNTIF($K$7:K11,K11)-1,"")</f>
      </c>
      <c r="Y11" s="94">
        <f>IF(AND(H11="Epistemic",U11&lt;&gt;"Closed"),COUNTIF($H$7:H11,"Epistemic"),"")</f>
      </c>
    </row>
    <row r="12" spans="1:25" ht="26.4" x14ac:dyDescent="0.3">
      <c r="A12" s="85" t="s">
        <v>167</v>
      </c>
      <c r="B12" s="86"/>
      <c r="C12" s="86"/>
      <c r="D12" s="86"/>
      <c r="E12" s="86"/>
      <c r="F12" s="87">
        <f t="shared" si="0"/>
      </c>
      <c r="G12" s="75"/>
      <c r="H12" s="88"/>
      <c r="I12" s="89"/>
      <c r="J12" s="78"/>
      <c r="K12" s="90">
        <f>IF(AND(ISNUMBER(I12),ISNUMBER(J12)),I12*J12,"")</f>
      </c>
      <c r="L12" s="78"/>
      <c r="M12" s="91">
        <f t="shared" si="1"/>
      </c>
      <c r="N12" s="75"/>
      <c r="O12" s="86"/>
      <c r="P12" s="78"/>
      <c r="Q12" s="75"/>
      <c r="R12" s="92"/>
      <c r="S12" s="88"/>
      <c r="T12" s="86"/>
      <c r="U12" s="88"/>
      <c r="V12" s="93">
        <f>IF(OR(B12="",R12="",S12="Done",U12="Closed"),"",IF(Setup!$B$8&gt;R12,Setup!$B$8-R12,""))</f>
      </c>
      <c r="W12" s="86"/>
      <c r="X12" s="94">
        <f>IF(AND(ISNUMBER(K12),U12&lt;&gt;"Closed"),RANK(K12,$K$7:$K$46)+COUNTIF($K$7:K12,K12)-1,"")</f>
      </c>
      <c r="Y12" s="94">
        <f>IF(AND(H12="Epistemic",U12&lt;&gt;"Closed"),COUNTIF($H$7:H12,"Epistemic"),"")</f>
      </c>
    </row>
    <row r="13" spans="1:25" ht="26.4" x14ac:dyDescent="0.3">
      <c r="A13" s="85" t="s">
        <v>174</v>
      </c>
      <c r="B13" s="86"/>
      <c r="C13" s="86"/>
      <c r="D13" s="86"/>
      <c r="E13" s="86"/>
      <c r="F13" s="87">
        <f t="shared" si="0"/>
      </c>
      <c r="G13" s="75"/>
      <c r="H13" s="88"/>
      <c r="I13" s="89"/>
      <c r="J13" s="78"/>
      <c r="K13" s="90">
        <f>IF(AND(ISNUMBER(I13),ISNUMBER(J13)),I13*J13,"")</f>
      </c>
      <c r="L13" s="78"/>
      <c r="M13" s="91">
        <f t="shared" si="1"/>
      </c>
      <c r="N13" s="75"/>
      <c r="O13" s="86"/>
      <c r="P13" s="78"/>
      <c r="Q13" s="75"/>
      <c r="R13" s="92"/>
      <c r="S13" s="88"/>
      <c r="T13" s="86"/>
      <c r="U13" s="88"/>
      <c r="V13" s="93">
        <f>IF(OR(B13="",R13="",S13="Done",U13="Closed"),"",IF(Setup!$B$8&gt;R13,Setup!$B$8-R13,""))</f>
      </c>
      <c r="W13" s="86"/>
      <c r="X13" s="94">
        <f>IF(AND(ISNUMBER(K13),U13&lt;&gt;"Closed"),RANK(K13,$K$7:$K$46)+COUNTIF($K$7:K13,K13)-1,"")</f>
      </c>
      <c r="Y13" s="94">
        <f>IF(AND(H13="Epistemic",U13&lt;&gt;"Closed"),COUNTIF($H$7:H13,"Epistemic"),"")</f>
      </c>
    </row>
    <row r="14" spans="1:25" ht="26.4" x14ac:dyDescent="0.3">
      <c r="A14" s="85" t="s">
        <v>181</v>
      </c>
      <c r="B14" s="86"/>
      <c r="C14" s="86"/>
      <c r="D14" s="86"/>
      <c r="E14" s="86"/>
      <c r="F14" s="87">
        <f t="shared" si="0"/>
      </c>
      <c r="G14" s="75"/>
      <c r="H14" s="88"/>
      <c r="I14" s="89"/>
      <c r="J14" s="78"/>
      <c r="K14" s="90">
        <f>IF(AND(ISNUMBER(I14),ISNUMBER(J14)),I14*J14,"")</f>
      </c>
      <c r="L14" s="78"/>
      <c r="M14" s="91">
        <f t="shared" si="1"/>
      </c>
      <c r="N14" s="75"/>
      <c r="O14" s="86"/>
      <c r="P14" s="78"/>
      <c r="Q14" s="75"/>
      <c r="R14" s="92"/>
      <c r="S14" s="88"/>
      <c r="T14" s="86"/>
      <c r="U14" s="88"/>
      <c r="V14" s="93">
        <f>IF(OR(B14="",R14="",S14="Done",U14="Closed"),"",IF(Setup!$B$8&gt;R14,Setup!$B$8-R14,""))</f>
      </c>
      <c r="W14" s="86"/>
      <c r="X14" s="94">
        <f>IF(AND(ISNUMBER(K14),U14&lt;&gt;"Closed"),RANK(K14,$K$7:$K$46)+COUNTIF($K$7:K14,K14)-1,"")</f>
      </c>
      <c r="Y14" s="94">
        <f>IF(AND(H14="Epistemic",U14&lt;&gt;"Closed"),COUNTIF($H$7:H14,"Epistemic"),"")</f>
      </c>
    </row>
    <row r="15" spans="1:25" ht="26.4" x14ac:dyDescent="0.3">
      <c r="A15" s="85" t="s">
        <v>188</v>
      </c>
      <c r="B15" s="86"/>
      <c r="C15" s="86"/>
      <c r="D15" s="86"/>
      <c r="E15" s="86"/>
      <c r="F15" s="87">
        <f t="shared" si="0"/>
      </c>
      <c r="G15" s="75"/>
      <c r="H15" s="88"/>
      <c r="I15" s="89"/>
      <c r="J15" s="78"/>
      <c r="K15" s="90">
        <f>IF(AND(ISNUMBER(I15),ISNUMBER(J15)),I15*J15,"")</f>
      </c>
      <c r="L15" s="78"/>
      <c r="M15" s="91">
        <f t="shared" si="1"/>
      </c>
      <c r="N15" s="75"/>
      <c r="O15" s="86"/>
      <c r="P15" s="78"/>
      <c r="Q15" s="75"/>
      <c r="R15" s="92"/>
      <c r="S15" s="88"/>
      <c r="T15" s="86"/>
      <c r="U15" s="88"/>
      <c r="V15" s="93">
        <f>IF(OR(B15="",R15="",S15="Done",U15="Closed"),"",IF(Setup!$B$8&gt;R15,Setup!$B$8-R15,""))</f>
      </c>
      <c r="W15" s="86"/>
      <c r="X15" s="94">
        <f>IF(AND(ISNUMBER(K15),U15&lt;&gt;"Closed"),RANK(K15,$K$7:$K$46)+COUNTIF($K$7:K15,K15)-1,"")</f>
      </c>
      <c r="Y15" s="94">
        <f>IF(AND(H15="Epistemic",U15&lt;&gt;"Closed"),COUNTIF($H$7:H15,"Epistemic"),"")</f>
      </c>
    </row>
    <row r="16" spans="1:25" ht="26.4" x14ac:dyDescent="0.3">
      <c r="A16" s="85" t="s">
        <v>192</v>
      </c>
      <c r="B16" s="86"/>
      <c r="C16" s="86"/>
      <c r="D16" s="86"/>
      <c r="E16" s="86"/>
      <c r="F16" s="87">
        <f t="shared" si="0"/>
      </c>
      <c r="G16" s="75"/>
      <c r="H16" s="88"/>
      <c r="I16" s="89"/>
      <c r="J16" s="78"/>
      <c r="K16" s="90">
        <f>IF(AND(ISNUMBER(I16),ISNUMBER(J16)),I16*J16,"")</f>
      </c>
      <c r="L16" s="78"/>
      <c r="M16" s="91">
        <f t="shared" si="1"/>
      </c>
      <c r="N16" s="75"/>
      <c r="O16" s="86"/>
      <c r="P16" s="78"/>
      <c r="Q16" s="75"/>
      <c r="R16" s="92"/>
      <c r="S16" s="88"/>
      <c r="T16" s="86"/>
      <c r="U16" s="88"/>
      <c r="V16" s="93">
        <f>IF(OR(B16="",R16="",S16="Done",U16="Closed"),"",IF(Setup!$B$8&gt;R16,Setup!$B$8-R16,""))</f>
      </c>
      <c r="W16" s="86"/>
      <c r="X16" s="94">
        <f>IF(AND(ISNUMBER(K16),U16&lt;&gt;"Closed"),RANK(K16,$K$7:$K$46)+COUNTIF($K$7:K16,K16)-1,"")</f>
      </c>
      <c r="Y16" s="94">
        <f>IF(AND(H16="Epistemic",U16&lt;&gt;"Closed"),COUNTIF($H$7:H16,"Epistemic"),"")</f>
      </c>
    </row>
    <row r="17" spans="1:25" ht="26.4" x14ac:dyDescent="0.3">
      <c r="A17" s="85" t="s">
        <v>199</v>
      </c>
      <c r="B17" s="86"/>
      <c r="C17" s="86"/>
      <c r="D17" s="86"/>
      <c r="E17" s="86"/>
      <c r="F17" s="87">
        <f t="shared" si="0"/>
      </c>
      <c r="G17" s="75"/>
      <c r="H17" s="88"/>
      <c r="I17" s="89"/>
      <c r="J17" s="78"/>
      <c r="K17" s="90">
        <f>IF(AND(ISNUMBER(I17),ISNUMBER(J17)),I17*J17,"")</f>
      </c>
      <c r="L17" s="78"/>
      <c r="M17" s="91">
        <f t="shared" si="1"/>
      </c>
      <c r="N17" s="75"/>
      <c r="O17" s="86"/>
      <c r="P17" s="78"/>
      <c r="Q17" s="75"/>
      <c r="R17" s="92"/>
      <c r="S17" s="88"/>
      <c r="T17" s="86"/>
      <c r="U17" s="88"/>
      <c r="V17" s="93">
        <f>IF(OR(B17="",R17="",S17="Done",U17="Closed"),"",IF(Setup!$B$8&gt;R17,Setup!$B$8-R17,""))</f>
      </c>
      <c r="W17" s="86"/>
      <c r="X17" s="94">
        <f>IF(AND(ISNUMBER(K17),U17&lt;&gt;"Closed"),RANK(K17,$K$7:$K$46)+COUNTIF($K$7:K17,K17)-1,"")</f>
      </c>
      <c r="Y17" s="94">
        <f>IF(AND(H17="Epistemic",U17&lt;&gt;"Closed"),COUNTIF($H$7:H17,"Epistemic"),"")</f>
      </c>
    </row>
    <row r="18" spans="1:25" ht="26.4" x14ac:dyDescent="0.3">
      <c r="A18" s="85" t="s">
        <v>205</v>
      </c>
      <c r="B18" s="86"/>
      <c r="C18" s="86"/>
      <c r="D18" s="86"/>
      <c r="E18" s="86"/>
      <c r="F18" s="87">
        <f t="shared" si="0"/>
      </c>
      <c r="G18" s="75"/>
      <c r="H18" s="88"/>
      <c r="I18" s="89"/>
      <c r="J18" s="78"/>
      <c r="K18" s="90">
        <f>IF(AND(ISNUMBER(I18),ISNUMBER(J18)),I18*J18,"")</f>
      </c>
      <c r="L18" s="78"/>
      <c r="M18" s="91">
        <f t="shared" si="1"/>
      </c>
      <c r="N18" s="75"/>
      <c r="O18" s="86"/>
      <c r="P18" s="78"/>
      <c r="Q18" s="75"/>
      <c r="R18" s="92"/>
      <c r="S18" s="88"/>
      <c r="T18" s="86"/>
      <c r="U18" s="88"/>
      <c r="V18" s="93">
        <f>IF(OR(B18="",R18="",S18="Done",U18="Closed"),"",IF(Setup!$B$8&gt;R18,Setup!$B$8-R18,""))</f>
      </c>
      <c r="W18" s="86"/>
      <c r="X18" s="94">
        <f>IF(AND(ISNUMBER(K18),U18&lt;&gt;"Closed"),RANK(K18,$K$7:$K$46)+COUNTIF($K$7:K18,K18)-1,"")</f>
      </c>
      <c r="Y18" s="94">
        <f>IF(AND(H18="Epistemic",U18&lt;&gt;"Closed"),COUNTIF($H$7:H18,"Epistemic"),"")</f>
      </c>
    </row>
    <row r="19" spans="1:25" ht="26.4" x14ac:dyDescent="0.3">
      <c r="A19" s="85" t="s">
        <v>213</v>
      </c>
      <c r="B19" s="86"/>
      <c r="C19" s="86"/>
      <c r="D19" s="86"/>
      <c r="E19" s="86"/>
      <c r="F19" s="87">
        <f t="shared" si="0"/>
      </c>
      <c r="G19" s="75"/>
      <c r="H19" s="88"/>
      <c r="I19" s="89"/>
      <c r="J19" s="78"/>
      <c r="K19" s="90">
        <f>IF(AND(ISNUMBER(I19),ISNUMBER(J19)),I19*J19,"")</f>
      </c>
      <c r="L19" s="78"/>
      <c r="M19" s="91">
        <f t="shared" si="1"/>
      </c>
      <c r="N19" s="75"/>
      <c r="O19" s="86"/>
      <c r="P19" s="78"/>
      <c r="Q19" s="75"/>
      <c r="R19" s="92"/>
      <c r="S19" s="88"/>
      <c r="T19" s="86"/>
      <c r="U19" s="88"/>
      <c r="V19" s="93">
        <f>IF(OR(B19="",R19="",S19="Done",U19="Closed"),"",IF(Setup!$B$8&gt;R19,Setup!$B$8-R19,""))</f>
      </c>
      <c r="W19" s="86"/>
      <c r="X19" s="94">
        <f>IF(AND(ISNUMBER(K19),U19&lt;&gt;"Closed"),RANK(K19,$K$7:$K$46)+COUNTIF($K$7:K19,K19)-1,"")</f>
      </c>
      <c r="Y19" s="94">
        <f>IF(AND(H19="Epistemic",U19&lt;&gt;"Closed"),COUNTIF($H$7:H19,"Epistemic"),"")</f>
      </c>
    </row>
    <row r="20" spans="1:25" ht="26.4" x14ac:dyDescent="0.3">
      <c r="A20" s="85" t="s">
        <v>219</v>
      </c>
      <c r="B20" s="86"/>
      <c r="C20" s="86"/>
      <c r="D20" s="86"/>
      <c r="E20" s="86"/>
      <c r="F20" s="87">
        <f t="shared" si="0"/>
      </c>
      <c r="G20" s="75"/>
      <c r="H20" s="88"/>
      <c r="I20" s="89"/>
      <c r="J20" s="78"/>
      <c r="K20" s="90">
        <f>IF(AND(ISNUMBER(I20),ISNUMBER(J20)),I20*J20,"")</f>
      </c>
      <c r="L20" s="78"/>
      <c r="M20" s="91">
        <f t="shared" si="1"/>
      </c>
      <c r="N20" s="75"/>
      <c r="O20" s="86"/>
      <c r="P20" s="78"/>
      <c r="Q20" s="75"/>
      <c r="R20" s="92"/>
      <c r="S20" s="88"/>
      <c r="T20" s="86"/>
      <c r="U20" s="88"/>
      <c r="V20" s="93">
        <f>IF(OR(B20="",R20="",S20="Done",U20="Closed"),"",IF(Setup!$B$8&gt;R20,Setup!$B$8-R20,""))</f>
      </c>
      <c r="W20" s="86"/>
      <c r="X20" s="94">
        <f>IF(AND(ISNUMBER(K20),U20&lt;&gt;"Closed"),RANK(K20,$K$7:$K$46)+COUNTIF($K$7:K20,K20)-1,"")</f>
      </c>
      <c r="Y20" s="94">
        <f>IF(AND(H20="Epistemic",U20&lt;&gt;"Closed"),COUNTIF($H$7:H20,"Epistemic"),"")</f>
      </c>
    </row>
    <row r="21" spans="1:25" x14ac:dyDescent="0.3">
      <c r="A21" s="85" t="s">
        <v>226</v>
      </c>
      <c r="B21" s="86"/>
      <c r="C21" s="86"/>
      <c r="D21" s="86"/>
      <c r="E21" s="86"/>
      <c r="F21" s="87">
        <f t="shared" si="0"/>
      </c>
      <c r="G21" s="75"/>
      <c r="H21" s="88"/>
      <c r="I21" s="89"/>
      <c r="J21" s="78"/>
      <c r="K21" s="90">
        <f t="shared" ref="K21:K46" si="2">IF(AND(ISNUMBER(I21),ISNUMBER(J21)),I21*J21,"")</f>
      </c>
      <c r="L21" s="78"/>
      <c r="M21" s="91">
        <f t="shared" si="1"/>
      </c>
      <c r="N21" s="75"/>
      <c r="O21" s="86"/>
      <c r="P21" s="78"/>
      <c r="Q21" s="75"/>
      <c r="R21" s="92"/>
      <c r="S21" s="88"/>
      <c r="T21" s="86"/>
      <c r="U21" s="88"/>
      <c r="V21" s="93">
        <f>IF(OR(B21="",R21="",S21="Done",U21="Closed"),"",IF(Setup!$B$8&gt;R21,Setup!$B$8-R21,""))</f>
      </c>
      <c r="W21" s="86"/>
      <c r="X21" s="94">
        <f>IF(AND(ISNUMBER(K21),U21&lt;&gt;"Closed"),RANK(K21,$K$7:$K$46)+COUNTIF($K$7:K21,K21)-1,"")</f>
      </c>
      <c r="Y21" s="94">
        <f>IF(AND(H21="Epistemic",U21&lt;&gt;"Closed"),COUNTIF($H$7:H21,"Epistemic"),"")</f>
      </c>
    </row>
    <row r="22" spans="1:25" x14ac:dyDescent="0.3">
      <c r="A22" s="85" t="s">
        <v>227</v>
      </c>
      <c r="B22" s="86"/>
      <c r="C22" s="86"/>
      <c r="D22" s="86"/>
      <c r="E22" s="86"/>
      <c r="F22" s="87">
        <f t="shared" si="0"/>
      </c>
      <c r="G22" s="75"/>
      <c r="H22" s="88"/>
      <c r="I22" s="89"/>
      <c r="J22" s="78"/>
      <c r="K22" s="90">
        <f t="shared" si="2"/>
      </c>
      <c r="L22" s="78"/>
      <c r="M22" s="91">
        <f t="shared" si="1"/>
      </c>
      <c r="N22" s="75"/>
      <c r="O22" s="86"/>
      <c r="P22" s="78"/>
      <c r="Q22" s="75"/>
      <c r="R22" s="92"/>
      <c r="S22" s="88"/>
      <c r="T22" s="86"/>
      <c r="U22" s="88"/>
      <c r="V22" s="93">
        <f>IF(OR(B22="",R22="",S22="Done",U22="Closed"),"",IF(Setup!$B$8&gt;R22,Setup!$B$8-R22,""))</f>
      </c>
      <c r="W22" s="86"/>
      <c r="X22" s="94">
        <f>IF(AND(ISNUMBER(K22),U22&lt;&gt;"Closed"),RANK(K22,$K$7:$K$46)+COUNTIF($K$7:K22,K22)-1,"")</f>
      </c>
      <c r="Y22" s="94">
        <f>IF(AND(H22="Epistemic",U22&lt;&gt;"Closed"),COUNTIF($H$7:H22,"Epistemic"),"")</f>
      </c>
    </row>
    <row r="23" spans="1:25" x14ac:dyDescent="0.3">
      <c r="A23" s="85" t="s">
        <v>228</v>
      </c>
      <c r="B23" s="86"/>
      <c r="C23" s="86"/>
      <c r="D23" s="86"/>
      <c r="E23" s="86"/>
      <c r="F23" s="87">
        <f t="shared" si="0"/>
      </c>
      <c r="G23" s="75"/>
      <c r="H23" s="88"/>
      <c r="I23" s="89"/>
      <c r="J23" s="78"/>
      <c r="K23" s="90">
        <f t="shared" si="2"/>
      </c>
      <c r="L23" s="78"/>
      <c r="M23" s="91">
        <f t="shared" si="1"/>
      </c>
      <c r="N23" s="75"/>
      <c r="O23" s="86"/>
      <c r="P23" s="78"/>
      <c r="Q23" s="75"/>
      <c r="R23" s="92"/>
      <c r="S23" s="88"/>
      <c r="T23" s="86"/>
      <c r="U23" s="88"/>
      <c r="V23" s="93">
        <f>IF(OR(B23="",R23="",S23="Done",U23="Closed"),"",IF(Setup!$B$8&gt;R23,Setup!$B$8-R23,""))</f>
      </c>
      <c r="W23" s="86"/>
      <c r="X23" s="94">
        <f>IF(AND(ISNUMBER(K23),U23&lt;&gt;"Closed"),RANK(K23,$K$7:$K$46)+COUNTIF($K$7:K23,K23)-1,"")</f>
      </c>
      <c r="Y23" s="94">
        <f>IF(AND(H23="Epistemic",U23&lt;&gt;"Closed"),COUNTIF($H$7:H23,"Epistemic"),"")</f>
      </c>
    </row>
    <row r="24" spans="1:25" x14ac:dyDescent="0.3">
      <c r="A24" s="85" t="s">
        <v>229</v>
      </c>
      <c r="B24" s="86"/>
      <c r="C24" s="86"/>
      <c r="D24" s="86"/>
      <c r="E24" s="86"/>
      <c r="F24" s="87">
        <f t="shared" si="0"/>
      </c>
      <c r="G24" s="75"/>
      <c r="H24" s="88"/>
      <c r="I24" s="89"/>
      <c r="J24" s="78"/>
      <c r="K24" s="90">
        <f t="shared" si="2"/>
      </c>
      <c r="L24" s="78"/>
      <c r="M24" s="91">
        <f t="shared" si="1"/>
      </c>
      <c r="N24" s="75"/>
      <c r="O24" s="86"/>
      <c r="P24" s="78"/>
      <c r="Q24" s="75"/>
      <c r="R24" s="92"/>
      <c r="S24" s="88"/>
      <c r="T24" s="86"/>
      <c r="U24" s="88"/>
      <c r="V24" s="93">
        <f>IF(OR(B24="",R24="",S24="Done",U24="Closed"),"",IF(Setup!$B$8&gt;R24,Setup!$B$8-R24,""))</f>
      </c>
      <c r="W24" s="86"/>
      <c r="X24" s="94">
        <f>IF(AND(ISNUMBER(K24),U24&lt;&gt;"Closed"),RANK(K24,$K$7:$K$46)+COUNTIF($K$7:K24,K24)-1,"")</f>
      </c>
      <c r="Y24" s="94">
        <f>IF(AND(H24="Epistemic",U24&lt;&gt;"Closed"),COUNTIF($H$7:H24,"Epistemic"),"")</f>
      </c>
    </row>
    <row r="25" spans="1:25" x14ac:dyDescent="0.3">
      <c r="A25" s="85" t="s">
        <v>230</v>
      </c>
      <c r="B25" s="86"/>
      <c r="C25" s="86"/>
      <c r="D25" s="86"/>
      <c r="E25" s="86"/>
      <c r="F25" s="87">
        <f t="shared" si="0"/>
      </c>
      <c r="G25" s="75"/>
      <c r="H25" s="88"/>
      <c r="I25" s="89"/>
      <c r="J25" s="78"/>
      <c r="K25" s="90">
        <f t="shared" si="2"/>
      </c>
      <c r="L25" s="78"/>
      <c r="M25" s="91">
        <f t="shared" si="1"/>
      </c>
      <c r="N25" s="75"/>
      <c r="O25" s="86"/>
      <c r="P25" s="78"/>
      <c r="Q25" s="75"/>
      <c r="R25" s="92"/>
      <c r="S25" s="88"/>
      <c r="T25" s="86"/>
      <c r="U25" s="88"/>
      <c r="V25" s="93">
        <f>IF(OR(B25="",R25="",S25="Done",U25="Closed"),"",IF(Setup!$B$8&gt;R25,Setup!$B$8-R25,""))</f>
      </c>
      <c r="W25" s="86"/>
      <c r="X25" s="94">
        <f>IF(AND(ISNUMBER(K25),U25&lt;&gt;"Closed"),RANK(K25,$K$7:$K$46)+COUNTIF($K$7:K25,K25)-1,"")</f>
      </c>
      <c r="Y25" s="94">
        <f>IF(AND(H25="Epistemic",U25&lt;&gt;"Closed"),COUNTIF($H$7:H25,"Epistemic"),"")</f>
      </c>
    </row>
    <row r="26" spans="1:25" x14ac:dyDescent="0.3">
      <c r="A26" s="85" t="s">
        <v>231</v>
      </c>
      <c r="B26" s="86"/>
      <c r="C26" s="86"/>
      <c r="D26" s="86"/>
      <c r="E26" s="86"/>
      <c r="F26" s="87">
        <f t="shared" si="0"/>
      </c>
      <c r="G26" s="75"/>
      <c r="H26" s="88"/>
      <c r="I26" s="89"/>
      <c r="J26" s="78"/>
      <c r="K26" s="90">
        <f t="shared" si="2"/>
      </c>
      <c r="L26" s="78"/>
      <c r="M26" s="91">
        <f t="shared" si="1"/>
      </c>
      <c r="N26" s="75"/>
      <c r="O26" s="86"/>
      <c r="P26" s="78"/>
      <c r="Q26" s="75"/>
      <c r="R26" s="92"/>
      <c r="S26" s="88"/>
      <c r="T26" s="86"/>
      <c r="U26" s="88"/>
      <c r="V26" s="93">
        <f>IF(OR(B26="",R26="",S26="Done",U26="Closed"),"",IF(Setup!$B$8&gt;R26,Setup!$B$8-R26,""))</f>
      </c>
      <c r="W26" s="86"/>
      <c r="X26" s="94">
        <f>IF(AND(ISNUMBER(K26),U26&lt;&gt;"Closed"),RANK(K26,$K$7:$K$46)+COUNTIF($K$7:K26,K26)-1,"")</f>
      </c>
      <c r="Y26" s="94">
        <f>IF(AND(H26="Epistemic",U26&lt;&gt;"Closed"),COUNTIF($H$7:H26,"Epistemic"),"")</f>
      </c>
    </row>
    <row r="27" spans="1:25" x14ac:dyDescent="0.3">
      <c r="A27" s="85" t="s">
        <v>232</v>
      </c>
      <c r="B27" s="86"/>
      <c r="C27" s="86"/>
      <c r="D27" s="86"/>
      <c r="E27" s="86"/>
      <c r="F27" s="87">
        <f t="shared" si="0"/>
      </c>
      <c r="G27" s="75"/>
      <c r="H27" s="88"/>
      <c r="I27" s="89"/>
      <c r="J27" s="78"/>
      <c r="K27" s="90">
        <f t="shared" si="2"/>
      </c>
      <c r="L27" s="78"/>
      <c r="M27" s="91">
        <f t="shared" si="1"/>
      </c>
      <c r="N27" s="75"/>
      <c r="O27" s="86"/>
      <c r="P27" s="78"/>
      <c r="Q27" s="75"/>
      <c r="R27" s="92"/>
      <c r="S27" s="88"/>
      <c r="T27" s="86"/>
      <c r="U27" s="88"/>
      <c r="V27" s="93">
        <f>IF(OR(B27="",R27="",S27="Done",U27="Closed"),"",IF(Setup!$B$8&gt;R27,Setup!$B$8-R27,""))</f>
      </c>
      <c r="W27" s="86"/>
      <c r="X27" s="94">
        <f>IF(AND(ISNUMBER(K27),U27&lt;&gt;"Closed"),RANK(K27,$K$7:$K$46)+COUNTIF($K$7:K27,K27)-1,"")</f>
      </c>
      <c r="Y27" s="94">
        <f>IF(AND(H27="Epistemic",U27&lt;&gt;"Closed"),COUNTIF($H$7:H27,"Epistemic"),"")</f>
      </c>
    </row>
    <row r="28" spans="1:25" x14ac:dyDescent="0.3">
      <c r="A28" s="85" t="s">
        <v>233</v>
      </c>
      <c r="B28" s="86"/>
      <c r="C28" s="86"/>
      <c r="D28" s="86"/>
      <c r="E28" s="86"/>
      <c r="F28" s="87">
        <f t="shared" si="0"/>
      </c>
      <c r="G28" s="75"/>
      <c r="H28" s="88"/>
      <c r="I28" s="89"/>
      <c r="J28" s="78"/>
      <c r="K28" s="90">
        <f t="shared" si="2"/>
      </c>
      <c r="L28" s="78"/>
      <c r="M28" s="91">
        <f t="shared" si="1"/>
      </c>
      <c r="N28" s="75"/>
      <c r="O28" s="86"/>
      <c r="P28" s="78"/>
      <c r="Q28" s="75"/>
      <c r="R28" s="92"/>
      <c r="S28" s="88"/>
      <c r="T28" s="86"/>
      <c r="U28" s="88"/>
      <c r="V28" s="93">
        <f>IF(OR(B28="",R28="",S28="Done",U28="Closed"),"",IF(Setup!$B$8&gt;R28,Setup!$B$8-R28,""))</f>
      </c>
      <c r="W28" s="86"/>
      <c r="X28" s="94">
        <f>IF(AND(ISNUMBER(K28),U28&lt;&gt;"Closed"),RANK(K28,$K$7:$K$46)+COUNTIF($K$7:K28,K28)-1,"")</f>
      </c>
      <c r="Y28" s="94">
        <f>IF(AND(H28="Epistemic",U28&lt;&gt;"Closed"),COUNTIF($H$7:H28,"Epistemic"),"")</f>
      </c>
    </row>
    <row r="29" spans="1:25" x14ac:dyDescent="0.3">
      <c r="A29" s="85" t="s">
        <v>234</v>
      </c>
      <c r="B29" s="86"/>
      <c r="C29" s="86"/>
      <c r="D29" s="86"/>
      <c r="E29" s="86"/>
      <c r="F29" s="87">
        <f t="shared" si="0"/>
      </c>
      <c r="G29" s="75"/>
      <c r="H29" s="88"/>
      <c r="I29" s="89"/>
      <c r="J29" s="78"/>
      <c r="K29" s="90">
        <f t="shared" si="2"/>
      </c>
      <c r="L29" s="78"/>
      <c r="M29" s="91">
        <f t="shared" si="1"/>
      </c>
      <c r="N29" s="75"/>
      <c r="O29" s="86"/>
      <c r="P29" s="78"/>
      <c r="Q29" s="75"/>
      <c r="R29" s="92"/>
      <c r="S29" s="88"/>
      <c r="T29" s="86"/>
      <c r="U29" s="88"/>
      <c r="V29" s="93">
        <f>IF(OR(B29="",R29="",S29="Done",U29="Closed"),"",IF(Setup!$B$8&gt;R29,Setup!$B$8-R29,""))</f>
      </c>
      <c r="W29" s="86"/>
      <c r="X29" s="94">
        <f>IF(AND(ISNUMBER(K29),U29&lt;&gt;"Closed"),RANK(K29,$K$7:$K$46)+COUNTIF($K$7:K29,K29)-1,"")</f>
      </c>
      <c r="Y29" s="94">
        <f>IF(AND(H29="Epistemic",U29&lt;&gt;"Closed"),COUNTIF($H$7:H29,"Epistemic"),"")</f>
      </c>
    </row>
    <row r="30" spans="1:25" x14ac:dyDescent="0.3">
      <c r="A30" s="85" t="s">
        <v>235</v>
      </c>
      <c r="B30" s="86"/>
      <c r="C30" s="86"/>
      <c r="D30" s="86"/>
      <c r="E30" s="86"/>
      <c r="F30" s="87">
        <f t="shared" si="0"/>
      </c>
      <c r="G30" s="75"/>
      <c r="H30" s="88"/>
      <c r="I30" s="89"/>
      <c r="J30" s="78"/>
      <c r="K30" s="90">
        <f t="shared" si="2"/>
      </c>
      <c r="L30" s="78"/>
      <c r="M30" s="91">
        <f t="shared" si="1"/>
      </c>
      <c r="N30" s="75"/>
      <c r="O30" s="86"/>
      <c r="P30" s="78"/>
      <c r="Q30" s="75"/>
      <c r="R30" s="92"/>
      <c r="S30" s="88"/>
      <c r="T30" s="86"/>
      <c r="U30" s="88"/>
      <c r="V30" s="93">
        <f>IF(OR(B30="",R30="",S30="Done",U30="Closed"),"",IF(Setup!$B$8&gt;R30,Setup!$B$8-R30,""))</f>
      </c>
      <c r="W30" s="86"/>
      <c r="X30" s="94">
        <f>IF(AND(ISNUMBER(K30),U30&lt;&gt;"Closed"),RANK(K30,$K$7:$K$46)+COUNTIF($K$7:K30,K30)-1,"")</f>
      </c>
      <c r="Y30" s="94">
        <f>IF(AND(H30="Epistemic",U30&lt;&gt;"Closed"),COUNTIF($H$7:H30,"Epistemic"),"")</f>
      </c>
    </row>
    <row r="31" spans="1:25" x14ac:dyDescent="0.3">
      <c r="A31" s="85" t="s">
        <v>236</v>
      </c>
      <c r="B31" s="86"/>
      <c r="C31" s="86"/>
      <c r="D31" s="86"/>
      <c r="E31" s="86"/>
      <c r="F31" s="87">
        <f t="shared" si="0"/>
      </c>
      <c r="G31" s="75"/>
      <c r="H31" s="88"/>
      <c r="I31" s="89"/>
      <c r="J31" s="78"/>
      <c r="K31" s="90">
        <f t="shared" si="2"/>
      </c>
      <c r="L31" s="78"/>
      <c r="M31" s="91">
        <f t="shared" si="1"/>
      </c>
      <c r="N31" s="75"/>
      <c r="O31" s="86"/>
      <c r="P31" s="78"/>
      <c r="Q31" s="75"/>
      <c r="R31" s="92"/>
      <c r="S31" s="88"/>
      <c r="T31" s="86"/>
      <c r="U31" s="88"/>
      <c r="V31" s="93">
        <f>IF(OR(B31="",R31="",S31="Done",U31="Closed"),"",IF(Setup!$B$8&gt;R31,Setup!$B$8-R31,""))</f>
      </c>
      <c r="W31" s="86"/>
      <c r="X31" s="94">
        <f>IF(AND(ISNUMBER(K31),U31&lt;&gt;"Closed"),RANK(K31,$K$7:$K$46)+COUNTIF($K$7:K31,K31)-1,"")</f>
      </c>
      <c r="Y31" s="94">
        <f>IF(AND(H31="Epistemic",U31&lt;&gt;"Closed"),COUNTIF($H$7:H31,"Epistemic"),"")</f>
      </c>
    </row>
    <row r="32" spans="1:25" x14ac:dyDescent="0.3">
      <c r="A32" s="85" t="s">
        <v>237</v>
      </c>
      <c r="B32" s="86"/>
      <c r="C32" s="86"/>
      <c r="D32" s="86"/>
      <c r="E32" s="86"/>
      <c r="F32" s="87">
        <f t="shared" si="0"/>
      </c>
      <c r="G32" s="75"/>
      <c r="H32" s="88"/>
      <c r="I32" s="89"/>
      <c r="J32" s="78"/>
      <c r="K32" s="90">
        <f t="shared" si="2"/>
      </c>
      <c r="L32" s="78"/>
      <c r="M32" s="91">
        <f t="shared" si="1"/>
      </c>
      <c r="N32" s="75"/>
      <c r="O32" s="86"/>
      <c r="P32" s="78"/>
      <c r="Q32" s="75"/>
      <c r="R32" s="92"/>
      <c r="S32" s="88"/>
      <c r="T32" s="86"/>
      <c r="U32" s="88"/>
      <c r="V32" s="93">
        <f>IF(OR(B32="",R32="",S32="Done",U32="Closed"),"",IF(Setup!$B$8&gt;R32,Setup!$B$8-R32,""))</f>
      </c>
      <c r="W32" s="86"/>
      <c r="X32" s="94">
        <f>IF(AND(ISNUMBER(K32),U32&lt;&gt;"Closed"),RANK(K32,$K$7:$K$46)+COUNTIF($K$7:K32,K32)-1,"")</f>
      </c>
      <c r="Y32" s="94">
        <f>IF(AND(H32="Epistemic",U32&lt;&gt;"Closed"),COUNTIF($H$7:H32,"Epistemic"),"")</f>
      </c>
    </row>
    <row r="33" spans="1:25" x14ac:dyDescent="0.3">
      <c r="A33" s="85" t="s">
        <v>238</v>
      </c>
      <c r="B33" s="86"/>
      <c r="C33" s="86"/>
      <c r="D33" s="86"/>
      <c r="E33" s="86"/>
      <c r="F33" s="87">
        <f t="shared" si="0"/>
      </c>
      <c r="G33" s="75"/>
      <c r="H33" s="88"/>
      <c r="I33" s="89"/>
      <c r="J33" s="78"/>
      <c r="K33" s="90">
        <f t="shared" si="2"/>
      </c>
      <c r="L33" s="78"/>
      <c r="M33" s="91">
        <f t="shared" si="1"/>
      </c>
      <c r="N33" s="75"/>
      <c r="O33" s="86"/>
      <c r="P33" s="78"/>
      <c r="Q33" s="75"/>
      <c r="R33" s="92"/>
      <c r="S33" s="88"/>
      <c r="T33" s="86"/>
      <c r="U33" s="88"/>
      <c r="V33" s="93">
        <f>IF(OR(B33="",R33="",S33="Done",U33="Closed"),"",IF(Setup!$B$8&gt;R33,Setup!$B$8-R33,""))</f>
      </c>
      <c r="W33" s="86"/>
      <c r="X33" s="94">
        <f>IF(AND(ISNUMBER(K33),U33&lt;&gt;"Closed"),RANK(K33,$K$7:$K$46)+COUNTIF($K$7:K33,K33)-1,"")</f>
      </c>
      <c r="Y33" s="94">
        <f>IF(AND(H33="Epistemic",U33&lt;&gt;"Closed"),COUNTIF($H$7:H33,"Epistemic"),"")</f>
      </c>
    </row>
    <row r="34" spans="1:25" x14ac:dyDescent="0.3">
      <c r="A34" s="85" t="s">
        <v>239</v>
      </c>
      <c r="B34" s="86"/>
      <c r="C34" s="86"/>
      <c r="D34" s="86"/>
      <c r="E34" s="86"/>
      <c r="F34" s="87">
        <f t="shared" si="0"/>
      </c>
      <c r="G34" s="75"/>
      <c r="H34" s="88"/>
      <c r="I34" s="89"/>
      <c r="J34" s="78"/>
      <c r="K34" s="90">
        <f t="shared" si="2"/>
      </c>
      <c r="L34" s="78"/>
      <c r="M34" s="91">
        <f t="shared" si="1"/>
      </c>
      <c r="N34" s="75"/>
      <c r="O34" s="86"/>
      <c r="P34" s="78"/>
      <c r="Q34" s="75"/>
      <c r="R34" s="92"/>
      <c r="S34" s="88"/>
      <c r="T34" s="86"/>
      <c r="U34" s="88"/>
      <c r="V34" s="93">
        <f>IF(OR(B34="",R34="",S34="Done",U34="Closed"),"",IF(Setup!$B$8&gt;R34,Setup!$B$8-R34,""))</f>
      </c>
      <c r="W34" s="86"/>
      <c r="X34" s="94">
        <f>IF(AND(ISNUMBER(K34),U34&lt;&gt;"Closed"),RANK(K34,$K$7:$K$46)+COUNTIF($K$7:K34,K34)-1,"")</f>
      </c>
      <c r="Y34" s="94">
        <f>IF(AND(H34="Epistemic",U34&lt;&gt;"Closed"),COUNTIF($H$7:H34,"Epistemic"),"")</f>
      </c>
    </row>
    <row r="35" spans="1:25" x14ac:dyDescent="0.3">
      <c r="A35" s="85" t="s">
        <v>240</v>
      </c>
      <c r="B35" s="86"/>
      <c r="C35" s="86"/>
      <c r="D35" s="86"/>
      <c r="E35" s="86"/>
      <c r="F35" s="87">
        <f t="shared" si="0"/>
      </c>
      <c r="G35" s="75"/>
      <c r="H35" s="88"/>
      <c r="I35" s="89"/>
      <c r="J35" s="78"/>
      <c r="K35" s="90">
        <f t="shared" si="2"/>
      </c>
      <c r="L35" s="78"/>
      <c r="M35" s="91">
        <f t="shared" si="1"/>
      </c>
      <c r="N35" s="75"/>
      <c r="O35" s="86"/>
      <c r="P35" s="78"/>
      <c r="Q35" s="75"/>
      <c r="R35" s="92"/>
      <c r="S35" s="88"/>
      <c r="T35" s="86"/>
      <c r="U35" s="88"/>
      <c r="V35" s="93">
        <f>IF(OR(B35="",R35="",S35="Done",U35="Closed"),"",IF(Setup!$B$8&gt;R35,Setup!$B$8-R35,""))</f>
      </c>
      <c r="W35" s="86"/>
      <c r="X35" s="94">
        <f>IF(AND(ISNUMBER(K35),U35&lt;&gt;"Closed"),RANK(K35,$K$7:$K$46)+COUNTIF($K$7:K35,K35)-1,"")</f>
      </c>
      <c r="Y35" s="94">
        <f>IF(AND(H35="Epistemic",U35&lt;&gt;"Closed"),COUNTIF($H$7:H35,"Epistemic"),"")</f>
      </c>
    </row>
    <row r="36" spans="1:25" x14ac:dyDescent="0.3">
      <c r="A36" s="85" t="s">
        <v>241</v>
      </c>
      <c r="B36" s="86"/>
      <c r="C36" s="86"/>
      <c r="D36" s="86"/>
      <c r="E36" s="86"/>
      <c r="F36" s="87">
        <f t="shared" si="0"/>
      </c>
      <c r="G36" s="75"/>
      <c r="H36" s="88"/>
      <c r="I36" s="89"/>
      <c r="J36" s="78"/>
      <c r="K36" s="90">
        <f t="shared" si="2"/>
      </c>
      <c r="L36" s="78"/>
      <c r="M36" s="91">
        <f t="shared" si="1"/>
      </c>
      <c r="N36" s="75"/>
      <c r="O36" s="86"/>
      <c r="P36" s="78"/>
      <c r="Q36" s="75"/>
      <c r="R36" s="92"/>
      <c r="S36" s="88"/>
      <c r="T36" s="86"/>
      <c r="U36" s="88"/>
      <c r="V36" s="93">
        <f>IF(OR(B36="",R36="",S36="Done",U36="Closed"),"",IF(Setup!$B$8&gt;R36,Setup!$B$8-R36,""))</f>
      </c>
      <c r="W36" s="86"/>
      <c r="X36" s="94">
        <f>IF(AND(ISNUMBER(K36),U36&lt;&gt;"Closed"),RANK(K36,$K$7:$K$46)+COUNTIF($K$7:K36,K36)-1,"")</f>
      </c>
      <c r="Y36" s="94">
        <f>IF(AND(H36="Epistemic",U36&lt;&gt;"Closed"),COUNTIF($H$7:H36,"Epistemic"),"")</f>
      </c>
    </row>
    <row r="37" spans="1:25" x14ac:dyDescent="0.3">
      <c r="A37" s="85" t="s">
        <v>242</v>
      </c>
      <c r="B37" s="86"/>
      <c r="C37" s="86"/>
      <c r="D37" s="86"/>
      <c r="E37" s="86"/>
      <c r="F37" s="87">
        <f t="shared" si="0"/>
      </c>
      <c r="G37" s="75"/>
      <c r="H37" s="88"/>
      <c r="I37" s="89"/>
      <c r="J37" s="78"/>
      <c r="K37" s="90">
        <f t="shared" si="2"/>
      </c>
      <c r="L37" s="78"/>
      <c r="M37" s="91">
        <f t="shared" si="1"/>
      </c>
      <c r="N37" s="75"/>
      <c r="O37" s="86"/>
      <c r="P37" s="78"/>
      <c r="Q37" s="75"/>
      <c r="R37" s="92"/>
      <c r="S37" s="88"/>
      <c r="T37" s="86"/>
      <c r="U37" s="88"/>
      <c r="V37" s="93">
        <f>IF(OR(B37="",R37="",S37="Done",U37="Closed"),"",IF(Setup!$B$8&gt;R37,Setup!$B$8-R37,""))</f>
      </c>
      <c r="W37" s="86"/>
      <c r="X37" s="94">
        <f>IF(AND(ISNUMBER(K37),U37&lt;&gt;"Closed"),RANK(K37,$K$7:$K$46)+COUNTIF($K$7:K37,K37)-1,"")</f>
      </c>
      <c r="Y37" s="94">
        <f>IF(AND(H37="Epistemic",U37&lt;&gt;"Closed"),COUNTIF($H$7:H37,"Epistemic"),"")</f>
      </c>
    </row>
    <row r="38" spans="1:25" x14ac:dyDescent="0.3">
      <c r="A38" s="85" t="s">
        <v>243</v>
      </c>
      <c r="B38" s="86"/>
      <c r="C38" s="86"/>
      <c r="D38" s="86"/>
      <c r="E38" s="86"/>
      <c r="F38" s="87">
        <f t="shared" si="0"/>
      </c>
      <c r="G38" s="75"/>
      <c r="H38" s="88"/>
      <c r="I38" s="89"/>
      <c r="J38" s="78"/>
      <c r="K38" s="90">
        <f t="shared" si="2"/>
      </c>
      <c r="L38" s="78"/>
      <c r="M38" s="91">
        <f t="shared" si="1"/>
      </c>
      <c r="N38" s="75"/>
      <c r="O38" s="86"/>
      <c r="P38" s="78"/>
      <c r="Q38" s="75"/>
      <c r="R38" s="92"/>
      <c r="S38" s="88"/>
      <c r="T38" s="86"/>
      <c r="U38" s="88"/>
      <c r="V38" s="93">
        <f>IF(OR(B38="",R38="",S38="Done",U38="Closed"),"",IF(Setup!$B$8&gt;R38,Setup!$B$8-R38,""))</f>
      </c>
      <c r="W38" s="86"/>
      <c r="X38" s="94">
        <f>IF(AND(ISNUMBER(K38),U38&lt;&gt;"Closed"),RANK(K38,$K$7:$K$46)+COUNTIF($K$7:K38,K38)-1,"")</f>
      </c>
      <c r="Y38" s="94">
        <f>IF(AND(H38="Epistemic",U38&lt;&gt;"Closed"),COUNTIF($H$7:H38,"Epistemic"),"")</f>
      </c>
    </row>
    <row r="39" spans="1:25" x14ac:dyDescent="0.3">
      <c r="A39" s="85" t="s">
        <v>244</v>
      </c>
      <c r="B39" s="86"/>
      <c r="C39" s="86"/>
      <c r="D39" s="86"/>
      <c r="E39" s="86"/>
      <c r="F39" s="87">
        <f t="shared" si="0"/>
      </c>
      <c r="G39" s="75"/>
      <c r="H39" s="88"/>
      <c r="I39" s="89"/>
      <c r="J39" s="78"/>
      <c r="K39" s="90">
        <f t="shared" si="2"/>
      </c>
      <c r="L39" s="78"/>
      <c r="M39" s="91">
        <f t="shared" si="1"/>
      </c>
      <c r="N39" s="75"/>
      <c r="O39" s="86"/>
      <c r="P39" s="78"/>
      <c r="Q39" s="75"/>
      <c r="R39" s="92"/>
      <c r="S39" s="88"/>
      <c r="T39" s="86"/>
      <c r="U39" s="88"/>
      <c r="V39" s="93">
        <f>IF(OR(B39="",R39="",S39="Done",U39="Closed"),"",IF(Setup!$B$8&gt;R39,Setup!$B$8-R39,""))</f>
      </c>
      <c r="W39" s="86"/>
      <c r="X39" s="94">
        <f>IF(AND(ISNUMBER(K39),U39&lt;&gt;"Closed"),RANK(K39,$K$7:$K$46)+COUNTIF($K$7:K39,K39)-1,"")</f>
      </c>
      <c r="Y39" s="94">
        <f>IF(AND(H39="Epistemic",U39&lt;&gt;"Closed"),COUNTIF($H$7:H39,"Epistemic"),"")</f>
      </c>
    </row>
    <row r="40" spans="1:25" x14ac:dyDescent="0.3">
      <c r="A40" s="85" t="s">
        <v>245</v>
      </c>
      <c r="B40" s="86"/>
      <c r="C40" s="86"/>
      <c r="D40" s="86"/>
      <c r="E40" s="86"/>
      <c r="F40" s="87">
        <f t="shared" si="0"/>
      </c>
      <c r="G40" s="75"/>
      <c r="H40" s="88"/>
      <c r="I40" s="89"/>
      <c r="J40" s="78"/>
      <c r="K40" s="90">
        <f t="shared" si="2"/>
      </c>
      <c r="L40" s="78"/>
      <c r="M40" s="91">
        <f t="shared" si="1"/>
      </c>
      <c r="N40" s="75"/>
      <c r="O40" s="86"/>
      <c r="P40" s="78"/>
      <c r="Q40" s="75"/>
      <c r="R40" s="92"/>
      <c r="S40" s="88"/>
      <c r="T40" s="86"/>
      <c r="U40" s="88"/>
      <c r="V40" s="93">
        <f>IF(OR(B40="",R40="",S40="Done",U40="Closed"),"",IF(Setup!$B$8&gt;R40,Setup!$B$8-R40,""))</f>
      </c>
      <c r="W40" s="86"/>
      <c r="X40" s="94">
        <f>IF(AND(ISNUMBER(K40),U40&lt;&gt;"Closed"),RANK(K40,$K$7:$K$46)+COUNTIF($K$7:K40,K40)-1,"")</f>
      </c>
      <c r="Y40" s="94">
        <f>IF(AND(H40="Epistemic",U40&lt;&gt;"Closed"),COUNTIF($H$7:H40,"Epistemic"),"")</f>
      </c>
    </row>
    <row r="41" spans="1:25" x14ac:dyDescent="0.3">
      <c r="A41" s="85" t="s">
        <v>246</v>
      </c>
      <c r="B41" s="86"/>
      <c r="C41" s="86"/>
      <c r="D41" s="86"/>
      <c r="E41" s="86"/>
      <c r="F41" s="87">
        <f t="shared" si="0"/>
      </c>
      <c r="G41" s="75"/>
      <c r="H41" s="88"/>
      <c r="I41" s="89"/>
      <c r="J41" s="78"/>
      <c r="K41" s="90">
        <f t="shared" si="2"/>
      </c>
      <c r="L41" s="78"/>
      <c r="M41" s="91">
        <f t="shared" si="1"/>
      </c>
      <c r="N41" s="75"/>
      <c r="O41" s="86"/>
      <c r="P41" s="78"/>
      <c r="Q41" s="75"/>
      <c r="R41" s="92"/>
      <c r="S41" s="88"/>
      <c r="T41" s="86"/>
      <c r="U41" s="88"/>
      <c r="V41" s="93">
        <f>IF(OR(B41="",R41="",S41="Done",U41="Closed"),"",IF(Setup!$B$8&gt;R41,Setup!$B$8-R41,""))</f>
      </c>
      <c r="W41" s="86"/>
      <c r="X41" s="94">
        <f>IF(AND(ISNUMBER(K41),U41&lt;&gt;"Closed"),RANK(K41,$K$7:$K$46)+COUNTIF($K$7:K41,K41)-1,"")</f>
      </c>
      <c r="Y41" s="94">
        <f>IF(AND(H41="Epistemic",U41&lt;&gt;"Closed"),COUNTIF($H$7:H41,"Epistemic"),"")</f>
      </c>
    </row>
    <row r="42" spans="1:25" x14ac:dyDescent="0.3">
      <c r="A42" s="85" t="s">
        <v>247</v>
      </c>
      <c r="B42" s="86"/>
      <c r="C42" s="86"/>
      <c r="D42" s="86"/>
      <c r="E42" s="86"/>
      <c r="F42" s="87">
        <f t="shared" si="0"/>
      </c>
      <c r="G42" s="75"/>
      <c r="H42" s="88"/>
      <c r="I42" s="89"/>
      <c r="J42" s="78"/>
      <c r="K42" s="90">
        <f t="shared" si="2"/>
      </c>
      <c r="L42" s="78"/>
      <c r="M42" s="91">
        <f t="shared" si="1"/>
      </c>
      <c r="N42" s="75"/>
      <c r="O42" s="86"/>
      <c r="P42" s="78"/>
      <c r="Q42" s="75"/>
      <c r="R42" s="92"/>
      <c r="S42" s="88"/>
      <c r="T42" s="86"/>
      <c r="U42" s="88"/>
      <c r="V42" s="93">
        <f>IF(OR(B42="",R42="",S42="Done",U42="Closed"),"",IF(Setup!$B$8&gt;R42,Setup!$B$8-R42,""))</f>
      </c>
      <c r="W42" s="86"/>
      <c r="X42" s="94">
        <f>IF(AND(ISNUMBER(K42),U42&lt;&gt;"Closed"),RANK(K42,$K$7:$K$46)+COUNTIF($K$7:K42,K42)-1,"")</f>
      </c>
      <c r="Y42" s="94">
        <f>IF(AND(H42="Epistemic",U42&lt;&gt;"Closed"),COUNTIF($H$7:H42,"Epistemic"),"")</f>
      </c>
    </row>
    <row r="43" spans="1:25" x14ac:dyDescent="0.3">
      <c r="A43" s="85" t="s">
        <v>248</v>
      </c>
      <c r="B43" s="86"/>
      <c r="C43" s="86"/>
      <c r="D43" s="86"/>
      <c r="E43" s="86"/>
      <c r="F43" s="87">
        <f t="shared" si="0"/>
      </c>
      <c r="G43" s="75"/>
      <c r="H43" s="88"/>
      <c r="I43" s="89"/>
      <c r="J43" s="78"/>
      <c r="K43" s="90">
        <f t="shared" si="2"/>
      </c>
      <c r="L43" s="78"/>
      <c r="M43" s="91">
        <f t="shared" si="1"/>
      </c>
      <c r="N43" s="75"/>
      <c r="O43" s="86"/>
      <c r="P43" s="78"/>
      <c r="Q43" s="75"/>
      <c r="R43" s="92"/>
      <c r="S43" s="88"/>
      <c r="T43" s="86"/>
      <c r="U43" s="88"/>
      <c r="V43" s="93">
        <f>IF(OR(B43="",R43="",S43="Done",U43="Closed"),"",IF(Setup!$B$8&gt;R43,Setup!$B$8-R43,""))</f>
      </c>
      <c r="W43" s="86"/>
      <c r="X43" s="94">
        <f>IF(AND(ISNUMBER(K43),U43&lt;&gt;"Closed"),RANK(K43,$K$7:$K$46)+COUNTIF($K$7:K43,K43)-1,"")</f>
      </c>
      <c r="Y43" s="94">
        <f>IF(AND(H43="Epistemic",U43&lt;&gt;"Closed"),COUNTIF($H$7:H43,"Epistemic"),"")</f>
      </c>
    </row>
    <row r="44" spans="1:25" x14ac:dyDescent="0.3">
      <c r="A44" s="85" t="s">
        <v>249</v>
      </c>
      <c r="B44" s="86"/>
      <c r="C44" s="86"/>
      <c r="D44" s="86"/>
      <c r="E44" s="86"/>
      <c r="F44" s="87">
        <f t="shared" si="0"/>
      </c>
      <c r="G44" s="75"/>
      <c r="H44" s="88"/>
      <c r="I44" s="89"/>
      <c r="J44" s="78"/>
      <c r="K44" s="90">
        <f t="shared" si="2"/>
      </c>
      <c r="L44" s="78"/>
      <c r="M44" s="91">
        <f t="shared" si="1"/>
      </c>
      <c r="N44" s="75"/>
      <c r="O44" s="86"/>
      <c r="P44" s="78"/>
      <c r="Q44" s="75"/>
      <c r="R44" s="92"/>
      <c r="S44" s="88"/>
      <c r="T44" s="86"/>
      <c r="U44" s="88"/>
      <c r="V44" s="93">
        <f>IF(OR(B44="",R44="",S44="Done",U44="Closed"),"",IF(Setup!$B$8&gt;R44,Setup!$B$8-R44,""))</f>
      </c>
      <c r="W44" s="86"/>
      <c r="X44" s="94">
        <f>IF(AND(ISNUMBER(K44),U44&lt;&gt;"Closed"),RANK(K44,$K$7:$K$46)+COUNTIF($K$7:K44,K44)-1,"")</f>
      </c>
      <c r="Y44" s="94">
        <f>IF(AND(H44="Epistemic",U44&lt;&gt;"Closed"),COUNTIF($H$7:H44,"Epistemic"),"")</f>
      </c>
    </row>
    <row r="45" spans="1:25" x14ac:dyDescent="0.3">
      <c r="A45" s="85" t="s">
        <v>250</v>
      </c>
      <c r="B45" s="86"/>
      <c r="C45" s="86"/>
      <c r="D45" s="86"/>
      <c r="E45" s="86"/>
      <c r="F45" s="87">
        <f t="shared" si="0"/>
      </c>
      <c r="G45" s="75"/>
      <c r="H45" s="88"/>
      <c r="I45" s="89"/>
      <c r="J45" s="78"/>
      <c r="K45" s="90">
        <f t="shared" si="2"/>
      </c>
      <c r="L45" s="78"/>
      <c r="M45" s="91">
        <f t="shared" si="1"/>
      </c>
      <c r="N45" s="75"/>
      <c r="O45" s="86"/>
      <c r="P45" s="78"/>
      <c r="Q45" s="75"/>
      <c r="R45" s="92"/>
      <c r="S45" s="88"/>
      <c r="T45" s="86"/>
      <c r="U45" s="88"/>
      <c r="V45" s="93">
        <f>IF(OR(B45="",R45="",S45="Done",U45="Closed"),"",IF(Setup!$B$8&gt;R45,Setup!$B$8-R45,""))</f>
      </c>
      <c r="W45" s="86"/>
      <c r="X45" s="94">
        <f>IF(AND(ISNUMBER(K45),U45&lt;&gt;"Closed"),RANK(K45,$K$7:$K$46)+COUNTIF($K$7:K45,K45)-1,"")</f>
      </c>
      <c r="Y45" s="94">
        <f>IF(AND(H45="Epistemic",U45&lt;&gt;"Closed"),COUNTIF($H$7:H45,"Epistemic"),"")</f>
      </c>
    </row>
    <row r="46" spans="1:25" x14ac:dyDescent="0.3">
      <c r="A46" s="85" t="s">
        <v>251</v>
      </c>
      <c r="B46" s="86"/>
      <c r="C46" s="86"/>
      <c r="D46" s="86"/>
      <c r="E46" s="86"/>
      <c r="F46" s="87">
        <f t="shared" si="0"/>
      </c>
      <c r="G46" s="75"/>
      <c r="H46" s="88"/>
      <c r="I46" s="89"/>
      <c r="J46" s="78"/>
      <c r="K46" s="90">
        <f t="shared" si="2"/>
      </c>
      <c r="L46" s="78"/>
      <c r="M46" s="91">
        <f t="shared" si="1"/>
      </c>
      <c r="N46" s="75"/>
      <c r="O46" s="86"/>
      <c r="P46" s="78"/>
      <c r="Q46" s="75"/>
      <c r="R46" s="92"/>
      <c r="S46" s="88"/>
      <c r="T46" s="86"/>
      <c r="U46" s="88"/>
      <c r="V46" s="93">
        <f>IF(OR(B46="",R46="",S46="Done",U46="Closed"),"",IF(Setup!$B$8&gt;R46,Setup!$B$8-R46,""))</f>
      </c>
      <c r="W46" s="86"/>
      <c r="X46" s="94">
        <f>IF(AND(ISNUMBER(K46),U46&lt;&gt;"Closed"),RANK(K46,$K$7:$K$46)+COUNTIF($K$7:K46,K46)-1,"")</f>
      </c>
      <c r="Y46" s="94">
        <f>IF(AND(H46="Epistemic",U46&lt;&gt;"Closed"),COUNTIF($H$7:H46,"Epistemic"),"")</f>
      </c>
    </row>
    <row r="48" spans="1:25" x14ac:dyDescent="0.3">
      <c r="B48" s="96" t="s">
        <v>252</v>
      </c>
    </row>
    <row r="49" spans="2:5" x14ac:dyDescent="0.3">
      <c r="B49" s="19" t="s">
        <v>253</v>
      </c>
      <c r="E49" s="97">
        <f>COUNTIFS(B7:B46,"&lt;&gt;",U7:U46,"&lt;&gt;Closed")</f>
      </c>
    </row>
    <row r="50" spans="2:5" x14ac:dyDescent="0.3">
      <c r="B50" s="74" t="s">
        <v>254</v>
      </c>
      <c r="E50" s="98">
        <f>SUMIF(U7:U46,"&lt;&gt;Closed",K7:K46)</f>
      </c>
    </row>
    <row r="51" spans="2:5" x14ac:dyDescent="0.3">
      <c r="B51" s="19" t="s">
        <v>255</v>
      </c>
      <c r="E51" s="99">
        <f>SUMIFS(K7:K46,H7:H46,"Epistemic",U7:U46,"&lt;&gt;Closed")</f>
      </c>
    </row>
    <row r="52" spans="2:5" x14ac:dyDescent="0.3">
      <c r="B52" s="19" t="s">
        <v>256</v>
      </c>
      <c r="E52" s="99">
        <f>SUMIFS(K7:K46,H7:H46,"Aleatory",U7:U46,"&lt;&gt;Closed")</f>
      </c>
    </row>
    <row r="53" spans="2:5" x14ac:dyDescent="0.3">
      <c r="B53" s="19" t="s">
        <v>257</v>
      </c>
      <c r="E53" s="99">
        <f>SUMIFS(K7:K46,H7:H46,"Mixed",U7:U46,"&lt;&gt;Closed")</f>
      </c>
    </row>
    <row r="54" spans="2:5" x14ac:dyDescent="0.3">
      <c r="B54" s="19" t="s">
        <v>258</v>
      </c>
      <c r="E54" s="97">
        <f>COUNTIFS(H7:H46,"Epistemic",U7:U46,"&lt;&gt;Closed")</f>
      </c>
    </row>
    <row r="55" spans="2:5" x14ac:dyDescent="0.3">
      <c r="B55" s="19" t="s">
        <v>259</v>
      </c>
      <c r="E55" s="99">
        <f>SUMIFS(L7:L46,H7:H46,"Epistemic",U7:U46,"&lt;&gt;Closed")</f>
      </c>
    </row>
    <row r="56" spans="2:5" x14ac:dyDescent="0.3">
      <c r="B56" s="19" t="s">
        <v>260</v>
      </c>
      <c r="E56" s="97">
        <f>COUNTIFS(H7:H46,"Epistemic",L7:L46,0,U7:U46,"&lt;&gt;Closed")</f>
      </c>
    </row>
    <row r="57" spans="2:5" x14ac:dyDescent="0.3">
      <c r="B57" s="74" t="s">
        <v>261</v>
      </c>
      <c r="E57" s="98">
        <f>SUMIF(U7:U46,"&lt;&gt;Closed",P7:P46)</f>
      </c>
    </row>
    <row r="58" spans="2:5" x14ac:dyDescent="0.3">
      <c r="B58" s="19" t="s">
        <v>262</v>
      </c>
      <c r="E58" s="97">
        <f>COUNTIFS(N7:N46,"&lt;&gt;",U7:U46,"&lt;&gt;Closed")</f>
      </c>
    </row>
    <row r="59" spans="2:5" x14ac:dyDescent="0.3">
      <c r="B59" s="19" t="s">
        <v>263</v>
      </c>
      <c r="E59" s="97">
        <f>COUNTIF(S7:S46,"Done")</f>
      </c>
    </row>
    <row r="60" spans="2:5" x14ac:dyDescent="0.3">
      <c r="B60" s="19" t="s">
        <v>264</v>
      </c>
      <c r="E60" s="97">
        <f>COUNTIFS(B7:B46,"&lt;&gt;",Q7:Q46,"",U7:U46,"&lt;&gt;Closed")</f>
      </c>
    </row>
    <row r="61" spans="2:5" x14ac:dyDescent="0.3">
      <c r="B61" s="19" t="s">
        <v>265</v>
      </c>
      <c r="E61" s="97">
        <f>COUNTIF(V7:V46,"&gt;0")</f>
      </c>
    </row>
    <row r="62" spans="2:5" x14ac:dyDescent="0.3">
      <c r="B62" s="19" t="s">
        <v>266</v>
      </c>
      <c r="E62" s="97">
        <f>COUNTIF(F7:F46,"Missing*")</f>
      </c>
    </row>
  </sheetData>
  <sheetProtection sheet="1" formatCells="0" formatColumns="0" formatRows="0" insertColumns="0" insertRows="0" insertHyperlinks="0" deleteColumns="0" deleteRows="0" sort="0" autoFilter="0" pivotTables="0"/>
  <conditionalFormatting sqref="F7:F46">
    <cfRule type="expression" dxfId="10" priority="4">
      <formula>LEFT(F7,7)="Missing"</formula>
    </cfRule>
    <cfRule type="expression" dxfId="9" priority="5">
      <formula>LEFT(F7,1)="✔"</formula>
    </cfRule>
  </conditionalFormatting>
  <conditionalFormatting sqref="H7:H46">
    <cfRule type="cellIs" dxfId="8" priority="1" operator="equal">
      <formula>"Epistemic"</formula>
    </cfRule>
    <cfRule type="cellIs" dxfId="7" priority="2" operator="equal">
      <formula>"Aleatory"</formula>
    </cfRule>
    <cfRule type="cellIs" dxfId="6" priority="3" operator="equal">
      <formula>"Mixed"</formula>
    </cfRule>
  </conditionalFormatting>
  <conditionalFormatting sqref="K7:K46">
    <cfRule type="dataBar" priority="6">
      <dataBar>
        <cfvo type="num" val="0"/>
        <cfvo type="max"/>
        <color rgb="FFF97316"/>
      </dataBar>
    </cfRule>
  </conditionalFormatting>
  <conditionalFormatting sqref="M7:M46">
    <cfRule type="cellIs" dxfId="5" priority="7" operator="equal">
      <formula>"Free: ask"</formula>
    </cfRule>
  </conditionalFormatting>
  <conditionalFormatting sqref="Q7:Q46">
    <cfRule type="expression" dxfId="4" priority="12">
      <formula>AND($B7&lt;&gt;"",$Q7="",$U7&lt;&gt;"Closed")</formula>
    </cfRule>
  </conditionalFormatting>
  <conditionalFormatting sqref="S7:S46">
    <cfRule type="cellIs" dxfId="3" priority="8" operator="equal">
      <formula>"Done"</formula>
    </cfRule>
    <cfRule type="cellIs" dxfId="2" priority="9" operator="equal">
      <formula>"In progress"</formula>
    </cfRule>
    <cfRule type="cellIs" dxfId="1" priority="10" operator="equal">
      <formula>"Not started"</formula>
    </cfRule>
  </conditionalFormatting>
  <conditionalFormatting sqref="V7:V46">
    <cfRule type="cellIs" dxfId="0" priority="11" operator="greaterThan">
      <formula>0</formula>
    </cfRule>
  </conditionalFormatting>
  <dataValidations count="4">
    <dataValidation type="list" allowBlank="1" sqref="H7:H46" xr:uid="{00000000-0002-0000-0300-000000000000}">
      <formula1>"Epistemic,Aleatory,Mixed"</formula1>
    </dataValidation>
    <dataValidation type="list" allowBlank="1" sqref="N7:N46" xr:uid="{00000000-0002-0000-0300-000001000000}">
      <formula1>"Investigate,Avoid,Reduce,Transfer,Accept,Escalate"</formula1>
    </dataValidation>
    <dataValidation type="list" allowBlank="1" sqref="S7:S46" xr:uid="{00000000-0002-0000-0300-000002000000}">
      <formula1>"Not started,In progress,Done"</formula1>
    </dataValidation>
    <dataValidation type="list" allowBlank="1" sqref="U7:U46" xr:uid="{00000000-0002-0000-0300-000003000000}">
      <formula1>"Open,Closed"</formula1>
    </dataValidation>
  </dataValidations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4000000}">
          <x14:formula1>
            <xm:f>Setup!$B$15:$B$34</xm:f>
          </x14:formula1>
          <xm:sqref>Q7:Q46</xm:sqref>
        </x14:dataValidation>
        <x14:dataValidation type="list" allowBlank="1" xr:uid="{00000000-0002-0000-0300-000005000000}">
          <x14:formula1>
            <xm:f>Setup!$D$15:$D$29</xm:f>
          </x14:formula1>
          <xm:sqref>G7:G46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75569"/>
    <pageSetUpPr fitToPage="1"/>
  </sheetPr>
  <dimension ref="A1:H37"/>
  <sheetViews>
    <sheetView showGridLines="0" workbookViewId="0">
      <pane ySplit="7" topLeftCell="A8" activePane="bottomLeft" state="frozen"/>
      <selection pane="bottomLeft" activeCell="J18" sqref="A18:J23"/>
    </sheetView>
  </sheetViews>
  <sheetFormatPr defaultRowHeight="14.4" x14ac:dyDescent="0.3"/>
  <cols>
    <col min="1" max="1" width="9" style="2" customWidth="1"/>
    <col min="2" max="2" width="12" style="2" customWidth="1"/>
    <col min="3" max="3" width="11" style="2" customWidth="1"/>
    <col min="4" max="4" width="14" style="2" customWidth="1"/>
    <col min="5" max="5" width="15" style="2" customWidth="1"/>
    <col min="6" max="7" width="14" style="2" customWidth="1"/>
    <col min="8" max="8" width="15" style="2" customWidth="1"/>
    <col min="9" max="16384" width="8.88671875" style="2"/>
  </cols>
  <sheetData>
    <row r="1" spans="1:8" ht="28.05" customHeight="1" x14ac:dyDescent="0.4">
      <c r="A1" s="70" t="s">
        <v>41</v>
      </c>
      <c r="H1" s="107" t="s">
        <v>50</v>
      </c>
    </row>
    <row r="2" spans="1:8" x14ac:dyDescent="0.3">
      <c r="A2" s="71" t="s">
        <v>267</v>
      </c>
    </row>
    <row r="3" spans="1:8" x14ac:dyDescent="0.3">
      <c r="A3" s="72" t="s">
        <v>268</v>
      </c>
    </row>
    <row r="4" spans="1:8" x14ac:dyDescent="0.3">
      <c r="A4" s="100"/>
      <c r="B4" s="100"/>
      <c r="C4" s="100"/>
      <c r="D4" s="100"/>
      <c r="E4" s="100"/>
      <c r="F4" s="100"/>
      <c r="G4" s="100"/>
      <c r="H4" s="100"/>
    </row>
    <row r="5" spans="1:8" x14ac:dyDescent="0.3">
      <c r="A5" s="79" t="s">
        <v>269</v>
      </c>
    </row>
    <row r="6" spans="1:8" x14ac:dyDescent="0.3">
      <c r="A6" s="101">
        <f>Setup!B7</f>
      </c>
      <c r="B6" s="102">
        <f>Setup!B8</f>
      </c>
      <c r="C6" s="101">
        <f>Register!E49</f>
      </c>
      <c r="D6" s="103">
        <f>Register!E50</f>
      </c>
      <c r="E6" s="103">
        <f>Register!E51</f>
      </c>
      <c r="F6" s="103">
        <f>Register!E52</f>
      </c>
      <c r="G6" s="103">
        <f>Setup!B9</f>
      </c>
      <c r="H6" s="103">
        <f>Register!E57</f>
      </c>
    </row>
    <row r="7" spans="1:8" ht="31.95" customHeight="1" x14ac:dyDescent="0.3">
      <c r="A7" s="81" t="s">
        <v>270</v>
      </c>
      <c r="B7" s="81" t="s">
        <v>271</v>
      </c>
      <c r="C7" s="84" t="s">
        <v>253</v>
      </c>
      <c r="D7" s="84" t="s">
        <v>272</v>
      </c>
      <c r="E7" s="84" t="s">
        <v>273</v>
      </c>
      <c r="F7" s="84" t="s">
        <v>274</v>
      </c>
      <c r="G7" s="84" t="s">
        <v>275</v>
      </c>
      <c r="H7" s="84" t="s">
        <v>276</v>
      </c>
    </row>
    <row r="8" spans="1:8" x14ac:dyDescent="0.3">
      <c r="A8" s="76"/>
      <c r="B8" s="77"/>
      <c r="C8" s="76"/>
      <c r="D8" s="78"/>
      <c r="E8" s="78"/>
      <c r="F8" s="78"/>
      <c r="G8" s="78"/>
      <c r="H8" s="78"/>
    </row>
    <row r="9" spans="1:8" x14ac:dyDescent="0.3">
      <c r="A9" s="76"/>
      <c r="B9" s="77"/>
      <c r="C9" s="76"/>
      <c r="D9" s="78"/>
      <c r="E9" s="78"/>
      <c r="F9" s="78"/>
      <c r="G9" s="78"/>
      <c r="H9" s="78"/>
    </row>
    <row r="10" spans="1:8" x14ac:dyDescent="0.3">
      <c r="A10" s="76"/>
      <c r="B10" s="77"/>
      <c r="C10" s="76"/>
      <c r="D10" s="78"/>
      <c r="E10" s="78"/>
      <c r="F10" s="78"/>
      <c r="G10" s="78"/>
      <c r="H10" s="78"/>
    </row>
    <row r="11" spans="1:8" x14ac:dyDescent="0.3">
      <c r="A11" s="76"/>
      <c r="B11" s="77"/>
      <c r="C11" s="76"/>
      <c r="D11" s="78"/>
      <c r="E11" s="78"/>
      <c r="F11" s="78"/>
      <c r="G11" s="78"/>
      <c r="H11" s="78"/>
    </row>
    <row r="12" spans="1:8" x14ac:dyDescent="0.3">
      <c r="A12" s="76"/>
      <c r="B12" s="77"/>
      <c r="C12" s="76"/>
      <c r="D12" s="78"/>
      <c r="E12" s="78"/>
      <c r="F12" s="78"/>
      <c r="G12" s="78"/>
      <c r="H12" s="78"/>
    </row>
    <row r="13" spans="1:8" x14ac:dyDescent="0.3">
      <c r="A13" s="76"/>
      <c r="B13" s="77"/>
      <c r="C13" s="76"/>
      <c r="D13" s="78"/>
      <c r="E13" s="78"/>
      <c r="F13" s="78"/>
      <c r="G13" s="78"/>
      <c r="H13" s="78"/>
    </row>
    <row r="14" spans="1:8" x14ac:dyDescent="0.3">
      <c r="A14" s="76"/>
      <c r="B14" s="77"/>
      <c r="C14" s="76"/>
      <c r="D14" s="78"/>
      <c r="E14" s="78"/>
      <c r="F14" s="78"/>
      <c r="G14" s="78"/>
      <c r="H14" s="78"/>
    </row>
    <row r="15" spans="1:8" x14ac:dyDescent="0.3">
      <c r="A15" s="76"/>
      <c r="B15" s="77"/>
      <c r="C15" s="76"/>
      <c r="D15" s="78"/>
      <c r="E15" s="78"/>
      <c r="F15" s="78"/>
      <c r="G15" s="78"/>
      <c r="H15" s="78"/>
    </row>
    <row r="16" spans="1:8" x14ac:dyDescent="0.3">
      <c r="A16" s="76"/>
      <c r="B16" s="77"/>
      <c r="C16" s="76"/>
      <c r="D16" s="78"/>
      <c r="E16" s="78"/>
      <c r="F16" s="78"/>
      <c r="G16" s="78"/>
      <c r="H16" s="78"/>
    </row>
    <row r="17" spans="1:8" x14ac:dyDescent="0.3">
      <c r="A17" s="76"/>
      <c r="B17" s="77"/>
      <c r="C17" s="76"/>
      <c r="D17" s="78"/>
      <c r="E17" s="78"/>
      <c r="F17" s="78"/>
      <c r="G17" s="78"/>
      <c r="H17" s="78"/>
    </row>
    <row r="18" spans="1:8" x14ac:dyDescent="0.3">
      <c r="A18" s="76"/>
      <c r="B18" s="77"/>
      <c r="C18" s="76"/>
      <c r="D18" s="78"/>
      <c r="E18" s="78"/>
      <c r="F18" s="78"/>
      <c r="G18" s="78"/>
      <c r="H18" s="78"/>
    </row>
    <row r="19" spans="1:8" x14ac:dyDescent="0.3">
      <c r="A19" s="76"/>
      <c r="B19" s="77"/>
      <c r="C19" s="76"/>
      <c r="D19" s="78"/>
      <c r="E19" s="78"/>
      <c r="F19" s="78"/>
      <c r="G19" s="78"/>
      <c r="H19" s="78"/>
    </row>
    <row r="20" spans="1:8" x14ac:dyDescent="0.3">
      <c r="A20" s="76"/>
      <c r="B20" s="77"/>
      <c r="C20" s="76"/>
      <c r="D20" s="78"/>
      <c r="E20" s="78"/>
      <c r="F20" s="78"/>
      <c r="G20" s="78"/>
      <c r="H20" s="78"/>
    </row>
    <row r="21" spans="1:8" x14ac:dyDescent="0.3">
      <c r="A21" s="76"/>
      <c r="B21" s="77"/>
      <c r="C21" s="76"/>
      <c r="D21" s="78"/>
      <c r="E21" s="78"/>
      <c r="F21" s="78"/>
      <c r="G21" s="78"/>
      <c r="H21" s="78"/>
    </row>
    <row r="22" spans="1:8" x14ac:dyDescent="0.3">
      <c r="A22" s="76"/>
      <c r="B22" s="77"/>
      <c r="C22" s="76"/>
      <c r="D22" s="78"/>
      <c r="E22" s="78"/>
      <c r="F22" s="78"/>
      <c r="G22" s="78"/>
      <c r="H22" s="78"/>
    </row>
    <row r="23" spans="1:8" x14ac:dyDescent="0.3">
      <c r="A23" s="76"/>
      <c r="B23" s="77"/>
      <c r="C23" s="76"/>
      <c r="D23" s="78"/>
      <c r="E23" s="78"/>
      <c r="F23" s="78"/>
      <c r="G23" s="78"/>
      <c r="H23" s="78"/>
    </row>
    <row r="24" spans="1:8" x14ac:dyDescent="0.3">
      <c r="A24" s="76"/>
      <c r="B24" s="77"/>
      <c r="C24" s="76"/>
      <c r="D24" s="78"/>
      <c r="E24" s="78"/>
      <c r="F24" s="78"/>
      <c r="G24" s="78"/>
      <c r="H24" s="78"/>
    </row>
    <row r="25" spans="1:8" x14ac:dyDescent="0.3">
      <c r="A25" s="76"/>
      <c r="B25" s="77"/>
      <c r="C25" s="76"/>
      <c r="D25" s="78"/>
      <c r="E25" s="78"/>
      <c r="F25" s="78"/>
      <c r="G25" s="78"/>
      <c r="H25" s="78"/>
    </row>
    <row r="26" spans="1:8" x14ac:dyDescent="0.3">
      <c r="A26" s="76"/>
      <c r="B26" s="77"/>
      <c r="C26" s="76"/>
      <c r="D26" s="78"/>
      <c r="E26" s="78"/>
      <c r="F26" s="78"/>
      <c r="G26" s="78"/>
      <c r="H26" s="78"/>
    </row>
    <row r="27" spans="1:8" x14ac:dyDescent="0.3">
      <c r="A27" s="76"/>
      <c r="B27" s="77"/>
      <c r="C27" s="76"/>
      <c r="D27" s="78"/>
      <c r="E27" s="78"/>
      <c r="F27" s="78"/>
      <c r="G27" s="78"/>
      <c r="H27" s="78"/>
    </row>
    <row r="28" spans="1:8" x14ac:dyDescent="0.3">
      <c r="A28" s="76"/>
      <c r="B28" s="77"/>
      <c r="C28" s="76"/>
      <c r="D28" s="78"/>
      <c r="E28" s="78"/>
      <c r="F28" s="78"/>
      <c r="G28" s="78"/>
      <c r="H28" s="78"/>
    </row>
    <row r="29" spans="1:8" x14ac:dyDescent="0.3">
      <c r="A29" s="76"/>
      <c r="B29" s="77"/>
      <c r="C29" s="76"/>
      <c r="D29" s="78"/>
      <c r="E29" s="78"/>
      <c r="F29" s="78"/>
      <c r="G29" s="78"/>
      <c r="H29" s="78"/>
    </row>
    <row r="30" spans="1:8" x14ac:dyDescent="0.3">
      <c r="A30" s="76"/>
      <c r="B30" s="77"/>
      <c r="C30" s="76"/>
      <c r="D30" s="78"/>
      <c r="E30" s="78"/>
      <c r="F30" s="78"/>
      <c r="G30" s="78"/>
      <c r="H30" s="78"/>
    </row>
    <row r="31" spans="1:8" x14ac:dyDescent="0.3">
      <c r="A31" s="76"/>
      <c r="B31" s="77"/>
      <c r="C31" s="76"/>
      <c r="D31" s="78"/>
      <c r="E31" s="78"/>
      <c r="F31" s="78"/>
      <c r="G31" s="78"/>
      <c r="H31" s="78"/>
    </row>
    <row r="32" spans="1:8" x14ac:dyDescent="0.3">
      <c r="A32" s="76"/>
      <c r="B32" s="77"/>
      <c r="C32" s="76"/>
      <c r="D32" s="78"/>
      <c r="E32" s="78"/>
      <c r="F32" s="78"/>
      <c r="G32" s="78"/>
      <c r="H32" s="78"/>
    </row>
    <row r="33" spans="1:8" x14ac:dyDescent="0.3">
      <c r="A33" s="76"/>
      <c r="B33" s="77"/>
      <c r="C33" s="76"/>
      <c r="D33" s="78"/>
      <c r="E33" s="78"/>
      <c r="F33" s="78"/>
      <c r="G33" s="78"/>
      <c r="H33" s="78"/>
    </row>
    <row r="34" spans="1:8" x14ac:dyDescent="0.3">
      <c r="A34" s="76"/>
      <c r="B34" s="77"/>
      <c r="C34" s="76"/>
      <c r="D34" s="78"/>
      <c r="E34" s="78"/>
      <c r="F34" s="78"/>
      <c r="G34" s="78"/>
      <c r="H34" s="78"/>
    </row>
    <row r="35" spans="1:8" x14ac:dyDescent="0.3">
      <c r="A35" s="76"/>
      <c r="B35" s="77"/>
      <c r="C35" s="76"/>
      <c r="D35" s="78"/>
      <c r="E35" s="78"/>
      <c r="F35" s="78"/>
      <c r="G35" s="78"/>
      <c r="H35" s="78"/>
    </row>
    <row r="36" spans="1:8" x14ac:dyDescent="0.3">
      <c r="A36" s="76"/>
      <c r="B36" s="77"/>
      <c r="C36" s="76"/>
      <c r="D36" s="78"/>
      <c r="E36" s="78"/>
      <c r="F36" s="78"/>
      <c r="G36" s="78"/>
      <c r="H36" s="78"/>
    </row>
    <row r="37" spans="1:8" x14ac:dyDescent="0.3">
      <c r="A37" s="76"/>
      <c r="B37" s="77"/>
      <c r="C37" s="76"/>
      <c r="D37" s="78"/>
      <c r="E37" s="78"/>
      <c r="F37" s="78"/>
      <c r="G37" s="78"/>
      <c r="H37" s="78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Start</vt:lpstr>
      <vt:lpstr>Dashboard</vt:lpstr>
      <vt:lpstr>Setup</vt:lpstr>
      <vt:lpstr>Register</vt:lpstr>
      <vt:lpstr>History</vt:lpstr>
      <vt:lpstr>Dashboard!Print_Area</vt:lpstr>
      <vt:lpstr>History!Print_Area</vt:lpstr>
      <vt:lpstr>Register!Print_Area</vt:lpstr>
      <vt:lpstr>Setup!Print_Area</vt:lpstr>
      <vt:lpstr>Start!Print_Area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2026-10-12T06:48:59Z</dcterms:created>
  <dcterms:modified xsi:type="dcterms:W3CDTF">2026-10-12T08:16:51Z</dcterms:modified>
</cp:coreProperties>
</file>