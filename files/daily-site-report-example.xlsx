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477D4471-B50A-41ED-AFD0-F0214CF83502}" xr6:coauthVersionLast="47" xr6:coauthVersionMax="47" xr10:uidLastSave="{00000000-0000-0000-0000-000000000000}"/>
  <bookViews>
    <workbookView xWindow="-28920" yWindow="-45" windowWidth="29040" windowHeight="15720" tabRatio="877" activeTab="10" xr2:uid="{00000000-000D-0000-FFFF-FFFF00000000}"/>
  </bookViews>
  <sheets>
    <sheet name="00 Start" sheetId="1" r:id="rId1"/>
    <sheet name="01 Daily report" sheetId="4" r:id="rId2"/>
    <sheet name="02 Dashboard" sheetId="2" r:id="rId3"/>
    <sheet name="03 Day log" sheetId="5" r:id="rId4"/>
    <sheet name="04 Resource log" sheetId="11" r:id="rId5"/>
    <sheet name="05 Work done log" sheetId="10" r:id="rId6"/>
    <sheet name="06 Event log" sheetId="13" r:id="rId7"/>
    <sheet name="07 Delivery log" sheetId="14" r:id="rId8"/>
    <sheet name="08 Safety log" sheetId="15" r:id="rId9"/>
    <sheet name="09 Not yet reported" sheetId="7" r:id="rId10"/>
    <sheet name="10 Revision log" sheetId="6" r:id="rId11"/>
    <sheet name="11 Notice calendar" sheetId="8" r:id="rId12"/>
    <sheet name="12 P6 activities" sheetId="9" r:id="rId13"/>
    <sheet name="13 Contract hours" sheetId="12" r:id="rId14"/>
    <sheet name="14 Setup" sheetId="3" r:id="rId15"/>
    <sheet name="15 Chart data" sheetId="16" r:id="rId16"/>
  </sheets>
  <definedNames>
    <definedName name="_xlnm.Print_Area" localSheetId="0">'00 Start'!$A$1:$F$57</definedName>
    <definedName name="_xlnm.Print_Area" localSheetId="1">'01 Daily report'!$A$1:$H$92</definedName>
    <definedName name="_xlnm.Print_Area" localSheetId="2">'02 Dashboard'!$A$1:$N$94</definedName>
    <definedName name="_xlnm.Print_Area" localSheetId="3">'03 Day log'!$A$1:$R$38</definedName>
    <definedName name="_xlnm.Print_Area" localSheetId="4">'04 Resource log'!$A$1:$L$506</definedName>
    <definedName name="_xlnm.Print_Area" localSheetId="5">'05 Work done log'!$A$1:$I$506</definedName>
    <definedName name="_xlnm.Print_Area" localSheetId="6">'06 Event log'!$A$1:$K$506</definedName>
    <definedName name="_xlnm.Print_Area" localSheetId="7">'07 Delivery log'!$A$1:$K$506</definedName>
    <definedName name="_xlnm.Print_Area" localSheetId="8">'08 Safety log'!$A$1:$G$506</definedName>
    <definedName name="_xlnm.Print_Area" localSheetId="9">'09 Not yet reported'!$A$1:$H$46</definedName>
    <definedName name="_xlnm.Print_Area" localSheetId="10">'10 Revision log'!$A$1:$I$56</definedName>
    <definedName name="_xlnm.Print_Area" localSheetId="11">'11 Notice calendar'!$A$1:$K$46</definedName>
    <definedName name="_xlnm.Print_Area" localSheetId="12">'12 P6 activities'!$A$1:$P$206</definedName>
    <definedName name="_xlnm.Print_Area" localSheetId="13">'13 Contract hours'!$A$1:$L$206</definedName>
    <definedName name="_xlnm.Print_Area" localSheetId="14">'14 Setup'!$A$1:$V$28</definedName>
    <definedName name="_xlnm.Print_Area" localSheetId="15">'15 Chart data'!$A$1:$I$32</definedName>
    <definedName name="WeekEnd">'15 Chart data'!$C$22</definedName>
    <definedName name="WeekNo">'02 Dashboard'!$C$4</definedName>
    <definedName name="WeekReports">'15 Chart data'!$C$23</definedName>
    <definedName name="WeekStart">'15 Chart data'!$C$21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5" i="9" l="1"/>
  <c r="I195" i="9"/>
  <c r="J195" i="9"/>
  <c r="K195" i="9"/>
  <c r="L195" i="9"/>
  <c r="M195" i="9"/>
  <c r="N195" i="9" s="1"/>
  <c r="O195" i="9"/>
  <c r="H196" i="9"/>
  <c r="I196" i="9"/>
  <c r="J196" i="9"/>
  <c r="K196" i="9"/>
  <c r="L196" i="9"/>
  <c r="M196" i="9"/>
  <c r="N196" i="9" s="1"/>
  <c r="O196" i="9"/>
  <c r="H197" i="9"/>
  <c r="I197" i="9"/>
  <c r="J197" i="9"/>
  <c r="K197" i="9"/>
  <c r="L197" i="9"/>
  <c r="M197" i="9"/>
  <c r="N197" i="9" s="1"/>
  <c r="O197" i="9"/>
  <c r="H198" i="9"/>
  <c r="I198" i="9"/>
  <c r="J198" i="9"/>
  <c r="K198" i="9"/>
  <c r="L198" i="9"/>
  <c r="M198" i="9"/>
  <c r="N198" i="9" s="1"/>
  <c r="O198" i="9"/>
  <c r="H199" i="9"/>
  <c r="I199" i="9"/>
  <c r="J199" i="9"/>
  <c r="K199" i="9"/>
  <c r="L199" i="9"/>
  <c r="M199" i="9"/>
  <c r="N199" i="9" s="1"/>
  <c r="O199" i="9"/>
  <c r="H200" i="9"/>
  <c r="I200" i="9"/>
  <c r="J200" i="9"/>
  <c r="K200" i="9"/>
  <c r="L200" i="9"/>
  <c r="M200" i="9"/>
  <c r="N200" i="9" s="1"/>
  <c r="O200" i="9"/>
  <c r="H201" i="9"/>
  <c r="I201" i="9"/>
  <c r="J201" i="9"/>
  <c r="K201" i="9"/>
  <c r="L201" i="9"/>
  <c r="M201" i="9"/>
  <c r="N201" i="9" s="1"/>
  <c r="O201" i="9"/>
  <c r="H202" i="9"/>
  <c r="I202" i="9"/>
  <c r="J202" i="9"/>
  <c r="K202" i="9"/>
  <c r="L202" i="9"/>
  <c r="M202" i="9"/>
  <c r="N202" i="9" s="1"/>
  <c r="O202" i="9"/>
  <c r="H203" i="9"/>
  <c r="I203" i="9"/>
  <c r="J203" i="9"/>
  <c r="K203" i="9"/>
  <c r="L203" i="9"/>
  <c r="M203" i="9"/>
  <c r="N203" i="9" s="1"/>
  <c r="O203" i="9"/>
  <c r="H204" i="9"/>
  <c r="I204" i="9"/>
  <c r="J204" i="9"/>
  <c r="K204" i="9"/>
  <c r="L204" i="9"/>
  <c r="M204" i="9"/>
  <c r="N204" i="9" s="1"/>
  <c r="O204" i="9"/>
  <c r="H205" i="9"/>
  <c r="I205" i="9"/>
  <c r="J205" i="9"/>
  <c r="K205" i="9"/>
  <c r="L205" i="9"/>
  <c r="M205" i="9"/>
  <c r="N205" i="9" s="1"/>
  <c r="O205" i="9"/>
  <c r="H206" i="9"/>
  <c r="I206" i="9"/>
  <c r="J206" i="9"/>
  <c r="K206" i="9"/>
  <c r="L206" i="9"/>
  <c r="M206" i="9"/>
  <c r="N206" i="9" s="1"/>
  <c r="O206" i="9"/>
  <c r="H7" i="9"/>
  <c r="K7" i="9"/>
  <c r="L7" i="9"/>
  <c r="O7" i="9"/>
  <c r="H8" i="9"/>
  <c r="I8" i="9"/>
  <c r="J8" i="9"/>
  <c r="K8" i="9"/>
  <c r="M8" i="9"/>
  <c r="O8" i="9"/>
  <c r="H9" i="9"/>
  <c r="I9" i="9"/>
  <c r="J9" i="9"/>
  <c r="K9" i="9"/>
  <c r="M9" i="9"/>
  <c r="O9" i="9"/>
  <c r="H10" i="9"/>
  <c r="K10" i="9"/>
  <c r="L10" i="9" s="1"/>
  <c r="O10" i="9"/>
  <c r="H11" i="9"/>
  <c r="K11" i="9"/>
  <c r="L11" i="9" s="1"/>
  <c r="O11" i="9"/>
  <c r="H12" i="9"/>
  <c r="I12" i="9"/>
  <c r="J12" i="9"/>
  <c r="K12" i="9"/>
  <c r="M12" i="9"/>
  <c r="O12" i="9"/>
  <c r="H13" i="9"/>
  <c r="K13" i="9"/>
  <c r="L13" i="9" s="1"/>
  <c r="O13" i="9"/>
  <c r="H14" i="9"/>
  <c r="K14" i="9"/>
  <c r="L14" i="9"/>
  <c r="O14" i="9"/>
  <c r="H15" i="9"/>
  <c r="I15" i="9"/>
  <c r="J15" i="9"/>
  <c r="K15" i="9"/>
  <c r="N15" i="9" s="1"/>
  <c r="L15" i="9"/>
  <c r="M15" i="9"/>
  <c r="O15" i="9"/>
  <c r="H16" i="9"/>
  <c r="I16" i="9"/>
  <c r="J16" i="9"/>
  <c r="K16" i="9"/>
  <c r="L16" i="9"/>
  <c r="M16" i="9"/>
  <c r="N16" i="9"/>
  <c r="O16" i="9"/>
  <c r="H17" i="9"/>
  <c r="I17" i="9"/>
  <c r="J17" i="9"/>
  <c r="K17" i="9"/>
  <c r="L17" i="9"/>
  <c r="M17" i="9"/>
  <c r="N17" i="9" s="1"/>
  <c r="O17" i="9"/>
  <c r="H18" i="9"/>
  <c r="I18" i="9"/>
  <c r="J18" i="9"/>
  <c r="K18" i="9"/>
  <c r="L18" i="9"/>
  <c r="M18" i="9"/>
  <c r="N18" i="9" s="1"/>
  <c r="O18" i="9"/>
  <c r="H19" i="9"/>
  <c r="I19" i="9"/>
  <c r="J19" i="9"/>
  <c r="K19" i="9"/>
  <c r="L19" i="9"/>
  <c r="M19" i="9"/>
  <c r="N19" i="9" s="1"/>
  <c r="O19" i="9"/>
  <c r="H20" i="9"/>
  <c r="I20" i="9"/>
  <c r="J20" i="9"/>
  <c r="K20" i="9"/>
  <c r="L20" i="9"/>
  <c r="M20" i="9"/>
  <c r="N20" i="9" s="1"/>
  <c r="O20" i="9"/>
  <c r="H21" i="9"/>
  <c r="I21" i="9"/>
  <c r="J21" i="9"/>
  <c r="K21" i="9"/>
  <c r="L21" i="9"/>
  <c r="M21" i="9"/>
  <c r="N21" i="9"/>
  <c r="O21" i="9"/>
  <c r="H22" i="9"/>
  <c r="I22" i="9"/>
  <c r="J22" i="9"/>
  <c r="K22" i="9"/>
  <c r="L22" i="9"/>
  <c r="M22" i="9"/>
  <c r="N22" i="9" s="1"/>
  <c r="O22" i="9"/>
  <c r="H23" i="9"/>
  <c r="I23" i="9"/>
  <c r="J23" i="9"/>
  <c r="K23" i="9"/>
  <c r="L23" i="9"/>
  <c r="M23" i="9"/>
  <c r="N23" i="9" s="1"/>
  <c r="O23" i="9"/>
  <c r="H24" i="9"/>
  <c r="I24" i="9"/>
  <c r="J24" i="9"/>
  <c r="K24" i="9"/>
  <c r="L24" i="9"/>
  <c r="M24" i="9"/>
  <c r="N24" i="9" s="1"/>
  <c r="O24" i="9"/>
  <c r="H25" i="9"/>
  <c r="I25" i="9"/>
  <c r="J25" i="9"/>
  <c r="K25" i="9"/>
  <c r="L25" i="9"/>
  <c r="M25" i="9"/>
  <c r="N25" i="9" s="1"/>
  <c r="O25" i="9"/>
  <c r="H26" i="9"/>
  <c r="I26" i="9"/>
  <c r="J26" i="9"/>
  <c r="K26" i="9"/>
  <c r="L26" i="9"/>
  <c r="M26" i="9"/>
  <c r="N26" i="9" s="1"/>
  <c r="O26" i="9"/>
  <c r="H27" i="9"/>
  <c r="I27" i="9"/>
  <c r="J27" i="9"/>
  <c r="K27" i="9"/>
  <c r="L27" i="9"/>
  <c r="M27" i="9"/>
  <c r="N27" i="9" s="1"/>
  <c r="O27" i="9"/>
  <c r="H28" i="9"/>
  <c r="I28" i="9"/>
  <c r="J28" i="9"/>
  <c r="K28" i="9"/>
  <c r="L28" i="9"/>
  <c r="M28" i="9"/>
  <c r="N28" i="9" s="1"/>
  <c r="O28" i="9"/>
  <c r="H29" i="9"/>
  <c r="I29" i="9"/>
  <c r="J29" i="9"/>
  <c r="K29" i="9"/>
  <c r="L29" i="9"/>
  <c r="M29" i="9"/>
  <c r="N29" i="9" s="1"/>
  <c r="O29" i="9"/>
  <c r="H30" i="9"/>
  <c r="I30" i="9"/>
  <c r="J30" i="9"/>
  <c r="K30" i="9"/>
  <c r="L30" i="9"/>
  <c r="M30" i="9"/>
  <c r="N30" i="9" s="1"/>
  <c r="O30" i="9"/>
  <c r="H31" i="9"/>
  <c r="I31" i="9"/>
  <c r="J31" i="9"/>
  <c r="K31" i="9"/>
  <c r="L31" i="9"/>
  <c r="M31" i="9"/>
  <c r="N31" i="9" s="1"/>
  <c r="O31" i="9"/>
  <c r="H32" i="9"/>
  <c r="I32" i="9"/>
  <c r="J32" i="9"/>
  <c r="K32" i="9"/>
  <c r="L32" i="9"/>
  <c r="M32" i="9"/>
  <c r="N32" i="9" s="1"/>
  <c r="O32" i="9"/>
  <c r="H33" i="9"/>
  <c r="I33" i="9"/>
  <c r="J33" i="9"/>
  <c r="K33" i="9"/>
  <c r="L33" i="9"/>
  <c r="M33" i="9"/>
  <c r="N33" i="9" s="1"/>
  <c r="O33" i="9"/>
  <c r="H34" i="9"/>
  <c r="I34" i="9"/>
  <c r="J34" i="9"/>
  <c r="K34" i="9"/>
  <c r="L34" i="9"/>
  <c r="M34" i="9"/>
  <c r="N34" i="9" s="1"/>
  <c r="O34" i="9"/>
  <c r="H35" i="9"/>
  <c r="I35" i="9"/>
  <c r="J35" i="9"/>
  <c r="K35" i="9"/>
  <c r="L35" i="9"/>
  <c r="M35" i="9"/>
  <c r="N35" i="9"/>
  <c r="O35" i="9"/>
  <c r="H36" i="9"/>
  <c r="I36" i="9"/>
  <c r="J36" i="9"/>
  <c r="K36" i="9"/>
  <c r="L36" i="9"/>
  <c r="M36" i="9"/>
  <c r="N36" i="9" s="1"/>
  <c r="O36" i="9"/>
  <c r="H37" i="9"/>
  <c r="I37" i="9"/>
  <c r="J37" i="9"/>
  <c r="K37" i="9"/>
  <c r="L37" i="9"/>
  <c r="M37" i="9"/>
  <c r="N37" i="9" s="1"/>
  <c r="O37" i="9"/>
  <c r="H38" i="9"/>
  <c r="I38" i="9"/>
  <c r="J38" i="9"/>
  <c r="K38" i="9"/>
  <c r="L38" i="9"/>
  <c r="M38" i="9"/>
  <c r="N38" i="9" s="1"/>
  <c r="O38" i="9"/>
  <c r="H39" i="9"/>
  <c r="I39" i="9"/>
  <c r="J39" i="9"/>
  <c r="K39" i="9"/>
  <c r="L39" i="9"/>
  <c r="M39" i="9"/>
  <c r="N39" i="9"/>
  <c r="O39" i="9"/>
  <c r="H40" i="9"/>
  <c r="I40" i="9"/>
  <c r="J40" i="9"/>
  <c r="K40" i="9"/>
  <c r="L40" i="9"/>
  <c r="M40" i="9"/>
  <c r="N40" i="9" s="1"/>
  <c r="O40" i="9"/>
  <c r="H41" i="9"/>
  <c r="I41" i="9"/>
  <c r="J41" i="9"/>
  <c r="K41" i="9"/>
  <c r="L41" i="9"/>
  <c r="M41" i="9"/>
  <c r="N41" i="9" s="1"/>
  <c r="O41" i="9"/>
  <c r="H42" i="9"/>
  <c r="I42" i="9"/>
  <c r="J42" i="9"/>
  <c r="K42" i="9"/>
  <c r="L42" i="9"/>
  <c r="M42" i="9"/>
  <c r="N42" i="9" s="1"/>
  <c r="O42" i="9"/>
  <c r="H43" i="9"/>
  <c r="I43" i="9"/>
  <c r="J43" i="9"/>
  <c r="K43" i="9"/>
  <c r="L43" i="9"/>
  <c r="M43" i="9"/>
  <c r="N43" i="9"/>
  <c r="O43" i="9"/>
  <c r="H44" i="9"/>
  <c r="I44" i="9"/>
  <c r="J44" i="9"/>
  <c r="K44" i="9"/>
  <c r="L44" i="9"/>
  <c r="M44" i="9"/>
  <c r="N44" i="9"/>
  <c r="O44" i="9"/>
  <c r="H45" i="9"/>
  <c r="I45" i="9"/>
  <c r="J45" i="9"/>
  <c r="K45" i="9"/>
  <c r="L45" i="9"/>
  <c r="M45" i="9"/>
  <c r="N45" i="9" s="1"/>
  <c r="O45" i="9"/>
  <c r="H46" i="9"/>
  <c r="I46" i="9"/>
  <c r="J46" i="9"/>
  <c r="K46" i="9"/>
  <c r="L46" i="9"/>
  <c r="M46" i="9"/>
  <c r="N46" i="9" s="1"/>
  <c r="O46" i="9"/>
  <c r="H47" i="9"/>
  <c r="I47" i="9"/>
  <c r="J47" i="9"/>
  <c r="K47" i="9"/>
  <c r="L47" i="9"/>
  <c r="M47" i="9"/>
  <c r="N47" i="9" s="1"/>
  <c r="O47" i="9"/>
  <c r="H48" i="9"/>
  <c r="I48" i="9"/>
  <c r="J48" i="9"/>
  <c r="K48" i="9"/>
  <c r="L48" i="9"/>
  <c r="M48" i="9"/>
  <c r="N48" i="9" s="1"/>
  <c r="O48" i="9"/>
  <c r="H49" i="9"/>
  <c r="I49" i="9"/>
  <c r="J49" i="9"/>
  <c r="K49" i="9"/>
  <c r="L49" i="9"/>
  <c r="M49" i="9"/>
  <c r="N49" i="9" s="1"/>
  <c r="O49" i="9"/>
  <c r="H50" i="9"/>
  <c r="I50" i="9"/>
  <c r="J50" i="9"/>
  <c r="K50" i="9"/>
  <c r="L50" i="9"/>
  <c r="M50" i="9"/>
  <c r="N50" i="9" s="1"/>
  <c r="O50" i="9"/>
  <c r="H51" i="9"/>
  <c r="I51" i="9"/>
  <c r="J51" i="9"/>
  <c r="K51" i="9"/>
  <c r="L51" i="9"/>
  <c r="M51" i="9"/>
  <c r="N51" i="9" s="1"/>
  <c r="O51" i="9"/>
  <c r="H52" i="9"/>
  <c r="I52" i="9"/>
  <c r="J52" i="9"/>
  <c r="K52" i="9"/>
  <c r="L52" i="9"/>
  <c r="M52" i="9"/>
  <c r="N52" i="9"/>
  <c r="O52" i="9"/>
  <c r="H53" i="9"/>
  <c r="I53" i="9"/>
  <c r="J53" i="9"/>
  <c r="K53" i="9"/>
  <c r="L53" i="9"/>
  <c r="M53" i="9"/>
  <c r="N53" i="9" s="1"/>
  <c r="O53" i="9"/>
  <c r="H54" i="9"/>
  <c r="I54" i="9"/>
  <c r="J54" i="9"/>
  <c r="K54" i="9"/>
  <c r="L54" i="9"/>
  <c r="M54" i="9"/>
  <c r="N54" i="9" s="1"/>
  <c r="O54" i="9"/>
  <c r="H55" i="9"/>
  <c r="I55" i="9"/>
  <c r="J55" i="9"/>
  <c r="K55" i="9"/>
  <c r="L55" i="9"/>
  <c r="M55" i="9"/>
  <c r="N55" i="9"/>
  <c r="O55" i="9"/>
  <c r="H56" i="9"/>
  <c r="I56" i="9"/>
  <c r="J56" i="9"/>
  <c r="K56" i="9"/>
  <c r="L56" i="9"/>
  <c r="M56" i="9"/>
  <c r="N56" i="9" s="1"/>
  <c r="O56" i="9"/>
  <c r="H57" i="9"/>
  <c r="I57" i="9"/>
  <c r="J57" i="9"/>
  <c r="K57" i="9"/>
  <c r="L57" i="9"/>
  <c r="M57" i="9"/>
  <c r="N57" i="9" s="1"/>
  <c r="O57" i="9"/>
  <c r="H58" i="9"/>
  <c r="I58" i="9"/>
  <c r="J58" i="9"/>
  <c r="K58" i="9"/>
  <c r="L58" i="9"/>
  <c r="M58" i="9"/>
  <c r="N58" i="9" s="1"/>
  <c r="O58" i="9"/>
  <c r="H59" i="9"/>
  <c r="I59" i="9"/>
  <c r="J59" i="9"/>
  <c r="K59" i="9"/>
  <c r="L59" i="9"/>
  <c r="M59" i="9"/>
  <c r="N59" i="9" s="1"/>
  <c r="O59" i="9"/>
  <c r="H60" i="9"/>
  <c r="I60" i="9"/>
  <c r="J60" i="9"/>
  <c r="K60" i="9"/>
  <c r="L60" i="9"/>
  <c r="M60" i="9"/>
  <c r="N60" i="9" s="1"/>
  <c r="O60" i="9"/>
  <c r="H61" i="9"/>
  <c r="I61" i="9"/>
  <c r="J61" i="9"/>
  <c r="K61" i="9"/>
  <c r="L61" i="9"/>
  <c r="M61" i="9"/>
  <c r="N61" i="9" s="1"/>
  <c r="O61" i="9"/>
  <c r="H62" i="9"/>
  <c r="I62" i="9"/>
  <c r="J62" i="9"/>
  <c r="K62" i="9"/>
  <c r="L62" i="9"/>
  <c r="M62" i="9"/>
  <c r="N62" i="9" s="1"/>
  <c r="O62" i="9"/>
  <c r="H63" i="9"/>
  <c r="I63" i="9"/>
  <c r="J63" i="9"/>
  <c r="K63" i="9"/>
  <c r="L63" i="9"/>
  <c r="M63" i="9"/>
  <c r="N63" i="9"/>
  <c r="O63" i="9"/>
  <c r="H64" i="9"/>
  <c r="I64" i="9"/>
  <c r="J64" i="9"/>
  <c r="K64" i="9"/>
  <c r="L64" i="9"/>
  <c r="M64" i="9"/>
  <c r="N64" i="9" s="1"/>
  <c r="O64" i="9"/>
  <c r="H65" i="9"/>
  <c r="I65" i="9"/>
  <c r="J65" i="9"/>
  <c r="K65" i="9"/>
  <c r="L65" i="9"/>
  <c r="M65" i="9"/>
  <c r="N65" i="9"/>
  <c r="O65" i="9"/>
  <c r="H66" i="9"/>
  <c r="I66" i="9"/>
  <c r="J66" i="9"/>
  <c r="K66" i="9"/>
  <c r="L66" i="9"/>
  <c r="M66" i="9"/>
  <c r="N66" i="9"/>
  <c r="O66" i="9"/>
  <c r="H67" i="9"/>
  <c r="I67" i="9"/>
  <c r="J67" i="9"/>
  <c r="K67" i="9"/>
  <c r="L67" i="9"/>
  <c r="M67" i="9"/>
  <c r="N67" i="9" s="1"/>
  <c r="O67" i="9"/>
  <c r="H68" i="9"/>
  <c r="I68" i="9"/>
  <c r="J68" i="9"/>
  <c r="K68" i="9"/>
  <c r="L68" i="9"/>
  <c r="M68" i="9"/>
  <c r="N68" i="9"/>
  <c r="O68" i="9"/>
  <c r="H69" i="9"/>
  <c r="I69" i="9"/>
  <c r="J69" i="9"/>
  <c r="K69" i="9"/>
  <c r="L69" i="9"/>
  <c r="M69" i="9"/>
  <c r="N69" i="9"/>
  <c r="O69" i="9"/>
  <c r="H70" i="9"/>
  <c r="I70" i="9"/>
  <c r="J70" i="9"/>
  <c r="K70" i="9"/>
  <c r="L70" i="9"/>
  <c r="M70" i="9"/>
  <c r="N70" i="9"/>
  <c r="O70" i="9"/>
  <c r="H71" i="9"/>
  <c r="I71" i="9"/>
  <c r="J71" i="9"/>
  <c r="K71" i="9"/>
  <c r="L71" i="9"/>
  <c r="M71" i="9"/>
  <c r="N71" i="9"/>
  <c r="O71" i="9"/>
  <c r="H72" i="9"/>
  <c r="I72" i="9"/>
  <c r="J72" i="9"/>
  <c r="K72" i="9"/>
  <c r="L72" i="9"/>
  <c r="M72" i="9"/>
  <c r="N72" i="9" s="1"/>
  <c r="O72" i="9"/>
  <c r="H73" i="9"/>
  <c r="I73" i="9"/>
  <c r="J73" i="9"/>
  <c r="K73" i="9"/>
  <c r="L73" i="9"/>
  <c r="M73" i="9"/>
  <c r="N73" i="9" s="1"/>
  <c r="O73" i="9"/>
  <c r="H74" i="9"/>
  <c r="I74" i="9"/>
  <c r="J74" i="9"/>
  <c r="K74" i="9"/>
  <c r="L74" i="9"/>
  <c r="M74" i="9"/>
  <c r="N74" i="9" s="1"/>
  <c r="O74" i="9"/>
  <c r="H75" i="9"/>
  <c r="I75" i="9"/>
  <c r="J75" i="9"/>
  <c r="K75" i="9"/>
  <c r="L75" i="9"/>
  <c r="M75" i="9"/>
  <c r="N75" i="9" s="1"/>
  <c r="O75" i="9"/>
  <c r="H76" i="9"/>
  <c r="I76" i="9"/>
  <c r="J76" i="9"/>
  <c r="K76" i="9"/>
  <c r="L76" i="9"/>
  <c r="M76" i="9"/>
  <c r="N76" i="9" s="1"/>
  <c r="O76" i="9"/>
  <c r="H77" i="9"/>
  <c r="I77" i="9"/>
  <c r="J77" i="9"/>
  <c r="K77" i="9"/>
  <c r="L77" i="9"/>
  <c r="M77" i="9"/>
  <c r="N77" i="9" s="1"/>
  <c r="O77" i="9"/>
  <c r="H78" i="9"/>
  <c r="I78" i="9"/>
  <c r="J78" i="9"/>
  <c r="K78" i="9"/>
  <c r="L78" i="9"/>
  <c r="M78" i="9"/>
  <c r="N78" i="9" s="1"/>
  <c r="O78" i="9"/>
  <c r="H79" i="9"/>
  <c r="I79" i="9"/>
  <c r="J79" i="9"/>
  <c r="K79" i="9"/>
  <c r="L79" i="9"/>
  <c r="M79" i="9"/>
  <c r="N79" i="9" s="1"/>
  <c r="O79" i="9"/>
  <c r="H80" i="9"/>
  <c r="I80" i="9"/>
  <c r="J80" i="9"/>
  <c r="K80" i="9"/>
  <c r="L80" i="9"/>
  <c r="M80" i="9"/>
  <c r="N80" i="9" s="1"/>
  <c r="O80" i="9"/>
  <c r="H81" i="9"/>
  <c r="I81" i="9"/>
  <c r="J81" i="9"/>
  <c r="K81" i="9"/>
  <c r="L81" i="9"/>
  <c r="M81" i="9"/>
  <c r="N81" i="9" s="1"/>
  <c r="O81" i="9"/>
  <c r="H82" i="9"/>
  <c r="I82" i="9"/>
  <c r="J82" i="9"/>
  <c r="K82" i="9"/>
  <c r="L82" i="9"/>
  <c r="M82" i="9"/>
  <c r="N82" i="9" s="1"/>
  <c r="O82" i="9"/>
  <c r="H83" i="9"/>
  <c r="I83" i="9"/>
  <c r="J83" i="9"/>
  <c r="K83" i="9"/>
  <c r="L83" i="9"/>
  <c r="M83" i="9"/>
  <c r="N83" i="9" s="1"/>
  <c r="O83" i="9"/>
  <c r="H84" i="9"/>
  <c r="I84" i="9"/>
  <c r="J84" i="9"/>
  <c r="K84" i="9"/>
  <c r="L84" i="9"/>
  <c r="M84" i="9"/>
  <c r="N84" i="9" s="1"/>
  <c r="O84" i="9"/>
  <c r="H85" i="9"/>
  <c r="I85" i="9"/>
  <c r="J85" i="9"/>
  <c r="K85" i="9"/>
  <c r="L85" i="9"/>
  <c r="M85" i="9"/>
  <c r="N85" i="9" s="1"/>
  <c r="O85" i="9"/>
  <c r="H86" i="9"/>
  <c r="I86" i="9"/>
  <c r="J86" i="9"/>
  <c r="K86" i="9"/>
  <c r="L86" i="9"/>
  <c r="M86" i="9"/>
  <c r="N86" i="9" s="1"/>
  <c r="O86" i="9"/>
  <c r="H87" i="9"/>
  <c r="I87" i="9"/>
  <c r="J87" i="9"/>
  <c r="K87" i="9"/>
  <c r="L87" i="9"/>
  <c r="M87" i="9"/>
  <c r="N87" i="9" s="1"/>
  <c r="O87" i="9"/>
  <c r="H88" i="9"/>
  <c r="I88" i="9"/>
  <c r="J88" i="9"/>
  <c r="K88" i="9"/>
  <c r="L88" i="9"/>
  <c r="M88" i="9"/>
  <c r="N88" i="9" s="1"/>
  <c r="O88" i="9"/>
  <c r="H89" i="9"/>
  <c r="I89" i="9"/>
  <c r="J89" i="9"/>
  <c r="K89" i="9"/>
  <c r="L89" i="9"/>
  <c r="M89" i="9"/>
  <c r="N89" i="9" s="1"/>
  <c r="O89" i="9"/>
  <c r="H90" i="9"/>
  <c r="I90" i="9"/>
  <c r="J90" i="9"/>
  <c r="K90" i="9"/>
  <c r="L90" i="9"/>
  <c r="M90" i="9"/>
  <c r="N90" i="9" s="1"/>
  <c r="O90" i="9"/>
  <c r="H91" i="9"/>
  <c r="I91" i="9"/>
  <c r="J91" i="9"/>
  <c r="K91" i="9"/>
  <c r="L91" i="9"/>
  <c r="M91" i="9"/>
  <c r="N91" i="9" s="1"/>
  <c r="O91" i="9"/>
  <c r="H92" i="9"/>
  <c r="I92" i="9"/>
  <c r="J92" i="9"/>
  <c r="K92" i="9"/>
  <c r="L92" i="9"/>
  <c r="M92" i="9"/>
  <c r="N92" i="9" s="1"/>
  <c r="O92" i="9"/>
  <c r="H93" i="9"/>
  <c r="I93" i="9"/>
  <c r="J93" i="9"/>
  <c r="K93" i="9"/>
  <c r="L93" i="9"/>
  <c r="M93" i="9"/>
  <c r="N93" i="9" s="1"/>
  <c r="O93" i="9"/>
  <c r="H94" i="9"/>
  <c r="I94" i="9"/>
  <c r="J94" i="9"/>
  <c r="K94" i="9"/>
  <c r="L94" i="9"/>
  <c r="M94" i="9"/>
  <c r="N94" i="9" s="1"/>
  <c r="O94" i="9"/>
  <c r="H95" i="9"/>
  <c r="I95" i="9"/>
  <c r="J95" i="9"/>
  <c r="K95" i="9"/>
  <c r="L95" i="9"/>
  <c r="M95" i="9"/>
  <c r="N95" i="9" s="1"/>
  <c r="O95" i="9"/>
  <c r="H96" i="9"/>
  <c r="I96" i="9"/>
  <c r="J96" i="9"/>
  <c r="K96" i="9"/>
  <c r="L96" i="9"/>
  <c r="M96" i="9"/>
  <c r="N96" i="9" s="1"/>
  <c r="O96" i="9"/>
  <c r="H97" i="9"/>
  <c r="I97" i="9"/>
  <c r="J97" i="9"/>
  <c r="K97" i="9"/>
  <c r="L97" i="9"/>
  <c r="M97" i="9"/>
  <c r="N97" i="9" s="1"/>
  <c r="O97" i="9"/>
  <c r="H98" i="9"/>
  <c r="I98" i="9"/>
  <c r="J98" i="9"/>
  <c r="K98" i="9"/>
  <c r="L98" i="9"/>
  <c r="M98" i="9"/>
  <c r="N98" i="9" s="1"/>
  <c r="O98" i="9"/>
  <c r="H99" i="9"/>
  <c r="I99" i="9"/>
  <c r="J99" i="9"/>
  <c r="K99" i="9"/>
  <c r="L99" i="9"/>
  <c r="M99" i="9"/>
  <c r="N99" i="9" s="1"/>
  <c r="O99" i="9"/>
  <c r="H100" i="9"/>
  <c r="I100" i="9"/>
  <c r="J100" i="9"/>
  <c r="K100" i="9"/>
  <c r="L100" i="9"/>
  <c r="M100" i="9"/>
  <c r="N100" i="9" s="1"/>
  <c r="O100" i="9"/>
  <c r="H101" i="9"/>
  <c r="I101" i="9"/>
  <c r="J101" i="9"/>
  <c r="K101" i="9"/>
  <c r="L101" i="9"/>
  <c r="M101" i="9"/>
  <c r="N101" i="9" s="1"/>
  <c r="O101" i="9"/>
  <c r="H102" i="9"/>
  <c r="I102" i="9"/>
  <c r="J102" i="9"/>
  <c r="K102" i="9"/>
  <c r="L102" i="9"/>
  <c r="M102" i="9"/>
  <c r="N102" i="9" s="1"/>
  <c r="O102" i="9"/>
  <c r="H103" i="9"/>
  <c r="I103" i="9"/>
  <c r="J103" i="9"/>
  <c r="K103" i="9"/>
  <c r="L103" i="9"/>
  <c r="M103" i="9"/>
  <c r="N103" i="9" s="1"/>
  <c r="O103" i="9"/>
  <c r="H104" i="9"/>
  <c r="I104" i="9"/>
  <c r="J104" i="9"/>
  <c r="K104" i="9"/>
  <c r="L104" i="9"/>
  <c r="M104" i="9"/>
  <c r="N104" i="9" s="1"/>
  <c r="O104" i="9"/>
  <c r="H105" i="9"/>
  <c r="I105" i="9"/>
  <c r="J105" i="9"/>
  <c r="K105" i="9"/>
  <c r="L105" i="9"/>
  <c r="M105" i="9"/>
  <c r="N105" i="9" s="1"/>
  <c r="O105" i="9"/>
  <c r="H106" i="9"/>
  <c r="I106" i="9"/>
  <c r="J106" i="9"/>
  <c r="K106" i="9"/>
  <c r="L106" i="9"/>
  <c r="M106" i="9"/>
  <c r="N106" i="9" s="1"/>
  <c r="O106" i="9"/>
  <c r="H107" i="9"/>
  <c r="I107" i="9"/>
  <c r="J107" i="9"/>
  <c r="K107" i="9"/>
  <c r="L107" i="9"/>
  <c r="M107" i="9"/>
  <c r="N107" i="9" s="1"/>
  <c r="O107" i="9"/>
  <c r="H108" i="9"/>
  <c r="I108" i="9"/>
  <c r="J108" i="9"/>
  <c r="K108" i="9"/>
  <c r="L108" i="9"/>
  <c r="M108" i="9"/>
  <c r="N108" i="9" s="1"/>
  <c r="O108" i="9"/>
  <c r="H109" i="9"/>
  <c r="I109" i="9"/>
  <c r="J109" i="9"/>
  <c r="K109" i="9"/>
  <c r="L109" i="9"/>
  <c r="M109" i="9"/>
  <c r="N109" i="9" s="1"/>
  <c r="O109" i="9"/>
  <c r="H110" i="9"/>
  <c r="I110" i="9"/>
  <c r="J110" i="9"/>
  <c r="K110" i="9"/>
  <c r="L110" i="9"/>
  <c r="M110" i="9"/>
  <c r="N110" i="9" s="1"/>
  <c r="O110" i="9"/>
  <c r="H111" i="9"/>
  <c r="I111" i="9"/>
  <c r="J111" i="9"/>
  <c r="K111" i="9"/>
  <c r="L111" i="9"/>
  <c r="M111" i="9"/>
  <c r="N111" i="9" s="1"/>
  <c r="O111" i="9"/>
  <c r="H112" i="9"/>
  <c r="I112" i="9"/>
  <c r="J112" i="9"/>
  <c r="K112" i="9"/>
  <c r="L112" i="9"/>
  <c r="M112" i="9"/>
  <c r="N112" i="9" s="1"/>
  <c r="O112" i="9"/>
  <c r="H113" i="9"/>
  <c r="I113" i="9"/>
  <c r="J113" i="9"/>
  <c r="K113" i="9"/>
  <c r="L113" i="9"/>
  <c r="M113" i="9"/>
  <c r="N113" i="9" s="1"/>
  <c r="O113" i="9"/>
  <c r="H114" i="9"/>
  <c r="I114" i="9"/>
  <c r="J114" i="9"/>
  <c r="K114" i="9"/>
  <c r="L114" i="9"/>
  <c r="M114" i="9"/>
  <c r="N114" i="9" s="1"/>
  <c r="O114" i="9"/>
  <c r="H115" i="9"/>
  <c r="I115" i="9"/>
  <c r="J115" i="9"/>
  <c r="K115" i="9"/>
  <c r="L115" i="9"/>
  <c r="M115" i="9"/>
  <c r="N115" i="9" s="1"/>
  <c r="O115" i="9"/>
  <c r="H116" i="9"/>
  <c r="I116" i="9"/>
  <c r="J116" i="9"/>
  <c r="K116" i="9"/>
  <c r="L116" i="9"/>
  <c r="M116" i="9"/>
  <c r="N116" i="9" s="1"/>
  <c r="O116" i="9"/>
  <c r="H117" i="9"/>
  <c r="I117" i="9"/>
  <c r="J117" i="9"/>
  <c r="K117" i="9"/>
  <c r="L117" i="9"/>
  <c r="M117" i="9"/>
  <c r="N117" i="9" s="1"/>
  <c r="O117" i="9"/>
  <c r="H118" i="9"/>
  <c r="I118" i="9"/>
  <c r="J118" i="9"/>
  <c r="K118" i="9"/>
  <c r="L118" i="9"/>
  <c r="M118" i="9"/>
  <c r="N118" i="9" s="1"/>
  <c r="O118" i="9"/>
  <c r="H119" i="9"/>
  <c r="I119" i="9"/>
  <c r="J119" i="9"/>
  <c r="K119" i="9"/>
  <c r="L119" i="9"/>
  <c r="M119" i="9"/>
  <c r="N119" i="9" s="1"/>
  <c r="O119" i="9"/>
  <c r="H120" i="9"/>
  <c r="I120" i="9"/>
  <c r="J120" i="9"/>
  <c r="K120" i="9"/>
  <c r="L120" i="9"/>
  <c r="M120" i="9"/>
  <c r="N120" i="9" s="1"/>
  <c r="O120" i="9"/>
  <c r="H121" i="9"/>
  <c r="I121" i="9"/>
  <c r="J121" i="9"/>
  <c r="K121" i="9"/>
  <c r="L121" i="9"/>
  <c r="M121" i="9"/>
  <c r="N121" i="9" s="1"/>
  <c r="O121" i="9"/>
  <c r="H122" i="9"/>
  <c r="I122" i="9"/>
  <c r="J122" i="9"/>
  <c r="K122" i="9"/>
  <c r="L122" i="9"/>
  <c r="M122" i="9"/>
  <c r="N122" i="9" s="1"/>
  <c r="O122" i="9"/>
  <c r="H123" i="9"/>
  <c r="I123" i="9"/>
  <c r="J123" i="9"/>
  <c r="K123" i="9"/>
  <c r="L123" i="9"/>
  <c r="M123" i="9"/>
  <c r="N123" i="9"/>
  <c r="O123" i="9"/>
  <c r="H124" i="9"/>
  <c r="I124" i="9"/>
  <c r="J124" i="9"/>
  <c r="K124" i="9"/>
  <c r="L124" i="9"/>
  <c r="M124" i="9"/>
  <c r="N124" i="9"/>
  <c r="O124" i="9"/>
  <c r="H125" i="9"/>
  <c r="I125" i="9"/>
  <c r="J125" i="9"/>
  <c r="K125" i="9"/>
  <c r="L125" i="9"/>
  <c r="M125" i="9"/>
  <c r="N125" i="9" s="1"/>
  <c r="O125" i="9"/>
  <c r="H126" i="9"/>
  <c r="I126" i="9"/>
  <c r="J126" i="9"/>
  <c r="K126" i="9"/>
  <c r="L126" i="9"/>
  <c r="M126" i="9"/>
  <c r="N126" i="9" s="1"/>
  <c r="O126" i="9"/>
  <c r="H127" i="9"/>
  <c r="I127" i="9"/>
  <c r="J127" i="9"/>
  <c r="K127" i="9"/>
  <c r="L127" i="9"/>
  <c r="M127" i="9"/>
  <c r="N127" i="9" s="1"/>
  <c r="O127" i="9"/>
  <c r="H128" i="9"/>
  <c r="I128" i="9"/>
  <c r="J128" i="9"/>
  <c r="K128" i="9"/>
  <c r="L128" i="9"/>
  <c r="M128" i="9"/>
  <c r="N128" i="9" s="1"/>
  <c r="O128" i="9"/>
  <c r="H129" i="9"/>
  <c r="I129" i="9"/>
  <c r="J129" i="9"/>
  <c r="K129" i="9"/>
  <c r="L129" i="9"/>
  <c r="M129" i="9"/>
  <c r="N129" i="9"/>
  <c r="O129" i="9"/>
  <c r="H130" i="9"/>
  <c r="I130" i="9"/>
  <c r="J130" i="9"/>
  <c r="K130" i="9"/>
  <c r="L130" i="9"/>
  <c r="M130" i="9"/>
  <c r="N130" i="9" s="1"/>
  <c r="O130" i="9"/>
  <c r="H131" i="9"/>
  <c r="I131" i="9"/>
  <c r="J131" i="9"/>
  <c r="K131" i="9"/>
  <c r="L131" i="9"/>
  <c r="M131" i="9"/>
  <c r="N131" i="9" s="1"/>
  <c r="O131" i="9"/>
  <c r="H132" i="9"/>
  <c r="I132" i="9"/>
  <c r="J132" i="9"/>
  <c r="K132" i="9"/>
  <c r="N132" i="9" s="1"/>
  <c r="L132" i="9"/>
  <c r="M132" i="9"/>
  <c r="O132" i="9"/>
  <c r="H133" i="9"/>
  <c r="I133" i="9"/>
  <c r="J133" i="9"/>
  <c r="K133" i="9"/>
  <c r="L133" i="9"/>
  <c r="M133" i="9"/>
  <c r="N133" i="9"/>
  <c r="O133" i="9"/>
  <c r="H134" i="9"/>
  <c r="I134" i="9"/>
  <c r="J134" i="9"/>
  <c r="K134" i="9"/>
  <c r="L134" i="9"/>
  <c r="M134" i="9"/>
  <c r="N134" i="9"/>
  <c r="O134" i="9"/>
  <c r="H135" i="9"/>
  <c r="I135" i="9"/>
  <c r="J135" i="9"/>
  <c r="K135" i="9"/>
  <c r="L135" i="9"/>
  <c r="M135" i="9"/>
  <c r="N135" i="9"/>
  <c r="O135" i="9"/>
  <c r="H136" i="9"/>
  <c r="I136" i="9"/>
  <c r="J136" i="9"/>
  <c r="K136" i="9"/>
  <c r="L136" i="9"/>
  <c r="M136" i="9"/>
  <c r="N136" i="9"/>
  <c r="O136" i="9"/>
  <c r="H137" i="9"/>
  <c r="I137" i="9"/>
  <c r="J137" i="9"/>
  <c r="K137" i="9"/>
  <c r="L137" i="9"/>
  <c r="M137" i="9"/>
  <c r="N137" i="9"/>
  <c r="O137" i="9"/>
  <c r="H138" i="9"/>
  <c r="I138" i="9"/>
  <c r="J138" i="9"/>
  <c r="K138" i="9"/>
  <c r="L138" i="9"/>
  <c r="M138" i="9"/>
  <c r="N138" i="9"/>
  <c r="O138" i="9"/>
  <c r="H139" i="9"/>
  <c r="I139" i="9"/>
  <c r="J139" i="9"/>
  <c r="K139" i="9"/>
  <c r="L139" i="9"/>
  <c r="M139" i="9"/>
  <c r="N139" i="9"/>
  <c r="O139" i="9"/>
  <c r="H140" i="9"/>
  <c r="I140" i="9"/>
  <c r="J140" i="9"/>
  <c r="K140" i="9"/>
  <c r="L140" i="9"/>
  <c r="M140" i="9"/>
  <c r="N140" i="9"/>
  <c r="O140" i="9"/>
  <c r="H141" i="9"/>
  <c r="I141" i="9"/>
  <c r="J141" i="9"/>
  <c r="K141" i="9"/>
  <c r="L141" i="9"/>
  <c r="M141" i="9"/>
  <c r="N141" i="9"/>
  <c r="O141" i="9"/>
  <c r="H142" i="9"/>
  <c r="I142" i="9"/>
  <c r="J142" i="9"/>
  <c r="K142" i="9"/>
  <c r="L142" i="9"/>
  <c r="M142" i="9"/>
  <c r="N142" i="9"/>
  <c r="O142" i="9"/>
  <c r="H143" i="9"/>
  <c r="I143" i="9"/>
  <c r="J143" i="9"/>
  <c r="K143" i="9"/>
  <c r="L143" i="9"/>
  <c r="M143" i="9"/>
  <c r="N143" i="9"/>
  <c r="O143" i="9"/>
  <c r="H144" i="9"/>
  <c r="I144" i="9"/>
  <c r="J144" i="9"/>
  <c r="K144" i="9"/>
  <c r="L144" i="9"/>
  <c r="M144" i="9"/>
  <c r="N144" i="9"/>
  <c r="O144" i="9"/>
  <c r="H145" i="9"/>
  <c r="I145" i="9"/>
  <c r="J145" i="9"/>
  <c r="K145" i="9"/>
  <c r="L145" i="9"/>
  <c r="M145" i="9"/>
  <c r="N145" i="9"/>
  <c r="O145" i="9"/>
  <c r="H146" i="9"/>
  <c r="I146" i="9"/>
  <c r="J146" i="9"/>
  <c r="K146" i="9"/>
  <c r="L146" i="9"/>
  <c r="M146" i="9"/>
  <c r="N146" i="9"/>
  <c r="O146" i="9"/>
  <c r="H147" i="9"/>
  <c r="I147" i="9"/>
  <c r="J147" i="9"/>
  <c r="K147" i="9"/>
  <c r="L147" i="9"/>
  <c r="M147" i="9"/>
  <c r="N147" i="9"/>
  <c r="O147" i="9"/>
  <c r="H148" i="9"/>
  <c r="I148" i="9"/>
  <c r="J148" i="9"/>
  <c r="K148" i="9"/>
  <c r="L148" i="9"/>
  <c r="M148" i="9"/>
  <c r="N148" i="9"/>
  <c r="O148" i="9"/>
  <c r="H149" i="9"/>
  <c r="I149" i="9"/>
  <c r="J149" i="9"/>
  <c r="K149" i="9"/>
  <c r="L149" i="9"/>
  <c r="M149" i="9"/>
  <c r="N149" i="9"/>
  <c r="O149" i="9"/>
  <c r="H150" i="9"/>
  <c r="I150" i="9"/>
  <c r="J150" i="9"/>
  <c r="K150" i="9"/>
  <c r="L150" i="9"/>
  <c r="M150" i="9"/>
  <c r="N150" i="9"/>
  <c r="O150" i="9"/>
  <c r="H151" i="9"/>
  <c r="I151" i="9"/>
  <c r="J151" i="9"/>
  <c r="K151" i="9"/>
  <c r="L151" i="9"/>
  <c r="M151" i="9"/>
  <c r="N151" i="9"/>
  <c r="O151" i="9"/>
  <c r="H152" i="9"/>
  <c r="I152" i="9"/>
  <c r="J152" i="9"/>
  <c r="K152" i="9"/>
  <c r="L152" i="9"/>
  <c r="M152" i="9"/>
  <c r="N152" i="9"/>
  <c r="O152" i="9"/>
  <c r="H153" i="9"/>
  <c r="I153" i="9"/>
  <c r="J153" i="9"/>
  <c r="K153" i="9"/>
  <c r="L153" i="9"/>
  <c r="M153" i="9"/>
  <c r="N153" i="9"/>
  <c r="O153" i="9"/>
  <c r="H154" i="9"/>
  <c r="I154" i="9"/>
  <c r="J154" i="9"/>
  <c r="K154" i="9"/>
  <c r="L154" i="9"/>
  <c r="M154" i="9"/>
  <c r="N154" i="9"/>
  <c r="O154" i="9"/>
  <c r="H155" i="9"/>
  <c r="I155" i="9"/>
  <c r="J155" i="9"/>
  <c r="K155" i="9"/>
  <c r="L155" i="9"/>
  <c r="M155" i="9"/>
  <c r="N155" i="9"/>
  <c r="O155" i="9"/>
  <c r="H156" i="9"/>
  <c r="I156" i="9"/>
  <c r="J156" i="9"/>
  <c r="K156" i="9"/>
  <c r="L156" i="9"/>
  <c r="M156" i="9"/>
  <c r="N156" i="9"/>
  <c r="O156" i="9"/>
  <c r="H157" i="9"/>
  <c r="I157" i="9"/>
  <c r="J157" i="9"/>
  <c r="K157" i="9"/>
  <c r="L157" i="9"/>
  <c r="M157" i="9"/>
  <c r="N157" i="9"/>
  <c r="O157" i="9"/>
  <c r="H158" i="9"/>
  <c r="I158" i="9"/>
  <c r="J158" i="9"/>
  <c r="K158" i="9"/>
  <c r="L158" i="9"/>
  <c r="M158" i="9"/>
  <c r="N158" i="9"/>
  <c r="O158" i="9"/>
  <c r="H159" i="9"/>
  <c r="I159" i="9"/>
  <c r="J159" i="9"/>
  <c r="K159" i="9"/>
  <c r="L159" i="9"/>
  <c r="M159" i="9"/>
  <c r="N159" i="9"/>
  <c r="O159" i="9"/>
  <c r="H160" i="9"/>
  <c r="I160" i="9"/>
  <c r="J160" i="9"/>
  <c r="K160" i="9"/>
  <c r="L160" i="9"/>
  <c r="M160" i="9"/>
  <c r="N160" i="9"/>
  <c r="O160" i="9"/>
  <c r="H161" i="9"/>
  <c r="I161" i="9"/>
  <c r="J161" i="9"/>
  <c r="K161" i="9"/>
  <c r="L161" i="9"/>
  <c r="M161" i="9"/>
  <c r="N161" i="9"/>
  <c r="O161" i="9"/>
  <c r="H162" i="9"/>
  <c r="I162" i="9"/>
  <c r="J162" i="9"/>
  <c r="K162" i="9"/>
  <c r="L162" i="9"/>
  <c r="M162" i="9"/>
  <c r="N162" i="9"/>
  <c r="O162" i="9"/>
  <c r="H163" i="9"/>
  <c r="I163" i="9"/>
  <c r="J163" i="9"/>
  <c r="K163" i="9"/>
  <c r="L163" i="9"/>
  <c r="M163" i="9"/>
  <c r="N163" i="9"/>
  <c r="O163" i="9"/>
  <c r="H164" i="9"/>
  <c r="I164" i="9"/>
  <c r="J164" i="9"/>
  <c r="K164" i="9"/>
  <c r="L164" i="9"/>
  <c r="M164" i="9"/>
  <c r="N164" i="9"/>
  <c r="O164" i="9"/>
  <c r="H165" i="9"/>
  <c r="I165" i="9"/>
  <c r="J165" i="9"/>
  <c r="K165" i="9"/>
  <c r="L165" i="9"/>
  <c r="M165" i="9"/>
  <c r="N165" i="9"/>
  <c r="O165" i="9"/>
  <c r="H166" i="9"/>
  <c r="I166" i="9"/>
  <c r="J166" i="9"/>
  <c r="K166" i="9"/>
  <c r="L166" i="9"/>
  <c r="M166" i="9"/>
  <c r="N166" i="9"/>
  <c r="O166" i="9"/>
  <c r="H167" i="9"/>
  <c r="I167" i="9"/>
  <c r="J167" i="9"/>
  <c r="K167" i="9"/>
  <c r="L167" i="9"/>
  <c r="M167" i="9"/>
  <c r="N167" i="9"/>
  <c r="O167" i="9"/>
  <c r="H168" i="9"/>
  <c r="I168" i="9"/>
  <c r="J168" i="9"/>
  <c r="K168" i="9"/>
  <c r="L168" i="9"/>
  <c r="M168" i="9"/>
  <c r="N168" i="9"/>
  <c r="O168" i="9"/>
  <c r="H169" i="9"/>
  <c r="I169" i="9"/>
  <c r="J169" i="9"/>
  <c r="K169" i="9"/>
  <c r="L169" i="9"/>
  <c r="M169" i="9"/>
  <c r="N169" i="9"/>
  <c r="O169" i="9"/>
  <c r="H170" i="9"/>
  <c r="I170" i="9"/>
  <c r="J170" i="9"/>
  <c r="K170" i="9"/>
  <c r="L170" i="9"/>
  <c r="M170" i="9"/>
  <c r="N170" i="9"/>
  <c r="O170" i="9"/>
  <c r="H171" i="9"/>
  <c r="I171" i="9"/>
  <c r="J171" i="9"/>
  <c r="K171" i="9"/>
  <c r="L171" i="9"/>
  <c r="M171" i="9"/>
  <c r="N171" i="9"/>
  <c r="O171" i="9"/>
  <c r="H172" i="9"/>
  <c r="I172" i="9"/>
  <c r="J172" i="9"/>
  <c r="K172" i="9"/>
  <c r="L172" i="9"/>
  <c r="M172" i="9"/>
  <c r="N172" i="9"/>
  <c r="O172" i="9"/>
  <c r="H173" i="9"/>
  <c r="I173" i="9"/>
  <c r="J173" i="9"/>
  <c r="K173" i="9"/>
  <c r="L173" i="9"/>
  <c r="M173" i="9"/>
  <c r="N173" i="9"/>
  <c r="O173" i="9"/>
  <c r="H174" i="9"/>
  <c r="I174" i="9"/>
  <c r="J174" i="9"/>
  <c r="K174" i="9"/>
  <c r="L174" i="9"/>
  <c r="M174" i="9"/>
  <c r="N174" i="9"/>
  <c r="O174" i="9"/>
  <c r="H175" i="9"/>
  <c r="I175" i="9"/>
  <c r="J175" i="9"/>
  <c r="K175" i="9"/>
  <c r="L175" i="9"/>
  <c r="M175" i="9"/>
  <c r="N175" i="9"/>
  <c r="O175" i="9"/>
  <c r="H176" i="9"/>
  <c r="I176" i="9"/>
  <c r="J176" i="9"/>
  <c r="K176" i="9"/>
  <c r="L176" i="9"/>
  <c r="M176" i="9"/>
  <c r="N176" i="9"/>
  <c r="O176" i="9"/>
  <c r="H177" i="9"/>
  <c r="I177" i="9"/>
  <c r="J177" i="9"/>
  <c r="K177" i="9"/>
  <c r="L177" i="9"/>
  <c r="M177" i="9"/>
  <c r="N177" i="9"/>
  <c r="O177" i="9"/>
  <c r="H178" i="9"/>
  <c r="I178" i="9"/>
  <c r="J178" i="9"/>
  <c r="K178" i="9"/>
  <c r="L178" i="9"/>
  <c r="M178" i="9"/>
  <c r="N178" i="9"/>
  <c r="O178" i="9"/>
  <c r="H179" i="9"/>
  <c r="I179" i="9"/>
  <c r="J179" i="9"/>
  <c r="K179" i="9"/>
  <c r="L179" i="9"/>
  <c r="M179" i="9"/>
  <c r="N179" i="9"/>
  <c r="O179" i="9"/>
  <c r="H180" i="9"/>
  <c r="I180" i="9"/>
  <c r="J180" i="9"/>
  <c r="K180" i="9"/>
  <c r="L180" i="9"/>
  <c r="M180" i="9"/>
  <c r="N180" i="9"/>
  <c r="O180" i="9"/>
  <c r="H181" i="9"/>
  <c r="I181" i="9"/>
  <c r="J181" i="9"/>
  <c r="K181" i="9"/>
  <c r="L181" i="9"/>
  <c r="M181" i="9"/>
  <c r="N181" i="9"/>
  <c r="O181" i="9"/>
  <c r="H182" i="9"/>
  <c r="I182" i="9"/>
  <c r="J182" i="9"/>
  <c r="K182" i="9"/>
  <c r="L182" i="9"/>
  <c r="M182" i="9"/>
  <c r="N182" i="9"/>
  <c r="O182" i="9"/>
  <c r="H183" i="9"/>
  <c r="I183" i="9"/>
  <c r="J183" i="9"/>
  <c r="K183" i="9"/>
  <c r="L183" i="9"/>
  <c r="M183" i="9"/>
  <c r="N183" i="9"/>
  <c r="O183" i="9"/>
  <c r="H184" i="9"/>
  <c r="I184" i="9"/>
  <c r="J184" i="9"/>
  <c r="K184" i="9"/>
  <c r="L184" i="9"/>
  <c r="M184" i="9"/>
  <c r="N184" i="9"/>
  <c r="O184" i="9"/>
  <c r="H185" i="9"/>
  <c r="I185" i="9"/>
  <c r="J185" i="9"/>
  <c r="K185" i="9"/>
  <c r="L185" i="9"/>
  <c r="M185" i="9"/>
  <c r="N185" i="9"/>
  <c r="O185" i="9"/>
  <c r="H186" i="9"/>
  <c r="I186" i="9"/>
  <c r="J186" i="9"/>
  <c r="K186" i="9"/>
  <c r="L186" i="9"/>
  <c r="M186" i="9"/>
  <c r="N186" i="9"/>
  <c r="O186" i="9"/>
  <c r="H187" i="9"/>
  <c r="I187" i="9"/>
  <c r="J187" i="9"/>
  <c r="K187" i="9"/>
  <c r="L187" i="9"/>
  <c r="M187" i="9"/>
  <c r="N187" i="9"/>
  <c r="O187" i="9"/>
  <c r="H188" i="9"/>
  <c r="I188" i="9"/>
  <c r="J188" i="9"/>
  <c r="K188" i="9"/>
  <c r="L188" i="9"/>
  <c r="M188" i="9"/>
  <c r="N188" i="9"/>
  <c r="O188" i="9"/>
  <c r="H189" i="9"/>
  <c r="I189" i="9"/>
  <c r="J189" i="9"/>
  <c r="K189" i="9"/>
  <c r="L189" i="9"/>
  <c r="M189" i="9"/>
  <c r="N189" i="9"/>
  <c r="O189" i="9"/>
  <c r="H190" i="9"/>
  <c r="I190" i="9"/>
  <c r="J190" i="9"/>
  <c r="K190" i="9"/>
  <c r="L190" i="9"/>
  <c r="M190" i="9"/>
  <c r="N190" i="9" s="1"/>
  <c r="O190" i="9"/>
  <c r="H191" i="9"/>
  <c r="I191" i="9"/>
  <c r="J191" i="9"/>
  <c r="K191" i="9"/>
  <c r="L191" i="9"/>
  <c r="M191" i="9"/>
  <c r="N191" i="9" s="1"/>
  <c r="O191" i="9"/>
  <c r="H192" i="9"/>
  <c r="I192" i="9"/>
  <c r="J192" i="9"/>
  <c r="K192" i="9"/>
  <c r="L192" i="9"/>
  <c r="M192" i="9"/>
  <c r="N192" i="9" s="1"/>
  <c r="O192" i="9"/>
  <c r="H193" i="9"/>
  <c r="I193" i="9"/>
  <c r="J193" i="9"/>
  <c r="K193" i="9"/>
  <c r="L193" i="9"/>
  <c r="M193" i="9"/>
  <c r="N193" i="9" s="1"/>
  <c r="O193" i="9"/>
  <c r="H194" i="9"/>
  <c r="I194" i="9"/>
  <c r="J194" i="9"/>
  <c r="K194" i="9"/>
  <c r="L194" i="9"/>
  <c r="M194" i="9"/>
  <c r="N194" i="9" s="1"/>
  <c r="O194" i="9"/>
  <c r="C12" i="16"/>
  <c r="C19" i="16"/>
  <c r="L38" i="5"/>
  <c r="L37" i="5"/>
  <c r="L36" i="5"/>
  <c r="L35" i="5"/>
  <c r="L34" i="5"/>
  <c r="L33" i="5"/>
  <c r="L32" i="5"/>
  <c r="L31" i="5"/>
  <c r="L30" i="5"/>
  <c r="L29" i="5"/>
  <c r="L28" i="5"/>
  <c r="L27" i="5"/>
  <c r="L26" i="5"/>
  <c r="L25" i="5"/>
  <c r="L24" i="5"/>
  <c r="L23" i="5"/>
  <c r="L22" i="5"/>
  <c r="L21" i="5"/>
  <c r="L20" i="5"/>
  <c r="L19" i="5"/>
  <c r="L18" i="5"/>
  <c r="K38" i="5"/>
  <c r="K37" i="5"/>
  <c r="K36" i="5"/>
  <c r="K35" i="5"/>
  <c r="K34" i="5"/>
  <c r="K33" i="5"/>
  <c r="K32" i="5"/>
  <c r="K31" i="5"/>
  <c r="K30" i="5"/>
  <c r="K29" i="5"/>
  <c r="K28" i="5"/>
  <c r="K27" i="5"/>
  <c r="K26" i="5"/>
  <c r="K25" i="5"/>
  <c r="K24" i="5"/>
  <c r="K23" i="5"/>
  <c r="K22" i="5"/>
  <c r="K21" i="5"/>
  <c r="K20" i="5"/>
  <c r="K19" i="5"/>
  <c r="K18" i="5"/>
  <c r="J38" i="5"/>
  <c r="J37" i="5"/>
  <c r="J36" i="5"/>
  <c r="J35" i="5"/>
  <c r="J34" i="5"/>
  <c r="J33" i="5"/>
  <c r="J32" i="5"/>
  <c r="J31" i="5"/>
  <c r="J30" i="5"/>
  <c r="J29" i="5"/>
  <c r="J28" i="5"/>
  <c r="J27" i="5"/>
  <c r="J26" i="5"/>
  <c r="J25" i="5"/>
  <c r="J24" i="5"/>
  <c r="J23" i="5"/>
  <c r="J22" i="5"/>
  <c r="J21" i="5"/>
  <c r="J20" i="5"/>
  <c r="J19" i="5"/>
  <c r="J18" i="5"/>
  <c r="I38" i="5"/>
  <c r="I37" i="5"/>
  <c r="I36" i="5"/>
  <c r="I35" i="5"/>
  <c r="I34" i="5"/>
  <c r="I33" i="5"/>
  <c r="I32" i="5"/>
  <c r="I31" i="5"/>
  <c r="I30" i="5"/>
  <c r="I29" i="5"/>
  <c r="I28" i="5"/>
  <c r="I27" i="5"/>
  <c r="I26" i="5"/>
  <c r="I25" i="5"/>
  <c r="I24" i="5"/>
  <c r="I23" i="5"/>
  <c r="I22" i="5"/>
  <c r="I21" i="5"/>
  <c r="I20" i="5"/>
  <c r="I19" i="5"/>
  <c r="I18" i="5"/>
  <c r="H38" i="5"/>
  <c r="H37" i="5"/>
  <c r="H36" i="5"/>
  <c r="H35" i="5"/>
  <c r="H34" i="5"/>
  <c r="H33" i="5"/>
  <c r="H32" i="5"/>
  <c r="H31" i="5"/>
  <c r="H30" i="5"/>
  <c r="H29" i="5"/>
  <c r="H28" i="5"/>
  <c r="H27" i="5"/>
  <c r="H26" i="5"/>
  <c r="H25" i="5"/>
  <c r="H24" i="5"/>
  <c r="H23" i="5"/>
  <c r="H22" i="5"/>
  <c r="H21" i="5"/>
  <c r="H20" i="5"/>
  <c r="H19" i="5"/>
  <c r="H18" i="5"/>
  <c r="F38" i="5"/>
  <c r="F37" i="5"/>
  <c r="F36" i="5"/>
  <c r="F35" i="5"/>
  <c r="F34" i="5"/>
  <c r="F33" i="5"/>
  <c r="F32" i="5"/>
  <c r="F31" i="5"/>
  <c r="F30" i="5"/>
  <c r="F29" i="5"/>
  <c r="F28" i="5"/>
  <c r="F27" i="5"/>
  <c r="F26" i="5"/>
  <c r="F25" i="5"/>
  <c r="F24" i="5"/>
  <c r="F23" i="5"/>
  <c r="F22" i="5"/>
  <c r="F21" i="5"/>
  <c r="F20" i="5"/>
  <c r="F19" i="5"/>
  <c r="F18" i="5"/>
  <c r="E38" i="5"/>
  <c r="E37" i="5"/>
  <c r="E36" i="5"/>
  <c r="E35" i="5"/>
  <c r="E34" i="5"/>
  <c r="E33" i="5"/>
  <c r="E32" i="5"/>
  <c r="E31" i="5"/>
  <c r="E30" i="5"/>
  <c r="E29" i="5"/>
  <c r="E28" i="5"/>
  <c r="E27" i="5"/>
  <c r="E26" i="5"/>
  <c r="E25" i="5"/>
  <c r="E24" i="5"/>
  <c r="E23" i="5"/>
  <c r="E22" i="5"/>
  <c r="E21" i="5"/>
  <c r="E20" i="5"/>
  <c r="E19" i="5"/>
  <c r="E18" i="5"/>
  <c r="D38" i="5"/>
  <c r="D37" i="5"/>
  <c r="D36" i="5"/>
  <c r="D35" i="5"/>
  <c r="D34" i="5"/>
  <c r="D33" i="5"/>
  <c r="D32" i="5"/>
  <c r="D31" i="5"/>
  <c r="D30" i="5"/>
  <c r="D29" i="5"/>
  <c r="D28" i="5"/>
  <c r="D27" i="5"/>
  <c r="D26" i="5"/>
  <c r="D25" i="5"/>
  <c r="D24" i="5"/>
  <c r="D23" i="5"/>
  <c r="D22" i="5"/>
  <c r="D21" i="5"/>
  <c r="D20" i="5"/>
  <c r="D19" i="5"/>
  <c r="D18" i="5"/>
  <c r="C506" i="12"/>
  <c r="C505" i="12"/>
  <c r="C504" i="12"/>
  <c r="C503" i="12"/>
  <c r="C502" i="12"/>
  <c r="C501" i="12"/>
  <c r="C500" i="12"/>
  <c r="C499" i="12"/>
  <c r="C498" i="12"/>
  <c r="C497" i="12"/>
  <c r="C496" i="12"/>
  <c r="C495" i="12"/>
  <c r="C494" i="12"/>
  <c r="C493" i="12"/>
  <c r="C492" i="12"/>
  <c r="C491" i="12"/>
  <c r="C490" i="12"/>
  <c r="C489" i="12"/>
  <c r="C488" i="12"/>
  <c r="C487" i="12"/>
  <c r="C486" i="12"/>
  <c r="C485" i="12"/>
  <c r="C484" i="12"/>
  <c r="C483" i="12"/>
  <c r="C482" i="12"/>
  <c r="C481" i="12"/>
  <c r="C480" i="12"/>
  <c r="C479" i="12"/>
  <c r="C478" i="12"/>
  <c r="C477" i="12"/>
  <c r="C476" i="12"/>
  <c r="C475" i="12"/>
  <c r="C474" i="12"/>
  <c r="C473" i="12"/>
  <c r="C472" i="12"/>
  <c r="C471" i="12"/>
  <c r="C470" i="12"/>
  <c r="C469" i="12"/>
  <c r="C468" i="12"/>
  <c r="C467" i="12"/>
  <c r="C466" i="12"/>
  <c r="C465" i="12"/>
  <c r="C464" i="12"/>
  <c r="C463" i="12"/>
  <c r="C462" i="12"/>
  <c r="C461" i="12"/>
  <c r="C460" i="12"/>
  <c r="C459" i="12"/>
  <c r="C458" i="12"/>
  <c r="C457" i="12"/>
  <c r="C456" i="12"/>
  <c r="C455" i="12"/>
  <c r="C454" i="12"/>
  <c r="C453" i="12"/>
  <c r="C452" i="12"/>
  <c r="C451" i="12"/>
  <c r="C450" i="12"/>
  <c r="C449" i="12"/>
  <c r="C448" i="12"/>
  <c r="C447" i="12"/>
  <c r="C446" i="12"/>
  <c r="C445" i="12"/>
  <c r="C444" i="12"/>
  <c r="C443" i="12"/>
  <c r="C442" i="12"/>
  <c r="C441" i="12"/>
  <c r="C440" i="12"/>
  <c r="C439" i="12"/>
  <c r="C438" i="12"/>
  <c r="C437" i="12"/>
  <c r="C436" i="12"/>
  <c r="C435" i="12"/>
  <c r="C434" i="12"/>
  <c r="C433" i="12"/>
  <c r="C432" i="12"/>
  <c r="C431" i="12"/>
  <c r="C430" i="12"/>
  <c r="C429" i="12"/>
  <c r="C428" i="12"/>
  <c r="C427" i="12"/>
  <c r="C426" i="12"/>
  <c r="C425" i="12"/>
  <c r="C424" i="12"/>
  <c r="C423" i="12"/>
  <c r="C422" i="12"/>
  <c r="C421" i="12"/>
  <c r="C420" i="12"/>
  <c r="C419" i="12"/>
  <c r="C418" i="12"/>
  <c r="C417" i="12"/>
  <c r="C416" i="12"/>
  <c r="C415" i="12"/>
  <c r="C414" i="12"/>
  <c r="C413" i="12"/>
  <c r="C412" i="12"/>
  <c r="C411" i="12"/>
  <c r="C410" i="12"/>
  <c r="C409" i="12"/>
  <c r="C408" i="12"/>
  <c r="C407" i="12"/>
  <c r="C406" i="12"/>
  <c r="C405" i="12"/>
  <c r="C404" i="12"/>
  <c r="C403" i="12"/>
  <c r="C402" i="12"/>
  <c r="C401" i="12"/>
  <c r="C400" i="12"/>
  <c r="C399" i="12"/>
  <c r="C398" i="12"/>
  <c r="C397" i="12"/>
  <c r="C396" i="12"/>
  <c r="C395" i="12"/>
  <c r="C394" i="12"/>
  <c r="C393" i="12"/>
  <c r="C392" i="12"/>
  <c r="C391" i="12"/>
  <c r="C390" i="12"/>
  <c r="C389" i="12"/>
  <c r="C388" i="12"/>
  <c r="C387" i="12"/>
  <c r="C386" i="12"/>
  <c r="C385" i="12"/>
  <c r="C384" i="12"/>
  <c r="C383" i="12"/>
  <c r="C382" i="12"/>
  <c r="C381" i="12"/>
  <c r="C380" i="12"/>
  <c r="C379" i="12"/>
  <c r="C378" i="12"/>
  <c r="C377" i="12"/>
  <c r="C376" i="12"/>
  <c r="C375" i="12"/>
  <c r="C374" i="12"/>
  <c r="C373" i="12"/>
  <c r="C372" i="12"/>
  <c r="C371" i="12"/>
  <c r="C370" i="12"/>
  <c r="C369" i="12"/>
  <c r="C368" i="12"/>
  <c r="C367" i="12"/>
  <c r="C366" i="12"/>
  <c r="C365" i="12"/>
  <c r="C364" i="12"/>
  <c r="C363" i="12"/>
  <c r="C362" i="12"/>
  <c r="C361" i="12"/>
  <c r="C360" i="12"/>
  <c r="C359" i="12"/>
  <c r="C358" i="12"/>
  <c r="C357" i="12"/>
  <c r="C356" i="12"/>
  <c r="C355" i="12"/>
  <c r="C354" i="12"/>
  <c r="C353" i="12"/>
  <c r="C352" i="12"/>
  <c r="C351" i="12"/>
  <c r="C350" i="12"/>
  <c r="C349" i="12"/>
  <c r="C348" i="12"/>
  <c r="C347" i="12"/>
  <c r="C346" i="12"/>
  <c r="C345" i="12"/>
  <c r="C344" i="12"/>
  <c r="C343" i="12"/>
  <c r="C342" i="12"/>
  <c r="C341" i="12"/>
  <c r="C340" i="12"/>
  <c r="C339" i="12"/>
  <c r="C338" i="12"/>
  <c r="C337" i="12"/>
  <c r="C336" i="12"/>
  <c r="C335" i="12"/>
  <c r="C334" i="12"/>
  <c r="C333" i="12"/>
  <c r="C332" i="12"/>
  <c r="C331" i="12"/>
  <c r="C330" i="12"/>
  <c r="C329" i="12"/>
  <c r="C328" i="12"/>
  <c r="C327" i="12"/>
  <c r="C326" i="12"/>
  <c r="C325" i="12"/>
  <c r="C324" i="12"/>
  <c r="C323" i="12"/>
  <c r="C322" i="12"/>
  <c r="C321" i="12"/>
  <c r="C320" i="12"/>
  <c r="C319" i="12"/>
  <c r="C318" i="12"/>
  <c r="C317" i="12"/>
  <c r="C316" i="12"/>
  <c r="C315" i="12"/>
  <c r="C314" i="12"/>
  <c r="C313" i="12"/>
  <c r="C312" i="12"/>
  <c r="C311" i="12"/>
  <c r="C310" i="12"/>
  <c r="C309" i="12"/>
  <c r="C308" i="12"/>
  <c r="C307" i="12"/>
  <c r="C306" i="12"/>
  <c r="C305" i="12"/>
  <c r="C304" i="12"/>
  <c r="C303" i="12"/>
  <c r="C302" i="12"/>
  <c r="C301" i="12"/>
  <c r="C300" i="12"/>
  <c r="C299" i="12"/>
  <c r="C298" i="12"/>
  <c r="C297" i="12"/>
  <c r="C296" i="12"/>
  <c r="C295" i="12"/>
  <c r="C294" i="12"/>
  <c r="C293" i="12"/>
  <c r="C292" i="12"/>
  <c r="C291" i="12"/>
  <c r="C290" i="12"/>
  <c r="C289" i="12"/>
  <c r="C288" i="12"/>
  <c r="C287" i="12"/>
  <c r="C286" i="12"/>
  <c r="C285" i="12"/>
  <c r="C284" i="12"/>
  <c r="C283" i="12"/>
  <c r="C282" i="12"/>
  <c r="C281" i="12"/>
  <c r="C280" i="12"/>
  <c r="C279" i="12"/>
  <c r="C278" i="12"/>
  <c r="C277" i="12"/>
  <c r="C276" i="12"/>
  <c r="C275" i="12"/>
  <c r="C274" i="12"/>
  <c r="C273" i="12"/>
  <c r="C272" i="12"/>
  <c r="C271" i="12"/>
  <c r="C270" i="12"/>
  <c r="C269" i="12"/>
  <c r="C268" i="12"/>
  <c r="C267" i="12"/>
  <c r="C266" i="12"/>
  <c r="C265" i="12"/>
  <c r="C264" i="12"/>
  <c r="C263" i="12"/>
  <c r="C262" i="12"/>
  <c r="C261" i="12"/>
  <c r="C260" i="12"/>
  <c r="C259" i="12"/>
  <c r="C258" i="12"/>
  <c r="C257" i="12"/>
  <c r="C256" i="12"/>
  <c r="C255" i="12"/>
  <c r="C254" i="12"/>
  <c r="C253" i="12"/>
  <c r="C252" i="12"/>
  <c r="C251" i="12"/>
  <c r="C250" i="12"/>
  <c r="C249" i="12"/>
  <c r="C248" i="12"/>
  <c r="C247" i="12"/>
  <c r="C24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1"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7" i="12"/>
  <c r="C186" i="12"/>
  <c r="C185" i="12"/>
  <c r="C184" i="12"/>
  <c r="C183" i="12"/>
  <c r="C182" i="12"/>
  <c r="C181" i="12"/>
  <c r="C180" i="12"/>
  <c r="C179" i="12"/>
  <c r="C178" i="12"/>
  <c r="C177" i="12"/>
  <c r="C176" i="12"/>
  <c r="C175" i="12"/>
  <c r="C174" i="12"/>
  <c r="C173" i="12"/>
  <c r="C172" i="12"/>
  <c r="C171" i="12"/>
  <c r="C170" i="12"/>
  <c r="C169" i="12"/>
  <c r="C168" i="12"/>
  <c r="C167" i="12"/>
  <c r="C166" i="12"/>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7" i="12"/>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506" i="14"/>
  <c r="J505" i="14"/>
  <c r="J504" i="14"/>
  <c r="J503" i="14"/>
  <c r="J502" i="14"/>
  <c r="J501" i="14"/>
  <c r="J500" i="14"/>
  <c r="J499" i="14"/>
  <c r="J498" i="14"/>
  <c r="J497" i="14"/>
  <c r="J496" i="14"/>
  <c r="J495" i="14"/>
  <c r="J494" i="14"/>
  <c r="J493" i="14"/>
  <c r="J492" i="14"/>
  <c r="J491" i="14"/>
  <c r="J490" i="14"/>
  <c r="J489" i="14"/>
  <c r="J488" i="14"/>
  <c r="J487" i="14"/>
  <c r="J486" i="14"/>
  <c r="J485" i="14"/>
  <c r="J484" i="14"/>
  <c r="J483" i="14"/>
  <c r="J482" i="14"/>
  <c r="J481" i="14"/>
  <c r="J480" i="14"/>
  <c r="J479" i="14"/>
  <c r="J478" i="14"/>
  <c r="J477" i="14"/>
  <c r="J476" i="14"/>
  <c r="J475" i="14"/>
  <c r="J474" i="14"/>
  <c r="J473" i="14"/>
  <c r="J472" i="14"/>
  <c r="J471" i="14"/>
  <c r="J470" i="14"/>
  <c r="J469" i="14"/>
  <c r="J468" i="14"/>
  <c r="J467" i="14"/>
  <c r="J466" i="14"/>
  <c r="J465" i="14"/>
  <c r="J464" i="14"/>
  <c r="J463" i="14"/>
  <c r="J462" i="14"/>
  <c r="J461" i="14"/>
  <c r="J460" i="14"/>
  <c r="J459" i="14"/>
  <c r="J458" i="14"/>
  <c r="J457" i="14"/>
  <c r="J456" i="14"/>
  <c r="J455" i="14"/>
  <c r="J454" i="14"/>
  <c r="J453" i="14"/>
  <c r="J452" i="14"/>
  <c r="J451" i="14"/>
  <c r="J450" i="14"/>
  <c r="J449" i="14"/>
  <c r="J448" i="14"/>
  <c r="J447" i="14"/>
  <c r="J446" i="14"/>
  <c r="J445" i="14"/>
  <c r="J444" i="14"/>
  <c r="J443" i="14"/>
  <c r="J442" i="14"/>
  <c r="J441" i="14"/>
  <c r="J440" i="14"/>
  <c r="J439" i="14"/>
  <c r="J438" i="14"/>
  <c r="J437" i="14"/>
  <c r="J436" i="14"/>
  <c r="J435" i="14"/>
  <c r="J434" i="14"/>
  <c r="J433" i="14"/>
  <c r="J432" i="14"/>
  <c r="J431" i="14"/>
  <c r="J430" i="14"/>
  <c r="J429" i="14"/>
  <c r="J428" i="14"/>
  <c r="J427" i="14"/>
  <c r="J426" i="14"/>
  <c r="J425" i="14"/>
  <c r="J424" i="14"/>
  <c r="J423" i="14"/>
  <c r="J422" i="14"/>
  <c r="J421" i="14"/>
  <c r="J420" i="14"/>
  <c r="J419" i="14"/>
  <c r="J418" i="14"/>
  <c r="J417" i="14"/>
  <c r="J416" i="14"/>
  <c r="J415" i="14"/>
  <c r="J414" i="14"/>
  <c r="J413" i="14"/>
  <c r="J412" i="14"/>
  <c r="J411" i="14"/>
  <c r="J410" i="14"/>
  <c r="J409" i="14"/>
  <c r="J408" i="14"/>
  <c r="J407" i="14"/>
  <c r="J406" i="14"/>
  <c r="J405" i="14"/>
  <c r="J404" i="14"/>
  <c r="J403" i="14"/>
  <c r="J402" i="14"/>
  <c r="J401" i="14"/>
  <c r="J400" i="14"/>
  <c r="J399" i="14"/>
  <c r="J398" i="14"/>
  <c r="J397"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64" i="14"/>
  <c r="J363" i="14"/>
  <c r="J362" i="14"/>
  <c r="J361" i="14"/>
  <c r="J360" i="14"/>
  <c r="J359" i="14"/>
  <c r="J358" i="14"/>
  <c r="J357" i="14"/>
  <c r="J356" i="14"/>
  <c r="J355" i="14"/>
  <c r="J354" i="14"/>
  <c r="J353" i="14"/>
  <c r="J352" i="14"/>
  <c r="J351" i="14"/>
  <c r="J350" i="14"/>
  <c r="J349" i="14"/>
  <c r="J348" i="14"/>
  <c r="J347" i="14"/>
  <c r="J346" i="14"/>
  <c r="J345" i="14"/>
  <c r="J344" i="14"/>
  <c r="J343" i="14"/>
  <c r="J342" i="14"/>
  <c r="J341" i="14"/>
  <c r="J340" i="14"/>
  <c r="J339" i="14"/>
  <c r="J338" i="14"/>
  <c r="J337" i="14"/>
  <c r="J336" i="14"/>
  <c r="J335" i="14"/>
  <c r="J334" i="14"/>
  <c r="J333" i="14"/>
  <c r="J332" i="14"/>
  <c r="J331" i="14"/>
  <c r="J330" i="14"/>
  <c r="J329" i="14"/>
  <c r="J328" i="14"/>
  <c r="J327" i="14"/>
  <c r="J326" i="14"/>
  <c r="J325" i="14"/>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I506" i="14"/>
  <c r="I505" i="14"/>
  <c r="I504" i="14"/>
  <c r="I503" i="14"/>
  <c r="I502" i="14"/>
  <c r="I501" i="14"/>
  <c r="I500" i="14"/>
  <c r="I499" i="14"/>
  <c r="I498" i="14"/>
  <c r="I497" i="14"/>
  <c r="I496" i="14"/>
  <c r="I495" i="14"/>
  <c r="I494" i="14"/>
  <c r="I493" i="14"/>
  <c r="I492" i="14"/>
  <c r="I491" i="14"/>
  <c r="I490" i="14"/>
  <c r="I489" i="14"/>
  <c r="I488" i="14"/>
  <c r="I487" i="14"/>
  <c r="I486" i="14"/>
  <c r="I485" i="14"/>
  <c r="I484" i="14"/>
  <c r="I483" i="14"/>
  <c r="I482" i="14"/>
  <c r="I481" i="14"/>
  <c r="I480" i="14"/>
  <c r="I479" i="14"/>
  <c r="I478" i="14"/>
  <c r="I477" i="14"/>
  <c r="I476" i="14"/>
  <c r="I475" i="14"/>
  <c r="I474" i="14"/>
  <c r="I473" i="14"/>
  <c r="I472" i="14"/>
  <c r="I471" i="14"/>
  <c r="I470" i="14"/>
  <c r="I469" i="14"/>
  <c r="I468" i="14"/>
  <c r="I467" i="14"/>
  <c r="I466" i="14"/>
  <c r="I465" i="14"/>
  <c r="I464" i="14"/>
  <c r="I463" i="14"/>
  <c r="I462" i="14"/>
  <c r="I461" i="14"/>
  <c r="I460" i="14"/>
  <c r="I459" i="14"/>
  <c r="I458" i="14"/>
  <c r="I457" i="14"/>
  <c r="I456" i="14"/>
  <c r="I455" i="14"/>
  <c r="I454" i="14"/>
  <c r="I453" i="14"/>
  <c r="I452" i="14"/>
  <c r="I451" i="14"/>
  <c r="I450" i="14"/>
  <c r="I449" i="14"/>
  <c r="I448" i="14"/>
  <c r="I447" i="14"/>
  <c r="I446" i="14"/>
  <c r="I445" i="14"/>
  <c r="I444" i="14"/>
  <c r="I443" i="14"/>
  <c r="I442" i="14"/>
  <c r="I441" i="14"/>
  <c r="I440" i="14"/>
  <c r="I439" i="14"/>
  <c r="I438" i="14"/>
  <c r="I437" i="14"/>
  <c r="I436" i="14"/>
  <c r="I435" i="14"/>
  <c r="I434" i="14"/>
  <c r="I433" i="14"/>
  <c r="I432" i="14"/>
  <c r="I431" i="14"/>
  <c r="I430" i="14"/>
  <c r="I429" i="14"/>
  <c r="I428" i="14"/>
  <c r="I427" i="14"/>
  <c r="I426" i="14"/>
  <c r="I425" i="14"/>
  <c r="I424" i="14"/>
  <c r="I423" i="14"/>
  <c r="I422" i="14"/>
  <c r="I421" i="14"/>
  <c r="I420" i="14"/>
  <c r="I419" i="14"/>
  <c r="I418" i="14"/>
  <c r="I417" i="14"/>
  <c r="I416" i="14"/>
  <c r="I415" i="14"/>
  <c r="I414" i="14"/>
  <c r="I413" i="14"/>
  <c r="I412" i="14"/>
  <c r="I411" i="14"/>
  <c r="I410" i="14"/>
  <c r="I409" i="14"/>
  <c r="I408" i="14"/>
  <c r="I407" i="14"/>
  <c r="I406" i="14"/>
  <c r="I405" i="14"/>
  <c r="I404" i="14"/>
  <c r="I403" i="14"/>
  <c r="I402" i="14"/>
  <c r="I401" i="14"/>
  <c r="I400" i="14"/>
  <c r="I399" i="14"/>
  <c r="I398" i="14"/>
  <c r="I397" i="14"/>
  <c r="I396" i="14"/>
  <c r="I395" i="14"/>
  <c r="I394" i="14"/>
  <c r="I393" i="14"/>
  <c r="I392" i="14"/>
  <c r="I391" i="14"/>
  <c r="I390" i="14"/>
  <c r="I389" i="14"/>
  <c r="I388" i="14"/>
  <c r="I387" i="14"/>
  <c r="I386" i="14"/>
  <c r="I385" i="14"/>
  <c r="I384" i="14"/>
  <c r="I383" i="14"/>
  <c r="I382" i="14"/>
  <c r="I381" i="14"/>
  <c r="I380" i="14"/>
  <c r="I379" i="14"/>
  <c r="I378" i="14"/>
  <c r="I377" i="14"/>
  <c r="I376" i="14"/>
  <c r="I375" i="14"/>
  <c r="I374" i="14"/>
  <c r="I373" i="14"/>
  <c r="I372" i="14"/>
  <c r="I371" i="14"/>
  <c r="I370" i="14"/>
  <c r="I369" i="14"/>
  <c r="I368" i="14"/>
  <c r="I367" i="14"/>
  <c r="I366" i="14"/>
  <c r="I365" i="14"/>
  <c r="I364" i="14"/>
  <c r="I363" i="14"/>
  <c r="I362" i="14"/>
  <c r="I361" i="14"/>
  <c r="I360" i="14"/>
  <c r="I359" i="14"/>
  <c r="I358" i="14"/>
  <c r="I357" i="14"/>
  <c r="I356" i="14"/>
  <c r="I355" i="14"/>
  <c r="I354" i="14"/>
  <c r="I353" i="14"/>
  <c r="I352" i="14"/>
  <c r="I351" i="14"/>
  <c r="I350" i="14"/>
  <c r="I349" i="14"/>
  <c r="I348" i="14"/>
  <c r="I347" i="14"/>
  <c r="I346" i="14"/>
  <c r="I345" i="14"/>
  <c r="I344" i="14"/>
  <c r="I343" i="14"/>
  <c r="I342" i="14"/>
  <c r="I341" i="14"/>
  <c r="I340" i="14"/>
  <c r="I339" i="14"/>
  <c r="I338" i="14"/>
  <c r="I337" i="14"/>
  <c r="I336" i="14"/>
  <c r="I335" i="14"/>
  <c r="I334" i="14"/>
  <c r="I333" i="14"/>
  <c r="I332" i="14"/>
  <c r="I331" i="14"/>
  <c r="I330" i="14"/>
  <c r="I329" i="14"/>
  <c r="I328" i="14"/>
  <c r="I327" i="14"/>
  <c r="I326" i="14"/>
  <c r="I325" i="14"/>
  <c r="I324" i="14"/>
  <c r="I323" i="14"/>
  <c r="I322" i="14"/>
  <c r="I321" i="14"/>
  <c r="I320" i="14"/>
  <c r="I319" i="14"/>
  <c r="I318" i="14"/>
  <c r="I317" i="14"/>
  <c r="I316" i="14"/>
  <c r="I315" i="14"/>
  <c r="I314" i="14"/>
  <c r="I313" i="14"/>
  <c r="I312" i="14"/>
  <c r="I311" i="14"/>
  <c r="I310" i="14"/>
  <c r="I309" i="14"/>
  <c r="I308" i="14"/>
  <c r="I307" i="14"/>
  <c r="I306" i="14"/>
  <c r="I305" i="14"/>
  <c r="I304" i="14"/>
  <c r="I303" i="14"/>
  <c r="I302" i="14"/>
  <c r="I301" i="14"/>
  <c r="I300" i="14"/>
  <c r="I299" i="14"/>
  <c r="I298" i="14"/>
  <c r="I297" i="14"/>
  <c r="I296" i="14"/>
  <c r="I295" i="14"/>
  <c r="I294" i="14"/>
  <c r="I293" i="14"/>
  <c r="I292" i="14"/>
  <c r="I291" i="14"/>
  <c r="I290" i="14"/>
  <c r="I289" i="14"/>
  <c r="I288" i="14"/>
  <c r="I287" i="14"/>
  <c r="I286" i="14"/>
  <c r="I285" i="14"/>
  <c r="I284" i="14"/>
  <c r="I283" i="14"/>
  <c r="I282" i="14"/>
  <c r="I281" i="14"/>
  <c r="I280" i="14"/>
  <c r="I279" i="14"/>
  <c r="I278" i="14"/>
  <c r="I277" i="14"/>
  <c r="I276" i="14"/>
  <c r="I275" i="14"/>
  <c r="I274" i="14"/>
  <c r="I273" i="14"/>
  <c r="I272" i="14"/>
  <c r="I271" i="14"/>
  <c r="I270" i="14"/>
  <c r="I269" i="14"/>
  <c r="I268" i="14"/>
  <c r="I267" i="14"/>
  <c r="I266" i="14"/>
  <c r="I265" i="14"/>
  <c r="I264" i="14"/>
  <c r="I263" i="14"/>
  <c r="I262" i="14"/>
  <c r="I261" i="14"/>
  <c r="I260" i="14"/>
  <c r="I259" i="14"/>
  <c r="I258" i="14"/>
  <c r="I257" i="14"/>
  <c r="I256" i="14"/>
  <c r="I255" i="14"/>
  <c r="I254" i="14"/>
  <c r="I253" i="14"/>
  <c r="I25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F506" i="13"/>
  <c r="F505" i="13"/>
  <c r="F504" i="13"/>
  <c r="F503" i="13"/>
  <c r="F502" i="13"/>
  <c r="F501" i="13"/>
  <c r="F500" i="13"/>
  <c r="F499" i="13"/>
  <c r="F498" i="13"/>
  <c r="F497" i="13"/>
  <c r="F496" i="13"/>
  <c r="F495" i="13"/>
  <c r="F494" i="13"/>
  <c r="F493" i="13"/>
  <c r="F492" i="13"/>
  <c r="F491" i="13"/>
  <c r="F490" i="13"/>
  <c r="F489" i="13"/>
  <c r="F488" i="13"/>
  <c r="F487" i="13"/>
  <c r="F486" i="13"/>
  <c r="F485" i="13"/>
  <c r="F484" i="13"/>
  <c r="F483" i="13"/>
  <c r="F482" i="13"/>
  <c r="F481" i="13"/>
  <c r="F480" i="13"/>
  <c r="F479" i="13"/>
  <c r="F478" i="13"/>
  <c r="F477" i="13"/>
  <c r="F476" i="13"/>
  <c r="F475" i="13"/>
  <c r="F474" i="13"/>
  <c r="F473" i="13"/>
  <c r="F472" i="13"/>
  <c r="F471" i="13"/>
  <c r="F470" i="13"/>
  <c r="F469" i="13"/>
  <c r="F468" i="13"/>
  <c r="F467" i="13"/>
  <c r="F466" i="13"/>
  <c r="F465" i="13"/>
  <c r="F464" i="13"/>
  <c r="F463" i="13"/>
  <c r="F462" i="13"/>
  <c r="F461" i="13"/>
  <c r="F460" i="13"/>
  <c r="F459" i="13"/>
  <c r="F458" i="13"/>
  <c r="F457" i="13"/>
  <c r="F456" i="13"/>
  <c r="F455" i="13"/>
  <c r="F454" i="13"/>
  <c r="F453" i="13"/>
  <c r="F452" i="13"/>
  <c r="F451" i="13"/>
  <c r="F450" i="13"/>
  <c r="F449" i="13"/>
  <c r="F448" i="13"/>
  <c r="F447" i="13"/>
  <c r="F446" i="13"/>
  <c r="F445" i="13"/>
  <c r="F444" i="13"/>
  <c r="F443" i="13"/>
  <c r="F442" i="13"/>
  <c r="F441" i="13"/>
  <c r="F440" i="13"/>
  <c r="F439" i="13"/>
  <c r="F438" i="13"/>
  <c r="F437" i="13"/>
  <c r="F436" i="13"/>
  <c r="F435" i="13"/>
  <c r="F434" i="13"/>
  <c r="F433" i="13"/>
  <c r="F432" i="13"/>
  <c r="F431" i="13"/>
  <c r="F430" i="13"/>
  <c r="F429" i="13"/>
  <c r="F428" i="13"/>
  <c r="F427" i="13"/>
  <c r="F426" i="13"/>
  <c r="F425" i="13"/>
  <c r="F424" i="13"/>
  <c r="F423" i="13"/>
  <c r="F422" i="13"/>
  <c r="F421" i="13"/>
  <c r="F420" i="13"/>
  <c r="F419" i="13"/>
  <c r="F418" i="13"/>
  <c r="F417" i="13"/>
  <c r="F416" i="13"/>
  <c r="F415" i="13"/>
  <c r="F414" i="13"/>
  <c r="F413" i="13"/>
  <c r="F412" i="13"/>
  <c r="F411" i="13"/>
  <c r="F410" i="13"/>
  <c r="F409" i="13"/>
  <c r="F408" i="13"/>
  <c r="F407" i="13"/>
  <c r="F406" i="13"/>
  <c r="F405" i="13"/>
  <c r="F404" i="13"/>
  <c r="F403" i="13"/>
  <c r="F402" i="13"/>
  <c r="F401" i="13"/>
  <c r="F400" i="13"/>
  <c r="F399" i="13"/>
  <c r="F398" i="13"/>
  <c r="F397" i="13"/>
  <c r="F396" i="13"/>
  <c r="F395" i="13"/>
  <c r="F394" i="13"/>
  <c r="F393" i="13"/>
  <c r="F392" i="13"/>
  <c r="F391" i="13"/>
  <c r="F390" i="13"/>
  <c r="F389" i="13"/>
  <c r="F388" i="13"/>
  <c r="F387" i="13"/>
  <c r="F386" i="13"/>
  <c r="F385" i="13"/>
  <c r="F384" i="13"/>
  <c r="F383" i="13"/>
  <c r="F382" i="13"/>
  <c r="F381" i="13"/>
  <c r="F380" i="13"/>
  <c r="F379" i="13"/>
  <c r="F378" i="13"/>
  <c r="F377" i="13"/>
  <c r="F376" i="13"/>
  <c r="F375" i="13"/>
  <c r="F374" i="13"/>
  <c r="F373" i="13"/>
  <c r="F372" i="13"/>
  <c r="F371" i="13"/>
  <c r="F370" i="13"/>
  <c r="F369" i="13"/>
  <c r="F368" i="13"/>
  <c r="F367" i="13"/>
  <c r="F366" i="13"/>
  <c r="F365" i="13"/>
  <c r="F364" i="13"/>
  <c r="F363" i="13"/>
  <c r="F362" i="13"/>
  <c r="F361" i="13"/>
  <c r="F360" i="13"/>
  <c r="F359" i="13"/>
  <c r="F358" i="13"/>
  <c r="F357" i="13"/>
  <c r="F356" i="13"/>
  <c r="F355" i="13"/>
  <c r="F354" i="13"/>
  <c r="F353" i="13"/>
  <c r="F352" i="13"/>
  <c r="F351" i="13"/>
  <c r="F350" i="13"/>
  <c r="F349" i="13"/>
  <c r="F348" i="13"/>
  <c r="F347" i="13"/>
  <c r="F346" i="13"/>
  <c r="F345" i="13"/>
  <c r="F344" i="13"/>
  <c r="F343" i="13"/>
  <c r="F342" i="13"/>
  <c r="F341" i="13"/>
  <c r="F340" i="13"/>
  <c r="F339" i="13"/>
  <c r="F338" i="13"/>
  <c r="F337" i="13"/>
  <c r="F336" i="13"/>
  <c r="F335" i="13"/>
  <c r="F334" i="13"/>
  <c r="F333" i="13"/>
  <c r="F332" i="13"/>
  <c r="F331" i="13"/>
  <c r="F330" i="13"/>
  <c r="F329" i="13"/>
  <c r="F328" i="13"/>
  <c r="F327" i="13"/>
  <c r="F326" i="13"/>
  <c r="F325" i="13"/>
  <c r="F324" i="13"/>
  <c r="F323" i="13"/>
  <c r="F322" i="13"/>
  <c r="F321" i="13"/>
  <c r="F320" i="13"/>
  <c r="F319" i="13"/>
  <c r="F318" i="13"/>
  <c r="F317" i="13"/>
  <c r="F316" i="13"/>
  <c r="F315" i="13"/>
  <c r="F314" i="13"/>
  <c r="F313" i="13"/>
  <c r="F312" i="13"/>
  <c r="F311" i="13"/>
  <c r="F310" i="13"/>
  <c r="F309" i="13"/>
  <c r="F308" i="13"/>
  <c r="F307" i="13"/>
  <c r="F306" i="13"/>
  <c r="F305" i="13"/>
  <c r="F304" i="13"/>
  <c r="F303" i="13"/>
  <c r="F302" i="13"/>
  <c r="F301" i="13"/>
  <c r="F300" i="13"/>
  <c r="F299" i="13"/>
  <c r="F298" i="13"/>
  <c r="F297" i="13"/>
  <c r="F296" i="13"/>
  <c r="F295" i="13"/>
  <c r="F294" i="13"/>
  <c r="F293" i="13"/>
  <c r="F292" i="13"/>
  <c r="F291" i="13"/>
  <c r="F290" i="13"/>
  <c r="F289" i="13"/>
  <c r="F288" i="13"/>
  <c r="F287" i="13"/>
  <c r="F286" i="13"/>
  <c r="F285" i="13"/>
  <c r="F284" i="13"/>
  <c r="F283" i="13"/>
  <c r="F282" i="13"/>
  <c r="F281" i="13"/>
  <c r="F280" i="13"/>
  <c r="F279" i="13"/>
  <c r="F278" i="13"/>
  <c r="F277" i="13"/>
  <c r="F276" i="13"/>
  <c r="F275" i="13"/>
  <c r="F274" i="13"/>
  <c r="F273" i="13"/>
  <c r="F272" i="13"/>
  <c r="F271" i="13"/>
  <c r="F270" i="13"/>
  <c r="F269" i="13"/>
  <c r="F268" i="13"/>
  <c r="F267" i="13"/>
  <c r="F266" i="13"/>
  <c r="F265" i="13"/>
  <c r="F264" i="13"/>
  <c r="F263" i="13"/>
  <c r="F262" i="13"/>
  <c r="F261" i="13"/>
  <c r="F260" i="13"/>
  <c r="F259" i="13"/>
  <c r="F258" i="13"/>
  <c r="F257" i="13"/>
  <c r="F256" i="13"/>
  <c r="F255" i="13"/>
  <c r="F254" i="13"/>
  <c r="F253" i="13"/>
  <c r="F252" i="13"/>
  <c r="F251" i="13"/>
  <c r="F250" i="13"/>
  <c r="F249" i="13"/>
  <c r="F248" i="13"/>
  <c r="F247" i="13"/>
  <c r="F246" i="13"/>
  <c r="F245" i="13"/>
  <c r="F244" i="13"/>
  <c r="F243" i="13"/>
  <c r="F242" i="13"/>
  <c r="F241" i="13"/>
  <c r="F240" i="13"/>
  <c r="F239" i="13"/>
  <c r="F238" i="13"/>
  <c r="F237" i="13"/>
  <c r="F236" i="13"/>
  <c r="F235" i="13"/>
  <c r="F234" i="13"/>
  <c r="F233" i="13"/>
  <c r="F232" i="13"/>
  <c r="F231" i="13"/>
  <c r="F230" i="13"/>
  <c r="F229" i="13"/>
  <c r="F228" i="13"/>
  <c r="F227" i="13"/>
  <c r="F226" i="13"/>
  <c r="F225" i="13"/>
  <c r="F224" i="13"/>
  <c r="F223" i="13"/>
  <c r="F222" i="13"/>
  <c r="F221" i="13"/>
  <c r="F220" i="13"/>
  <c r="F219" i="13"/>
  <c r="F218" i="13"/>
  <c r="F217" i="13"/>
  <c r="F216" i="13"/>
  <c r="F215" i="13"/>
  <c r="F214" i="13"/>
  <c r="F213" i="13"/>
  <c r="F212" i="13"/>
  <c r="F211" i="13"/>
  <c r="F210" i="13"/>
  <c r="F209" i="13"/>
  <c r="F208" i="13"/>
  <c r="F207" i="13"/>
  <c r="F206" i="13"/>
  <c r="F205" i="13"/>
  <c r="F204" i="13"/>
  <c r="F203" i="13"/>
  <c r="F202" i="13"/>
  <c r="F201" i="13"/>
  <c r="F200" i="13"/>
  <c r="F199" i="13"/>
  <c r="F198" i="13"/>
  <c r="F197" i="13"/>
  <c r="F196" i="13"/>
  <c r="F195" i="13"/>
  <c r="F194" i="13"/>
  <c r="F193" i="13"/>
  <c r="F192" i="13"/>
  <c r="F191" i="13"/>
  <c r="F190" i="13"/>
  <c r="F189" i="13"/>
  <c r="F188" i="13"/>
  <c r="F187" i="13"/>
  <c r="F186" i="13"/>
  <c r="F185" i="13"/>
  <c r="F184" i="13"/>
  <c r="F183" i="13"/>
  <c r="F182" i="13"/>
  <c r="F181" i="13"/>
  <c r="F180" i="13"/>
  <c r="F179" i="13"/>
  <c r="F178" i="13"/>
  <c r="F177" i="13"/>
  <c r="F176" i="13"/>
  <c r="F175" i="13"/>
  <c r="F174" i="13"/>
  <c r="F173" i="13"/>
  <c r="F172" i="13"/>
  <c r="F171" i="13"/>
  <c r="F170" i="13"/>
  <c r="F169" i="13"/>
  <c r="F168" i="13"/>
  <c r="F167" i="13"/>
  <c r="F166" i="13"/>
  <c r="F165" i="13"/>
  <c r="F164" i="13"/>
  <c r="F163" i="13"/>
  <c r="F162" i="13"/>
  <c r="F161" i="13"/>
  <c r="F160" i="13"/>
  <c r="F159" i="13"/>
  <c r="F158" i="13"/>
  <c r="F157" i="13"/>
  <c r="F156" i="13"/>
  <c r="F155" i="13"/>
  <c r="F154" i="13"/>
  <c r="F153" i="13"/>
  <c r="F152" i="13"/>
  <c r="F151" i="13"/>
  <c r="F150" i="13"/>
  <c r="F149" i="13"/>
  <c r="F148" i="13"/>
  <c r="F147" i="13"/>
  <c r="F146" i="13"/>
  <c r="F145" i="13"/>
  <c r="F144" i="13"/>
  <c r="F143" i="13"/>
  <c r="F142" i="13"/>
  <c r="F141" i="13"/>
  <c r="F140" i="13"/>
  <c r="F139" i="13"/>
  <c r="F138" i="13"/>
  <c r="F137" i="13"/>
  <c r="F136" i="13"/>
  <c r="F135" i="13"/>
  <c r="F134" i="13"/>
  <c r="F133" i="13"/>
  <c r="F132" i="13"/>
  <c r="F131" i="13"/>
  <c r="F130" i="13"/>
  <c r="F129" i="13"/>
  <c r="F128" i="13"/>
  <c r="F127" i="13"/>
  <c r="F126" i="13"/>
  <c r="F125" i="13"/>
  <c r="F124" i="13"/>
  <c r="F123" i="13"/>
  <c r="F122" i="13"/>
  <c r="F121" i="13"/>
  <c r="F120" i="13"/>
  <c r="F119" i="13"/>
  <c r="F118" i="13"/>
  <c r="F117" i="13"/>
  <c r="F116" i="13"/>
  <c r="F115" i="13"/>
  <c r="F114" i="13"/>
  <c r="F113" i="13"/>
  <c r="F112" i="13"/>
  <c r="F111" i="13"/>
  <c r="F110" i="13"/>
  <c r="F109" i="13"/>
  <c r="F108" i="13"/>
  <c r="F107" i="13"/>
  <c r="F106" i="13"/>
  <c r="F105" i="13"/>
  <c r="F104" i="13"/>
  <c r="F103" i="13"/>
  <c r="F102" i="13"/>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E506" i="13"/>
  <c r="E505" i="13"/>
  <c r="E504" i="13"/>
  <c r="E503" i="13"/>
  <c r="E502" i="13"/>
  <c r="E501" i="13"/>
  <c r="E500" i="13"/>
  <c r="E499" i="13"/>
  <c r="E498" i="13"/>
  <c r="E497" i="13"/>
  <c r="E496" i="13"/>
  <c r="E495" i="13"/>
  <c r="E494" i="13"/>
  <c r="E493" i="13"/>
  <c r="E492" i="13"/>
  <c r="E491" i="13"/>
  <c r="E490" i="13"/>
  <c r="E489" i="13"/>
  <c r="E488" i="13"/>
  <c r="E487" i="13"/>
  <c r="E486" i="13"/>
  <c r="E485" i="13"/>
  <c r="E484" i="13"/>
  <c r="E483" i="13"/>
  <c r="E482" i="13"/>
  <c r="E481" i="13"/>
  <c r="E480" i="13"/>
  <c r="E479" i="13"/>
  <c r="E478" i="13"/>
  <c r="E477" i="13"/>
  <c r="E476" i="13"/>
  <c r="E475" i="13"/>
  <c r="E474" i="13"/>
  <c r="E473" i="13"/>
  <c r="E472" i="13"/>
  <c r="E471" i="13"/>
  <c r="E470" i="13"/>
  <c r="E469" i="13"/>
  <c r="E468" i="13"/>
  <c r="E467" i="13"/>
  <c r="E466" i="13"/>
  <c r="E465" i="13"/>
  <c r="E464" i="13"/>
  <c r="E463" i="13"/>
  <c r="E462" i="13"/>
  <c r="E461" i="13"/>
  <c r="E460" i="13"/>
  <c r="E459" i="13"/>
  <c r="E458" i="13"/>
  <c r="E457" i="13"/>
  <c r="E456" i="13"/>
  <c r="E455" i="13"/>
  <c r="E454" i="13"/>
  <c r="E453" i="13"/>
  <c r="E452" i="13"/>
  <c r="E451" i="13"/>
  <c r="E450" i="13"/>
  <c r="E449" i="13"/>
  <c r="E448" i="13"/>
  <c r="E447" i="13"/>
  <c r="E446" i="13"/>
  <c r="E445" i="13"/>
  <c r="E444" i="13"/>
  <c r="E443" i="13"/>
  <c r="E442" i="13"/>
  <c r="E441" i="13"/>
  <c r="E440" i="13"/>
  <c r="E439" i="13"/>
  <c r="E438" i="13"/>
  <c r="E437" i="13"/>
  <c r="E436" i="13"/>
  <c r="E435" i="13"/>
  <c r="E434" i="13"/>
  <c r="E433" i="13"/>
  <c r="E432" i="13"/>
  <c r="E431" i="13"/>
  <c r="E430" i="13"/>
  <c r="E429" i="13"/>
  <c r="E428" i="13"/>
  <c r="E427" i="13"/>
  <c r="E426" i="13"/>
  <c r="E425" i="13"/>
  <c r="E424" i="13"/>
  <c r="E423" i="13"/>
  <c r="E422" i="13"/>
  <c r="E421" i="13"/>
  <c r="E420" i="13"/>
  <c r="E419" i="13"/>
  <c r="E418" i="13"/>
  <c r="E417" i="13"/>
  <c r="E416" i="13"/>
  <c r="E415" i="13"/>
  <c r="E414" i="13"/>
  <c r="E413" i="13"/>
  <c r="E412" i="13"/>
  <c r="E411" i="13"/>
  <c r="E410" i="13"/>
  <c r="E409" i="13"/>
  <c r="E408" i="13"/>
  <c r="E407" i="13"/>
  <c r="E406" i="13"/>
  <c r="E405" i="13"/>
  <c r="E404" i="13"/>
  <c r="E403" i="13"/>
  <c r="E402" i="13"/>
  <c r="E401" i="13"/>
  <c r="E400" i="13"/>
  <c r="E399" i="13"/>
  <c r="E398" i="13"/>
  <c r="E397" i="13"/>
  <c r="E396" i="13"/>
  <c r="E395" i="13"/>
  <c r="E394" i="13"/>
  <c r="E393" i="13"/>
  <c r="E392" i="13"/>
  <c r="E391" i="13"/>
  <c r="E390" i="13"/>
  <c r="E389" i="13"/>
  <c r="E388" i="13"/>
  <c r="E387" i="13"/>
  <c r="E386" i="13"/>
  <c r="E385" i="13"/>
  <c r="E384" i="13"/>
  <c r="E383" i="13"/>
  <c r="E382" i="13"/>
  <c r="E381" i="13"/>
  <c r="E380" i="13"/>
  <c r="E379" i="13"/>
  <c r="E378" i="13"/>
  <c r="E377" i="13"/>
  <c r="E376" i="13"/>
  <c r="E375" i="13"/>
  <c r="E374" i="13"/>
  <c r="E373" i="13"/>
  <c r="E372" i="13"/>
  <c r="E371" i="13"/>
  <c r="E370" i="13"/>
  <c r="E369" i="13"/>
  <c r="E368" i="13"/>
  <c r="E367" i="13"/>
  <c r="E366" i="13"/>
  <c r="E365" i="13"/>
  <c r="E364" i="13"/>
  <c r="E363" i="13"/>
  <c r="E362" i="13"/>
  <c r="E361" i="13"/>
  <c r="E360" i="13"/>
  <c r="E359" i="13"/>
  <c r="E358" i="13"/>
  <c r="E357" i="13"/>
  <c r="E356" i="13"/>
  <c r="E355" i="13"/>
  <c r="E354" i="13"/>
  <c r="E353" i="13"/>
  <c r="E352" i="13"/>
  <c r="E351" i="13"/>
  <c r="E350" i="13"/>
  <c r="E349" i="13"/>
  <c r="E348" i="13"/>
  <c r="E347" i="13"/>
  <c r="E346" i="13"/>
  <c r="E345" i="13"/>
  <c r="E344" i="13"/>
  <c r="E343" i="13"/>
  <c r="E342" i="13"/>
  <c r="E341" i="13"/>
  <c r="E340" i="13"/>
  <c r="E339" i="13"/>
  <c r="E338" i="13"/>
  <c r="E337" i="13"/>
  <c r="E336" i="13"/>
  <c r="E335" i="13"/>
  <c r="E334" i="13"/>
  <c r="E333" i="13"/>
  <c r="E332" i="13"/>
  <c r="E331" i="13"/>
  <c r="E330" i="13"/>
  <c r="E329" i="13"/>
  <c r="E328" i="13"/>
  <c r="E327" i="13"/>
  <c r="E326" i="13"/>
  <c r="E325" i="13"/>
  <c r="E324" i="13"/>
  <c r="E323" i="13"/>
  <c r="E322" i="13"/>
  <c r="E321" i="13"/>
  <c r="E320" i="13"/>
  <c r="E319" i="13"/>
  <c r="E318" i="13"/>
  <c r="E317" i="13"/>
  <c r="E316" i="13"/>
  <c r="E315" i="13"/>
  <c r="E314" i="13"/>
  <c r="E313" i="13"/>
  <c r="E312" i="13"/>
  <c r="E311" i="13"/>
  <c r="E310" i="13"/>
  <c r="E309" i="13"/>
  <c r="E308" i="13"/>
  <c r="E307" i="13"/>
  <c r="E306" i="13"/>
  <c r="E305" i="13"/>
  <c r="E304" i="13"/>
  <c r="E303" i="13"/>
  <c r="E302" i="13"/>
  <c r="E301" i="13"/>
  <c r="E300" i="13"/>
  <c r="E299" i="13"/>
  <c r="E298" i="13"/>
  <c r="E297" i="13"/>
  <c r="E296" i="13"/>
  <c r="E295" i="13"/>
  <c r="E294" i="13"/>
  <c r="E293" i="13"/>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E269" i="13"/>
  <c r="E268" i="13"/>
  <c r="E267" i="13"/>
  <c r="E266" i="13"/>
  <c r="E265" i="13"/>
  <c r="E264" i="13"/>
  <c r="E263" i="13"/>
  <c r="E262" i="13"/>
  <c r="E261" i="13"/>
  <c r="E260" i="13"/>
  <c r="E259" i="13"/>
  <c r="E258" i="13"/>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D506" i="10"/>
  <c r="D505" i="10"/>
  <c r="D504" i="10"/>
  <c r="D503" i="10"/>
  <c r="D502" i="10"/>
  <c r="D501" i="10"/>
  <c r="D500" i="10"/>
  <c r="D499" i="10"/>
  <c r="D498" i="10"/>
  <c r="D497" i="10"/>
  <c r="D496" i="10"/>
  <c r="D495" i="10"/>
  <c r="D494" i="10"/>
  <c r="D493" i="10"/>
  <c r="D492" i="10"/>
  <c r="D491" i="10"/>
  <c r="D490" i="10"/>
  <c r="D489" i="10"/>
  <c r="D488" i="10"/>
  <c r="D487" i="10"/>
  <c r="D486" i="10"/>
  <c r="D485" i="10"/>
  <c r="D484" i="10"/>
  <c r="D483" i="10"/>
  <c r="D482" i="10"/>
  <c r="D481" i="10"/>
  <c r="D480" i="10"/>
  <c r="D479" i="10"/>
  <c r="D478" i="10"/>
  <c r="D477" i="10"/>
  <c r="D476" i="10"/>
  <c r="D475" i="10"/>
  <c r="D474" i="10"/>
  <c r="D473" i="10"/>
  <c r="D472" i="10"/>
  <c r="D471" i="10"/>
  <c r="D470" i="10"/>
  <c r="D469" i="10"/>
  <c r="D468" i="10"/>
  <c r="D467" i="10"/>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506" i="11"/>
  <c r="D505" i="11"/>
  <c r="D504" i="11"/>
  <c r="D503" i="11"/>
  <c r="D502" i="11"/>
  <c r="D501" i="11"/>
  <c r="D500" i="11"/>
  <c r="D499" i="11"/>
  <c r="D498" i="11"/>
  <c r="D497" i="11"/>
  <c r="D496" i="11"/>
  <c r="D495" i="11"/>
  <c r="D494" i="11"/>
  <c r="D493" i="11"/>
  <c r="D492" i="11"/>
  <c r="D491" i="11"/>
  <c r="D490" i="11"/>
  <c r="D489" i="11"/>
  <c r="D488" i="11"/>
  <c r="D487" i="11"/>
  <c r="D486" i="11"/>
  <c r="D485" i="11"/>
  <c r="D484" i="11"/>
  <c r="D483" i="11"/>
  <c r="D482" i="11"/>
  <c r="D481" i="11"/>
  <c r="D480" i="11"/>
  <c r="D479" i="11"/>
  <c r="D478" i="11"/>
  <c r="D477" i="11"/>
  <c r="D476" i="11"/>
  <c r="D475" i="11"/>
  <c r="D474" i="11"/>
  <c r="D473" i="11"/>
  <c r="D472" i="11"/>
  <c r="D471" i="11"/>
  <c r="D470" i="11"/>
  <c r="D469" i="11"/>
  <c r="D468" i="11"/>
  <c r="D467" i="11"/>
  <c r="D466" i="11"/>
  <c r="D465" i="11"/>
  <c r="D464" i="1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C506" i="11"/>
  <c r="C505" i="11"/>
  <c r="C504" i="11"/>
  <c r="C503" i="11"/>
  <c r="C502" i="11"/>
  <c r="C501" i="11"/>
  <c r="C500" i="11"/>
  <c r="C499" i="11"/>
  <c r="C498" i="11"/>
  <c r="C497" i="11"/>
  <c r="C496" i="11"/>
  <c r="C495" i="11"/>
  <c r="C494" i="11"/>
  <c r="C493" i="11"/>
  <c r="C492" i="11"/>
  <c r="C491" i="11"/>
  <c r="C490" i="11"/>
  <c r="C489" i="11"/>
  <c r="C488" i="11"/>
  <c r="C487" i="11"/>
  <c r="C486" i="11"/>
  <c r="C485" i="11"/>
  <c r="C484" i="11"/>
  <c r="C483" i="11"/>
  <c r="C482" i="11"/>
  <c r="C481" i="11"/>
  <c r="C480" i="11"/>
  <c r="C479" i="11"/>
  <c r="C478" i="11"/>
  <c r="C477" i="11"/>
  <c r="C476" i="11"/>
  <c r="C475" i="11"/>
  <c r="C474" i="11"/>
  <c r="C473" i="11"/>
  <c r="C472" i="11"/>
  <c r="C471" i="11"/>
  <c r="C470" i="11"/>
  <c r="C469" i="11"/>
  <c r="C468" i="11"/>
  <c r="C467" i="11"/>
  <c r="C466" i="11"/>
  <c r="C465" i="11"/>
  <c r="C464" i="11"/>
  <c r="C463" i="11"/>
  <c r="C462" i="11"/>
  <c r="C461" i="11"/>
  <c r="C460" i="11"/>
  <c r="C459" i="11"/>
  <c r="C458" i="11"/>
  <c r="C457" i="11"/>
  <c r="C456" i="11"/>
  <c r="C455" i="11"/>
  <c r="C454" i="11"/>
  <c r="C453" i="11"/>
  <c r="C452" i="11"/>
  <c r="C451" i="11"/>
  <c r="C450" i="11"/>
  <c r="C449" i="11"/>
  <c r="C448" i="11"/>
  <c r="C447" i="11"/>
  <c r="C446" i="11"/>
  <c r="C445" i="11"/>
  <c r="C444" i="11"/>
  <c r="C443" i="11"/>
  <c r="C442" i="11"/>
  <c r="C441" i="11"/>
  <c r="C440" i="11"/>
  <c r="C439" i="11"/>
  <c r="C438" i="11"/>
  <c r="C437" i="11"/>
  <c r="C436" i="11"/>
  <c r="C435" i="11"/>
  <c r="C434" i="11"/>
  <c r="C433" i="11"/>
  <c r="C432" i="11"/>
  <c r="C431" i="11"/>
  <c r="C430" i="11"/>
  <c r="C429" i="11"/>
  <c r="C428" i="11"/>
  <c r="C427" i="11"/>
  <c r="C426" i="11"/>
  <c r="C425" i="11"/>
  <c r="C424" i="11"/>
  <c r="C423" i="11"/>
  <c r="C422" i="11"/>
  <c r="C421" i="11"/>
  <c r="C420" i="11"/>
  <c r="C419" i="11"/>
  <c r="C418" i="11"/>
  <c r="C417" i="11"/>
  <c r="C416" i="11"/>
  <c r="C415" i="11"/>
  <c r="C414" i="11"/>
  <c r="C413" i="11"/>
  <c r="C412" i="11"/>
  <c r="C411" i="11"/>
  <c r="C410" i="11"/>
  <c r="C409" i="11"/>
  <c r="C408" i="11"/>
  <c r="C407" i="11"/>
  <c r="C406" i="11"/>
  <c r="C405" i="11"/>
  <c r="C404" i="11"/>
  <c r="C403" i="11"/>
  <c r="C402" i="11"/>
  <c r="C401" i="11"/>
  <c r="C400" i="11"/>
  <c r="C399" i="11"/>
  <c r="C398" i="11"/>
  <c r="C397" i="11"/>
  <c r="C396" i="11"/>
  <c r="C395" i="11"/>
  <c r="C394" i="11"/>
  <c r="C393" i="11"/>
  <c r="C392" i="11"/>
  <c r="C391" i="11"/>
  <c r="C390" i="11"/>
  <c r="C389" i="11"/>
  <c r="C388" i="11"/>
  <c r="C387" i="11"/>
  <c r="C386" i="11"/>
  <c r="C385" i="11"/>
  <c r="C384" i="11"/>
  <c r="C383" i="11"/>
  <c r="C382" i="11"/>
  <c r="C381" i="11"/>
  <c r="C380" i="11"/>
  <c r="C379" i="11"/>
  <c r="C378" i="11"/>
  <c r="C377" i="11"/>
  <c r="C376" i="11"/>
  <c r="C375" i="11"/>
  <c r="C374" i="11"/>
  <c r="C373" i="11"/>
  <c r="C372" i="11"/>
  <c r="C371" i="11"/>
  <c r="C370" i="11"/>
  <c r="C369" i="11"/>
  <c r="C368" i="11"/>
  <c r="C367" i="11"/>
  <c r="C366" i="11"/>
  <c r="C365" i="11"/>
  <c r="C364" i="11"/>
  <c r="C363" i="11"/>
  <c r="C362" i="11"/>
  <c r="C361" i="11"/>
  <c r="C360" i="11"/>
  <c r="C359" i="11"/>
  <c r="C358" i="11"/>
  <c r="C357" i="11"/>
  <c r="C356" i="11"/>
  <c r="C355" i="11"/>
  <c r="C354" i="11"/>
  <c r="C353" i="11"/>
  <c r="C352" i="11"/>
  <c r="C351" i="11"/>
  <c r="C350" i="11"/>
  <c r="C349" i="11"/>
  <c r="C348" i="11"/>
  <c r="C347" i="11"/>
  <c r="C346" i="11"/>
  <c r="C345" i="11"/>
  <c r="C344" i="11"/>
  <c r="C343" i="11"/>
  <c r="C342" i="11"/>
  <c r="C341" i="11"/>
  <c r="C340" i="11"/>
  <c r="C339" i="11"/>
  <c r="C338" i="11"/>
  <c r="C337" i="11"/>
  <c r="C336" i="11"/>
  <c r="C335" i="11"/>
  <c r="C334" i="11"/>
  <c r="C333" i="11"/>
  <c r="C332" i="11"/>
  <c r="C331" i="11"/>
  <c r="C330" i="11"/>
  <c r="C329" i="11"/>
  <c r="C328" i="11"/>
  <c r="C327" i="11"/>
  <c r="C326" i="11"/>
  <c r="C325" i="11"/>
  <c r="C324" i="11"/>
  <c r="C323" i="11"/>
  <c r="C322" i="11"/>
  <c r="C321" i="11"/>
  <c r="C320" i="11"/>
  <c r="C319" i="11"/>
  <c r="C318" i="11"/>
  <c r="C317" i="11"/>
  <c r="C316" i="11"/>
  <c r="C315" i="11"/>
  <c r="C314" i="11"/>
  <c r="C313" i="11"/>
  <c r="C312" i="11"/>
  <c r="C311" i="11"/>
  <c r="C310" i="11"/>
  <c r="C309" i="11"/>
  <c r="C308" i="11"/>
  <c r="C307" i="11"/>
  <c r="C306" i="11"/>
  <c r="C305" i="11"/>
  <c r="C304" i="11"/>
  <c r="C303" i="11"/>
  <c r="C302" i="11"/>
  <c r="C301" i="11"/>
  <c r="C300" i="11"/>
  <c r="C299" i="11"/>
  <c r="C298" i="11"/>
  <c r="C297" i="11"/>
  <c r="C296" i="11"/>
  <c r="C295" i="11"/>
  <c r="C294" i="11"/>
  <c r="C293" i="11"/>
  <c r="C292" i="11"/>
  <c r="C291" i="11"/>
  <c r="C290" i="11"/>
  <c r="C289" i="11"/>
  <c r="C288" i="11"/>
  <c r="C287" i="11"/>
  <c r="C286" i="11"/>
  <c r="C285" i="11"/>
  <c r="C284" i="11"/>
  <c r="C283" i="11"/>
  <c r="C282" i="11"/>
  <c r="C281" i="11"/>
  <c r="C280" i="11"/>
  <c r="C279" i="11"/>
  <c r="C278" i="11"/>
  <c r="C277" i="11"/>
  <c r="C276" i="11"/>
  <c r="C275" i="11"/>
  <c r="C274" i="11"/>
  <c r="C273" i="11"/>
  <c r="C272" i="11"/>
  <c r="C271" i="11"/>
  <c r="C270" i="11"/>
  <c r="C269" i="11"/>
  <c r="C268" i="11"/>
  <c r="C267" i="11"/>
  <c r="C266" i="11"/>
  <c r="C265" i="11"/>
  <c r="C264" i="11"/>
  <c r="C263" i="11"/>
  <c r="C262" i="11"/>
  <c r="C261" i="11"/>
  <c r="C260" i="11"/>
  <c r="C259" i="11"/>
  <c r="C258" i="11"/>
  <c r="C257" i="11"/>
  <c r="C256" i="11"/>
  <c r="C255" i="11"/>
  <c r="C254" i="11"/>
  <c r="C253" i="11"/>
  <c r="C25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C7" i="11"/>
  <c r="H74" i="4"/>
  <c r="H63" i="4"/>
  <c r="H54" i="4"/>
  <c r="H39" i="4"/>
  <c r="H27" i="4"/>
  <c r="H13" i="4"/>
  <c r="A4" i="4"/>
  <c r="H76" i="4" a="1"/>
  <c r="H77" i="4" a="1"/>
  <c r="H78" i="4" a="1"/>
  <c r="H79" i="4" a="1"/>
  <c r="G76" i="4" a="1"/>
  <c r="G77" i="4" a="1"/>
  <c r="G78" i="4" a="1"/>
  <c r="G79" i="4" a="1"/>
  <c r="F76" i="4" a="1"/>
  <c r="F77" i="4" a="1"/>
  <c r="F78" i="4" a="1"/>
  <c r="F79" i="4" a="1"/>
  <c r="E76" i="4" a="1"/>
  <c r="E77" i="4" a="1"/>
  <c r="E78" i="4" a="1"/>
  <c r="E79" i="4" a="1"/>
  <c r="B76" i="4" a="1"/>
  <c r="B77" i="4" a="1"/>
  <c r="B78" i="4" a="1"/>
  <c r="B79" i="4" a="1"/>
  <c r="A76" i="4" a="1"/>
  <c r="A77" i="4" a="1"/>
  <c r="A78" i="4" a="1"/>
  <c r="A79" i="4" a="1"/>
  <c r="G65" i="4" a="1"/>
  <c r="G66" i="4" a="1"/>
  <c r="G67" i="4" a="1"/>
  <c r="H67" i="4" s="1"/>
  <c r="G68" i="4" a="1"/>
  <c r="H68" i="4" s="1"/>
  <c r="G69" i="4" a="1"/>
  <c r="H69" i="4" s="1"/>
  <c r="G70" i="4" a="1"/>
  <c r="H70" i="4" s="1"/>
  <c r="G71" i="4" a="1"/>
  <c r="H71" i="4" s="1"/>
  <c r="G72" i="4" a="1"/>
  <c r="H72" i="4" s="1"/>
  <c r="F65" i="4" a="1"/>
  <c r="F66" i="4" a="1"/>
  <c r="F67" i="4" a="1"/>
  <c r="F68" i="4" a="1"/>
  <c r="F69" i="4" a="1"/>
  <c r="F70" i="4" a="1"/>
  <c r="F71" i="4" a="1"/>
  <c r="F72" i="4" a="1"/>
  <c r="E65" i="4" a="1"/>
  <c r="E66" i="4" a="1"/>
  <c r="E67" i="4" a="1"/>
  <c r="E68" i="4" a="1"/>
  <c r="E69" i="4" a="1"/>
  <c r="E70" i="4" a="1"/>
  <c r="E71" i="4" a="1"/>
  <c r="E72" i="4" a="1"/>
  <c r="B65" i="4" a="1"/>
  <c r="B66" i="4" a="1"/>
  <c r="B67" i="4" a="1"/>
  <c r="B68" i="4" a="1"/>
  <c r="B69" i="4" a="1"/>
  <c r="B70" i="4" a="1"/>
  <c r="B71" i="4" a="1"/>
  <c r="B72" i="4" a="1"/>
  <c r="A65" i="4" a="1"/>
  <c r="A66" i="4" a="1"/>
  <c r="A67" i="4" a="1"/>
  <c r="A68" i="4" a="1"/>
  <c r="A69" i="4" a="1"/>
  <c r="A70" i="4" a="1"/>
  <c r="A71" i="4" a="1"/>
  <c r="A72" i="4" a="1"/>
  <c r="H56" i="4" a="1"/>
  <c r="H57" i="4" a="1"/>
  <c r="H58" i="4" a="1"/>
  <c r="H59" i="4" a="1"/>
  <c r="H60" i="4" a="1"/>
  <c r="H61" i="4" a="1"/>
  <c r="G56" i="4" a="1"/>
  <c r="G57" i="4" a="1"/>
  <c r="G58" i="4" a="1"/>
  <c r="G59" i="4" a="1"/>
  <c r="G60" i="4" a="1"/>
  <c r="G61" i="4" a="1"/>
  <c r="F56" i="4" a="1"/>
  <c r="F57" i="4" a="1"/>
  <c r="F58" i="4" a="1"/>
  <c r="F59" i="4" a="1"/>
  <c r="F60" i="4" a="1"/>
  <c r="F61" i="4" a="1"/>
  <c r="E56" i="4" a="1"/>
  <c r="E57" i="4" a="1"/>
  <c r="E58" i="4" a="1"/>
  <c r="E59" i="4" a="1"/>
  <c r="E60" i="4" a="1"/>
  <c r="E61" i="4" a="1"/>
  <c r="D56" i="4" a="1"/>
  <c r="D57" i="4" a="1"/>
  <c r="D58" i="4" a="1"/>
  <c r="D59" i="4" a="1"/>
  <c r="D60" i="4" a="1"/>
  <c r="D61" i="4" a="1"/>
  <c r="C56" i="4" a="1"/>
  <c r="C57" i="4" a="1"/>
  <c r="C58" i="4" a="1"/>
  <c r="C59" i="4" a="1"/>
  <c r="C60" i="4" a="1"/>
  <c r="C61" i="4" a="1"/>
  <c r="B56" i="4" a="1"/>
  <c r="B57" i="4" a="1"/>
  <c r="B58" i="4" a="1"/>
  <c r="B59" i="4" a="1"/>
  <c r="B60" i="4" a="1"/>
  <c r="B61" i="4" a="1"/>
  <c r="A56" i="4" a="1"/>
  <c r="A57" i="4" a="1"/>
  <c r="A58" i="4" a="1"/>
  <c r="A59" i="4" a="1"/>
  <c r="A60" i="4" a="1"/>
  <c r="A61" i="4" a="1"/>
  <c r="G41" i="4" a="1"/>
  <c r="G42" i="4" a="1"/>
  <c r="G43" i="4" a="1"/>
  <c r="G44" i="4" a="1"/>
  <c r="G45" i="4" a="1"/>
  <c r="G46" i="4" a="1"/>
  <c r="G47" i="4" a="1"/>
  <c r="G48" i="4" a="1"/>
  <c r="G49" i="4" a="1"/>
  <c r="G50" i="4" a="1"/>
  <c r="G51" i="4" a="1"/>
  <c r="G52" i="4" a="1"/>
  <c r="F41" i="4" a="1"/>
  <c r="F42" i="4" a="1"/>
  <c r="F43" i="4" a="1"/>
  <c r="F44" i="4" a="1"/>
  <c r="F45" i="4" a="1"/>
  <c r="F46" i="4" a="1"/>
  <c r="F47" i="4" a="1"/>
  <c r="F48" i="4" a="1"/>
  <c r="F49" i="4" a="1"/>
  <c r="F50" i="4" a="1"/>
  <c r="F51" i="4" a="1"/>
  <c r="F52" i="4" a="1"/>
  <c r="D41" i="4" a="1"/>
  <c r="D42" i="4" a="1"/>
  <c r="D43" i="4" a="1"/>
  <c r="D44" i="4" a="1"/>
  <c r="D45" i="4" a="1"/>
  <c r="D46" i="4" a="1"/>
  <c r="D47" i="4" a="1"/>
  <c r="D48" i="4" a="1"/>
  <c r="D49" i="4" a="1"/>
  <c r="D50" i="4" a="1"/>
  <c r="D51" i="4" a="1"/>
  <c r="D52" i="4" a="1"/>
  <c r="C41" i="4" a="1"/>
  <c r="C42" i="4" a="1"/>
  <c r="C43" i="4" a="1"/>
  <c r="C44" i="4" a="1"/>
  <c r="C45" i="4" a="1"/>
  <c r="C46" i="4" a="1"/>
  <c r="C47" i="4" a="1"/>
  <c r="C48" i="4" a="1"/>
  <c r="C49" i="4" a="1"/>
  <c r="C50" i="4" a="1"/>
  <c r="C51" i="4" a="1"/>
  <c r="C52" i="4" a="1"/>
  <c r="A41" i="4" a="1"/>
  <c r="A42" i="4" a="1"/>
  <c r="A43" i="4" a="1"/>
  <c r="A44" i="4" a="1"/>
  <c r="A45" i="4" a="1"/>
  <c r="A46" i="4" a="1"/>
  <c r="A47" i="4" a="1"/>
  <c r="A48" i="4" a="1"/>
  <c r="A49" i="4" a="1"/>
  <c r="A50" i="4" a="1"/>
  <c r="A51" i="4" a="1"/>
  <c r="A52" i="4" a="1"/>
  <c r="H29" i="4" a="1"/>
  <c r="H30" i="4" a="1"/>
  <c r="H31" i="4" a="1"/>
  <c r="H32" i="4" a="1"/>
  <c r="H33" i="4" a="1"/>
  <c r="H34" i="4" a="1"/>
  <c r="H35" i="4" a="1"/>
  <c r="H36" i="4" a="1"/>
  <c r="G29" i="4" a="1"/>
  <c r="G30" i="4" a="1"/>
  <c r="G31" i="4" a="1"/>
  <c r="G32" i="4" a="1"/>
  <c r="G33" i="4" a="1"/>
  <c r="G34" i="4" a="1"/>
  <c r="G35" i="4" a="1"/>
  <c r="G36" i="4" a="1"/>
  <c r="F29" i="4" a="1"/>
  <c r="F30" i="4" a="1"/>
  <c r="F31" i="4" a="1"/>
  <c r="F32" i="4" a="1"/>
  <c r="F33" i="4" a="1"/>
  <c r="F34" i="4" a="1"/>
  <c r="F35" i="4" a="1"/>
  <c r="F36" i="4" a="1"/>
  <c r="D29" i="4" a="1"/>
  <c r="D30" i="4" a="1"/>
  <c r="D31" i="4" a="1"/>
  <c r="D32" i="4" a="1"/>
  <c r="D33" i="4" a="1"/>
  <c r="D34" i="4" a="1"/>
  <c r="D35" i="4" a="1"/>
  <c r="D36" i="4" a="1"/>
  <c r="C29" i="4" a="1"/>
  <c r="E29" i="4" s="1"/>
  <c r="C30" i="4" a="1"/>
  <c r="E30" i="4" s="1"/>
  <c r="C31" i="4" a="1"/>
  <c r="C32" i="4" a="1"/>
  <c r="C33" i="4" a="1"/>
  <c r="C34" i="4" a="1"/>
  <c r="C35" i="4" a="1"/>
  <c r="C36" i="4" a="1"/>
  <c r="A29" i="4" a="1"/>
  <c r="A30" i="4" a="1"/>
  <c r="A31" i="4" a="1"/>
  <c r="A32" i="4" a="1"/>
  <c r="A33" i="4" a="1"/>
  <c r="A34" i="4" a="1"/>
  <c r="A35" i="4" a="1"/>
  <c r="A36" i="4" a="1"/>
  <c r="F15" i="4" a="1"/>
  <c r="F16" i="4" a="1"/>
  <c r="F17" i="4" a="1"/>
  <c r="F18" i="4" a="1"/>
  <c r="F19" i="4" a="1"/>
  <c r="F20" i="4" a="1"/>
  <c r="F21" i="4" a="1"/>
  <c r="F22" i="4" a="1"/>
  <c r="F23" i="4" a="1"/>
  <c r="F24" i="4" a="1"/>
  <c r="D15" i="4" a="1"/>
  <c r="D16" i="4" a="1"/>
  <c r="D17" i="4" a="1"/>
  <c r="D18" i="4" a="1"/>
  <c r="D19" i="4" a="1"/>
  <c r="D20" i="4" a="1"/>
  <c r="D21" i="4" a="1"/>
  <c r="D22" i="4" a="1"/>
  <c r="D23" i="4" a="1"/>
  <c r="D24" i="4" a="1"/>
  <c r="C15" i="4" a="1"/>
  <c r="C16" i="4" a="1"/>
  <c r="E16" i="4" s="1"/>
  <c r="C17" i="4" a="1"/>
  <c r="C18" i="4" a="1"/>
  <c r="C19" i="4" a="1"/>
  <c r="C20" i="4" a="1"/>
  <c r="C21" i="4" a="1"/>
  <c r="C22" i="4" a="1"/>
  <c r="C23" i="4" a="1"/>
  <c r="C24" i="4" a="1"/>
  <c r="B15" i="4" a="1"/>
  <c r="B16" i="4" a="1"/>
  <c r="B17" i="4" a="1"/>
  <c r="B18" i="4" a="1"/>
  <c r="B19" i="4" a="1"/>
  <c r="B20" i="4" a="1"/>
  <c r="B21" i="4" a="1"/>
  <c r="B22" i="4" a="1"/>
  <c r="B23" i="4" a="1"/>
  <c r="B24" i="4" a="1"/>
  <c r="A15" i="4" a="1"/>
  <c r="A16" i="4" a="1"/>
  <c r="A17" i="4" a="1"/>
  <c r="A18" i="4" a="1"/>
  <c r="A19" i="4" a="1"/>
  <c r="A20" i="4" a="1"/>
  <c r="A21" i="4" a="1"/>
  <c r="A22" i="4" a="1"/>
  <c r="A23" i="4" a="1"/>
  <c r="A24" i="4" a="1"/>
  <c r="F11" i="4"/>
  <c r="F8" i="4"/>
  <c r="F9" i="4"/>
  <c r="B6" i="4"/>
  <c r="B7" i="4"/>
  <c r="B8" i="4"/>
  <c r="B9" i="4"/>
  <c r="B10" i="4"/>
  <c r="B11" i="4"/>
  <c r="H8" i="5"/>
  <c r="I8" i="5"/>
  <c r="J8" i="5"/>
  <c r="K8" i="5"/>
  <c r="L8" i="5"/>
  <c r="H9" i="5"/>
  <c r="I9" i="5"/>
  <c r="J9" i="5"/>
  <c r="K9" i="5"/>
  <c r="L9" i="5"/>
  <c r="H10" i="5"/>
  <c r="I10" i="5"/>
  <c r="J10" i="5"/>
  <c r="K10" i="5"/>
  <c r="L10" i="5"/>
  <c r="H11" i="5"/>
  <c r="I11" i="5"/>
  <c r="J11" i="5"/>
  <c r="K11" i="5"/>
  <c r="L11" i="5"/>
  <c r="H12" i="5"/>
  <c r="I12" i="5"/>
  <c r="J12" i="5"/>
  <c r="K12" i="5"/>
  <c r="L12" i="5"/>
  <c r="H13" i="5"/>
  <c r="I13" i="5"/>
  <c r="J13" i="5"/>
  <c r="K13" i="5"/>
  <c r="L13" i="5"/>
  <c r="H14" i="5"/>
  <c r="I14" i="5"/>
  <c r="J14" i="5"/>
  <c r="K14" i="5"/>
  <c r="L14" i="5"/>
  <c r="H15" i="5"/>
  <c r="I15" i="5"/>
  <c r="J15" i="5"/>
  <c r="K15" i="5"/>
  <c r="L15" i="5"/>
  <c r="H16" i="5"/>
  <c r="I16" i="5"/>
  <c r="J16" i="5"/>
  <c r="K16" i="5"/>
  <c r="L16" i="5"/>
  <c r="H17" i="5"/>
  <c r="I17" i="5"/>
  <c r="J17" i="5"/>
  <c r="K17" i="5"/>
  <c r="L17" i="5"/>
  <c r="F8" i="5"/>
  <c r="F9" i="5"/>
  <c r="F10" i="5"/>
  <c r="F11" i="5"/>
  <c r="F12" i="5"/>
  <c r="F13" i="5"/>
  <c r="F14" i="5"/>
  <c r="F15" i="5"/>
  <c r="F16" i="5"/>
  <c r="F17" i="5"/>
  <c r="D8" i="5"/>
  <c r="D9" i="5"/>
  <c r="D10" i="5"/>
  <c r="D11" i="5"/>
  <c r="D12" i="5"/>
  <c r="D13" i="5"/>
  <c r="D14" i="5"/>
  <c r="D15" i="5"/>
  <c r="D16" i="5"/>
  <c r="D17" i="5"/>
  <c r="J16" i="11"/>
  <c r="J17" i="11"/>
  <c r="J18" i="11"/>
  <c r="J19" i="11"/>
  <c r="J20" i="11"/>
  <c r="J21" i="11"/>
  <c r="J22" i="11"/>
  <c r="J23" i="11"/>
  <c r="J24" i="11"/>
  <c r="J25" i="11"/>
  <c r="J26" i="11"/>
  <c r="J27" i="11"/>
  <c r="J28" i="11"/>
  <c r="J29" i="11"/>
  <c r="J30" i="11"/>
  <c r="J31" i="11"/>
  <c r="J32" i="11"/>
  <c r="J33" i="11"/>
  <c r="J15" i="11"/>
  <c r="I506" i="13"/>
  <c r="I505" i="13"/>
  <c r="I504" i="13"/>
  <c r="I503" i="13"/>
  <c r="I502" i="13"/>
  <c r="I501" i="13"/>
  <c r="I500" i="13"/>
  <c r="I499" i="13"/>
  <c r="I498" i="13"/>
  <c r="I497" i="13"/>
  <c r="I496" i="13"/>
  <c r="I495" i="13"/>
  <c r="I494" i="13"/>
  <c r="I493" i="13"/>
  <c r="I492" i="13"/>
  <c r="I491" i="13"/>
  <c r="I490" i="13"/>
  <c r="I489" i="13"/>
  <c r="I488" i="13"/>
  <c r="I487" i="13"/>
  <c r="I486" i="13"/>
  <c r="I485" i="13"/>
  <c r="I484" i="13"/>
  <c r="I483" i="13"/>
  <c r="I482" i="13"/>
  <c r="I481" i="13"/>
  <c r="I480" i="13"/>
  <c r="I479" i="13"/>
  <c r="I478" i="13"/>
  <c r="I477" i="13"/>
  <c r="I476" i="13"/>
  <c r="I475" i="13"/>
  <c r="I474" i="13"/>
  <c r="I473" i="13"/>
  <c r="I472" i="13"/>
  <c r="I471" i="13"/>
  <c r="I470" i="13"/>
  <c r="I469" i="13"/>
  <c r="I468" i="13"/>
  <c r="I467" i="13"/>
  <c r="I466" i="13"/>
  <c r="I465" i="13"/>
  <c r="I464" i="13"/>
  <c r="I463" i="13"/>
  <c r="I462" i="13"/>
  <c r="I461" i="13"/>
  <c r="I460" i="13"/>
  <c r="I459" i="13"/>
  <c r="I458" i="13"/>
  <c r="I457" i="13"/>
  <c r="I456" i="13"/>
  <c r="I455" i="13"/>
  <c r="I454" i="13"/>
  <c r="I453" i="13"/>
  <c r="I452" i="13"/>
  <c r="I451" i="13"/>
  <c r="I450" i="13"/>
  <c r="I449" i="13"/>
  <c r="I448" i="13"/>
  <c r="I447" i="13"/>
  <c r="I446" i="13"/>
  <c r="I445" i="13"/>
  <c r="I444" i="13"/>
  <c r="I443" i="13"/>
  <c r="I442" i="13"/>
  <c r="I441" i="13"/>
  <c r="I440" i="13"/>
  <c r="I439" i="13"/>
  <c r="I438" i="13"/>
  <c r="I437" i="13"/>
  <c r="I436" i="13"/>
  <c r="I435" i="13"/>
  <c r="I434" i="13"/>
  <c r="I433" i="13"/>
  <c r="I432" i="13"/>
  <c r="I431" i="13"/>
  <c r="I430" i="13"/>
  <c r="I429" i="13"/>
  <c r="I428" i="13"/>
  <c r="I427" i="13"/>
  <c r="I426" i="13"/>
  <c r="I425" i="13"/>
  <c r="I424" i="13"/>
  <c r="I423" i="13"/>
  <c r="I422" i="13"/>
  <c r="I421" i="13"/>
  <c r="I420" i="13"/>
  <c r="I419" i="13"/>
  <c r="I418" i="13"/>
  <c r="I417" i="13"/>
  <c r="I416" i="13"/>
  <c r="I415" i="13"/>
  <c r="I414" i="13"/>
  <c r="I413" i="13"/>
  <c r="I412" i="13"/>
  <c r="I411" i="13"/>
  <c r="I410" i="13"/>
  <c r="I409" i="13"/>
  <c r="I408" i="13"/>
  <c r="I407" i="13"/>
  <c r="I406" i="13"/>
  <c r="I405" i="13"/>
  <c r="I404" i="13"/>
  <c r="I403" i="13"/>
  <c r="I402" i="13"/>
  <c r="I401" i="13"/>
  <c r="I400" i="13"/>
  <c r="I399" i="13"/>
  <c r="I398" i="13"/>
  <c r="I397" i="13"/>
  <c r="I396" i="13"/>
  <c r="I395" i="13"/>
  <c r="I394" i="13"/>
  <c r="I393" i="13"/>
  <c r="I392" i="13"/>
  <c r="I391" i="13"/>
  <c r="I390" i="13"/>
  <c r="I389" i="13"/>
  <c r="I388" i="13"/>
  <c r="I387" i="13"/>
  <c r="I386" i="13"/>
  <c r="I385" i="13"/>
  <c r="I384" i="13"/>
  <c r="I383" i="13"/>
  <c r="I382" i="13"/>
  <c r="I381" i="13"/>
  <c r="I380" i="13"/>
  <c r="I379" i="13"/>
  <c r="I378" i="13"/>
  <c r="I377" i="13"/>
  <c r="I376" i="13"/>
  <c r="I375" i="13"/>
  <c r="I374" i="13"/>
  <c r="I373" i="13"/>
  <c r="I372" i="13"/>
  <c r="I371" i="13"/>
  <c r="I370" i="13"/>
  <c r="I369" i="13"/>
  <c r="I368" i="13"/>
  <c r="I367" i="13"/>
  <c r="I366" i="13"/>
  <c r="I365" i="13"/>
  <c r="I364" i="13"/>
  <c r="I363" i="13"/>
  <c r="I362" i="13"/>
  <c r="I361" i="13"/>
  <c r="I360" i="13"/>
  <c r="I359" i="13"/>
  <c r="I358" i="13"/>
  <c r="I357" i="13"/>
  <c r="I356" i="13"/>
  <c r="I355" i="13"/>
  <c r="I354" i="13"/>
  <c r="I353" i="13"/>
  <c r="I352" i="13"/>
  <c r="I351" i="13"/>
  <c r="I350" i="13"/>
  <c r="I349" i="13"/>
  <c r="I348" i="13"/>
  <c r="I347" i="13"/>
  <c r="I346" i="13"/>
  <c r="I345" i="13"/>
  <c r="I344" i="13"/>
  <c r="I343" i="13"/>
  <c r="I342" i="13"/>
  <c r="I341" i="13"/>
  <c r="I340" i="13"/>
  <c r="I339" i="13"/>
  <c r="I338" i="13"/>
  <c r="I337" i="13"/>
  <c r="I336" i="13"/>
  <c r="I335" i="13"/>
  <c r="I334" i="13"/>
  <c r="I333" i="13"/>
  <c r="I332" i="13"/>
  <c r="I331" i="13"/>
  <c r="I330" i="13"/>
  <c r="I329" i="13"/>
  <c r="I328" i="13"/>
  <c r="I327" i="13"/>
  <c r="I326" i="13"/>
  <c r="I325" i="13"/>
  <c r="I324" i="13"/>
  <c r="I323" i="13"/>
  <c r="I322" i="13"/>
  <c r="I321" i="13"/>
  <c r="I320" i="13"/>
  <c r="I319" i="13"/>
  <c r="I318" i="13"/>
  <c r="I317" i="13"/>
  <c r="I316" i="13"/>
  <c r="I315" i="13"/>
  <c r="I314" i="13"/>
  <c r="I313" i="13"/>
  <c r="I312" i="13"/>
  <c r="I311" i="13"/>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I128" i="13"/>
  <c r="I127" i="13"/>
  <c r="I126" i="13"/>
  <c r="I125" i="13"/>
  <c r="I124" i="13"/>
  <c r="I123" i="13"/>
  <c r="I122" i="13"/>
  <c r="I121" i="13"/>
  <c r="I120" i="13"/>
  <c r="I119" i="13"/>
  <c r="I118" i="13"/>
  <c r="I117" i="13"/>
  <c r="I116" i="13"/>
  <c r="I115" i="13"/>
  <c r="I114" i="13"/>
  <c r="I113" i="13"/>
  <c r="I112" i="13"/>
  <c r="I111" i="13"/>
  <c r="I110" i="13"/>
  <c r="I109" i="13"/>
  <c r="I108" i="13"/>
  <c r="I107" i="13"/>
  <c r="I106" i="13"/>
  <c r="I105" i="13"/>
  <c r="I104" i="13"/>
  <c r="I103" i="13"/>
  <c r="I102" i="13"/>
  <c r="I101" i="13"/>
  <c r="I100" i="13"/>
  <c r="I99" i="13"/>
  <c r="I98" i="13"/>
  <c r="I97" i="13"/>
  <c r="I96" i="13"/>
  <c r="I95" i="13"/>
  <c r="I94" i="13"/>
  <c r="I93" i="13"/>
  <c r="I92" i="13"/>
  <c r="I91" i="13"/>
  <c r="I90" i="13"/>
  <c r="I89" i="13"/>
  <c r="I88" i="13"/>
  <c r="I87" i="13"/>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C11" i="10"/>
  <c r="G11" i="10"/>
  <c r="C12" i="10"/>
  <c r="G12" i="10"/>
  <c r="C13" i="10"/>
  <c r="G13" i="10"/>
  <c r="C14" i="10"/>
  <c r="G14" i="10"/>
  <c r="K206" i="12"/>
  <c r="I206" i="12"/>
  <c r="L206" i="12" s="1"/>
  <c r="H206" i="12"/>
  <c r="G206" i="12"/>
  <c r="J206" i="12" s="1"/>
  <c r="K205" i="12"/>
  <c r="I205" i="12"/>
  <c r="L205" i="12" s="1"/>
  <c r="H205" i="12"/>
  <c r="G205" i="12"/>
  <c r="J205" i="12" s="1"/>
  <c r="K204" i="12"/>
  <c r="I204" i="12"/>
  <c r="L204" i="12" s="1"/>
  <c r="H204" i="12"/>
  <c r="G204" i="12"/>
  <c r="J204" i="12" s="1"/>
  <c r="K203" i="12"/>
  <c r="I203" i="12"/>
  <c r="L203" i="12" s="1"/>
  <c r="H203" i="12"/>
  <c r="G203" i="12"/>
  <c r="J203" i="12" s="1"/>
  <c r="K202" i="12"/>
  <c r="I202" i="12"/>
  <c r="L202" i="12" s="1"/>
  <c r="H202" i="12"/>
  <c r="G202" i="12"/>
  <c r="J202" i="12" s="1"/>
  <c r="K201" i="12"/>
  <c r="I201" i="12"/>
  <c r="L201" i="12" s="1"/>
  <c r="H201" i="12"/>
  <c r="G201" i="12"/>
  <c r="J201" i="12" s="1"/>
  <c r="K200" i="12"/>
  <c r="I200" i="12"/>
  <c r="L200" i="12" s="1"/>
  <c r="H200" i="12"/>
  <c r="G200" i="12"/>
  <c r="J200" i="12" s="1"/>
  <c r="K199" i="12"/>
  <c r="I199" i="12"/>
  <c r="L199" i="12" s="1"/>
  <c r="H199" i="12"/>
  <c r="G199" i="12"/>
  <c r="J199" i="12" s="1"/>
  <c r="K198" i="12"/>
  <c r="I198" i="12"/>
  <c r="L198" i="12" s="1"/>
  <c r="H198" i="12"/>
  <c r="G198" i="12"/>
  <c r="J198" i="12" s="1"/>
  <c r="K197" i="12"/>
  <c r="I197" i="12"/>
  <c r="L197" i="12" s="1"/>
  <c r="H197" i="12"/>
  <c r="G197" i="12"/>
  <c r="J197" i="12" s="1"/>
  <c r="K196" i="12"/>
  <c r="I196" i="12"/>
  <c r="L196" i="12" s="1"/>
  <c r="H196" i="12"/>
  <c r="G196" i="12"/>
  <c r="J196" i="12" s="1"/>
  <c r="K195" i="12"/>
  <c r="I195" i="12"/>
  <c r="L195" i="12" s="1"/>
  <c r="H195" i="12"/>
  <c r="G195" i="12"/>
  <c r="J195" i="12" s="1"/>
  <c r="K194" i="12"/>
  <c r="I194" i="12"/>
  <c r="L194" i="12" s="1"/>
  <c r="H194" i="12"/>
  <c r="G194" i="12"/>
  <c r="J194" i="12" s="1"/>
  <c r="K193" i="12"/>
  <c r="I193" i="12"/>
  <c r="L193" i="12" s="1"/>
  <c r="H193" i="12"/>
  <c r="G193" i="12"/>
  <c r="J193" i="12" s="1"/>
  <c r="K192" i="12"/>
  <c r="I192" i="12"/>
  <c r="L192" i="12" s="1"/>
  <c r="H192" i="12"/>
  <c r="G192" i="12"/>
  <c r="J192" i="12" s="1"/>
  <c r="K191" i="12"/>
  <c r="I191" i="12"/>
  <c r="L191" i="12" s="1"/>
  <c r="H191" i="12"/>
  <c r="G191" i="12"/>
  <c r="J191" i="12" s="1"/>
  <c r="K190" i="12"/>
  <c r="I190" i="12"/>
  <c r="L190" i="12" s="1"/>
  <c r="H190" i="12"/>
  <c r="G190" i="12"/>
  <c r="J190" i="12" s="1"/>
  <c r="K189" i="12"/>
  <c r="I189" i="12"/>
  <c r="L189" i="12" s="1"/>
  <c r="H189" i="12"/>
  <c r="G189" i="12"/>
  <c r="J189" i="12" s="1"/>
  <c r="K188" i="12"/>
  <c r="I188" i="12"/>
  <c r="L188" i="12" s="1"/>
  <c r="H188" i="12"/>
  <c r="G188" i="12"/>
  <c r="J188" i="12" s="1"/>
  <c r="K187" i="12"/>
  <c r="I187" i="12"/>
  <c r="L187" i="12" s="1"/>
  <c r="H187" i="12"/>
  <c r="G187" i="12"/>
  <c r="J187" i="12" s="1"/>
  <c r="K186" i="12"/>
  <c r="I186" i="12"/>
  <c r="L186" i="12" s="1"/>
  <c r="H186" i="12"/>
  <c r="G186" i="12"/>
  <c r="J186" i="12" s="1"/>
  <c r="K185" i="12"/>
  <c r="I185" i="12"/>
  <c r="L185" i="12" s="1"/>
  <c r="H185" i="12"/>
  <c r="G185" i="12"/>
  <c r="J185" i="12" s="1"/>
  <c r="K184" i="12"/>
  <c r="I184" i="12"/>
  <c r="L184" i="12" s="1"/>
  <c r="H184" i="12"/>
  <c r="G184" i="12"/>
  <c r="J184" i="12" s="1"/>
  <c r="K183" i="12"/>
  <c r="I183" i="12"/>
  <c r="L183" i="12" s="1"/>
  <c r="H183" i="12"/>
  <c r="G183" i="12"/>
  <c r="J183" i="12" s="1"/>
  <c r="K182" i="12"/>
  <c r="I182" i="12"/>
  <c r="L182" i="12" s="1"/>
  <c r="H182" i="12"/>
  <c r="G182" i="12"/>
  <c r="J182" i="12" s="1"/>
  <c r="K181" i="12"/>
  <c r="I181" i="12"/>
  <c r="L181" i="12" s="1"/>
  <c r="H181" i="12"/>
  <c r="G181" i="12"/>
  <c r="J181" i="12" s="1"/>
  <c r="K180" i="12"/>
  <c r="I180" i="12"/>
  <c r="L180" i="12" s="1"/>
  <c r="H180" i="12"/>
  <c r="G180" i="12"/>
  <c r="J180" i="12" s="1"/>
  <c r="K179" i="12"/>
  <c r="I179" i="12"/>
  <c r="L179" i="12" s="1"/>
  <c r="H179" i="12"/>
  <c r="G179" i="12"/>
  <c r="J179" i="12" s="1"/>
  <c r="K178" i="12"/>
  <c r="I178" i="12"/>
  <c r="L178" i="12" s="1"/>
  <c r="H178" i="12"/>
  <c r="G178" i="12"/>
  <c r="J178" i="12" s="1"/>
  <c r="K177" i="12"/>
  <c r="I177" i="12"/>
  <c r="L177" i="12" s="1"/>
  <c r="H177" i="12"/>
  <c r="G177" i="12"/>
  <c r="J177" i="12" s="1"/>
  <c r="K176" i="12"/>
  <c r="I176" i="12"/>
  <c r="L176" i="12" s="1"/>
  <c r="H176" i="12"/>
  <c r="G176" i="12"/>
  <c r="J176" i="12" s="1"/>
  <c r="K175" i="12"/>
  <c r="I175" i="12"/>
  <c r="L175" i="12" s="1"/>
  <c r="H175" i="12"/>
  <c r="G175" i="12"/>
  <c r="J175" i="12" s="1"/>
  <c r="K174" i="12"/>
  <c r="I174" i="12"/>
  <c r="L174" i="12" s="1"/>
  <c r="H174" i="12"/>
  <c r="G174" i="12"/>
  <c r="J174" i="12" s="1"/>
  <c r="K173" i="12"/>
  <c r="I173" i="12"/>
  <c r="L173" i="12" s="1"/>
  <c r="H173" i="12"/>
  <c r="G173" i="12"/>
  <c r="J173" i="12" s="1"/>
  <c r="K172" i="12"/>
  <c r="I172" i="12"/>
  <c r="L172" i="12" s="1"/>
  <c r="H172" i="12"/>
  <c r="G172" i="12"/>
  <c r="J172" i="12" s="1"/>
  <c r="K171" i="12"/>
  <c r="I171" i="12"/>
  <c r="L171" i="12" s="1"/>
  <c r="H171" i="12"/>
  <c r="G171" i="12"/>
  <c r="J171" i="12" s="1"/>
  <c r="K170" i="12"/>
  <c r="I170" i="12"/>
  <c r="L170" i="12" s="1"/>
  <c r="H170" i="12"/>
  <c r="G170" i="12"/>
  <c r="J170" i="12" s="1"/>
  <c r="K169" i="12"/>
  <c r="I169" i="12"/>
  <c r="L169" i="12" s="1"/>
  <c r="H169" i="12"/>
  <c r="G169" i="12"/>
  <c r="J169" i="12" s="1"/>
  <c r="K168" i="12"/>
  <c r="I168" i="12"/>
  <c r="L168" i="12" s="1"/>
  <c r="H168" i="12"/>
  <c r="G168" i="12"/>
  <c r="J168" i="12" s="1"/>
  <c r="K167" i="12"/>
  <c r="I167" i="12"/>
  <c r="L167" i="12" s="1"/>
  <c r="H167" i="12"/>
  <c r="G167" i="12"/>
  <c r="J167" i="12" s="1"/>
  <c r="K166" i="12"/>
  <c r="I166" i="12"/>
  <c r="L166" i="12" s="1"/>
  <c r="H166" i="12"/>
  <c r="G166" i="12"/>
  <c r="J166" i="12" s="1"/>
  <c r="K165" i="12"/>
  <c r="I165" i="12"/>
  <c r="L165" i="12" s="1"/>
  <c r="H165" i="12"/>
  <c r="G165" i="12"/>
  <c r="J165" i="12" s="1"/>
  <c r="K164" i="12"/>
  <c r="I164" i="12"/>
  <c r="L164" i="12" s="1"/>
  <c r="H164" i="12"/>
  <c r="G164" i="12"/>
  <c r="J164" i="12" s="1"/>
  <c r="K163" i="12"/>
  <c r="I163" i="12"/>
  <c r="L163" i="12" s="1"/>
  <c r="H163" i="12"/>
  <c r="G163" i="12"/>
  <c r="J163" i="12" s="1"/>
  <c r="K162" i="12"/>
  <c r="I162" i="12"/>
  <c r="L162" i="12" s="1"/>
  <c r="H162" i="12"/>
  <c r="G162" i="12"/>
  <c r="J162" i="12" s="1"/>
  <c r="K161" i="12"/>
  <c r="I161" i="12"/>
  <c r="L161" i="12" s="1"/>
  <c r="H161" i="12"/>
  <c r="G161" i="12"/>
  <c r="J161" i="12" s="1"/>
  <c r="K160" i="12"/>
  <c r="I160" i="12"/>
  <c r="L160" i="12" s="1"/>
  <c r="H160" i="12"/>
  <c r="G160" i="12"/>
  <c r="J160" i="12" s="1"/>
  <c r="K159" i="12"/>
  <c r="I159" i="12"/>
  <c r="L159" i="12" s="1"/>
  <c r="H159" i="12"/>
  <c r="G159" i="12"/>
  <c r="J159" i="12" s="1"/>
  <c r="K158" i="12"/>
  <c r="I158" i="12"/>
  <c r="L158" i="12" s="1"/>
  <c r="H158" i="12"/>
  <c r="G158" i="12"/>
  <c r="J158" i="12" s="1"/>
  <c r="K157" i="12"/>
  <c r="I157" i="12"/>
  <c r="L157" i="12" s="1"/>
  <c r="H157" i="12"/>
  <c r="G157" i="12"/>
  <c r="J157" i="12" s="1"/>
  <c r="K156" i="12"/>
  <c r="I156" i="12"/>
  <c r="L156" i="12" s="1"/>
  <c r="H156" i="12"/>
  <c r="G156" i="12"/>
  <c r="J156" i="12" s="1"/>
  <c r="K155" i="12"/>
  <c r="I155" i="12"/>
  <c r="L155" i="12" s="1"/>
  <c r="H155" i="12"/>
  <c r="G155" i="12"/>
  <c r="J155" i="12" s="1"/>
  <c r="K154" i="12"/>
  <c r="I154" i="12"/>
  <c r="L154" i="12" s="1"/>
  <c r="H154" i="12"/>
  <c r="G154" i="12"/>
  <c r="J154" i="12" s="1"/>
  <c r="K153" i="12"/>
  <c r="I153" i="12"/>
  <c r="L153" i="12" s="1"/>
  <c r="H153" i="12"/>
  <c r="G153" i="12"/>
  <c r="J153" i="12" s="1"/>
  <c r="K152" i="12"/>
  <c r="I152" i="12"/>
  <c r="L152" i="12" s="1"/>
  <c r="H152" i="12"/>
  <c r="G152" i="12"/>
  <c r="J152" i="12" s="1"/>
  <c r="K151" i="12"/>
  <c r="I151" i="12"/>
  <c r="L151" i="12" s="1"/>
  <c r="H151" i="12"/>
  <c r="G151" i="12"/>
  <c r="J151" i="12" s="1"/>
  <c r="K150" i="12"/>
  <c r="I150" i="12"/>
  <c r="L150" i="12" s="1"/>
  <c r="H150" i="12"/>
  <c r="G150" i="12"/>
  <c r="J150" i="12" s="1"/>
  <c r="K149" i="12"/>
  <c r="I149" i="12"/>
  <c r="L149" i="12" s="1"/>
  <c r="H149" i="12"/>
  <c r="G149" i="12"/>
  <c r="J149" i="12" s="1"/>
  <c r="K148" i="12"/>
  <c r="I148" i="12"/>
  <c r="L148" i="12" s="1"/>
  <c r="H148" i="12"/>
  <c r="G148" i="12"/>
  <c r="J148" i="12" s="1"/>
  <c r="K147" i="12"/>
  <c r="I147" i="12"/>
  <c r="L147" i="12" s="1"/>
  <c r="H147" i="12"/>
  <c r="G147" i="12"/>
  <c r="J147" i="12" s="1"/>
  <c r="K146" i="12"/>
  <c r="I146" i="12"/>
  <c r="L146" i="12" s="1"/>
  <c r="H146" i="12"/>
  <c r="G146" i="12"/>
  <c r="J146" i="12" s="1"/>
  <c r="K145" i="12"/>
  <c r="I145" i="12"/>
  <c r="L145" i="12" s="1"/>
  <c r="H145" i="12"/>
  <c r="G145" i="12"/>
  <c r="J145" i="12" s="1"/>
  <c r="K144" i="12"/>
  <c r="I144" i="12"/>
  <c r="L144" i="12" s="1"/>
  <c r="H144" i="12"/>
  <c r="G144" i="12"/>
  <c r="J144" i="12" s="1"/>
  <c r="K143" i="12"/>
  <c r="I143" i="12"/>
  <c r="L143" i="12" s="1"/>
  <c r="H143" i="12"/>
  <c r="G143" i="12"/>
  <c r="J143" i="12" s="1"/>
  <c r="K142" i="12"/>
  <c r="I142" i="12"/>
  <c r="L142" i="12" s="1"/>
  <c r="H142" i="12"/>
  <c r="G142" i="12"/>
  <c r="J142" i="12" s="1"/>
  <c r="K141" i="12"/>
  <c r="I141" i="12"/>
  <c r="L141" i="12" s="1"/>
  <c r="H141" i="12"/>
  <c r="G141" i="12"/>
  <c r="J141" i="12" s="1"/>
  <c r="K140" i="12"/>
  <c r="I140" i="12"/>
  <c r="L140" i="12" s="1"/>
  <c r="H140" i="12"/>
  <c r="G140" i="12"/>
  <c r="J140" i="12" s="1"/>
  <c r="K139" i="12"/>
  <c r="I139" i="12"/>
  <c r="L139" i="12" s="1"/>
  <c r="H139" i="12"/>
  <c r="G139" i="12"/>
  <c r="J139" i="12" s="1"/>
  <c r="K138" i="12"/>
  <c r="I138" i="12"/>
  <c r="L138" i="12" s="1"/>
  <c r="H138" i="12"/>
  <c r="G138" i="12"/>
  <c r="J138" i="12" s="1"/>
  <c r="K137" i="12"/>
  <c r="I137" i="12"/>
  <c r="L137" i="12" s="1"/>
  <c r="H137" i="12"/>
  <c r="G137" i="12"/>
  <c r="J137" i="12" s="1"/>
  <c r="K136" i="12"/>
  <c r="I136" i="12"/>
  <c r="L136" i="12" s="1"/>
  <c r="H136" i="12"/>
  <c r="G136" i="12"/>
  <c r="J136" i="12" s="1"/>
  <c r="K135" i="12"/>
  <c r="I135" i="12"/>
  <c r="L135" i="12" s="1"/>
  <c r="H135" i="12"/>
  <c r="G135" i="12"/>
  <c r="J135" i="12" s="1"/>
  <c r="K134" i="12"/>
  <c r="I134" i="12"/>
  <c r="L134" i="12" s="1"/>
  <c r="H134" i="12"/>
  <c r="G134" i="12"/>
  <c r="J134" i="12" s="1"/>
  <c r="K133" i="12"/>
  <c r="I133" i="12"/>
  <c r="L133" i="12" s="1"/>
  <c r="H133" i="12"/>
  <c r="G133" i="12"/>
  <c r="J133" i="12" s="1"/>
  <c r="K132" i="12"/>
  <c r="I132" i="12"/>
  <c r="L132" i="12" s="1"/>
  <c r="H132" i="12"/>
  <c r="G132" i="12"/>
  <c r="J132" i="12" s="1"/>
  <c r="K131" i="12"/>
  <c r="I131" i="12"/>
  <c r="L131" i="12" s="1"/>
  <c r="H131" i="12"/>
  <c r="G131" i="12"/>
  <c r="J131" i="12" s="1"/>
  <c r="K130" i="12"/>
  <c r="I130" i="12"/>
  <c r="L130" i="12" s="1"/>
  <c r="H130" i="12"/>
  <c r="G130" i="12"/>
  <c r="J130" i="12" s="1"/>
  <c r="K129" i="12"/>
  <c r="I129" i="12"/>
  <c r="L129" i="12" s="1"/>
  <c r="H129" i="12"/>
  <c r="G129" i="12"/>
  <c r="J129" i="12" s="1"/>
  <c r="K128" i="12"/>
  <c r="I128" i="12"/>
  <c r="L128" i="12" s="1"/>
  <c r="H128" i="12"/>
  <c r="G128" i="12"/>
  <c r="J128" i="12" s="1"/>
  <c r="K127" i="12"/>
  <c r="I127" i="12"/>
  <c r="L127" i="12" s="1"/>
  <c r="H127" i="12"/>
  <c r="G127" i="12"/>
  <c r="J127" i="12" s="1"/>
  <c r="K126" i="12"/>
  <c r="J126" i="12"/>
  <c r="I126" i="12"/>
  <c r="L126" i="12" s="1"/>
  <c r="H126" i="12"/>
  <c r="G126" i="12"/>
  <c r="K125" i="12"/>
  <c r="I125" i="12"/>
  <c r="L125" i="12" s="1"/>
  <c r="H125" i="12"/>
  <c r="G125" i="12"/>
  <c r="J125" i="12" s="1"/>
  <c r="K124" i="12"/>
  <c r="I124" i="12"/>
  <c r="L124" i="12" s="1"/>
  <c r="H124" i="12"/>
  <c r="G124" i="12"/>
  <c r="J124" i="12" s="1"/>
  <c r="K123" i="12"/>
  <c r="I123" i="12"/>
  <c r="L123" i="12" s="1"/>
  <c r="H123" i="12"/>
  <c r="G123" i="12"/>
  <c r="J123" i="12" s="1"/>
  <c r="K122" i="12"/>
  <c r="I122" i="12"/>
  <c r="L122" i="12" s="1"/>
  <c r="H122" i="12"/>
  <c r="G122" i="12"/>
  <c r="J122" i="12" s="1"/>
  <c r="K121" i="12"/>
  <c r="I121" i="12"/>
  <c r="L121" i="12" s="1"/>
  <c r="H121" i="12"/>
  <c r="G121" i="12"/>
  <c r="J121" i="12" s="1"/>
  <c r="K120" i="12"/>
  <c r="I120" i="12"/>
  <c r="L120" i="12" s="1"/>
  <c r="H120" i="12"/>
  <c r="G120" i="12"/>
  <c r="J120" i="12" s="1"/>
  <c r="K119" i="12"/>
  <c r="I119" i="12"/>
  <c r="L119" i="12" s="1"/>
  <c r="H119" i="12"/>
  <c r="G119" i="12"/>
  <c r="J119" i="12" s="1"/>
  <c r="K118" i="12"/>
  <c r="I118" i="12"/>
  <c r="L118" i="12" s="1"/>
  <c r="H118" i="12"/>
  <c r="G118" i="12"/>
  <c r="J118" i="12" s="1"/>
  <c r="K117" i="12"/>
  <c r="I117" i="12"/>
  <c r="L117" i="12" s="1"/>
  <c r="H117" i="12"/>
  <c r="G117" i="12"/>
  <c r="J117" i="12" s="1"/>
  <c r="K116" i="12"/>
  <c r="I116" i="12"/>
  <c r="L116" i="12" s="1"/>
  <c r="H116" i="12"/>
  <c r="G116" i="12"/>
  <c r="J116" i="12" s="1"/>
  <c r="K115" i="12"/>
  <c r="I115" i="12"/>
  <c r="L115" i="12" s="1"/>
  <c r="H115" i="12"/>
  <c r="G115" i="12"/>
  <c r="J115" i="12" s="1"/>
  <c r="K114" i="12"/>
  <c r="I114" i="12"/>
  <c r="L114" i="12" s="1"/>
  <c r="H114" i="12"/>
  <c r="G114" i="12"/>
  <c r="J114" i="12" s="1"/>
  <c r="K113" i="12"/>
  <c r="I113" i="12"/>
  <c r="L113" i="12" s="1"/>
  <c r="H113" i="12"/>
  <c r="G113" i="12"/>
  <c r="J113" i="12" s="1"/>
  <c r="K112" i="12"/>
  <c r="I112" i="12"/>
  <c r="L112" i="12" s="1"/>
  <c r="H112" i="12"/>
  <c r="G112" i="12"/>
  <c r="J112" i="12" s="1"/>
  <c r="K111" i="12"/>
  <c r="I111" i="12"/>
  <c r="L111" i="12" s="1"/>
  <c r="H111" i="12"/>
  <c r="G111" i="12"/>
  <c r="J111" i="12" s="1"/>
  <c r="K110" i="12"/>
  <c r="I110" i="12"/>
  <c r="L110" i="12" s="1"/>
  <c r="H110" i="12"/>
  <c r="G110" i="12"/>
  <c r="J110" i="12" s="1"/>
  <c r="K109" i="12"/>
  <c r="I109" i="12"/>
  <c r="L109" i="12" s="1"/>
  <c r="H109" i="12"/>
  <c r="G109" i="12"/>
  <c r="J109" i="12" s="1"/>
  <c r="K108" i="12"/>
  <c r="I108" i="12"/>
  <c r="L108" i="12" s="1"/>
  <c r="H108" i="12"/>
  <c r="G108" i="12"/>
  <c r="J108" i="12" s="1"/>
  <c r="K107" i="12"/>
  <c r="I107" i="12"/>
  <c r="L107" i="12" s="1"/>
  <c r="H107" i="12"/>
  <c r="G107" i="12"/>
  <c r="J107" i="12" s="1"/>
  <c r="K106" i="12"/>
  <c r="I106" i="12"/>
  <c r="L106" i="12" s="1"/>
  <c r="H106" i="12"/>
  <c r="G106" i="12"/>
  <c r="J106" i="12" s="1"/>
  <c r="K105" i="12"/>
  <c r="I105" i="12"/>
  <c r="L105" i="12" s="1"/>
  <c r="H105" i="12"/>
  <c r="G105" i="12"/>
  <c r="J105" i="12" s="1"/>
  <c r="K104" i="12"/>
  <c r="I104" i="12"/>
  <c r="L104" i="12" s="1"/>
  <c r="H104" i="12"/>
  <c r="G104" i="12"/>
  <c r="J104" i="12" s="1"/>
  <c r="K103" i="12"/>
  <c r="I103" i="12"/>
  <c r="L103" i="12" s="1"/>
  <c r="H103" i="12"/>
  <c r="G103" i="12"/>
  <c r="J103" i="12" s="1"/>
  <c r="K102" i="12"/>
  <c r="I102" i="12"/>
  <c r="L102" i="12" s="1"/>
  <c r="H102" i="12"/>
  <c r="G102" i="12"/>
  <c r="J102" i="12" s="1"/>
  <c r="K101" i="12"/>
  <c r="I101" i="12"/>
  <c r="L101" i="12" s="1"/>
  <c r="H101" i="12"/>
  <c r="G101" i="12"/>
  <c r="J101" i="12" s="1"/>
  <c r="K100" i="12"/>
  <c r="I100" i="12"/>
  <c r="L100" i="12" s="1"/>
  <c r="H100" i="12"/>
  <c r="G100" i="12"/>
  <c r="J100" i="12" s="1"/>
  <c r="K99" i="12"/>
  <c r="I99" i="12"/>
  <c r="L99" i="12" s="1"/>
  <c r="H99" i="12"/>
  <c r="G99" i="12"/>
  <c r="J99" i="12" s="1"/>
  <c r="K98" i="12"/>
  <c r="I98" i="12"/>
  <c r="L98" i="12" s="1"/>
  <c r="H98" i="12"/>
  <c r="G98" i="12"/>
  <c r="J98" i="12" s="1"/>
  <c r="K97" i="12"/>
  <c r="I97" i="12"/>
  <c r="L97" i="12" s="1"/>
  <c r="H97" i="12"/>
  <c r="G97" i="12"/>
  <c r="J97" i="12" s="1"/>
  <c r="K96" i="12"/>
  <c r="I96" i="12"/>
  <c r="L96" i="12" s="1"/>
  <c r="H96" i="12"/>
  <c r="G96" i="12"/>
  <c r="J96" i="12" s="1"/>
  <c r="K95" i="12"/>
  <c r="I95" i="12"/>
  <c r="L95" i="12" s="1"/>
  <c r="H95" i="12"/>
  <c r="G95" i="12"/>
  <c r="J95" i="12" s="1"/>
  <c r="K94" i="12"/>
  <c r="I94" i="12"/>
  <c r="L94" i="12" s="1"/>
  <c r="H94" i="12"/>
  <c r="G94" i="12"/>
  <c r="J94" i="12" s="1"/>
  <c r="K93" i="12"/>
  <c r="I93" i="12"/>
  <c r="L93" i="12" s="1"/>
  <c r="H93" i="12"/>
  <c r="G93" i="12"/>
  <c r="J93" i="12" s="1"/>
  <c r="K92" i="12"/>
  <c r="I92" i="12"/>
  <c r="L92" i="12" s="1"/>
  <c r="H92" i="12"/>
  <c r="G92" i="12"/>
  <c r="J92" i="12" s="1"/>
  <c r="K91" i="12"/>
  <c r="I91" i="12"/>
  <c r="L91" i="12" s="1"/>
  <c r="H91" i="12"/>
  <c r="G91" i="12"/>
  <c r="J91" i="12" s="1"/>
  <c r="K90" i="12"/>
  <c r="I90" i="12"/>
  <c r="L90" i="12" s="1"/>
  <c r="H90" i="12"/>
  <c r="G90" i="12"/>
  <c r="J90" i="12" s="1"/>
  <c r="K89" i="12"/>
  <c r="I89" i="12"/>
  <c r="L89" i="12" s="1"/>
  <c r="H89" i="12"/>
  <c r="G89" i="12"/>
  <c r="J89" i="12" s="1"/>
  <c r="K88" i="12"/>
  <c r="I88" i="12"/>
  <c r="L88" i="12" s="1"/>
  <c r="H88" i="12"/>
  <c r="G88" i="12"/>
  <c r="J88" i="12" s="1"/>
  <c r="K87" i="12"/>
  <c r="I87" i="12"/>
  <c r="L87" i="12" s="1"/>
  <c r="H87" i="12"/>
  <c r="G87" i="12"/>
  <c r="J87" i="12" s="1"/>
  <c r="K86" i="12"/>
  <c r="I86" i="12"/>
  <c r="L86" i="12" s="1"/>
  <c r="H86" i="12"/>
  <c r="G86" i="12"/>
  <c r="J86" i="12" s="1"/>
  <c r="K85" i="12"/>
  <c r="I85" i="12"/>
  <c r="L85" i="12" s="1"/>
  <c r="H85" i="12"/>
  <c r="G85" i="12"/>
  <c r="J85" i="12" s="1"/>
  <c r="K84" i="12"/>
  <c r="I84" i="12"/>
  <c r="L84" i="12" s="1"/>
  <c r="H84" i="12"/>
  <c r="G84" i="12"/>
  <c r="J84" i="12" s="1"/>
  <c r="K83" i="12"/>
  <c r="I83" i="12"/>
  <c r="L83" i="12" s="1"/>
  <c r="H83" i="12"/>
  <c r="G83" i="12"/>
  <c r="J83" i="12" s="1"/>
  <c r="K82" i="12"/>
  <c r="I82" i="12"/>
  <c r="L82" i="12" s="1"/>
  <c r="H82" i="12"/>
  <c r="G82" i="12"/>
  <c r="J82" i="12" s="1"/>
  <c r="K81" i="12"/>
  <c r="I81" i="12"/>
  <c r="L81" i="12" s="1"/>
  <c r="H81" i="12"/>
  <c r="G81" i="12"/>
  <c r="J81" i="12" s="1"/>
  <c r="K80" i="12"/>
  <c r="I80" i="12"/>
  <c r="L80" i="12" s="1"/>
  <c r="H80" i="12"/>
  <c r="G80" i="12"/>
  <c r="J80" i="12" s="1"/>
  <c r="K79" i="12"/>
  <c r="I79" i="12"/>
  <c r="L79" i="12" s="1"/>
  <c r="H79" i="12"/>
  <c r="G79" i="12"/>
  <c r="J79" i="12" s="1"/>
  <c r="K78" i="12"/>
  <c r="I78" i="12"/>
  <c r="L78" i="12" s="1"/>
  <c r="H78" i="12"/>
  <c r="G78" i="12"/>
  <c r="J78" i="12" s="1"/>
  <c r="K77" i="12"/>
  <c r="I77" i="12"/>
  <c r="L77" i="12" s="1"/>
  <c r="H77" i="12"/>
  <c r="G77" i="12"/>
  <c r="J77" i="12" s="1"/>
  <c r="K76" i="12"/>
  <c r="I76" i="12"/>
  <c r="L76" i="12" s="1"/>
  <c r="H76" i="12"/>
  <c r="G76" i="12"/>
  <c r="J76" i="12" s="1"/>
  <c r="K75" i="12"/>
  <c r="I75" i="12"/>
  <c r="L75" i="12" s="1"/>
  <c r="H75" i="12"/>
  <c r="G75" i="12"/>
  <c r="J75" i="12" s="1"/>
  <c r="K74" i="12"/>
  <c r="I74" i="12"/>
  <c r="L74" i="12" s="1"/>
  <c r="H74" i="12"/>
  <c r="G74" i="12"/>
  <c r="J74" i="12" s="1"/>
  <c r="K73" i="12"/>
  <c r="I73" i="12"/>
  <c r="L73" i="12" s="1"/>
  <c r="H73" i="12"/>
  <c r="G73" i="12"/>
  <c r="J73" i="12" s="1"/>
  <c r="K72" i="12"/>
  <c r="I72" i="12"/>
  <c r="L72" i="12" s="1"/>
  <c r="H72" i="12"/>
  <c r="G72" i="12"/>
  <c r="J72" i="12" s="1"/>
  <c r="K71" i="12"/>
  <c r="I71" i="12"/>
  <c r="L71" i="12" s="1"/>
  <c r="H71" i="12"/>
  <c r="G71" i="12"/>
  <c r="J71" i="12" s="1"/>
  <c r="K70" i="12"/>
  <c r="I70" i="12"/>
  <c r="L70" i="12" s="1"/>
  <c r="H70" i="12"/>
  <c r="G70" i="12"/>
  <c r="J70" i="12" s="1"/>
  <c r="K69" i="12"/>
  <c r="I69" i="12"/>
  <c r="L69" i="12" s="1"/>
  <c r="H69" i="12"/>
  <c r="G69" i="12"/>
  <c r="J69" i="12" s="1"/>
  <c r="K68" i="12"/>
  <c r="I68" i="12"/>
  <c r="L68" i="12" s="1"/>
  <c r="H68" i="12"/>
  <c r="G68" i="12"/>
  <c r="J68" i="12" s="1"/>
  <c r="K67" i="12"/>
  <c r="I67" i="12"/>
  <c r="L67" i="12" s="1"/>
  <c r="H67" i="12"/>
  <c r="G67" i="12"/>
  <c r="J67" i="12" s="1"/>
  <c r="K66" i="12"/>
  <c r="I66" i="12"/>
  <c r="L66" i="12" s="1"/>
  <c r="H66" i="12"/>
  <c r="G66" i="12"/>
  <c r="J66" i="12" s="1"/>
  <c r="K65" i="12"/>
  <c r="I65" i="12"/>
  <c r="L65" i="12" s="1"/>
  <c r="H65" i="12"/>
  <c r="G65" i="12"/>
  <c r="J65" i="12" s="1"/>
  <c r="K64" i="12"/>
  <c r="I64" i="12"/>
  <c r="L64" i="12" s="1"/>
  <c r="H64" i="12"/>
  <c r="G64" i="12"/>
  <c r="J64" i="12" s="1"/>
  <c r="K63" i="12"/>
  <c r="I63" i="12"/>
  <c r="L63" i="12" s="1"/>
  <c r="H63" i="12"/>
  <c r="G63" i="12"/>
  <c r="J63" i="12" s="1"/>
  <c r="K62" i="12"/>
  <c r="I62" i="12"/>
  <c r="L62" i="12" s="1"/>
  <c r="H62" i="12"/>
  <c r="G62" i="12"/>
  <c r="J62" i="12" s="1"/>
  <c r="K61" i="12"/>
  <c r="I61" i="12"/>
  <c r="L61" i="12" s="1"/>
  <c r="H61" i="12"/>
  <c r="G61" i="12"/>
  <c r="J61" i="12" s="1"/>
  <c r="K60" i="12"/>
  <c r="I60" i="12"/>
  <c r="L60" i="12" s="1"/>
  <c r="H60" i="12"/>
  <c r="G60" i="12"/>
  <c r="J60" i="12" s="1"/>
  <c r="K59" i="12"/>
  <c r="I59" i="12"/>
  <c r="L59" i="12" s="1"/>
  <c r="H59" i="12"/>
  <c r="G59" i="12"/>
  <c r="J59" i="12" s="1"/>
  <c r="K58" i="12"/>
  <c r="I58" i="12"/>
  <c r="L58" i="12" s="1"/>
  <c r="H58" i="12"/>
  <c r="G58" i="12"/>
  <c r="J58" i="12" s="1"/>
  <c r="K57" i="12"/>
  <c r="I57" i="12"/>
  <c r="L57" i="12" s="1"/>
  <c r="H57" i="12"/>
  <c r="G57" i="12"/>
  <c r="J57" i="12" s="1"/>
  <c r="K56" i="12"/>
  <c r="I56" i="12"/>
  <c r="L56" i="12" s="1"/>
  <c r="H56" i="12"/>
  <c r="G56" i="12"/>
  <c r="J56" i="12" s="1"/>
  <c r="K55" i="12"/>
  <c r="I55" i="12"/>
  <c r="L55" i="12" s="1"/>
  <c r="H55" i="12"/>
  <c r="G55" i="12"/>
  <c r="J55" i="12" s="1"/>
  <c r="K54" i="12"/>
  <c r="I54" i="12"/>
  <c r="L54" i="12" s="1"/>
  <c r="H54" i="12"/>
  <c r="G54" i="12"/>
  <c r="J54" i="12" s="1"/>
  <c r="K53" i="12"/>
  <c r="I53" i="12"/>
  <c r="L53" i="12" s="1"/>
  <c r="H53" i="12"/>
  <c r="G53" i="12"/>
  <c r="J53" i="12" s="1"/>
  <c r="K52" i="12"/>
  <c r="I52" i="12"/>
  <c r="L52" i="12" s="1"/>
  <c r="H52" i="12"/>
  <c r="G52" i="12"/>
  <c r="J52" i="12" s="1"/>
  <c r="K51" i="12"/>
  <c r="I51" i="12"/>
  <c r="L51" i="12" s="1"/>
  <c r="H51" i="12"/>
  <c r="G51" i="12"/>
  <c r="J51" i="12" s="1"/>
  <c r="K50" i="12"/>
  <c r="I50" i="12"/>
  <c r="L50" i="12" s="1"/>
  <c r="H50" i="12"/>
  <c r="G50" i="12"/>
  <c r="J50" i="12" s="1"/>
  <c r="K49" i="12"/>
  <c r="I49" i="12"/>
  <c r="L49" i="12" s="1"/>
  <c r="H49" i="12"/>
  <c r="G49" i="12"/>
  <c r="J49" i="12" s="1"/>
  <c r="K48" i="12"/>
  <c r="I48" i="12"/>
  <c r="L48" i="12" s="1"/>
  <c r="H48" i="12"/>
  <c r="G48" i="12"/>
  <c r="J48" i="12" s="1"/>
  <c r="K47" i="12"/>
  <c r="I47" i="12"/>
  <c r="L47" i="12" s="1"/>
  <c r="H47" i="12"/>
  <c r="G47" i="12"/>
  <c r="J47" i="12" s="1"/>
  <c r="K46" i="12"/>
  <c r="I46" i="12"/>
  <c r="L46" i="12" s="1"/>
  <c r="H46" i="12"/>
  <c r="G46" i="12"/>
  <c r="J46" i="12" s="1"/>
  <c r="K45" i="12"/>
  <c r="I45" i="12"/>
  <c r="L45" i="12" s="1"/>
  <c r="H45" i="12"/>
  <c r="G45" i="12"/>
  <c r="J45" i="12" s="1"/>
  <c r="K44" i="12"/>
  <c r="I44" i="12"/>
  <c r="L44" i="12" s="1"/>
  <c r="H44" i="12"/>
  <c r="G44" i="12"/>
  <c r="J44" i="12" s="1"/>
  <c r="K43" i="12"/>
  <c r="I43" i="12"/>
  <c r="L43" i="12" s="1"/>
  <c r="H43" i="12"/>
  <c r="G43" i="12"/>
  <c r="J43" i="12" s="1"/>
  <c r="K42" i="12"/>
  <c r="I42" i="12"/>
  <c r="L42" i="12" s="1"/>
  <c r="H42" i="12"/>
  <c r="G42" i="12"/>
  <c r="J42" i="12" s="1"/>
  <c r="K41" i="12"/>
  <c r="I41" i="12"/>
  <c r="L41" i="12" s="1"/>
  <c r="H41" i="12"/>
  <c r="G41" i="12"/>
  <c r="J41" i="12" s="1"/>
  <c r="K40" i="12"/>
  <c r="I40" i="12"/>
  <c r="L40" i="12" s="1"/>
  <c r="H40" i="12"/>
  <c r="G40" i="12"/>
  <c r="J40" i="12" s="1"/>
  <c r="K39" i="12"/>
  <c r="I39" i="12"/>
  <c r="L39" i="12" s="1"/>
  <c r="H39" i="12"/>
  <c r="G39" i="12"/>
  <c r="J39" i="12" s="1"/>
  <c r="K38" i="12"/>
  <c r="I38" i="12"/>
  <c r="L38" i="12" s="1"/>
  <c r="H38" i="12"/>
  <c r="G38" i="12"/>
  <c r="J38" i="12" s="1"/>
  <c r="K37" i="12"/>
  <c r="I37" i="12"/>
  <c r="L37" i="12" s="1"/>
  <c r="H37" i="12"/>
  <c r="G37" i="12"/>
  <c r="J37" i="12" s="1"/>
  <c r="K36" i="12"/>
  <c r="I36" i="12"/>
  <c r="L36" i="12" s="1"/>
  <c r="H36" i="12"/>
  <c r="G36" i="12"/>
  <c r="J36" i="12" s="1"/>
  <c r="K35" i="12"/>
  <c r="I35" i="12"/>
  <c r="L35" i="12" s="1"/>
  <c r="H35" i="12"/>
  <c r="G35" i="12"/>
  <c r="J35" i="12" s="1"/>
  <c r="K34" i="12"/>
  <c r="I34" i="12"/>
  <c r="L34" i="12" s="1"/>
  <c r="H34" i="12"/>
  <c r="G34" i="12"/>
  <c r="J34" i="12" s="1"/>
  <c r="K33" i="12"/>
  <c r="I33" i="12"/>
  <c r="L33" i="12" s="1"/>
  <c r="H33" i="12"/>
  <c r="G33" i="12"/>
  <c r="J33" i="12" s="1"/>
  <c r="K32" i="12"/>
  <c r="I32" i="12"/>
  <c r="L32" i="12" s="1"/>
  <c r="H32" i="12"/>
  <c r="G32" i="12"/>
  <c r="J32" i="12" s="1"/>
  <c r="K31" i="12"/>
  <c r="I31" i="12"/>
  <c r="L31" i="12" s="1"/>
  <c r="H31" i="12"/>
  <c r="G31" i="12"/>
  <c r="J31" i="12" s="1"/>
  <c r="K30" i="12"/>
  <c r="I30" i="12"/>
  <c r="L30" i="12" s="1"/>
  <c r="H30" i="12"/>
  <c r="G30" i="12"/>
  <c r="J30" i="12" s="1"/>
  <c r="K29" i="12"/>
  <c r="I29" i="12"/>
  <c r="L29" i="12" s="1"/>
  <c r="H29" i="12"/>
  <c r="G29" i="12"/>
  <c r="J29" i="12" s="1"/>
  <c r="K28" i="12"/>
  <c r="I28" i="12"/>
  <c r="L28" i="12" s="1"/>
  <c r="H28" i="12"/>
  <c r="G28" i="12"/>
  <c r="J28" i="12" s="1"/>
  <c r="K27" i="12"/>
  <c r="I27" i="12"/>
  <c r="L27" i="12" s="1"/>
  <c r="H27" i="12"/>
  <c r="G27" i="12"/>
  <c r="J27" i="12" s="1"/>
  <c r="K26" i="12"/>
  <c r="I26" i="12"/>
  <c r="L26" i="12" s="1"/>
  <c r="H26" i="12"/>
  <c r="G26" i="12"/>
  <c r="J26" i="12" s="1"/>
  <c r="K25" i="12"/>
  <c r="I25" i="12"/>
  <c r="L25" i="12" s="1"/>
  <c r="H25" i="12"/>
  <c r="G25" i="12"/>
  <c r="J25" i="12" s="1"/>
  <c r="K24" i="12"/>
  <c r="I24" i="12"/>
  <c r="L24" i="12" s="1"/>
  <c r="H24" i="12"/>
  <c r="G24" i="12"/>
  <c r="J24" i="12" s="1"/>
  <c r="K23" i="12"/>
  <c r="I23" i="12"/>
  <c r="L23" i="12" s="1"/>
  <c r="H23" i="12"/>
  <c r="G23" i="12"/>
  <c r="J23" i="12" s="1"/>
  <c r="K22" i="12"/>
  <c r="I22" i="12"/>
  <c r="L22" i="12" s="1"/>
  <c r="H22" i="12"/>
  <c r="G22" i="12"/>
  <c r="J22" i="12" s="1"/>
  <c r="K21" i="12"/>
  <c r="I21" i="12"/>
  <c r="L21" i="12" s="1"/>
  <c r="H21" i="12"/>
  <c r="G21" i="12"/>
  <c r="J21" i="12" s="1"/>
  <c r="K20" i="12"/>
  <c r="I20" i="12"/>
  <c r="L20" i="12" s="1"/>
  <c r="H20" i="12"/>
  <c r="G20" i="12"/>
  <c r="J20" i="12" s="1"/>
  <c r="K19" i="12"/>
  <c r="I19" i="12"/>
  <c r="L19" i="12" s="1"/>
  <c r="H19" i="12"/>
  <c r="G19" i="12"/>
  <c r="J19" i="12" s="1"/>
  <c r="K18" i="12"/>
  <c r="I18" i="12"/>
  <c r="L18" i="12" s="1"/>
  <c r="H18" i="12"/>
  <c r="G18" i="12"/>
  <c r="J18" i="12" s="1"/>
  <c r="K17" i="12"/>
  <c r="I17" i="12"/>
  <c r="L17" i="12" s="1"/>
  <c r="H17" i="12"/>
  <c r="G17" i="12"/>
  <c r="J17" i="12" s="1"/>
  <c r="K16" i="12"/>
  <c r="I16" i="12"/>
  <c r="L16" i="12" s="1"/>
  <c r="H16" i="12"/>
  <c r="G16" i="12"/>
  <c r="J16" i="12" s="1"/>
  <c r="K15" i="12"/>
  <c r="I15" i="12"/>
  <c r="L15" i="12" s="1"/>
  <c r="H15" i="12"/>
  <c r="G15" i="12"/>
  <c r="J15" i="12" s="1"/>
  <c r="I14" i="12"/>
  <c r="L14" i="12" s="1"/>
  <c r="H14" i="12"/>
  <c r="K14" i="12" s="1"/>
  <c r="G14" i="12"/>
  <c r="I13" i="12"/>
  <c r="L13" i="12" s="1"/>
  <c r="H13" i="12"/>
  <c r="K13" i="12" s="1"/>
  <c r="G13" i="12"/>
  <c r="H12" i="12"/>
  <c r="K12" i="12" s="1"/>
  <c r="G12" i="12"/>
  <c r="H11" i="12"/>
  <c r="K11" i="12" s="1"/>
  <c r="G11" i="12"/>
  <c r="I10" i="12"/>
  <c r="L10" i="12" s="1"/>
  <c r="H10" i="12"/>
  <c r="K10" i="12" s="1"/>
  <c r="G10" i="12"/>
  <c r="I9" i="12"/>
  <c r="H9" i="12"/>
  <c r="K9" i="12" s="1"/>
  <c r="G9" i="12"/>
  <c r="I8" i="12"/>
  <c r="L8" i="12" s="1"/>
  <c r="H8" i="12"/>
  <c r="K8" i="12" s="1"/>
  <c r="G8" i="12"/>
  <c r="D206" i="12"/>
  <c r="B206" i="12"/>
  <c r="D205" i="12"/>
  <c r="B205" i="12"/>
  <c r="D204" i="12"/>
  <c r="B204" i="12"/>
  <c r="D203" i="12"/>
  <c r="B203" i="12"/>
  <c r="D202" i="12"/>
  <c r="B202" i="12"/>
  <c r="D201" i="12"/>
  <c r="B201" i="12"/>
  <c r="D200" i="12"/>
  <c r="B200" i="12"/>
  <c r="D199" i="12"/>
  <c r="B199" i="12"/>
  <c r="D198" i="12"/>
  <c r="B198" i="12"/>
  <c r="D197" i="12"/>
  <c r="B197" i="12"/>
  <c r="D196" i="12"/>
  <c r="B196" i="12"/>
  <c r="D195" i="12"/>
  <c r="B195" i="12"/>
  <c r="D194" i="12"/>
  <c r="B194" i="12"/>
  <c r="D193" i="12"/>
  <c r="B193" i="12"/>
  <c r="D192" i="12"/>
  <c r="B192" i="12"/>
  <c r="D191" i="12"/>
  <c r="B191" i="12"/>
  <c r="D190" i="12"/>
  <c r="B190" i="12"/>
  <c r="D189" i="12"/>
  <c r="B189" i="12"/>
  <c r="D188" i="12"/>
  <c r="B188" i="12"/>
  <c r="D187" i="12"/>
  <c r="B187" i="12"/>
  <c r="D186" i="12"/>
  <c r="B186" i="12"/>
  <c r="D185" i="12"/>
  <c r="B185" i="12"/>
  <c r="D184" i="12"/>
  <c r="B184" i="12"/>
  <c r="D183" i="12"/>
  <c r="B183" i="12"/>
  <c r="D182" i="12"/>
  <c r="B182" i="12"/>
  <c r="D181" i="12"/>
  <c r="B181" i="12"/>
  <c r="D180" i="12"/>
  <c r="B180" i="12"/>
  <c r="D179" i="12"/>
  <c r="B179" i="12"/>
  <c r="D178" i="12"/>
  <c r="B178" i="12"/>
  <c r="D177" i="12"/>
  <c r="B177" i="12"/>
  <c r="D176" i="12"/>
  <c r="B176" i="12"/>
  <c r="D175" i="12"/>
  <c r="B175" i="12"/>
  <c r="D174" i="12"/>
  <c r="B174" i="12"/>
  <c r="D173" i="12"/>
  <c r="B173" i="12"/>
  <c r="D172" i="12"/>
  <c r="B172" i="12"/>
  <c r="D171" i="12"/>
  <c r="B171" i="12"/>
  <c r="D170" i="12"/>
  <c r="B170" i="12"/>
  <c r="D169" i="12"/>
  <c r="B169" i="12"/>
  <c r="D168" i="12"/>
  <c r="B168" i="12"/>
  <c r="D167" i="12"/>
  <c r="B167" i="12"/>
  <c r="D166" i="12"/>
  <c r="B166" i="12"/>
  <c r="D165" i="12"/>
  <c r="B165" i="12"/>
  <c r="D164" i="12"/>
  <c r="B164" i="12"/>
  <c r="D163" i="12"/>
  <c r="B163" i="12"/>
  <c r="D162" i="12"/>
  <c r="B162" i="12"/>
  <c r="D161" i="12"/>
  <c r="B161" i="12"/>
  <c r="D160" i="12"/>
  <c r="B160" i="12"/>
  <c r="D159" i="12"/>
  <c r="B159" i="12"/>
  <c r="D158" i="12"/>
  <c r="B158" i="12"/>
  <c r="D157" i="12"/>
  <c r="B157" i="12"/>
  <c r="D156" i="12"/>
  <c r="B156" i="12"/>
  <c r="D155" i="12"/>
  <c r="B155" i="12"/>
  <c r="D154" i="12"/>
  <c r="B154" i="12"/>
  <c r="D153" i="12"/>
  <c r="B153" i="12"/>
  <c r="D152" i="12"/>
  <c r="B152" i="12"/>
  <c r="D151" i="12"/>
  <c r="B151" i="12"/>
  <c r="D150" i="12"/>
  <c r="B150" i="12"/>
  <c r="D149" i="12"/>
  <c r="B149" i="12"/>
  <c r="D148" i="12"/>
  <c r="B148" i="12"/>
  <c r="D147" i="12"/>
  <c r="B147" i="12"/>
  <c r="D146" i="12"/>
  <c r="B146" i="12"/>
  <c r="D145" i="12"/>
  <c r="B145" i="12"/>
  <c r="D144" i="12"/>
  <c r="B144" i="12"/>
  <c r="D143" i="12"/>
  <c r="B143" i="12"/>
  <c r="D142" i="12"/>
  <c r="B142" i="12"/>
  <c r="D141" i="12"/>
  <c r="B141" i="12"/>
  <c r="D140" i="12"/>
  <c r="B140" i="12"/>
  <c r="D139" i="12"/>
  <c r="B139" i="12"/>
  <c r="D138" i="12"/>
  <c r="B138" i="12"/>
  <c r="D137" i="12"/>
  <c r="B137" i="12"/>
  <c r="D136" i="12"/>
  <c r="B136" i="12"/>
  <c r="D135" i="12"/>
  <c r="B135" i="12"/>
  <c r="D134" i="12"/>
  <c r="B134" i="12"/>
  <c r="D133" i="12"/>
  <c r="B133" i="12"/>
  <c r="D132" i="12"/>
  <c r="B132" i="12"/>
  <c r="D131" i="12"/>
  <c r="B131" i="12"/>
  <c r="D130" i="12"/>
  <c r="B130" i="12"/>
  <c r="D129" i="12"/>
  <c r="B129" i="12"/>
  <c r="D128" i="12"/>
  <c r="B128" i="12"/>
  <c r="D127" i="12"/>
  <c r="B127" i="12"/>
  <c r="D126" i="12"/>
  <c r="B126" i="12"/>
  <c r="D125" i="12"/>
  <c r="B125" i="12"/>
  <c r="D124" i="12"/>
  <c r="B124" i="12"/>
  <c r="D123" i="12"/>
  <c r="B123" i="12"/>
  <c r="D122" i="12"/>
  <c r="B122" i="12"/>
  <c r="D121" i="12"/>
  <c r="B121" i="12"/>
  <c r="D120" i="12"/>
  <c r="B120" i="12"/>
  <c r="D119" i="12"/>
  <c r="B119" i="12"/>
  <c r="D118" i="12"/>
  <c r="B118" i="12"/>
  <c r="D117" i="12"/>
  <c r="B117" i="12"/>
  <c r="D116" i="12"/>
  <c r="B116" i="12"/>
  <c r="D115" i="12"/>
  <c r="B115" i="12"/>
  <c r="D114" i="12"/>
  <c r="B114" i="12"/>
  <c r="D113" i="12"/>
  <c r="B113" i="12"/>
  <c r="D112" i="12"/>
  <c r="B112" i="12"/>
  <c r="D111" i="12"/>
  <c r="B111" i="12"/>
  <c r="D110" i="12"/>
  <c r="B110" i="12"/>
  <c r="D109" i="12"/>
  <c r="B109" i="12"/>
  <c r="D108" i="12"/>
  <c r="B108" i="12"/>
  <c r="D107" i="12"/>
  <c r="B107" i="12"/>
  <c r="D106" i="12"/>
  <c r="B106" i="12"/>
  <c r="D105" i="12"/>
  <c r="B105" i="12"/>
  <c r="D104" i="12"/>
  <c r="B104" i="12"/>
  <c r="D103" i="12"/>
  <c r="B103" i="12"/>
  <c r="D102" i="12"/>
  <c r="B102" i="12"/>
  <c r="D101" i="12"/>
  <c r="B101" i="12"/>
  <c r="D100" i="12"/>
  <c r="B100" i="12"/>
  <c r="D99" i="12"/>
  <c r="B99" i="12"/>
  <c r="D98" i="12"/>
  <c r="B98" i="12"/>
  <c r="D97" i="12"/>
  <c r="B97" i="12"/>
  <c r="D96" i="12"/>
  <c r="B96" i="12"/>
  <c r="D95" i="12"/>
  <c r="B95" i="12"/>
  <c r="D94" i="12"/>
  <c r="B94" i="12"/>
  <c r="D93" i="12"/>
  <c r="B93" i="12"/>
  <c r="D92" i="12"/>
  <c r="B92" i="12"/>
  <c r="D91" i="12"/>
  <c r="B91" i="12"/>
  <c r="D90" i="12"/>
  <c r="B90" i="12"/>
  <c r="D89" i="12"/>
  <c r="B89" i="12"/>
  <c r="D88" i="12"/>
  <c r="B88" i="12"/>
  <c r="D87" i="12"/>
  <c r="B87" i="12"/>
  <c r="D86" i="12"/>
  <c r="B86" i="12"/>
  <c r="D85" i="12"/>
  <c r="B85" i="12"/>
  <c r="D84" i="12"/>
  <c r="B84" i="12"/>
  <c r="D83" i="12"/>
  <c r="B83" i="12"/>
  <c r="D82" i="12"/>
  <c r="B82" i="12"/>
  <c r="D81" i="12"/>
  <c r="B81" i="12"/>
  <c r="D80" i="12"/>
  <c r="B80" i="12"/>
  <c r="D79" i="12"/>
  <c r="B79" i="12"/>
  <c r="D78" i="12"/>
  <c r="B78" i="12"/>
  <c r="D77" i="12"/>
  <c r="B77" i="12"/>
  <c r="D76" i="12"/>
  <c r="B76" i="12"/>
  <c r="D75" i="12"/>
  <c r="B75" i="12"/>
  <c r="D74" i="12"/>
  <c r="B74" i="12"/>
  <c r="D73" i="12"/>
  <c r="B73" i="12"/>
  <c r="D72" i="12"/>
  <c r="B72" i="12"/>
  <c r="D71" i="12"/>
  <c r="B71" i="12"/>
  <c r="D70" i="12"/>
  <c r="B70" i="12"/>
  <c r="D69" i="12"/>
  <c r="B69" i="12"/>
  <c r="D68" i="12"/>
  <c r="B68" i="12"/>
  <c r="D67" i="12"/>
  <c r="B67" i="12"/>
  <c r="D66" i="12"/>
  <c r="B66" i="12"/>
  <c r="D65" i="12"/>
  <c r="B65" i="12"/>
  <c r="D64" i="12"/>
  <c r="B64" i="12"/>
  <c r="D63" i="12"/>
  <c r="B63" i="12"/>
  <c r="D62" i="12"/>
  <c r="B62" i="12"/>
  <c r="D61" i="12"/>
  <c r="B61" i="12"/>
  <c r="D60" i="12"/>
  <c r="B60" i="12"/>
  <c r="D59" i="12"/>
  <c r="B59" i="12"/>
  <c r="D58" i="12"/>
  <c r="B58" i="12"/>
  <c r="D57" i="12"/>
  <c r="B57" i="12"/>
  <c r="D56" i="12"/>
  <c r="B56" i="12"/>
  <c r="D55" i="12"/>
  <c r="B55" i="12"/>
  <c r="D54" i="12"/>
  <c r="B54" i="12"/>
  <c r="D53" i="12"/>
  <c r="B53" i="12"/>
  <c r="D52" i="12"/>
  <c r="B52" i="12"/>
  <c r="D51" i="12"/>
  <c r="B51" i="12"/>
  <c r="D50" i="12"/>
  <c r="B50" i="12"/>
  <c r="D49" i="12"/>
  <c r="B49" i="12"/>
  <c r="D48" i="12"/>
  <c r="B48" i="12"/>
  <c r="D47" i="12"/>
  <c r="B47" i="12"/>
  <c r="D46" i="12"/>
  <c r="B46" i="12"/>
  <c r="D45" i="12"/>
  <c r="B45" i="12"/>
  <c r="D44" i="12"/>
  <c r="B44" i="12"/>
  <c r="D43" i="12"/>
  <c r="B43" i="12"/>
  <c r="D42" i="12"/>
  <c r="B42" i="12"/>
  <c r="D41" i="12"/>
  <c r="B41" i="12"/>
  <c r="D40" i="12"/>
  <c r="B40" i="12"/>
  <c r="D39" i="12"/>
  <c r="B39" i="12"/>
  <c r="D38" i="12"/>
  <c r="B38" i="12"/>
  <c r="D37" i="12"/>
  <c r="B37" i="12"/>
  <c r="D36" i="12"/>
  <c r="B36" i="12"/>
  <c r="D35" i="12"/>
  <c r="B35" i="12"/>
  <c r="D34" i="12"/>
  <c r="B34" i="12"/>
  <c r="D33" i="12"/>
  <c r="B33" i="12"/>
  <c r="D32" i="12"/>
  <c r="B32" i="12"/>
  <c r="D31" i="12"/>
  <c r="B31" i="12"/>
  <c r="D30" i="12"/>
  <c r="B30" i="12"/>
  <c r="D29" i="12"/>
  <c r="B29" i="12"/>
  <c r="D28" i="12"/>
  <c r="B28" i="12"/>
  <c r="D27" i="12"/>
  <c r="B27" i="12"/>
  <c r="D26" i="12"/>
  <c r="B26" i="12"/>
  <c r="D25" i="12"/>
  <c r="B25" i="12"/>
  <c r="D24" i="12"/>
  <c r="B24" i="12"/>
  <c r="D23" i="12"/>
  <c r="B23" i="12"/>
  <c r="D22" i="12"/>
  <c r="B22" i="12"/>
  <c r="D21" i="12"/>
  <c r="B21" i="12"/>
  <c r="D20" i="12"/>
  <c r="B20" i="12"/>
  <c r="D19" i="12"/>
  <c r="B19" i="12"/>
  <c r="D18" i="12"/>
  <c r="B18" i="12"/>
  <c r="D17" i="12"/>
  <c r="B17" i="12"/>
  <c r="D16" i="12"/>
  <c r="B16" i="12"/>
  <c r="D15" i="12"/>
  <c r="B15" i="12"/>
  <c r="D14" i="12"/>
  <c r="B14" i="12"/>
  <c r="D13" i="12"/>
  <c r="B13" i="12"/>
  <c r="D12" i="12"/>
  <c r="B12" i="12"/>
  <c r="D11" i="12"/>
  <c r="B11" i="12"/>
  <c r="D10" i="12"/>
  <c r="B10" i="12"/>
  <c r="D9" i="12"/>
  <c r="B9" i="12"/>
  <c r="D8" i="12"/>
  <c r="B8" i="12"/>
  <c r="B7" i="12"/>
  <c r="D7" i="12"/>
  <c r="G7" i="12"/>
  <c r="H7" i="12"/>
  <c r="I7" i="12"/>
  <c r="J506" i="11"/>
  <c r="J505" i="11"/>
  <c r="J504" i="11"/>
  <c r="J503" i="11"/>
  <c r="J502" i="11"/>
  <c r="J501" i="11"/>
  <c r="J500" i="11"/>
  <c r="J499" i="11"/>
  <c r="J498" i="11"/>
  <c r="J497" i="11"/>
  <c r="J496" i="11"/>
  <c r="J495" i="11"/>
  <c r="J494" i="11"/>
  <c r="J493" i="11"/>
  <c r="J492" i="11"/>
  <c r="J491" i="11"/>
  <c r="J490" i="11"/>
  <c r="J489" i="11"/>
  <c r="J488" i="11"/>
  <c r="J487" i="11"/>
  <c r="J486" i="11"/>
  <c r="J485" i="11"/>
  <c r="J484" i="11"/>
  <c r="J483" i="11"/>
  <c r="J482" i="11"/>
  <c r="J481" i="11"/>
  <c r="J480" i="11"/>
  <c r="J479" i="11"/>
  <c r="J478" i="11"/>
  <c r="J477" i="11"/>
  <c r="J476" i="11"/>
  <c r="J475" i="11"/>
  <c r="J474" i="11"/>
  <c r="J473" i="11"/>
  <c r="J472" i="11"/>
  <c r="J471" i="11"/>
  <c r="J470" i="11"/>
  <c r="J469" i="11"/>
  <c r="J468" i="11"/>
  <c r="J467" i="11"/>
  <c r="J466" i="11"/>
  <c r="J465" i="11"/>
  <c r="J464" i="11"/>
  <c r="J463" i="11"/>
  <c r="J462" i="11"/>
  <c r="J461" i="11"/>
  <c r="J460" i="11"/>
  <c r="J459" i="11"/>
  <c r="J458" i="11"/>
  <c r="J457" i="11"/>
  <c r="J456" i="11"/>
  <c r="J455" i="11"/>
  <c r="J454" i="11"/>
  <c r="J453" i="11"/>
  <c r="J452" i="11"/>
  <c r="J451" i="11"/>
  <c r="J450" i="11"/>
  <c r="J449" i="11"/>
  <c r="J448" i="11"/>
  <c r="J447" i="11"/>
  <c r="J446" i="11"/>
  <c r="J445" i="11"/>
  <c r="J444" i="11"/>
  <c r="J443" i="11"/>
  <c r="J442" i="11"/>
  <c r="J441" i="11"/>
  <c r="J440" i="11"/>
  <c r="J439" i="11"/>
  <c r="J438" i="11"/>
  <c r="J437" i="11"/>
  <c r="J436" i="11"/>
  <c r="J435" i="11"/>
  <c r="J434" i="11"/>
  <c r="J433" i="11"/>
  <c r="J432" i="11"/>
  <c r="J431" i="11"/>
  <c r="J430" i="11"/>
  <c r="J429" i="11"/>
  <c r="J428" i="11"/>
  <c r="J427" i="11"/>
  <c r="J426" i="11"/>
  <c r="J425" i="11"/>
  <c r="J424" i="11"/>
  <c r="J423" i="11"/>
  <c r="J422" i="11"/>
  <c r="J421" i="11"/>
  <c r="J420" i="11"/>
  <c r="J419" i="11"/>
  <c r="J418" i="11"/>
  <c r="J417" i="11"/>
  <c r="J416" i="11"/>
  <c r="J415" i="11"/>
  <c r="J414" i="11"/>
  <c r="J413" i="11"/>
  <c r="J412" i="11"/>
  <c r="J411" i="11"/>
  <c r="J410" i="11"/>
  <c r="J409" i="11"/>
  <c r="J408" i="11"/>
  <c r="J407" i="11"/>
  <c r="J406" i="11"/>
  <c r="J405" i="11"/>
  <c r="J404" i="11"/>
  <c r="J403" i="11"/>
  <c r="J402" i="11"/>
  <c r="J401" i="11"/>
  <c r="J400" i="11"/>
  <c r="J399" i="11"/>
  <c r="J398" i="11"/>
  <c r="J397" i="11"/>
  <c r="J396" i="11"/>
  <c r="J395" i="11"/>
  <c r="J394" i="11"/>
  <c r="J393" i="11"/>
  <c r="J392" i="11"/>
  <c r="J391" i="11"/>
  <c r="J390" i="11"/>
  <c r="J389" i="11"/>
  <c r="J388" i="11"/>
  <c r="J387" i="11"/>
  <c r="J386" i="11"/>
  <c r="J385" i="11"/>
  <c r="J384" i="11"/>
  <c r="J383" i="11"/>
  <c r="J382" i="11"/>
  <c r="J381" i="11"/>
  <c r="J380" i="11"/>
  <c r="J379" i="11"/>
  <c r="J378" i="11"/>
  <c r="J377" i="11"/>
  <c r="J376" i="11"/>
  <c r="J375" i="11"/>
  <c r="J374" i="11"/>
  <c r="J373" i="11"/>
  <c r="J372" i="11"/>
  <c r="J371" i="11"/>
  <c r="J370" i="11"/>
  <c r="J369" i="11"/>
  <c r="J368" i="11"/>
  <c r="J367" i="11"/>
  <c r="J366" i="11"/>
  <c r="J365" i="11"/>
  <c r="J364" i="11"/>
  <c r="J363" i="11"/>
  <c r="J362" i="11"/>
  <c r="J361" i="11"/>
  <c r="J360" i="11"/>
  <c r="J359" i="11"/>
  <c r="J358" i="11"/>
  <c r="J357" i="11"/>
  <c r="J356" i="11"/>
  <c r="J355" i="11"/>
  <c r="J354" i="11"/>
  <c r="J353" i="11"/>
  <c r="J352" i="11"/>
  <c r="J351" i="11"/>
  <c r="J350" i="11"/>
  <c r="J349" i="11"/>
  <c r="J348" i="11"/>
  <c r="J347" i="11"/>
  <c r="J346" i="11"/>
  <c r="J345" i="11"/>
  <c r="J344" i="11"/>
  <c r="J343" i="11"/>
  <c r="J342" i="11"/>
  <c r="J341" i="11"/>
  <c r="J340" i="11"/>
  <c r="J339" i="11"/>
  <c r="J338" i="11"/>
  <c r="J337" i="11"/>
  <c r="J336" i="11"/>
  <c r="J335" i="11"/>
  <c r="J334" i="11"/>
  <c r="J333" i="11"/>
  <c r="J332" i="11"/>
  <c r="J331" i="11"/>
  <c r="J330" i="11"/>
  <c r="J329" i="11"/>
  <c r="J328" i="11"/>
  <c r="J327" i="11"/>
  <c r="J326" i="11"/>
  <c r="J325" i="11"/>
  <c r="J324" i="11"/>
  <c r="J323" i="11"/>
  <c r="J322" i="11"/>
  <c r="J321" i="11"/>
  <c r="J320" i="11"/>
  <c r="J319" i="11"/>
  <c r="J318" i="11"/>
  <c r="J317" i="11"/>
  <c r="J316" i="11"/>
  <c r="J315" i="11"/>
  <c r="J314" i="11"/>
  <c r="J313" i="11"/>
  <c r="J312" i="11"/>
  <c r="J311" i="11"/>
  <c r="J310" i="11"/>
  <c r="J309" i="11"/>
  <c r="J308" i="11"/>
  <c r="J307" i="11"/>
  <c r="J306" i="11"/>
  <c r="J305" i="11"/>
  <c r="J304" i="11"/>
  <c r="J303" i="11"/>
  <c r="J302" i="11"/>
  <c r="J301" i="11"/>
  <c r="J300" i="11"/>
  <c r="J299" i="11"/>
  <c r="J298" i="11"/>
  <c r="J297" i="11"/>
  <c r="J296" i="11"/>
  <c r="J295" i="11"/>
  <c r="J294" i="11"/>
  <c r="J293" i="11"/>
  <c r="J292" i="11"/>
  <c r="J291" i="11"/>
  <c r="J290" i="11"/>
  <c r="J289" i="11"/>
  <c r="J288" i="11"/>
  <c r="J287" i="11"/>
  <c r="J286" i="11"/>
  <c r="J285" i="11"/>
  <c r="J284" i="11"/>
  <c r="J283" i="11"/>
  <c r="J282" i="11"/>
  <c r="J281" i="11"/>
  <c r="J280" i="11"/>
  <c r="J279" i="11"/>
  <c r="J278" i="11"/>
  <c r="J277" i="11"/>
  <c r="J276" i="11"/>
  <c r="J275" i="11"/>
  <c r="J274" i="11"/>
  <c r="J273" i="11"/>
  <c r="J272" i="11"/>
  <c r="J271" i="11"/>
  <c r="J270" i="11"/>
  <c r="J269" i="11"/>
  <c r="J268" i="11"/>
  <c r="J267" i="11"/>
  <c r="J266" i="11"/>
  <c r="J265" i="11"/>
  <c r="J264" i="11"/>
  <c r="J263" i="11"/>
  <c r="J262" i="11"/>
  <c r="J261" i="11"/>
  <c r="J260" i="11"/>
  <c r="J259" i="11"/>
  <c r="J258" i="11"/>
  <c r="J257" i="11"/>
  <c r="J256" i="11"/>
  <c r="J255" i="11"/>
  <c r="J254" i="11"/>
  <c r="J253" i="11"/>
  <c r="J252" i="11"/>
  <c r="J251" i="11"/>
  <c r="J250" i="11"/>
  <c r="J249" i="11"/>
  <c r="J248" i="11"/>
  <c r="J247" i="11"/>
  <c r="J246" i="11"/>
  <c r="J245" i="11"/>
  <c r="J244" i="11"/>
  <c r="J243" i="11"/>
  <c r="J242" i="11"/>
  <c r="J241" i="11"/>
  <c r="J240" i="11"/>
  <c r="J239" i="11"/>
  <c r="J238" i="11"/>
  <c r="J237" i="11"/>
  <c r="J236" i="11"/>
  <c r="J235" i="11"/>
  <c r="J234" i="11"/>
  <c r="J233" i="11"/>
  <c r="J232" i="11"/>
  <c r="J231" i="11"/>
  <c r="J230" i="11"/>
  <c r="J229" i="11"/>
  <c r="J228" i="11"/>
  <c r="J227" i="11"/>
  <c r="J226" i="11"/>
  <c r="J225" i="11"/>
  <c r="J224" i="11"/>
  <c r="J223" i="11"/>
  <c r="J222" i="11"/>
  <c r="J221" i="11"/>
  <c r="J220" i="11"/>
  <c r="J219" i="11"/>
  <c r="J218" i="11"/>
  <c r="J217" i="11"/>
  <c r="J216" i="11"/>
  <c r="J215" i="11"/>
  <c r="J214" i="11"/>
  <c r="J213" i="11"/>
  <c r="J212" i="11"/>
  <c r="J211" i="11"/>
  <c r="J210" i="11"/>
  <c r="J209" i="11"/>
  <c r="J208" i="11"/>
  <c r="J207" i="11"/>
  <c r="J206" i="11"/>
  <c r="J205" i="11"/>
  <c r="J204" i="11"/>
  <c r="J203" i="11"/>
  <c r="J20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14" i="11"/>
  <c r="J13" i="11"/>
  <c r="J12" i="11"/>
  <c r="J11" i="11"/>
  <c r="J10" i="11"/>
  <c r="I12" i="12" s="1"/>
  <c r="J9" i="11"/>
  <c r="I11" i="12" s="1"/>
  <c r="J8" i="11"/>
  <c r="J7" i="11"/>
  <c r="B3" i="2"/>
  <c r="G506" i="10"/>
  <c r="G505" i="10"/>
  <c r="G504" i="10"/>
  <c r="G503" i="10"/>
  <c r="G502" i="10"/>
  <c r="G501" i="10"/>
  <c r="G500" i="10"/>
  <c r="G499" i="10"/>
  <c r="G498" i="10"/>
  <c r="G497" i="10"/>
  <c r="G496" i="10"/>
  <c r="G495" i="10"/>
  <c r="G494" i="10"/>
  <c r="G493" i="10"/>
  <c r="G492" i="10"/>
  <c r="G491" i="10"/>
  <c r="G490" i="10"/>
  <c r="G489" i="10"/>
  <c r="G488" i="10"/>
  <c r="G487" i="10"/>
  <c r="G486" i="10"/>
  <c r="G485" i="10"/>
  <c r="G484" i="10"/>
  <c r="G483" i="10"/>
  <c r="G482" i="10"/>
  <c r="G481" i="10"/>
  <c r="G480" i="10"/>
  <c r="G479" i="10"/>
  <c r="G478" i="10"/>
  <c r="G477" i="10"/>
  <c r="G476" i="10"/>
  <c r="G475" i="10"/>
  <c r="G474" i="10"/>
  <c r="G473" i="10"/>
  <c r="G472" i="10"/>
  <c r="G471" i="10"/>
  <c r="G470" i="10"/>
  <c r="G469" i="10"/>
  <c r="G468" i="10"/>
  <c r="G467" i="10"/>
  <c r="G466" i="10"/>
  <c r="G465" i="10"/>
  <c r="G464" i="10"/>
  <c r="G463" i="10"/>
  <c r="G462" i="10"/>
  <c r="G461" i="10"/>
  <c r="G460" i="10"/>
  <c r="G459" i="10"/>
  <c r="G458" i="10"/>
  <c r="G457" i="10"/>
  <c r="G456" i="10"/>
  <c r="G455" i="10"/>
  <c r="G454" i="10"/>
  <c r="G453" i="10"/>
  <c r="G452" i="10"/>
  <c r="G451" i="10"/>
  <c r="G450" i="10"/>
  <c r="G449" i="10"/>
  <c r="G448" i="10"/>
  <c r="G447" i="10"/>
  <c r="G446" i="10"/>
  <c r="G445" i="10"/>
  <c r="G444" i="10"/>
  <c r="G443" i="10"/>
  <c r="G442" i="10"/>
  <c r="G441" i="10"/>
  <c r="G440" i="10"/>
  <c r="G439" i="10"/>
  <c r="G438" i="10"/>
  <c r="G437" i="10"/>
  <c r="G436" i="10"/>
  <c r="G435" i="10"/>
  <c r="G434" i="10"/>
  <c r="G433" i="10"/>
  <c r="G432" i="10"/>
  <c r="G431" i="10"/>
  <c r="G430" i="10"/>
  <c r="G429" i="10"/>
  <c r="G428" i="10"/>
  <c r="G427" i="10"/>
  <c r="G426" i="10"/>
  <c r="G425" i="10"/>
  <c r="G424" i="10"/>
  <c r="G423" i="10"/>
  <c r="G422" i="10"/>
  <c r="G421" i="10"/>
  <c r="G420" i="10"/>
  <c r="G419" i="10"/>
  <c r="G418" i="10"/>
  <c r="G417" i="10"/>
  <c r="G416" i="10"/>
  <c r="G415" i="10"/>
  <c r="G414" i="10"/>
  <c r="G413" i="10"/>
  <c r="G412" i="10"/>
  <c r="G411" i="10"/>
  <c r="G410" i="10"/>
  <c r="G409" i="10"/>
  <c r="G408" i="10"/>
  <c r="G407" i="10"/>
  <c r="G406" i="10"/>
  <c r="G405" i="10"/>
  <c r="G404" i="10"/>
  <c r="G403" i="10"/>
  <c r="G402" i="10"/>
  <c r="G401" i="10"/>
  <c r="G400" i="10"/>
  <c r="G399" i="10"/>
  <c r="G398" i="10"/>
  <c r="G397" i="10"/>
  <c r="G396" i="10"/>
  <c r="G395" i="10"/>
  <c r="G394" i="10"/>
  <c r="G393" i="10"/>
  <c r="G392" i="10"/>
  <c r="G391" i="10"/>
  <c r="G390" i="10"/>
  <c r="G389" i="10"/>
  <c r="G388" i="10"/>
  <c r="G387" i="10"/>
  <c r="G386" i="10"/>
  <c r="G385" i="10"/>
  <c r="G384" i="10"/>
  <c r="G383" i="10"/>
  <c r="G382" i="10"/>
  <c r="G381" i="10"/>
  <c r="G380" i="10"/>
  <c r="G379" i="10"/>
  <c r="G378" i="10"/>
  <c r="G377" i="10"/>
  <c r="G376" i="10"/>
  <c r="G375" i="10"/>
  <c r="G374" i="10"/>
  <c r="G373" i="10"/>
  <c r="G372" i="10"/>
  <c r="G371" i="10"/>
  <c r="G370" i="10"/>
  <c r="G369" i="10"/>
  <c r="G368" i="10"/>
  <c r="G367" i="10"/>
  <c r="G366" i="10"/>
  <c r="G365" i="10"/>
  <c r="G364" i="10"/>
  <c r="G363" i="10"/>
  <c r="G362" i="10"/>
  <c r="G361" i="10"/>
  <c r="G360" i="10"/>
  <c r="G359" i="10"/>
  <c r="G358" i="10"/>
  <c r="G357" i="10"/>
  <c r="G356" i="10"/>
  <c r="G355" i="10"/>
  <c r="G354" i="10"/>
  <c r="G353" i="10"/>
  <c r="G352" i="10"/>
  <c r="G351" i="10"/>
  <c r="G350" i="10"/>
  <c r="G349" i="10"/>
  <c r="G348" i="10"/>
  <c r="G347" i="10"/>
  <c r="G346" i="10"/>
  <c r="G345" i="10"/>
  <c r="G344" i="10"/>
  <c r="G343" i="10"/>
  <c r="G342" i="10"/>
  <c r="G341" i="10"/>
  <c r="G340" i="10"/>
  <c r="G339" i="10"/>
  <c r="G338" i="10"/>
  <c r="G337" i="10"/>
  <c r="G336" i="10"/>
  <c r="G335" i="10"/>
  <c r="G334" i="10"/>
  <c r="G333" i="10"/>
  <c r="G332" i="10"/>
  <c r="G331" i="10"/>
  <c r="G330" i="10"/>
  <c r="G329" i="10"/>
  <c r="G328" i="10"/>
  <c r="G327" i="10"/>
  <c r="G326" i="10"/>
  <c r="G325" i="10"/>
  <c r="G324" i="10"/>
  <c r="G323" i="10"/>
  <c r="G322" i="10"/>
  <c r="G321" i="10"/>
  <c r="G320" i="10"/>
  <c r="G319" i="10"/>
  <c r="G318" i="10"/>
  <c r="G317" i="10"/>
  <c r="G316" i="10"/>
  <c r="G315" i="10"/>
  <c r="G314" i="10"/>
  <c r="G313" i="10"/>
  <c r="G312" i="10"/>
  <c r="G311" i="10"/>
  <c r="G310" i="10"/>
  <c r="G309" i="10"/>
  <c r="G308" i="10"/>
  <c r="G307" i="10"/>
  <c r="G306" i="10"/>
  <c r="G305" i="10"/>
  <c r="G304" i="10"/>
  <c r="G303" i="10"/>
  <c r="G302" i="10"/>
  <c r="G301" i="10"/>
  <c r="G300" i="10"/>
  <c r="G299" i="10"/>
  <c r="G298" i="10"/>
  <c r="G297" i="10"/>
  <c r="G296" i="10"/>
  <c r="G295" i="10"/>
  <c r="G294" i="10"/>
  <c r="G293" i="10"/>
  <c r="G292" i="10"/>
  <c r="G291" i="10"/>
  <c r="G290" i="10"/>
  <c r="G289" i="10"/>
  <c r="G288" i="10"/>
  <c r="G287" i="10"/>
  <c r="G286" i="10"/>
  <c r="G285" i="10"/>
  <c r="G284" i="10"/>
  <c r="G283" i="10"/>
  <c r="G282" i="10"/>
  <c r="G281" i="10"/>
  <c r="G280" i="10"/>
  <c r="G279" i="10"/>
  <c r="G278" i="10"/>
  <c r="G277" i="10"/>
  <c r="G276" i="10"/>
  <c r="G275" i="10"/>
  <c r="G274" i="10"/>
  <c r="G273" i="10"/>
  <c r="G272" i="10"/>
  <c r="G271" i="10"/>
  <c r="G270" i="10"/>
  <c r="G269" i="10"/>
  <c r="G268" i="10"/>
  <c r="G267" i="10"/>
  <c r="G266" i="10"/>
  <c r="G265" i="10"/>
  <c r="G264" i="10"/>
  <c r="G263" i="10"/>
  <c r="G262" i="10"/>
  <c r="G261" i="10"/>
  <c r="G260" i="10"/>
  <c r="G259" i="10"/>
  <c r="G258" i="10"/>
  <c r="G257" i="10"/>
  <c r="G256" i="10"/>
  <c r="G255" i="10"/>
  <c r="G254" i="10"/>
  <c r="G253" i="10"/>
  <c r="G252" i="10"/>
  <c r="G251" i="10"/>
  <c r="G250" i="10"/>
  <c r="G249" i="10"/>
  <c r="G248" i="10"/>
  <c r="G247" i="10"/>
  <c r="G246" i="10"/>
  <c r="G245" i="10"/>
  <c r="G244" i="10"/>
  <c r="G243" i="10"/>
  <c r="G242" i="10"/>
  <c r="G241" i="10"/>
  <c r="G240" i="10"/>
  <c r="G239" i="10"/>
  <c r="G238" i="10"/>
  <c r="G237" i="10"/>
  <c r="G236" i="10"/>
  <c r="G235" i="10"/>
  <c r="G234" i="10"/>
  <c r="G233" i="10"/>
  <c r="G232" i="10"/>
  <c r="G231" i="10"/>
  <c r="G230" i="10"/>
  <c r="G229" i="10"/>
  <c r="G228" i="10"/>
  <c r="G227" i="10"/>
  <c r="G226" i="10"/>
  <c r="G225" i="10"/>
  <c r="G224" i="10"/>
  <c r="G223" i="10"/>
  <c r="G222" i="10"/>
  <c r="G221" i="10"/>
  <c r="G220" i="10"/>
  <c r="G219" i="10"/>
  <c r="G218" i="10"/>
  <c r="G217" i="10"/>
  <c r="G216" i="10"/>
  <c r="G215" i="10"/>
  <c r="G214" i="10"/>
  <c r="G213" i="10"/>
  <c r="G212" i="10"/>
  <c r="G211" i="10"/>
  <c r="G210" i="10"/>
  <c r="G209" i="10"/>
  <c r="G208" i="10"/>
  <c r="G207" i="10"/>
  <c r="G206" i="10"/>
  <c r="G205" i="10"/>
  <c r="G204" i="10"/>
  <c r="G203" i="10"/>
  <c r="G202" i="10"/>
  <c r="G201" i="10"/>
  <c r="G200" i="10"/>
  <c r="G199" i="10"/>
  <c r="G198" i="10"/>
  <c r="G197" i="10"/>
  <c r="G196" i="10"/>
  <c r="G195" i="10"/>
  <c r="G194" i="10"/>
  <c r="G193" i="10"/>
  <c r="G192" i="10"/>
  <c r="G191" i="10"/>
  <c r="G190" i="10"/>
  <c r="G189" i="10"/>
  <c r="G188" i="10"/>
  <c r="G187" i="10"/>
  <c r="G186" i="10"/>
  <c r="G185" i="10"/>
  <c r="G184" i="10"/>
  <c r="G183" i="10"/>
  <c r="G182" i="10"/>
  <c r="G181" i="10"/>
  <c r="G180" i="10"/>
  <c r="G179" i="10"/>
  <c r="G178" i="10"/>
  <c r="G177" i="10"/>
  <c r="G176" i="10"/>
  <c r="G175" i="10"/>
  <c r="G174" i="10"/>
  <c r="G173" i="10"/>
  <c r="G172" i="10"/>
  <c r="G171" i="10"/>
  <c r="G170" i="10"/>
  <c r="G169" i="10"/>
  <c r="G168" i="10"/>
  <c r="G167" i="10"/>
  <c r="G166" i="10"/>
  <c r="G165" i="10"/>
  <c r="G164" i="10"/>
  <c r="G163" i="10"/>
  <c r="G162" i="10"/>
  <c r="G161" i="10"/>
  <c r="G160" i="10"/>
  <c r="G159" i="10"/>
  <c r="G158" i="10"/>
  <c r="G157" i="10"/>
  <c r="G156" i="10"/>
  <c r="G155" i="10"/>
  <c r="G154" i="10"/>
  <c r="G153" i="10"/>
  <c r="G152" i="10"/>
  <c r="G151" i="10"/>
  <c r="G150" i="10"/>
  <c r="G149" i="10"/>
  <c r="G148" i="10"/>
  <c r="G147" i="10"/>
  <c r="G146" i="10"/>
  <c r="G145" i="10"/>
  <c r="G144" i="10"/>
  <c r="G143" i="10"/>
  <c r="G142" i="10"/>
  <c r="G141" i="10"/>
  <c r="G140" i="10"/>
  <c r="G139" i="10"/>
  <c r="G138" i="10"/>
  <c r="G137" i="10"/>
  <c r="G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0" i="10"/>
  <c r="G9" i="10"/>
  <c r="G8"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0" i="10"/>
  <c r="C9" i="10"/>
  <c r="C8" i="10"/>
  <c r="G7" i="10"/>
  <c r="C7" i="10"/>
  <c r="G46" i="8"/>
  <c r="F46" i="8"/>
  <c r="G45" i="8"/>
  <c r="F45" i="8"/>
  <c r="G44" i="8"/>
  <c r="F44" i="8"/>
  <c r="G43" i="8"/>
  <c r="F43" i="8"/>
  <c r="G42" i="8"/>
  <c r="F42" i="8"/>
  <c r="G41" i="8"/>
  <c r="F41" i="8"/>
  <c r="G40" i="8"/>
  <c r="F40" i="8"/>
  <c r="G39" i="8"/>
  <c r="F39" i="8"/>
  <c r="G38" i="8"/>
  <c r="F38" i="8"/>
  <c r="G37" i="8"/>
  <c r="F37" i="8"/>
  <c r="G36" i="8"/>
  <c r="F36" i="8"/>
  <c r="G35" i="8"/>
  <c r="F35" i="8"/>
  <c r="G34" i="8"/>
  <c r="F34" i="8"/>
  <c r="G33" i="8"/>
  <c r="F33" i="8"/>
  <c r="G32" i="8"/>
  <c r="F32" i="8"/>
  <c r="G31" i="8"/>
  <c r="F31" i="8"/>
  <c r="G30" i="8"/>
  <c r="F30" i="8"/>
  <c r="G29" i="8"/>
  <c r="F29" i="8"/>
  <c r="G28" i="8"/>
  <c r="F28" i="8"/>
  <c r="G27" i="8"/>
  <c r="F27" i="8"/>
  <c r="G26" i="8"/>
  <c r="F26" i="8"/>
  <c r="G25" i="8"/>
  <c r="F25" i="8"/>
  <c r="G24" i="8"/>
  <c r="F24" i="8"/>
  <c r="G23" i="8"/>
  <c r="F23" i="8"/>
  <c r="G22" i="8"/>
  <c r="F22" i="8"/>
  <c r="G21" i="8"/>
  <c r="F21" i="8"/>
  <c r="G20" i="8"/>
  <c r="F20" i="8"/>
  <c r="G19" i="8"/>
  <c r="F19" i="8"/>
  <c r="G18" i="8"/>
  <c r="F18" i="8"/>
  <c r="G17" i="8"/>
  <c r="F17" i="8"/>
  <c r="G16" i="8"/>
  <c r="F16" i="8"/>
  <c r="G15" i="8"/>
  <c r="F15" i="8"/>
  <c r="G14" i="8"/>
  <c r="F14" i="8"/>
  <c r="G13" i="8"/>
  <c r="F13" i="8"/>
  <c r="G12" i="8"/>
  <c r="F12" i="8"/>
  <c r="G11" i="8"/>
  <c r="F11" i="8"/>
  <c r="G10" i="8"/>
  <c r="F10" i="8"/>
  <c r="G9" i="8"/>
  <c r="F9"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E17" i="5"/>
  <c r="E16" i="5"/>
  <c r="E15" i="5"/>
  <c r="E14" i="5"/>
  <c r="E13" i="5"/>
  <c r="E12" i="5"/>
  <c r="E11" i="5"/>
  <c r="E10" i="5"/>
  <c r="E9" i="5"/>
  <c r="E8" i="5"/>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88" i="4"/>
  <c r="F10" i="4"/>
  <c r="H46" i="7"/>
  <c r="G46" i="7"/>
  <c r="H45" i="7"/>
  <c r="G45" i="7"/>
  <c r="H44" i="7"/>
  <c r="G44" i="7"/>
  <c r="H43" i="7"/>
  <c r="G43" i="7"/>
  <c r="H42" i="7"/>
  <c r="G42" i="7"/>
  <c r="H41" i="7"/>
  <c r="G41" i="7"/>
  <c r="H40" i="7"/>
  <c r="G40" i="7"/>
  <c r="H39" i="7"/>
  <c r="G39" i="7"/>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H18" i="7"/>
  <c r="G18" i="7"/>
  <c r="H17" i="7"/>
  <c r="G17" i="7"/>
  <c r="H16" i="7"/>
  <c r="G16" i="7"/>
  <c r="H15" i="7"/>
  <c r="G15" i="7"/>
  <c r="H14" i="7"/>
  <c r="G14" i="7"/>
  <c r="H13" i="7"/>
  <c r="G13" i="7"/>
  <c r="H12" i="7"/>
  <c r="G12" i="7"/>
  <c r="H8" i="7"/>
  <c r="G8" i="7"/>
  <c r="H11" i="7"/>
  <c r="G11" i="7"/>
  <c r="H10" i="7"/>
  <c r="G10" i="7"/>
  <c r="H9" i="7"/>
  <c r="G9" i="7"/>
  <c r="H7" i="7"/>
  <c r="J9" i="2" s="1"/>
  <c r="G7" i="7"/>
  <c r="F6" i="4"/>
  <c r="F5" i="4"/>
  <c r="I7" i="9" l="1"/>
  <c r="M7" i="9" s="1"/>
  <c r="N7" i="9" s="1"/>
  <c r="J7" i="9"/>
  <c r="N8" i="9"/>
  <c r="L8" i="9"/>
  <c r="L9" i="9"/>
  <c r="N9" i="9"/>
  <c r="J10" i="9"/>
  <c r="I10" i="9"/>
  <c r="M10" i="9" s="1"/>
  <c r="N10" i="9" s="1"/>
  <c r="J11" i="9"/>
  <c r="I11" i="9"/>
  <c r="M11" i="9" s="1"/>
  <c r="N11" i="9" s="1"/>
  <c r="N12" i="9"/>
  <c r="L12" i="9"/>
  <c r="J13" i="9"/>
  <c r="I13" i="9"/>
  <c r="M13" i="9" s="1"/>
  <c r="N13" i="9" s="1"/>
  <c r="J14" i="9"/>
  <c r="I14" i="9"/>
  <c r="M14" i="9" s="1"/>
  <c r="N14" i="9" s="1"/>
  <c r="C20" i="16"/>
  <c r="C21" i="16"/>
  <c r="F8" i="8"/>
  <c r="G8" i="8"/>
  <c r="F7" i="8"/>
  <c r="G7" i="8"/>
  <c r="L9" i="2" s="1"/>
  <c r="H65" i="4"/>
  <c r="H66" i="4"/>
  <c r="D37" i="4"/>
  <c r="C84" i="4" s="1"/>
  <c r="C86" i="4"/>
  <c r="C90" i="4"/>
  <c r="C89" i="4"/>
  <c r="C91" i="4"/>
  <c r="C87" i="4"/>
  <c r="G37" i="4"/>
  <c r="E33" i="4"/>
  <c r="E31" i="4"/>
  <c r="E35" i="4"/>
  <c r="E36" i="4"/>
  <c r="E32" i="4"/>
  <c r="E34" i="4"/>
  <c r="E17" i="4"/>
  <c r="E19" i="4"/>
  <c r="E20" i="4"/>
  <c r="E22" i="4"/>
  <c r="E24" i="4"/>
  <c r="E18" i="4"/>
  <c r="E21" i="4"/>
  <c r="E23" i="4"/>
  <c r="C25" i="4"/>
  <c r="C82" i="4" s="1"/>
  <c r="E15" i="4"/>
  <c r="F7" i="4"/>
  <c r="J12" i="12"/>
  <c r="L12" i="12" s="1"/>
  <c r="J14" i="12"/>
  <c r="J13" i="12"/>
  <c r="K7" i="12"/>
  <c r="J7" i="12"/>
  <c r="L7" i="12" s="1"/>
  <c r="J8" i="12"/>
  <c r="J10" i="12"/>
  <c r="J11" i="12"/>
  <c r="L11" i="12" s="1"/>
  <c r="J9" i="12"/>
  <c r="L9" i="12" s="1"/>
  <c r="C22" i="16" l="1"/>
  <c r="C14" i="16"/>
  <c r="C23" i="16"/>
  <c r="C13" i="16"/>
  <c r="B26" i="16"/>
  <c r="E25" i="4"/>
  <c r="C83" i="4" s="1"/>
  <c r="E37" i="4"/>
  <c r="C85" i="4" s="1"/>
  <c r="B41" i="4"/>
  <c r="E41" i="4"/>
  <c r="B42" i="4"/>
  <c r="E42" i="4"/>
  <c r="B43" i="4"/>
  <c r="E43" i="4"/>
  <c r="B44" i="4"/>
  <c r="E44" i="4"/>
  <c r="E45" i="4"/>
  <c r="B45" i="4"/>
  <c r="E46" i="4"/>
  <c r="B46" i="4"/>
  <c r="B47" i="4"/>
  <c r="E47" i="4"/>
  <c r="E48" i="4"/>
  <c r="B48" i="4"/>
  <c r="B49" i="4"/>
  <c r="E49" i="4"/>
  <c r="E50" i="4"/>
  <c r="B50" i="4"/>
  <c r="E51" i="4"/>
  <c r="B51" i="4"/>
  <c r="E52" i="4"/>
  <c r="B52" i="4"/>
  <c r="B88" i="2" a="1"/>
  <c r="B90" i="2" a="1"/>
  <c r="B72" i="2" a="1"/>
  <c r="F62" i="2"/>
  <c r="G62" i="2" s="1"/>
  <c r="H62" i="2" s="1"/>
  <c r="I62" i="2" s="1"/>
  <c r="J62" i="2" s="1"/>
  <c r="K62" i="2" s="1"/>
  <c r="L62" i="2" s="1"/>
  <c r="B52" i="2"/>
  <c r="E4" i="2"/>
  <c r="G26" i="16" l="1"/>
  <c r="E26" i="16"/>
  <c r="B27" i="16"/>
  <c r="I26" i="16"/>
  <c r="F26" i="16"/>
  <c r="C26" i="16"/>
  <c r="H26" i="16"/>
  <c r="D26" i="16"/>
  <c r="B83" i="2" a="1"/>
  <c r="B85" i="2" a="1"/>
  <c r="B87" i="2" a="1"/>
  <c r="G88" i="2"/>
  <c r="H88" i="2" s="1"/>
  <c r="I88" i="2"/>
  <c r="C88" i="2"/>
  <c r="E88" i="2"/>
  <c r="L88" i="2"/>
  <c r="M88" i="2"/>
  <c r="F88" i="2"/>
  <c r="K88" i="2"/>
  <c r="M90" i="2"/>
  <c r="C90" i="2"/>
  <c r="G90" i="2"/>
  <c r="H90" i="2" s="1"/>
  <c r="L90" i="2"/>
  <c r="F90" i="2"/>
  <c r="I90" i="2"/>
  <c r="E90" i="2"/>
  <c r="K90" i="2"/>
  <c r="B84" i="2" a="1"/>
  <c r="B80" i="2" a="1"/>
  <c r="B70" i="2" a="1"/>
  <c r="B69" i="2" a="1"/>
  <c r="B82" i="2" a="1"/>
  <c r="C91" i="2"/>
  <c r="B81" i="2" a="1"/>
  <c r="B79" i="2" a="1"/>
  <c r="B86" i="2" a="1"/>
  <c r="B89" i="2" a="1"/>
  <c r="B66" i="2" a="1"/>
  <c r="B74" i="2" a="1"/>
  <c r="B67" i="2" a="1"/>
  <c r="B68" i="2" a="1"/>
  <c r="B73" i="2" a="1"/>
  <c r="B71" i="2" a="1"/>
  <c r="F72" i="2"/>
  <c r="E72" i="2"/>
  <c r="C72" i="2"/>
  <c r="M72" i="2"/>
  <c r="L72" i="2"/>
  <c r="K72" i="2"/>
  <c r="J72" i="2"/>
  <c r="I72" i="2"/>
  <c r="H72" i="2"/>
  <c r="G72" i="2"/>
  <c r="B65" i="2" a="1"/>
  <c r="B64" i="2" a="1"/>
  <c r="B63" i="2" a="1"/>
  <c r="B53" i="2"/>
  <c r="E52" i="2"/>
  <c r="D52" i="2"/>
  <c r="F52" i="2"/>
  <c r="J7" i="2"/>
  <c r="D9" i="2"/>
  <c r="B9" i="2"/>
  <c r="L7" i="2"/>
  <c r="F7" i="2"/>
  <c r="F9" i="2"/>
  <c r="B7" i="2"/>
  <c r="B12" i="2"/>
  <c r="H9" i="2"/>
  <c r="H7" i="2"/>
  <c r="D7" i="2"/>
  <c r="D27" i="16" l="1"/>
  <c r="I27" i="16"/>
  <c r="G27" i="16"/>
  <c r="C27" i="16"/>
  <c r="B28" i="16"/>
  <c r="E27" i="16"/>
  <c r="H27" i="16"/>
  <c r="F27" i="16"/>
  <c r="J90" i="2"/>
  <c r="M83" i="2"/>
  <c r="I83" i="2"/>
  <c r="F83" i="2"/>
  <c r="C83" i="2"/>
  <c r="K83" i="2"/>
  <c r="E83" i="2"/>
  <c r="G83" i="2"/>
  <c r="H83" i="2" s="1"/>
  <c r="L83" i="2"/>
  <c r="C85" i="2"/>
  <c r="L85" i="2"/>
  <c r="K85" i="2"/>
  <c r="G85" i="2"/>
  <c r="H85" i="2" s="1"/>
  <c r="E85" i="2"/>
  <c r="M85" i="2"/>
  <c r="I85" i="2"/>
  <c r="F85" i="2"/>
  <c r="F87" i="2"/>
  <c r="G87" i="2"/>
  <c r="H87" i="2" s="1"/>
  <c r="L87" i="2"/>
  <c r="E87" i="2"/>
  <c r="I87" i="2"/>
  <c r="K87" i="2"/>
  <c r="C87" i="2"/>
  <c r="M87" i="2"/>
  <c r="F70" i="2"/>
  <c r="L70" i="2"/>
  <c r="E70" i="2"/>
  <c r="I70" i="2"/>
  <c r="C70" i="2"/>
  <c r="H70" i="2"/>
  <c r="J70" i="2"/>
  <c r="M70" i="2"/>
  <c r="G70" i="2"/>
  <c r="K70" i="2"/>
  <c r="G69" i="2"/>
  <c r="M69" i="2"/>
  <c r="E69" i="2"/>
  <c r="K69" i="2"/>
  <c r="H69" i="2"/>
  <c r="I69" i="2"/>
  <c r="L69" i="2"/>
  <c r="J69" i="2"/>
  <c r="F69" i="2"/>
  <c r="C69" i="2"/>
  <c r="J83" i="2"/>
  <c r="J85" i="2"/>
  <c r="J87" i="2"/>
  <c r="M84" i="2"/>
  <c r="F84" i="2"/>
  <c r="I84" i="2"/>
  <c r="E84" i="2"/>
  <c r="C84" i="2"/>
  <c r="G84" i="2"/>
  <c r="H84" i="2" s="1"/>
  <c r="J84" i="2" s="1"/>
  <c r="K84" i="2"/>
  <c r="L84" i="2"/>
  <c r="M80" i="2"/>
  <c r="I80" i="2"/>
  <c r="L80" i="2"/>
  <c r="C80" i="2"/>
  <c r="E80" i="2"/>
  <c r="G80" i="2"/>
  <c r="K80" i="2"/>
  <c r="F80" i="2"/>
  <c r="M82" i="2"/>
  <c r="E82" i="2"/>
  <c r="F82" i="2"/>
  <c r="I82" i="2"/>
  <c r="G82" i="2"/>
  <c r="K82" i="2"/>
  <c r="L82" i="2"/>
  <c r="C82" i="2"/>
  <c r="L81" i="2"/>
  <c r="G81" i="2"/>
  <c r="F81" i="2"/>
  <c r="H81" i="2" s="1"/>
  <c r="C81" i="2"/>
  <c r="M81" i="2"/>
  <c r="I81" i="2"/>
  <c r="K81" i="2"/>
  <c r="E81" i="2"/>
  <c r="C79" i="2"/>
  <c r="F79" i="2"/>
  <c r="I79" i="2"/>
  <c r="L79" i="2"/>
  <c r="E79" i="2"/>
  <c r="G79" i="2"/>
  <c r="K79" i="2"/>
  <c r="M79" i="2"/>
  <c r="B92" i="2"/>
  <c r="G86" i="2"/>
  <c r="H86" i="2" s="1"/>
  <c r="C86" i="2"/>
  <c r="K86" i="2"/>
  <c r="M86" i="2"/>
  <c r="E86" i="2"/>
  <c r="I86" i="2"/>
  <c r="L86" i="2"/>
  <c r="F86" i="2"/>
  <c r="M89" i="2"/>
  <c r="C89" i="2"/>
  <c r="F89" i="2"/>
  <c r="I89" i="2"/>
  <c r="K89" i="2"/>
  <c r="G89" i="2"/>
  <c r="H89" i="2" s="1"/>
  <c r="J89" i="2" s="1"/>
  <c r="E89" i="2"/>
  <c r="L89" i="2"/>
  <c r="J88" i="2"/>
  <c r="H66" i="2"/>
  <c r="G66" i="2"/>
  <c r="F66" i="2"/>
  <c r="C66" i="2"/>
  <c r="J66" i="2"/>
  <c r="L66" i="2"/>
  <c r="I66" i="2"/>
  <c r="E66" i="2"/>
  <c r="K66" i="2"/>
  <c r="M74" i="2"/>
  <c r="F74" i="2"/>
  <c r="J74" i="2"/>
  <c r="L74" i="2"/>
  <c r="C74" i="2"/>
  <c r="K74" i="2"/>
  <c r="H74" i="2"/>
  <c r="I74" i="2"/>
  <c r="G74" i="2"/>
  <c r="E74" i="2"/>
  <c r="F67" i="2"/>
  <c r="K67" i="2"/>
  <c r="I67" i="2"/>
  <c r="G67" i="2"/>
  <c r="J67" i="2"/>
  <c r="E67" i="2"/>
  <c r="M67" i="2"/>
  <c r="C67" i="2"/>
  <c r="H67" i="2"/>
  <c r="L67" i="2"/>
  <c r="C68" i="2"/>
  <c r="J68" i="2"/>
  <c r="K68" i="2"/>
  <c r="L68" i="2"/>
  <c r="I68" i="2"/>
  <c r="M68" i="2"/>
  <c r="H68" i="2"/>
  <c r="G68" i="2"/>
  <c r="F68" i="2"/>
  <c r="E68" i="2"/>
  <c r="H73" i="2"/>
  <c r="G73" i="2"/>
  <c r="F73" i="2"/>
  <c r="E73" i="2"/>
  <c r="C73" i="2"/>
  <c r="I73" i="2"/>
  <c r="J73" i="2"/>
  <c r="M73" i="2"/>
  <c r="L73" i="2"/>
  <c r="K73" i="2"/>
  <c r="F71" i="2"/>
  <c r="E71" i="2"/>
  <c r="G71" i="2"/>
  <c r="H71" i="2"/>
  <c r="C71" i="2"/>
  <c r="I71" i="2"/>
  <c r="K71" i="2"/>
  <c r="L71" i="2"/>
  <c r="M71" i="2"/>
  <c r="J71" i="2"/>
  <c r="H65" i="2"/>
  <c r="G65" i="2"/>
  <c r="F65" i="2"/>
  <c r="C65" i="2"/>
  <c r="E65" i="2"/>
  <c r="K65" i="2"/>
  <c r="L65" i="2"/>
  <c r="J65" i="2"/>
  <c r="I65" i="2"/>
  <c r="G64" i="2"/>
  <c r="H64" i="2"/>
  <c r="I64" i="2"/>
  <c r="J64" i="2"/>
  <c r="K64" i="2"/>
  <c r="F64" i="2"/>
  <c r="L64" i="2"/>
  <c r="C64" i="2"/>
  <c r="E64" i="2"/>
  <c r="B75" i="2"/>
  <c r="H63" i="2"/>
  <c r="G63" i="2"/>
  <c r="F63" i="2"/>
  <c r="E63" i="2"/>
  <c r="I63" i="2"/>
  <c r="J63" i="2"/>
  <c r="L63" i="2"/>
  <c r="K63" i="2"/>
  <c r="C63" i="2"/>
  <c r="C52" i="2"/>
  <c r="G52" i="2"/>
  <c r="E53" i="2"/>
  <c r="D53" i="2"/>
  <c r="F53" i="2"/>
  <c r="B54" i="2"/>
  <c r="H28" i="16" l="1"/>
  <c r="F28" i="16"/>
  <c r="C28" i="16"/>
  <c r="B29" i="16"/>
  <c r="E28" i="16"/>
  <c r="E54" i="2" s="1"/>
  <c r="D28" i="16"/>
  <c r="I28" i="16"/>
  <c r="G28" i="16"/>
  <c r="H79" i="2"/>
  <c r="J81" i="2"/>
  <c r="H80" i="2"/>
  <c r="J80" i="2" s="1"/>
  <c r="J86" i="2"/>
  <c r="I91" i="2"/>
  <c r="J79" i="2"/>
  <c r="H82" i="2"/>
  <c r="M64" i="2"/>
  <c r="M63" i="2"/>
  <c r="M66" i="2"/>
  <c r="M65" i="2"/>
  <c r="C53" i="2"/>
  <c r="G53" i="2"/>
  <c r="D54" i="2"/>
  <c r="B55" i="2"/>
  <c r="F54" i="2"/>
  <c r="H29" i="16" l="1"/>
  <c r="D29" i="16"/>
  <c r="I29" i="16"/>
  <c r="E29" i="16"/>
  <c r="C29" i="16"/>
  <c r="B30" i="16"/>
  <c r="G29" i="16"/>
  <c r="F29" i="16"/>
  <c r="J82" i="2"/>
  <c r="H91" i="2"/>
  <c r="J91" i="2" s="1"/>
  <c r="B77" i="2" s="1"/>
  <c r="C54" i="2"/>
  <c r="G54" i="2"/>
  <c r="F55" i="2"/>
  <c r="D55" i="2"/>
  <c r="E55" i="2"/>
  <c r="B56" i="2"/>
  <c r="D30" i="16" l="1"/>
  <c r="B31" i="16"/>
  <c r="G30" i="16"/>
  <c r="E30" i="16"/>
  <c r="E56" i="2" s="1"/>
  <c r="C30" i="16"/>
  <c r="I30" i="16"/>
  <c r="H30" i="16"/>
  <c r="F56" i="2" s="1"/>
  <c r="F30" i="16"/>
  <c r="C55" i="2"/>
  <c r="G55" i="2"/>
  <c r="B57" i="2"/>
  <c r="D56" i="2"/>
  <c r="E31" i="16" l="1"/>
  <c r="H31" i="16"/>
  <c r="F31" i="16"/>
  <c r="B32" i="16"/>
  <c r="C31" i="16"/>
  <c r="I31" i="16"/>
  <c r="G31" i="16"/>
  <c r="D31" i="16"/>
  <c r="D57" i="2" s="1"/>
  <c r="C56" i="2"/>
  <c r="G56" i="2"/>
  <c r="B58" i="2"/>
  <c r="F57" i="2"/>
  <c r="E57" i="2"/>
  <c r="H32" i="16" l="1"/>
  <c r="E32" i="16"/>
  <c r="E58" i="2" s="1"/>
  <c r="C32" i="16"/>
  <c r="I32" i="16"/>
  <c r="G32" i="16"/>
  <c r="D32" i="16"/>
  <c r="D58" i="2" s="1"/>
  <c r="F32" i="16"/>
  <c r="C57" i="2"/>
  <c r="G57" i="2"/>
  <c r="F58" i="2"/>
  <c r="C58" i="2" l="1"/>
  <c r="G5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 Project Control Hub</author>
  </authors>
  <commentList>
    <comment ref="E6" authorId="0" shapeId="0" xr:uid="{F475716A-7538-4FD7-99F5-3B6B8B912681}">
      <text>
        <t>Example figures only (8 activities). Replace with the contract bill of quantities / P6 budgeted units before using the productivity numbers.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<sst xmlns="http://schemas.openxmlformats.org/spreadsheetml/2006/main" count="772" uniqueCount="419">
  <si>
    <t>Daily site report</t>
  </si>
  <si>
    <t>The record nobody reads until a claim, an incident or a test result needs it. Make it one that stands.</t>
  </si>
  <si>
    <t>The Project Control Hub · free template · example: the example project, 2 to 13 March</t>
  </si>
  <si>
    <t>1 minute</t>
  </si>
  <si>
    <t>COUNTED, OR REMEMBERED?</t>
  </si>
  <si>
    <t>Counted</t>
  </si>
  <si>
    <t>Somebody measured it today: the survey, the store, the attendance sheet.</t>
  </si>
  <si>
    <t>Estimated</t>
  </si>
  <si>
    <t>A foreman’s figure. Allowed, but labelled, and measured later.</t>
  </si>
  <si>
    <t>Not yet reported</t>
  </si>
  <si>
    <t>The day has not finished producing it. A visible blank beats a quiet wrong number.</t>
  </si>
  <si>
    <t>TWO WAYS TO JUDGE A DAILY REPORT</t>
  </si>
  <si>
    <t>Went out on time</t>
  </si>
  <si>
    <t>Easy to measure, easy to hit, and easy to game by sending an emptier report earlier.</t>
  </si>
  <si>
    <t>Never revised after</t>
  </si>
  <si>
    <t>Cannot be gamed by hurrying. The Dashboard shows both; the second is the one that matters.</t>
  </si>
  <si>
    <t>HOW TO READ THE CELLS</t>
  </si>
  <si>
    <t>Yellow, blue text</t>
  </si>
  <si>
    <t>White, black text</t>
  </si>
  <si>
    <t>Red</t>
  </si>
  <si>
    <t>Lost day, not reported, overdue, or an event that could become a claim.</t>
  </si>
  <si>
    <t>WHAT IS IN THIS FILE</t>
  </si>
  <si>
    <t>Setup</t>
  </si>
  <si>
    <t>Day log</t>
  </si>
  <si>
    <t>Revision log</t>
  </si>
  <si>
    <t>Every correction, with the old value, the new one and why.</t>
  </si>
  <si>
    <t>Explicit blanks, followed up until closed.</t>
  </si>
  <si>
    <t>EXPLAINED IN</t>
  </si>
  <si>
    <t>Reporting Topic 17 · The daily report</t>
  </si>
  <si>
    <t>Contract Topic 1 · The notice behind the entitlement</t>
  </si>
  <si>
    <t>Free to use and adapt on your own projects. https://theprojectcontrolhub.com/</t>
  </si>
  <si>
    <t>Daily reports</t>
  </si>
  <si>
    <t>The Project Control Hub</t>
  </si>
  <si>
    <t>REPORTS ON TIME</t>
  </si>
  <si>
    <t>NEVER REVISED</t>
  </si>
  <si>
    <t>WORKING DAYS LOST</t>
  </si>
  <si>
    <t>AVERAGE ON SITE</t>
  </si>
  <si>
    <t>POSSIBLE CLAIMS</t>
  </si>
  <si>
    <t>Chart data</t>
  </si>
  <si>
    <t>Workable</t>
  </si>
  <si>
    <t>Part lost</t>
  </si>
  <si>
    <t>Lost</t>
  </si>
  <si>
    <t>Date</t>
  </si>
  <si>
    <t>Working day</t>
  </si>
  <si>
    <t>People</t>
  </si>
  <si>
    <t>Revisions</t>
  </si>
  <si>
    <t>Key event</t>
  </si>
  <si>
    <t>Nobody reads the daily report until a claim, an incident or a test result needs it. Then it cannot be reconstructed.</t>
  </si>
  <si>
    <t>The deadline, and the lists the report uses.</t>
  </si>
  <si>
    <t>The hour the report is due decides whether it holds counts or memories. Set it after a morning walk, not before.</t>
  </si>
  <si>
    <t>Project</t>
  </si>
  <si>
    <t>Example project</t>
  </si>
  <si>
    <t>Report due by (time)</t>
  </si>
  <si>
    <t>Topic 17: the same form, due at 07:00, holds memories.</t>
  </si>
  <si>
    <t>Prepared by</t>
  </si>
  <si>
    <t>Site engineers, consolidated by project controls</t>
  </si>
  <si>
    <t>Trades</t>
  </si>
  <si>
    <t>Plant</t>
  </si>
  <si>
    <t>Piling crew</t>
  </si>
  <si>
    <t>Piling rig</t>
  </si>
  <si>
    <t>Rebar gang</t>
  </si>
  <si>
    <t>Crawler crane</t>
  </si>
  <si>
    <t>Concrete gang</t>
  </si>
  <si>
    <t>Excavator</t>
  </si>
  <si>
    <t>Groundworks</t>
  </si>
  <si>
    <t>Concrete pump</t>
  </si>
  <si>
    <t>Supervision</t>
  </si>
  <si>
    <t>Dumper</t>
  </si>
  <si>
    <t>Electricians</t>
  </si>
  <si>
    <t>Roller</t>
  </si>
  <si>
    <t>Labourers</t>
  </si>
  <si>
    <t>One day, on one page. Every figure says where it came from.</t>
  </si>
  <si>
    <t>Revision</t>
  </si>
  <si>
    <t>raised by each line on the Revision log</t>
  </si>
  <si>
    <t>Report no.</t>
  </si>
  <si>
    <t>Due by</t>
  </si>
  <si>
    <t>Issued at</t>
  </si>
  <si>
    <t>On time?</t>
  </si>
  <si>
    <t>Weather, morning</t>
  </si>
  <si>
    <t>Site engineer</t>
  </si>
  <si>
    <t>Weather, afternoon</t>
  </si>
  <si>
    <t>Working conditions</t>
  </si>
  <si>
    <t>LABOUR</t>
  </si>
  <si>
    <t>Company</t>
  </si>
  <si>
    <t>Trade</t>
  </si>
  <si>
    <t>Headcount</t>
  </si>
  <si>
    <t>Hours each</t>
  </si>
  <si>
    <t>Man-hours</t>
  </si>
  <si>
    <t>Note</t>
  </si>
  <si>
    <t>Piling sub</t>
  </si>
  <si>
    <t>Rebar sub</t>
  </si>
  <si>
    <t>Concrete sub</t>
  </si>
  <si>
    <t>Main contractor</t>
  </si>
  <si>
    <t>Total on site</t>
  </si>
  <si>
    <t>PLANT</t>
  </si>
  <si>
    <t>On site</t>
  </si>
  <si>
    <t>Working</t>
  </si>
  <si>
    <t>Idle</t>
  </si>
  <si>
    <t>Why idle</t>
  </si>
  <si>
    <t>WORK DONE</t>
  </si>
  <si>
    <t>Activity</t>
  </si>
  <si>
    <t>Location</t>
  </si>
  <si>
    <t>Quantity</t>
  </si>
  <si>
    <t>Unit</t>
  </si>
  <si>
    <t>Source</t>
  </si>
  <si>
    <t>Comment</t>
  </si>
  <si>
    <t>Bored piles, north</t>
  </si>
  <si>
    <t>no.</t>
  </si>
  <si>
    <t>t</t>
  </si>
  <si>
    <t>About 16 hours a tonne</t>
  </si>
  <si>
    <t>Blinding, substation slab</t>
  </si>
  <si>
    <t>m²</t>
  </si>
  <si>
    <t>Drainage run D2</t>
  </si>
  <si>
    <t>East side</t>
  </si>
  <si>
    <t>m</t>
  </si>
  <si>
    <t>Foreman’s figure; to be measured</t>
  </si>
  <si>
    <t>DELIVERIES</t>
  </si>
  <si>
    <t>Supplier</t>
  </si>
  <si>
    <t>Material</t>
  </si>
  <si>
    <t>Delivery note</t>
  </si>
  <si>
    <t>Short or damaged?</t>
  </si>
  <si>
    <t>Steel supplier</t>
  </si>
  <si>
    <t>Reinforcement</t>
  </si>
  <si>
    <t>DN-1182</t>
  </si>
  <si>
    <t>N</t>
  </si>
  <si>
    <t>Aggregates</t>
  </si>
  <si>
    <t>Blinding stone</t>
  </si>
  <si>
    <t>DN-0457</t>
  </si>
  <si>
    <t>EVENTS, INSTRUCTIONS, DELAYS, VISITORS</t>
  </si>
  <si>
    <t>Type</t>
  </si>
  <si>
    <t>What happened</t>
  </si>
  <si>
    <t>Time</t>
  </si>
  <si>
    <t>Could it become a claim?</t>
  </si>
  <si>
    <t>Then</t>
  </si>
  <si>
    <t>Event</t>
  </si>
  <si>
    <t>Piling rig: penetration rate changed at P17 and P18, consistent with rock. Driller’s log kept.</t>
  </si>
  <si>
    <t>Y</t>
  </si>
  <si>
    <t>Instruction</t>
  </si>
  <si>
    <t>Site engineer emailed the resident engineer; reply "noted, discuss Thursday". No Notice served yet.</t>
  </si>
  <si>
    <t>Delay</t>
  </si>
  <si>
    <t>Rain from 15:00: blinding stopped for the day.</t>
  </si>
  <si>
    <t>THIS REPORT IN NUMBERS</t>
  </si>
  <si>
    <t>People on site</t>
  </si>
  <si>
    <t>Plant working</t>
  </si>
  <si>
    <t>Plant idle</t>
  </si>
  <si>
    <t>Quantities counted</t>
  </si>
  <si>
    <t>Quantities estimated</t>
  </si>
  <si>
    <t>Events that could become a claim</t>
  </si>
  <si>
    <t>One line per day, so the month can be read at a glance.</t>
  </si>
  <si>
    <t>Weather</t>
  </si>
  <si>
    <t>Possible claims</t>
  </si>
  <si>
    <t>Dry</t>
  </si>
  <si>
    <t>Piling P15 and P16</t>
  </si>
  <si>
    <t>Rain</t>
  </si>
  <si>
    <t>Bar schedule revision for bay 2 requested</t>
  </si>
  <si>
    <t>Heavy rain</t>
  </si>
  <si>
    <t>No pours: heavy rain</t>
  </si>
  <si>
    <t>Crane booked for 17 March</t>
  </si>
  <si>
    <t>Rig back in service</t>
  </si>
  <si>
    <t>Ground beams GB1 to GB3 poured</t>
  </si>
  <si>
    <t>Showers</t>
  </si>
  <si>
    <t>Membrane delivery not confirmed</t>
  </si>
  <si>
    <t>Raft rebar bay 1 continues</t>
  </si>
  <si>
    <t>Weekly meeting</t>
  </si>
  <si>
    <t>What changed, when, and why. Without it, one day becomes three versions of itself.</t>
  </si>
  <si>
    <t>One line per correction. The Daily report counts the lines for its date and shows the revision number.</t>
  </si>
  <si>
    <t>Report date</t>
  </si>
  <si>
    <t>New revision</t>
  </si>
  <si>
    <t>Field</t>
  </si>
  <si>
    <t>Old value</t>
  </si>
  <si>
    <t>New value</t>
  </si>
  <si>
    <t>Reason</t>
  </si>
  <si>
    <t>Changed by</t>
  </si>
  <si>
    <t>Changed on</t>
  </si>
  <si>
    <t>38 m²</t>
  </si>
  <si>
    <t>6</t>
  </si>
  <si>
    <t>4</t>
  </si>
  <si>
    <t>Site manager</t>
  </si>
  <si>
    <t>Weather · rainfall</t>
  </si>
  <si>
    <t>31 mm</t>
  </si>
  <si>
    <t>Gauge read next morning</t>
  </si>
  <si>
    <t>14.5 m³</t>
  </si>
  <si>
    <t>Fields the day could not close, published as blanks and followed up.</t>
  </si>
  <si>
    <t>"We will correct it tomorrow" is a promise projects break. A list somebody closes is not.</t>
  </si>
  <si>
    <t>Who will supply it</t>
  </si>
  <si>
    <t>Expected by</t>
  </si>
  <si>
    <t>Closed on</t>
  </si>
  <si>
    <t>Closed in revision</t>
  </si>
  <si>
    <t>Days open</t>
  </si>
  <si>
    <t>Status</t>
  </si>
  <si>
    <t>Blinding quantity, substation slab</t>
  </si>
  <si>
    <t>Rainfall total</t>
  </si>
  <si>
    <t>Drainage run D3 length</t>
  </si>
  <si>
    <t>GB3 concrete volume</t>
  </si>
  <si>
    <t>Part-lost day counts as (days lost)</t>
  </si>
  <si>
    <t>Notice period after an event (days)</t>
  </si>
  <si>
    <t>Check your contract: FIDIC 2017 Sub-Clause 20.2.1 uses 28 days.</t>
  </si>
  <si>
    <t>Survey completed next morning (revision 1)</t>
  </si>
  <si>
    <t>Checked by</t>
  </si>
  <si>
    <t>Rainfall (mm)</t>
  </si>
  <si>
    <t>HEALTH AND SAFETY</t>
  </si>
  <si>
    <t>Reported to</t>
  </si>
  <si>
    <t>Action taken</t>
  </si>
  <si>
    <t>Not yet reported (on the list)</t>
  </si>
  <si>
    <t>Deliveries short or damaged</t>
  </si>
  <si>
    <t>Safety incidents and near misses</t>
  </si>
  <si>
    <t>Drainage run D2 length (estimated, to be measured)</t>
  </si>
  <si>
    <t>Notice calendar</t>
  </si>
  <si>
    <t>Every event that could become a claim, with the date its notice is due.</t>
  </si>
  <si>
    <t>The contract clock starts on the day of the event, not on the day somebody remembers it.</t>
  </si>
  <si>
    <t>Event date</t>
  </si>
  <si>
    <t>Notice due by</t>
  </si>
  <si>
    <t>Notice sent on</t>
  </si>
  <si>
    <t>Days left</t>
  </si>
  <si>
    <t>Who sends it</t>
  </si>
  <si>
    <t>Piling rig: rock at P17 and P18 (penetration rate changed)</t>
  </si>
  <si>
    <t>Resident engineer: "noted, discuss Thursday"; no Notice served</t>
  </si>
  <si>
    <t>Project manager</t>
  </si>
  <si>
    <t>Every event that could become a claim, with its notice deadline.</t>
  </si>
  <si>
    <t>Claims</t>
  </si>
  <si>
    <t>Companies</t>
  </si>
  <si>
    <t>People and roles</t>
  </si>
  <si>
    <t>Project controls</t>
  </si>
  <si>
    <t>Resident engineer</t>
  </si>
  <si>
    <t>HSE officer</t>
  </si>
  <si>
    <t>Foreman</t>
  </si>
  <si>
    <t>Locations</t>
  </si>
  <si>
    <t>North piling area</t>
  </si>
  <si>
    <t>South piling area</t>
  </si>
  <si>
    <t>Raft bay 1</t>
  </si>
  <si>
    <t>Raft bay 2</t>
  </si>
  <si>
    <t>West side</t>
  </si>
  <si>
    <t>Site-wide</t>
  </si>
  <si>
    <t>Units</t>
  </si>
  <si>
    <t>m³</t>
  </si>
  <si>
    <t>kg</t>
  </si>
  <si>
    <t>h</t>
  </si>
  <si>
    <t>LS</t>
  </si>
  <si>
    <t>Overcast</t>
  </si>
  <si>
    <t>Snow</t>
  </si>
  <si>
    <t>Fog</t>
  </si>
  <si>
    <t>High wind</t>
  </si>
  <si>
    <t>Why plant is idle</t>
  </si>
  <si>
    <t>Standby</t>
  </si>
  <si>
    <t>No operator</t>
  </si>
  <si>
    <t>Breakdown</t>
  </si>
  <si>
    <t>No work front</t>
  </si>
  <si>
    <t>Awaiting materials</t>
  </si>
  <si>
    <t>Maintenance</t>
  </si>
  <si>
    <t>Suppliers</t>
  </si>
  <si>
    <t>Ready-mix concrete</t>
  </si>
  <si>
    <t>Membrane supplier</t>
  </si>
  <si>
    <t>Pipe supplier</t>
  </si>
  <si>
    <t>Materials</t>
  </si>
  <si>
    <t>Concrete</t>
  </si>
  <si>
    <t>Membrane</t>
  </si>
  <si>
    <t>Drainage pipe</t>
  </si>
  <si>
    <t>Formwork</t>
  </si>
  <si>
    <t>Report fields</t>
  </si>
  <si>
    <t>Labour · headcount</t>
  </si>
  <si>
    <t>Labour · hours</t>
  </si>
  <si>
    <t>Plant · on site / working</t>
  </si>
  <si>
    <t>Work done · quantity</t>
  </si>
  <si>
    <t>Work done · source</t>
  </si>
  <si>
    <t>Weather · conditions</t>
  </si>
  <si>
    <t>Deliveries · quantity</t>
  </si>
  <si>
    <t>Events · description</t>
  </si>
  <si>
    <t>Health and safety · entry</t>
  </si>
  <si>
    <t>Add to these lists here; the drop-downs in the report pick them up. Leave no gaps inside a list.</t>
  </si>
  <si>
    <t>P6 activities</t>
  </si>
  <si>
    <t>The activity IDs the report books work against, from the Primavera P6 programme.</t>
  </si>
  <si>
    <t>Activity ID</t>
  </si>
  <si>
    <t>Activity name</t>
  </si>
  <si>
    <t>WBS</t>
  </si>
  <si>
    <t>Notes</t>
  </si>
  <si>
    <t>A1000</t>
  </si>
  <si>
    <t>SITE.FND.PIL</t>
  </si>
  <si>
    <t>A1010</t>
  </si>
  <si>
    <t>Bored piles, south</t>
  </si>
  <si>
    <t>A1100</t>
  </si>
  <si>
    <t>Raft reinforcement, bay 1</t>
  </si>
  <si>
    <t>SITE.FND.RAF</t>
  </si>
  <si>
    <t>A1110</t>
  </si>
  <si>
    <t>Raft reinforcement, bay 2</t>
  </si>
  <si>
    <t>A1200</t>
  </si>
  <si>
    <t>SITE.SUB.SLB</t>
  </si>
  <si>
    <t>A1300</t>
  </si>
  <si>
    <t>SITE.EXT.DRN</t>
  </si>
  <si>
    <t>A1310</t>
  </si>
  <si>
    <t>Drainage run D3</t>
  </si>
  <si>
    <t>A1400</t>
  </si>
  <si>
    <t>Ground beams GB1 to GB3</t>
  </si>
  <si>
    <t>SITE.FND.GB</t>
  </si>
  <si>
    <t>Temp. (°C)</t>
  </si>
  <si>
    <t>P6 Activity ID</t>
  </si>
  <si>
    <t>P17, P18. Penetration rate changed: see events</t>
  </si>
  <si>
    <t>A1200 blinding: survey completed next morning</t>
  </si>
  <si>
    <t>Groundworks: two left at 10:00 when the rain set in</t>
  </si>
  <si>
    <t>GB3 concrete volume: delivery tickets reconciled</t>
  </si>
  <si>
    <t>Substation slab</t>
  </si>
  <si>
    <t>Work done log</t>
  </si>
  <si>
    <t>One line per P6 activity per day: the quantities the Dashboard adds up by week.</t>
  </si>
  <si>
    <t>Week control</t>
  </si>
  <si>
    <t>First Monday in the log</t>
  </si>
  <si>
    <t>Weeks in the log</t>
  </si>
  <si>
    <t>Week start (Monday)</t>
  </si>
  <si>
    <t>Week end (Sunday)</t>
  </si>
  <si>
    <t>Reports this week</t>
  </si>
  <si>
    <t>WEEK</t>
  </si>
  <si>
    <t>Day</t>
  </si>
  <si>
    <t>RAISED, NOT REPORTED</t>
  </si>
  <si>
    <t>THE WEEK IN FOUR CHARTS</t>
  </si>
  <si>
    <t>WHAT THIS WEEK’S REPORTS RECORD · the evidence a claim will ask for later</t>
  </si>
  <si>
    <t>WORK DONE THIS WEEK · quantities by P6 activity, from the Work done log</t>
  </si>
  <si>
    <t>P6 ID</t>
  </si>
  <si>
    <t>Week total</t>
  </si>
  <si>
    <t>machine-hours</t>
  </si>
  <si>
    <t>Resource log</t>
  </si>
  <si>
    <t>One line per resource per P6 activity per day: man-hours and machine-hours, ready to load into P6 as actual units.</t>
  </si>
  <si>
    <t>Resource</t>
  </si>
  <si>
    <t>Number</t>
  </si>
  <si>
    <t>Total hours</t>
  </si>
  <si>
    <t>Labour</t>
  </si>
  <si>
    <t>INDIRECT</t>
  </si>
  <si>
    <t>Indirect work: supervision, welfare, cleaning</t>
  </si>
  <si>
    <t>SITE.IND</t>
  </si>
  <si>
    <t/>
  </si>
  <si>
    <t>Not loaded to P6 activities; kept for the hours total</t>
  </si>
  <si>
    <t>Contract hours</t>
  </si>
  <si>
    <t>Contract (budgeted) quantity and man-hours for each P6 activity, and how the job is doing against them.</t>
  </si>
  <si>
    <t>Blue cells are inputs: take them from the priced bill or the P6 baseline. Everything else fills itself from the Work done log and the Resource log.</t>
  </si>
  <si>
    <t>Contract quantity</t>
  </si>
  <si>
    <t>Contract man-hours</t>
  </si>
  <si>
    <t>Norm (man-hours per unit)</t>
  </si>
  <si>
    <t>Quantity to date</t>
  </si>
  <si>
    <t>Actual man-hours to date</t>
  </si>
  <si>
    <t>Earned man-hours to date</t>
  </si>
  <si>
    <t>% complete</t>
  </si>
  <si>
    <t>Productivity to date</t>
  </si>
  <si>
    <t>Productivity = earned man-hours ÷ actual man-hours. Above 1.00 the gang is beating the contract norm; below 1.00 it is spending more hours than the job was priced for.</t>
  </si>
  <si>
    <t>Quantity this week</t>
  </si>
  <si>
    <t>Norm (mh / unit)</t>
  </si>
  <si>
    <t>Earned man-hours</t>
  </si>
  <si>
    <t>Actual man-hours</t>
  </si>
  <si>
    <t>Productivity this week</t>
  </si>
  <si>
    <t>Week</t>
  </si>
  <si>
    <t>Event log</t>
  </si>
  <si>
    <t>Events, instructions, delays, visitors: one line each. The Daily report and the Notice calendar read from here.</t>
  </si>
  <si>
    <t>Type the facts here, once. Blue cells are inputs; the Daily report builds itself from this log when you pick a date.</t>
  </si>
  <si>
    <t>Delivery log</t>
  </si>
  <si>
    <t>Every delivery that arrives on site, one line each.</t>
  </si>
  <si>
    <t>Safety log</t>
  </si>
  <si>
    <t>Incidents, near misses, toolbox talks and inspections, one line each.</t>
  </si>
  <si>
    <t>On site (plant)</t>
  </si>
  <si>
    <t>Type the facts here, once. One line per crew or machine per P6 activity per day. For plant: Number = working, On site = total on site.</t>
  </si>
  <si>
    <t>All trades (no breakdown kept)</t>
  </si>
  <si>
    <t>All plant (no breakdown kept)</t>
  </si>
  <si>
    <t>Type one line per day here: the header facts only. People, plant, events and not-yet-reported counts fill themselves from the other logs.</t>
  </si>
  <si>
    <t>Pick the date in B5. Everything on this page is pulled from the logs: type the facts once, in the Day log, Resource log, Work done log, Delivery log, Event log and Safety log.</t>
  </si>
  <si>
    <t>Type the facts here, once: one line per P6 activity per day. The Daily report and the Dashboard read from here.</t>
  </si>
  <si>
    <t>Incidents, near misses, toolbox talks and inspections.</t>
  </si>
  <si>
    <t>One line for the day: report no., time issued, weather, rainfall, working day, prepared by.</t>
  </si>
  <si>
    <t>Every crew and every machine, each against its P6 activity ID: number, hours, idle reason.</t>
  </si>
  <si>
    <t>5 minutes</t>
  </si>
  <si>
    <t>The quantity done on each P6 activity, and where it came from: counted, estimated or not yet reported.</t>
  </si>
  <si>
    <t>Events, instructions and delays; deliveries in the Delivery log, safety in the Safety log. A claim? Notice calendar.</t>
  </si>
  <si>
    <t>3 minutes</t>
  </si>
  <si>
    <t>Pick the date in B5: the report builds itself. Blanks go to Not yet reported, corrections to the Revision log.</t>
  </si>
  <si>
    <t>EVERY DAY, IN FIVE STEPS · type each fact once, in a log; the report and the Dashboard read from there</t>
  </si>
  <si>
    <t>A view, not a form: pick a date and it fills itself from the logs. Ready to send.</t>
  </si>
  <si>
    <t>One line a day: the header facts. People, plant, events and claims fill themselves.</t>
  </si>
  <si>
    <t>One line per P6 activity per day: quantities, with their source.</t>
  </si>
  <si>
    <t>Contract quantity and man-hours per P6 activity: the baseline for productivity.</t>
  </si>
  <si>
    <t>The Primavera P6 activity list: paste your P6 export here. Every drop-down reads from it.</t>
  </si>
  <si>
    <t>Yours to fill in: only in the log sheets, Setup, Contract hours and P6 activities.</t>
  </si>
  <si>
    <t>A formula. Leave it alone and it keeps working. The Daily report and Dashboard are all formulas.</t>
  </si>
  <si>
    <t>Example: ten working days of the example project, 2 to 13 March 2026. Tuesday 3 March is logged in full (crews, plant, quantities, events): the day the piling rig hit rock at P17 and P18 and the email to the resident engineer went unanswered except for "noted, discuss Thursday" (Contract Topic 1). Other days keep totals only. P6 IDs, headcounts, quantities, contract hours and weather are illustrative.</t>
  </si>
  <si>
    <t>The week, picked in C4: six numbers, productivity, four charts, quantities, key events.</t>
  </si>
  <si>
    <t>EVERY DAY · type the facts</t>
  </si>
  <si>
    <t>Every crew and machine against its P6 activity: man-hours and machine-hours.</t>
  </si>
  <si>
    <t>Events, instructions, delays and visitors, with the P6 activity affected.</t>
  </si>
  <si>
    <t>Every delivery, with delivery note, short or damaged, and its P6 activity.</t>
  </si>
  <si>
    <t>FOLLOW UP · close the gaps</t>
  </si>
  <si>
    <t>READ AND SEND · built for you</t>
  </si>
  <si>
    <t>ONCE PER PROJECT · set up</t>
  </si>
  <si>
    <t>12 P6 activities</t>
  </si>
  <si>
    <t>13 Contract hours</t>
  </si>
  <si>
    <t>14 Setup</t>
  </si>
  <si>
    <t>The deadline, the notice period and every drop-down list.</t>
  </si>
  <si>
    <t>01 Daily report</t>
  </si>
  <si>
    <t>02 Dashboard</t>
  </si>
  <si>
    <t>03 Day log</t>
  </si>
  <si>
    <t>04 Resource log</t>
  </si>
  <si>
    <t>05 Work done log</t>
  </si>
  <si>
    <t>06 Event log</t>
  </si>
  <si>
    <t>07 Delivery log</t>
  </si>
  <si>
    <t>08 Safety log</t>
  </si>
  <si>
    <t>09 Not yet reported</t>
  </si>
  <si>
    <t>10 Revision log</t>
  </si>
  <si>
    <t>11 Notice calendar</t>
  </si>
  <si>
    <t>03 Day log  →</t>
  </si>
  <si>
    <t>04 Resource log  →</t>
  </si>
  <si>
    <t>05 Work done log  →</t>
  </si>
  <si>
    <t>06 Event log  →</t>
  </si>
  <si>
    <t>01 Daily report  →</t>
  </si>
  <si>
    <t>Activity (from P6)</t>
  </si>
  <si>
    <t>WBS (from P6)</t>
  </si>
  <si>
    <t>Behind-the-scenes calculations for the Dashboard: week control and the numbers the four charts plot.</t>
  </si>
  <si>
    <t>Locked: nothing to type here. Pick the week on the Dashboard (C4); this page follows it.</t>
  </si>
  <si>
    <t>15 Chart data</t>
  </si>
  <si>
    <t>Locked calculations behind the Dashboard charts. Nothing to type here.</t>
  </si>
  <si>
    <t>Budgeted quantity (P6)</t>
  </si>
  <si>
    <t>Budgeted man-hours (P6)</t>
  </si>
  <si>
    <t>Quantity % complete</t>
  </si>
  <si>
    <t>Remaining quantity</t>
  </si>
  <si>
    <t>Man-hours % spent</t>
  </si>
  <si>
    <t>Productivity (earned ÷ actual)</t>
  </si>
  <si>
    <t>Last reported</t>
  </si>
  <si>
    <t>Paste a fresh P6 export (Activity ID, Activity Name, WBS, budgeted quantity, budgeted man-hours) here when the programme is re-baselined. Grey columns calculate themselves from every daily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</si>
</sst>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hh:mm"/>
    <numFmt numFmtId="166" formatCode="dddd\ d\ mmmm\ yyyy"/>
    <numFmt numFmtId="167" formatCode="0.0"/>
    <numFmt numFmtId="168" formatCode="d\ mmm\ yyyy"/>
    <numFmt numFmtId="171" formatCode="#,##0.0"/>
    <numFmt numFmtId="172" formatCode="ddd\ d\ mmm"/>
    <numFmt numFmtId="173" formatCode="ddd\ d"/>
    <numFmt numFmtId="174" formatCode="#,##0.0;\-#,##0.0;&quot;&quot;"/>
    <numFmt numFmtId="175" formatCode="0;\-0;;@"/>
    <numFmt numFmtId="176" formatCode="0.0%"/>
    <numFmt numFmtId="177" formatCode="0.00&quot;x&quot;"/>
    <numFmt numFmtId="178" formatCode="0.00;\-0.00;&quot;&quot;"/>
    <numFmt numFmtId="179" formatCode="#,##0;\-#,##0;&quot;&quot;"/>
    <numFmt numFmtId="180" formatCode="0.00&quot;x&quot;;\-0.00&quot;x&quot;;&quot;&quot;"/>
    <numFmt numFmtId="181" formatCode="0.0%;\-0.0%;&quot;&quot;"/>
  </numFmts>
  <fonts count="83" x14ac:knownFonts="1">
    <font>
      <sz val="11"/>
      <color theme="1"/>
      <name val="Calibri"/>
      <family val="2"/>
      <scheme val="minor"/>
    </font>
    <font>
      <b/>
      <sz val="18"/>
      <color rgb="FF0F172A"/>
      <name val="Arial"/>
      <family val="2"/>
      <charset val="162"/>
    </font>
    <font>
      <sz val="10"/>
      <color rgb="FF64748B"/>
      <name val="Arial"/>
      <family val="2"/>
      <charset val="162"/>
    </font>
    <font>
      <i/>
      <sz val="9.5"/>
      <color rgb="FF1D4ED8"/>
      <name val="Arial"/>
      <family val="2"/>
      <charset val="162"/>
    </font>
    <font>
      <b/>
      <sz val="10"/>
      <color rgb="FF0F172A"/>
      <name val="Arial"/>
      <family val="2"/>
      <charset val="162"/>
    </font>
    <font>
      <sz val="10"/>
      <color rgb="FF1D4ED8"/>
      <name val="Arial"/>
      <family val="2"/>
      <charset val="162"/>
    </font>
    <font>
      <sz val="9"/>
      <color rgb="FF64748B"/>
      <name val="Arial"/>
      <family val="2"/>
      <charset val="162"/>
    </font>
    <font>
      <b/>
      <sz val="9.5"/>
      <color rgb="FF1D4ED8"/>
      <name val="Arial"/>
      <family val="2"/>
      <charset val="162"/>
    </font>
    <font>
      <b/>
      <sz val="9"/>
      <color rgb="FF059669"/>
      <name val="Arial"/>
      <family val="2"/>
      <charset val="162"/>
    </font>
    <font>
      <sz val="10"/>
      <color rgb="FF0F172A"/>
      <name val="Arial"/>
      <family val="2"/>
      <charset val="162"/>
    </font>
    <font>
      <b/>
      <sz val="10"/>
      <color rgb="FF1D4ED8"/>
      <name val="Arial"/>
      <family val="2"/>
      <charset val="162"/>
    </font>
    <font>
      <b/>
      <sz val="9.5"/>
      <color rgb="FFFFFFFF"/>
      <name val="Arial"/>
      <family val="2"/>
      <charset val="162"/>
    </font>
    <font>
      <b/>
      <sz val="20"/>
      <color rgb="FFFFFFFF"/>
      <name val="Arial"/>
      <family val="2"/>
      <charset val="162"/>
    </font>
    <font>
      <sz val="10.5"/>
      <color rgb="FF94A3B8"/>
      <name val="Arial"/>
      <family val="2"/>
      <charset val="162"/>
    </font>
    <font>
      <b/>
      <sz val="8.5"/>
      <color rgb="FF334155"/>
      <name val="Arial"/>
      <family val="2"/>
      <charset val="162"/>
    </font>
    <font>
      <b/>
      <sz val="26"/>
      <color rgb="FF0F172A"/>
      <name val="Arial"/>
      <family val="2"/>
      <charset val="162"/>
    </font>
    <font>
      <sz val="8.5"/>
      <color rgb="FF475569"/>
      <name val="Arial"/>
      <family val="2"/>
      <charset val="162"/>
    </font>
    <font>
      <b/>
      <sz val="8.5"/>
      <color rgb="FF1D4ED8"/>
      <name val="Arial"/>
      <family val="2"/>
      <charset val="162"/>
    </font>
    <font>
      <b/>
      <sz val="8.5"/>
      <color rgb="FFB45309"/>
      <name val="Arial"/>
      <family val="2"/>
      <charset val="162"/>
    </font>
    <font>
      <b/>
      <sz val="8.5"/>
      <color rgb="FF047857"/>
      <name val="Arial"/>
      <family val="2"/>
      <charset val="162"/>
    </font>
    <font>
      <b/>
      <sz val="8.5"/>
      <color rgb="FFBE123C"/>
      <name val="Arial"/>
      <family val="2"/>
      <charset val="162"/>
    </font>
    <font>
      <b/>
      <sz val="8.5"/>
      <color rgb="FF6D28D9"/>
      <name val="Arial"/>
      <family val="2"/>
      <charset val="162"/>
    </font>
    <font>
      <sz val="10.5"/>
      <color rgb="FF0F172A"/>
      <name val="Arial"/>
      <family val="2"/>
      <charset val="162"/>
    </font>
    <font>
      <i/>
      <sz val="9"/>
      <color rgb="FF64748B"/>
      <name val="Arial"/>
      <family val="2"/>
      <charset val="162"/>
    </font>
    <font>
      <b/>
      <sz val="24"/>
      <color rgb="FFFFFFFF"/>
      <name val="Arial"/>
      <family val="2"/>
      <charset val="162"/>
    </font>
    <font>
      <sz val="11"/>
      <color rgb="FFCBD5E1"/>
      <name val="Arial"/>
      <family val="2"/>
      <charset val="162"/>
    </font>
    <font>
      <b/>
      <sz val="9.5"/>
      <color rgb="FF6EE7B7"/>
      <name val="Arial"/>
      <family val="2"/>
      <charset val="162"/>
    </font>
    <font>
      <b/>
      <sz val="16"/>
      <color rgb="FFFFFFFF"/>
      <name val="Arial"/>
      <family val="2"/>
      <charset val="162"/>
    </font>
    <font>
      <b/>
      <sz val="10"/>
      <color rgb="FF047857"/>
      <name val="Arial"/>
      <family val="2"/>
      <charset val="162"/>
    </font>
    <font>
      <b/>
      <sz val="10"/>
      <color rgb="FFB45309"/>
      <name val="Arial"/>
      <family val="2"/>
      <charset val="162"/>
    </font>
    <font>
      <b/>
      <sz val="10"/>
      <color rgb="FFBE123C"/>
      <name val="Arial"/>
      <family val="2"/>
      <charset val="162"/>
    </font>
    <font>
      <u/>
      <sz val="10"/>
      <color rgb="FF1D4ED8"/>
      <name val="Arial"/>
      <family val="2"/>
      <charset val="162"/>
    </font>
    <font>
      <u/>
      <sz val="11"/>
      <color theme="10"/>
      <name val="Calibri"/>
      <family val="2"/>
      <scheme val="minor"/>
    </font>
    <font>
      <sz val="10"/>
      <color rgb="FF000000"/>
      <name val="Arial"/>
      <family val="2"/>
      <charset val="162"/>
    </font>
    <font>
      <b/>
      <sz val="14"/>
      <color rgb="FF0000FF"/>
      <name val="Calibri"/>
      <family val="2"/>
      <scheme val="minor"/>
    </font>
    <font>
      <b/>
      <sz val="10.5"/>
      <color rgb="FF93C5FD"/>
      <name val="Arial"/>
      <family val="2"/>
      <charset val="162"/>
    </font>
    <font>
      <b/>
      <sz val="12"/>
      <color rgb="FFFFFFFF"/>
      <name val="Calibri"/>
      <family val="2"/>
      <scheme val="minor"/>
    </font>
    <font>
      <i/>
      <sz val="10"/>
      <color rgb="FF64748B"/>
      <name val="Arial"/>
      <family val="2"/>
      <charset val="162"/>
    </font>
    <font>
      <sz val="10"/>
      <color rgb="FF0000FF"/>
      <name val="Arial"/>
      <family val="2"/>
      <charset val="162"/>
    </font>
    <font>
      <i/>
      <sz val="11"/>
      <color rgb="FF64748B"/>
      <name val="Calibri"/>
      <family val="2"/>
      <scheme val="minor"/>
    </font>
    <font>
      <b/>
      <sz val="10"/>
      <color rgb="FFC00000"/>
      <name val="Arial"/>
      <family val="2"/>
      <charset val="162"/>
    </font>
    <font>
      <sz val="9"/>
      <color indexed="81"/>
      <name val="Tahoma"/>
      <family val="2"/>
      <charset val="162"/>
    </font>
    <font>
      <sz val="9"/>
      <color rgb="FFFFFFFF"/>
      <name val="Arial"/>
      <family val="2"/>
      <charset val="162"/>
    </font>
    <font>
      <sz val="8"/>
      <name val="Calibri"/>
      <family val="2"/>
      <scheme val="minor"/>
    </font>
    <font>
      <sz val="8"/>
      <color theme="1"/>
      <name val="Calibri"/>
      <family val="2"/>
      <scheme val="minor"/>
    </font>
    <font>
      <b/>
      <u/>
      <sz val="11"/>
      <color rgb="FF1D4ED8"/>
      <name val="Calibri"/>
      <family val="2"/>
      <scheme val="minor"/>
    </font>
    <font>
      <b/>
      <sz val="10"/>
      <color rgb="FF15803D"/>
      <name val="Calibri"/>
      <family val="2"/>
      <scheme val="minor"/>
    </font>
    <font>
      <sz val="11"/>
      <color rgb="FF1F2937"/>
      <name val="Calibri"/>
      <family val="2"/>
      <scheme val="minor"/>
    </font>
    <font>
      <b/>
      <sz val="10"/>
      <color rgb="FFC2410C"/>
      <name val="Calibri"/>
      <family val="2"/>
      <scheme val="minor"/>
    </font>
    <font>
      <b/>
      <sz val="10"/>
      <color rgb="FFC9A227"/>
      <name val="Calibri"/>
      <family val="2"/>
      <scheme val="minor"/>
    </font>
    <font>
      <b/>
      <sz val="10"/>
      <color rgb="FF64748B"/>
      <name val="Calibri"/>
      <family val="2"/>
      <scheme val="minor"/>
    </font>
    <font>
      <b/>
      <sz val="16"/>
      <color rgb="FF14213D"/>
      <name val="Arial"/>
      <family val="2"/>
      <charset val="162"/>
    </font>
    <font>
      <b/>
      <u/>
      <sz val="12"/>
      <color rgb="FF1D4ED8"/>
      <name val="Calibri"/>
      <family val="2"/>
      <scheme val="minor"/>
    </font>
    <font>
      <i/>
      <sz val="10"/>
      <color rgb="FF475569"/>
      <name val="Arial"/>
      <family val="2"/>
      <charset val="162"/>
    </font>
    <font>
      <b/>
      <sz val="10"/>
      <color rgb="FF6EE7B7"/>
      <name val="Calibri"/>
      <family val="2"/>
      <scheme val="minor"/>
    </font>
    <font>
      <b/>
      <sz val="10"/>
      <color rgb="FF6EE7B7"/>
      <name val="Arial"/>
      <family val="2"/>
      <charset val="162"/>
    </font>
    <font>
      <sz val="11"/>
      <color theme="1"/>
      <name val="Arial"/>
    </font>
    <font>
      <b/>
      <sz val="10"/>
      <color rgb="FF0F172A"/>
      <name val="Arial"/>
    </font>
    <font>
      <sz val="10"/>
      <color rgb="FF0F172A"/>
      <name val="Arial"/>
    </font>
    <font>
      <b/>
      <sz val="20"/>
      <color rgb="FFFFFFFF"/>
      <name val="Arial"/>
    </font>
    <font>
      <sz val="10.5"/>
      <color rgb="FF94A3B8"/>
      <name val="Arial"/>
    </font>
    <font>
      <sz val="9.5"/>
      <color rgb="FF93C5FD"/>
      <name val="Arial"/>
    </font>
    <font>
      <b/>
      <i/>
      <sz val="9.5"/>
      <color rgb="FFFCD34D"/>
      <name val="Arial"/>
    </font>
    <font>
      <b/>
      <sz val="10"/>
      <color rgb="FF6EE7B7"/>
      <name val="Calibri"/>
    </font>
    <font>
      <b/>
      <sz val="11"/>
      <color rgb="FF0F172A"/>
      <name val="Arial"/>
    </font>
    <font>
      <sz val="11"/>
      <color rgb="FF0F172A"/>
      <name val="Arial"/>
    </font>
    <font>
      <b/>
      <sz val="8.5"/>
      <color rgb="FF334155"/>
      <name val="Arial"/>
    </font>
    <font>
      <b/>
      <sz val="12"/>
      <color rgb="FF0000FF"/>
      <name val="Arial"/>
    </font>
    <font>
      <b/>
      <i/>
      <sz val="12"/>
      <color rgb="FF0000FF"/>
      <name val="Arial"/>
    </font>
    <font>
      <sz val="8.5"/>
      <color rgb="FF475569"/>
      <name val="Arial"/>
    </font>
    <font>
      <b/>
      <sz val="9.5"/>
      <color rgb="FF1D4ED8"/>
      <name val="Arial"/>
    </font>
    <font>
      <b/>
      <sz val="9.5"/>
      <color rgb="FFFFFFFF"/>
      <name val="Arial"/>
    </font>
    <font>
      <b/>
      <sz val="8.5"/>
      <color rgb="FFC00000"/>
      <name val="Arial"/>
    </font>
    <font>
      <b/>
      <sz val="9"/>
      <color rgb="FFC2410C"/>
      <name val="Arial"/>
    </font>
    <font>
      <sz val="10"/>
      <color rgb="FF334155"/>
      <name val="Arial"/>
    </font>
    <font>
      <b/>
      <sz val="12"/>
      <color rgb="FF0F172A"/>
      <name val="Arial"/>
    </font>
    <font>
      <b/>
      <sz val="20"/>
      <color rgb="FF0F172A"/>
      <name val="Arial"/>
    </font>
    <font>
      <b/>
      <sz val="11"/>
      <color rgb="FF059669"/>
      <name val="Arial"/>
    </font>
    <font>
      <sz val="11"/>
      <color rgb="FF475569"/>
      <name val="Arial"/>
    </font>
    <font>
      <b/>
      <sz val="8.5"/>
      <color rgb="FF1D4ED8"/>
      <name val="Arial"/>
    </font>
    <font>
      <sz val="8.5"/>
      <color rgb="FF64748B"/>
      <name val="Arial"/>
    </font>
    <font>
      <b/>
      <sz val="11"/>
      <color rgb="FF1D4ED8"/>
      <name val="Arial"/>
    </font>
    <font>
      <b/>
      <sz val="11"/>
      <color rgb="FFFFFFFF"/>
      <name val="Arial"/>
    </font>
  </fonts>
  <fills count="20">
    <fill>
      <patternFill patternType="none"/>
    </fill>
    <fill>
      <patternFill patternType="gray125"/>
    </fill>
    <fill>
      <patternFill patternType="solid">
        <fgColor rgb="FFFFF7D6"/>
      </patternFill>
    </fill>
    <fill>
      <patternFill patternType="solid">
        <fgColor rgb="FF0F172A"/>
      </patternFill>
    </fill>
    <fill>
      <patternFill patternType="solid">
        <fgColor rgb="FFEFF6FF"/>
      </patternFill>
    </fill>
    <fill>
      <patternFill patternType="solid">
        <fgColor rgb="FFF1F5F9"/>
      </patternFill>
    </fill>
    <fill>
      <patternFill patternType="solid">
        <fgColor rgb="FFFEF3C7"/>
      </patternFill>
    </fill>
    <fill>
      <patternFill patternType="solid">
        <fgColor rgb="FFD1FAE5"/>
      </patternFill>
    </fill>
    <fill>
      <patternFill patternType="solid">
        <fgColor rgb="FFFFE4E6"/>
      </patternFill>
    </fill>
    <fill>
      <patternFill patternType="solid">
        <fgColor rgb="FFF5F3FF"/>
      </patternFill>
    </fill>
    <fill>
      <patternFill patternType="solid">
        <fgColor rgb="FFFFFFFF"/>
      </patternFill>
    </fill>
    <fill>
      <patternFill patternType="solid">
        <fgColor rgb="FFFFF8D6"/>
        <bgColor indexed="64"/>
      </patternFill>
    </fill>
    <fill>
      <patternFill patternType="solid">
        <fgColor rgb="FF0F172A"/>
        <bgColor indexed="64"/>
      </patternFill>
    </fill>
    <fill>
      <patternFill patternType="solid">
        <fgColor rgb="FF15803D"/>
        <bgColor indexed="64"/>
      </patternFill>
    </fill>
    <fill>
      <patternFill patternType="solid">
        <fgColor rgb="FFC2410C"/>
        <bgColor indexed="64"/>
      </patternFill>
    </fill>
    <fill>
      <patternFill patternType="solid">
        <fgColor rgb="FFC9A227"/>
        <bgColor indexed="64"/>
      </patternFill>
    </fill>
    <fill>
      <patternFill patternType="solid">
        <fgColor rgb="FF64748B"/>
        <bgColor indexed="64"/>
      </patternFill>
    </fill>
    <fill>
      <patternFill patternType="solid">
        <fgColor rgb="FFEEF2F7"/>
        <bgColor indexed="64"/>
      </patternFill>
    </fill>
    <fill>
      <patternFill patternType="solid">
        <fgColor rgb="FFF1F5F9"/>
        <bgColor indexed="64"/>
      </patternFill>
    </fill>
    <fill>
      <patternFill patternType="solid">
        <fgColor rgb="FFEFF6FF"/>
        <bgColor indexed="64"/>
      </patternFill>
    </fill>
  </fills>
  <borders count="35">
    <border>
      <left/>
      <right/>
      <top/>
      <bottom/>
      <diagonal/>
    </border>
    <border>
      <left/>
      <right/>
      <top/>
      <bottom style="medium">
        <color rgb="FF0F172A"/>
      </bottom>
      <diagonal/>
    </border>
    <border>
      <left style="thin">
        <color rgb="FFE2E8F0"/>
      </left>
      <right style="thin">
        <color rgb="FFE2E8F0"/>
      </right>
      <top style="thin">
        <color rgb="FFE2E8F0"/>
      </top>
      <bottom style="thin">
        <color rgb="FFE2E8F0"/>
      </bottom>
      <diagonal/>
    </border>
    <border>
      <left/>
      <right/>
      <top/>
      <bottom style="medium">
        <color rgb="FF3B82F6"/>
      </bottom>
      <diagonal/>
    </border>
    <border>
      <left/>
      <right/>
      <top style="thick">
        <color rgb="FF334155"/>
      </top>
      <bottom/>
      <diagonal/>
    </border>
    <border>
      <left/>
      <right/>
      <top style="thick">
        <color rgb="FF1D4ED8"/>
      </top>
      <bottom/>
      <diagonal/>
    </border>
    <border>
      <left/>
      <right/>
      <top style="thick">
        <color rgb="FFB45309"/>
      </top>
      <bottom/>
      <diagonal/>
    </border>
    <border>
      <left/>
      <right/>
      <top style="thick">
        <color rgb="FF047857"/>
      </top>
      <bottom/>
      <diagonal/>
    </border>
    <border>
      <left/>
      <right/>
      <top style="thick">
        <color rgb="FFBE123C"/>
      </top>
      <bottom/>
      <diagonal/>
    </border>
    <border>
      <left/>
      <right/>
      <top style="thick">
        <color rgb="FF6D28D9"/>
      </top>
      <bottom/>
      <diagonal/>
    </border>
    <border>
      <left/>
      <right/>
      <top/>
      <bottom style="thin">
        <color rgb="FFE2E8F0"/>
      </bottom>
      <diagonal/>
    </border>
    <border>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style="thin">
        <color rgb="FFE2E8F0"/>
      </right>
      <top/>
      <bottom style="thin">
        <color rgb="FFE2E8F0"/>
      </bottom>
      <diagonal/>
    </border>
    <border>
      <left style="thin">
        <color rgb="FFE2E8F0"/>
      </left>
      <right style="thin">
        <color rgb="FFE2E8F0"/>
      </right>
      <top/>
      <bottom style="thin">
        <color rgb="FFE2E8F0"/>
      </bottom>
      <diagonal/>
    </border>
    <border>
      <left style="thin">
        <color rgb="FFE2E8F0"/>
      </left>
      <right/>
      <top/>
      <bottom style="thin">
        <color rgb="FFE2E8F0"/>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top style="thin">
        <color rgb="FFE2E8F0"/>
      </top>
      <bottom/>
      <diagonal/>
    </border>
    <border>
      <left/>
      <right/>
      <top style="thin">
        <color rgb="FFE2E8F0"/>
      </top>
      <bottom/>
      <diagonal/>
    </border>
    <border>
      <left/>
      <right/>
      <top style="thin">
        <color rgb="FFE2E8F0"/>
      </top>
      <bottom style="thin">
        <color rgb="FFE2E8F0"/>
      </bottom>
      <diagonal/>
    </border>
    <border>
      <left/>
      <right/>
      <top style="thin">
        <color rgb="FF1D4ED8"/>
      </top>
      <bottom style="thin">
        <color rgb="FF1D4ED8"/>
      </bottom>
      <diagonal/>
    </border>
    <border>
      <left style="thin">
        <color rgb="FF1D4ED8"/>
      </left>
      <right/>
      <top style="thin">
        <color rgb="FF1D4ED8"/>
      </top>
      <bottom style="thin">
        <color rgb="FF1D4ED8"/>
      </bottom>
      <diagonal/>
    </border>
    <border>
      <left style="thin">
        <color rgb="FF1D4ED8"/>
      </left>
      <right style="thin">
        <color rgb="FF1D4ED8"/>
      </right>
      <top style="thin">
        <color rgb="FF1D4ED8"/>
      </top>
      <bottom style="thin">
        <color rgb="FF1D4ED8"/>
      </bottom>
      <diagonal/>
    </border>
    <border>
      <left/>
      <right/>
      <top/>
      <bottom style="thin">
        <color rgb="FFC9A227"/>
      </bottom>
      <diagonal/>
    </border>
    <border>
      <left/>
      <right/>
      <top/>
      <bottom style="thin">
        <color rgb="FF15803D"/>
      </bottom>
      <diagonal/>
    </border>
    <border>
      <left/>
      <right/>
      <top/>
      <bottom style="thin">
        <color rgb="FFC2410C"/>
      </bottom>
      <diagonal/>
    </border>
    <border>
      <left/>
      <right/>
      <top/>
      <bottom style="thin">
        <color rgb="FF64748B"/>
      </bottom>
      <diagonal/>
    </border>
    <border>
      <left/>
      <right/>
      <top/>
      <bottom style="thick">
        <color rgb="FF334155"/>
      </bottom>
      <diagonal/>
    </border>
    <border>
      <left/>
      <right/>
      <top style="thin">
        <color rgb="FFE2E8F0"/>
      </top>
      <bottom style="thick">
        <color rgb="FF334155"/>
      </bottom>
      <diagonal/>
    </border>
    <border>
      <left/>
      <right style="thin">
        <color rgb="FF1D4ED8"/>
      </right>
      <top style="thin">
        <color rgb="FF1D4ED8"/>
      </top>
      <bottom style="thin">
        <color rgb="FF1D4ED8"/>
      </bottom>
      <diagonal/>
    </border>
    <border>
      <left/>
      <right/>
      <top style="thin">
        <color rgb="FFE2E8F0"/>
      </top>
      <bottom style="medium">
        <color rgb="FF334155"/>
      </bottom>
      <diagonal/>
    </border>
    <border>
      <left/>
      <right/>
      <top/>
      <bottom style="thin">
        <color rgb="FFDBEAFE"/>
      </bottom>
      <diagonal/>
    </border>
    <border>
      <left/>
      <right/>
      <top style="thin">
        <color rgb="FFDBEAFE"/>
      </top>
      <bottom style="thin">
        <color rgb="FFDBEAFE"/>
      </bottom>
      <diagonal/>
    </border>
    <border>
      <left/>
      <right/>
      <top style="thin">
        <color rgb="FFDBEAFE"/>
      </top>
      <bottom/>
      <diagonal/>
    </border>
  </borders>
  <cellStyleXfs count="2">
    <xf numFmtId="0" fontId="0" fillId="0" borderId="0"/>
    <xf numFmtId="0" fontId="32" fillId="0" borderId="0" applyNumberFormat="0" applyFill="0" applyBorder="0" applyAlignment="0" applyProtection="0"/>
  </cellStyleXfs>
  <cellXfs count="274">
    <xf numFmtId="0" fontId="0" fillId="0" borderId="0" xfId="0"/>
    <xf numFmtId="0" fontId="0" fillId="0" borderId="0" xfId="0" applyAlignment="1">
      <alignment wrapText="1"/>
    </xf>
    <xf numFmtId="0" fontId="0" fillId="0" borderId="0" xfId="0" applyAlignment="1">
      <alignment horizontal="left" wrapText="1"/>
    </xf>
    <xf numFmtId="0" fontId="44" fillId="0" borderId="0" xfId="0" applyFont="1" applyAlignment="1">
      <alignment horizontal="center"/>
    </xf>
    <xf numFmtId="0" fontId="0" fillId="0" borderId="0" xfId="0" applyAlignment="1">
      <alignment horizontal="center"/>
    </xf>
    <xf numFmtId="0" fontId="0" fillId="3" borderId="0" xfId="0" applyFill="1" applyProtection="1">
      <protection locked="0"/>
    </xf>
    <xf numFmtId="0" fontId="0" fillId="0" borderId="0" xfId="0" applyProtection="1">
      <protection locked="0"/>
    </xf>
    <xf numFmtId="0" fontId="24" fillId="3" borderId="0" xfId="0" applyFont="1" applyFill="1" applyProtection="1">
      <protection locked="0"/>
    </xf>
    <xf numFmtId="0" fontId="25" fillId="3" borderId="0" xfId="0" applyFont="1" applyFill="1" applyProtection="1">
      <protection locked="0"/>
    </xf>
    <xf numFmtId="0" fontId="26" fillId="3" borderId="0" xfId="0" applyFont="1" applyFill="1" applyProtection="1">
      <protection locked="0"/>
    </xf>
    <xf numFmtId="0" fontId="10" fillId="0" borderId="0" xfId="0" applyFont="1" applyAlignment="1" applyProtection="1">
      <alignment vertical="top"/>
      <protection locked="0"/>
    </xf>
    <xf numFmtId="0" fontId="27" fillId="13" borderId="10" xfId="0" applyFont="1" applyFill="1" applyBorder="1" applyAlignment="1" applyProtection="1">
      <alignment horizontal="center" vertical="center"/>
      <protection locked="0"/>
    </xf>
    <xf numFmtId="0" fontId="52" fillId="0" borderId="10" xfId="1" applyFont="1" applyBorder="1" applyAlignment="1" applyProtection="1">
      <alignment vertical="center"/>
      <protection locked="0"/>
    </xf>
    <xf numFmtId="0" fontId="9" fillId="0" borderId="10" xfId="0" applyFont="1" applyBorder="1" applyAlignment="1" applyProtection="1">
      <alignment vertical="center" wrapText="1"/>
      <protection locked="0"/>
    </xf>
    <xf numFmtId="0" fontId="6" fillId="0" borderId="10" xfId="0" applyFont="1" applyBorder="1" applyAlignment="1" applyProtection="1">
      <alignment vertical="center"/>
      <protection locked="0"/>
    </xf>
    <xf numFmtId="0" fontId="51" fillId="15" borderId="10" xfId="0" applyFont="1" applyFill="1" applyBorder="1" applyAlignment="1" applyProtection="1">
      <alignment horizontal="center" vertical="center"/>
      <protection locked="0"/>
    </xf>
    <xf numFmtId="0" fontId="28" fillId="7" borderId="2" xfId="0" applyFont="1" applyFill="1" applyBorder="1" applyProtection="1">
      <protection locked="0"/>
    </xf>
    <xf numFmtId="0" fontId="9" fillId="0" borderId="0" xfId="0" applyFont="1" applyAlignment="1" applyProtection="1">
      <alignment vertical="top"/>
      <protection locked="0"/>
    </xf>
    <xf numFmtId="0" fontId="29" fillId="6" borderId="2" xfId="0" applyFont="1" applyFill="1" applyBorder="1" applyProtection="1">
      <protection locked="0"/>
    </xf>
    <xf numFmtId="0" fontId="30" fillId="8" borderId="2" xfId="0" applyFont="1" applyFill="1" applyBorder="1" applyProtection="1">
      <protection locked="0"/>
    </xf>
    <xf numFmtId="0" fontId="4" fillId="0" borderId="0" xfId="0" applyFont="1" applyAlignment="1" applyProtection="1">
      <alignment vertical="top"/>
      <protection locked="0"/>
    </xf>
    <xf numFmtId="0" fontId="10" fillId="2" borderId="2" xfId="0" applyFont="1" applyFill="1" applyBorder="1" applyProtection="1">
      <protection locked="0"/>
    </xf>
    <xf numFmtId="0" fontId="4" fillId="10" borderId="2" xfId="0" applyFont="1" applyFill="1" applyBorder="1" applyProtection="1">
      <protection locked="0"/>
    </xf>
    <xf numFmtId="0" fontId="49" fillId="0" borderId="24" xfId="0" applyFont="1" applyBorder="1" applyAlignment="1" applyProtection="1">
      <protection locked="0"/>
    </xf>
    <xf numFmtId="0" fontId="0" fillId="0" borderId="24" xfId="0" applyBorder="1" applyProtection="1">
      <protection locked="0"/>
    </xf>
    <xf numFmtId="0" fontId="0" fillId="15" borderId="0" xfId="0" applyFill="1" applyProtection="1">
      <protection locked="0"/>
    </xf>
    <xf numFmtId="0" fontId="45" fillId="0" borderId="0" xfId="1" applyFont="1" applyProtection="1">
      <protection locked="0"/>
    </xf>
    <xf numFmtId="0" fontId="47" fillId="0" borderId="0" xfId="0" applyFont="1" applyProtection="1">
      <protection locked="0"/>
    </xf>
    <xf numFmtId="0" fontId="46" fillId="0" borderId="25" xfId="0" applyFont="1" applyBorder="1" applyAlignment="1" applyProtection="1">
      <protection locked="0"/>
    </xf>
    <xf numFmtId="0" fontId="0" fillId="0" borderId="25" xfId="0" applyBorder="1" applyProtection="1">
      <protection locked="0"/>
    </xf>
    <xf numFmtId="0" fontId="0" fillId="13" borderId="0" xfId="0" applyFill="1" applyProtection="1">
      <protection locked="0"/>
    </xf>
    <xf numFmtId="0" fontId="48" fillId="0" borderId="26" xfId="0" applyFont="1" applyBorder="1" applyAlignment="1" applyProtection="1">
      <protection locked="0"/>
    </xf>
    <xf numFmtId="0" fontId="0" fillId="0" borderId="26" xfId="0" applyBorder="1" applyProtection="1">
      <protection locked="0"/>
    </xf>
    <xf numFmtId="0" fontId="0" fillId="14" borderId="0" xfId="0" applyFill="1" applyProtection="1">
      <protection locked="0"/>
    </xf>
    <xf numFmtId="0" fontId="50" fillId="0" borderId="27" xfId="0" applyFont="1" applyBorder="1" applyAlignment="1" applyProtection="1">
      <protection locked="0"/>
    </xf>
    <xf numFmtId="0" fontId="0" fillId="0" borderId="27" xfId="0" applyBorder="1" applyProtection="1">
      <protection locked="0"/>
    </xf>
    <xf numFmtId="0" fontId="0" fillId="16" borderId="0" xfId="0" applyFill="1" applyProtection="1">
      <protection locked="0"/>
    </xf>
    <xf numFmtId="0" fontId="31" fillId="0" borderId="0" xfId="0" applyFont="1" applyProtection="1">
      <protection locked="0"/>
    </xf>
    <xf numFmtId="0" fontId="6" fillId="0" borderId="0" xfId="0" applyFont="1" applyAlignment="1" applyProtection="1">
      <alignment vertical="top" wrapText="1"/>
      <protection locked="0"/>
    </xf>
    <xf numFmtId="0" fontId="0" fillId="0" borderId="0" xfId="0" applyProtection="1">
      <protection locked="0"/>
    </xf>
    <xf numFmtId="0" fontId="6" fillId="0" borderId="0" xfId="0" applyFont="1" applyAlignment="1" applyProtection="1">
      <alignment vertical="top"/>
      <protection locked="0"/>
    </xf>
    <xf numFmtId="0" fontId="0" fillId="0" borderId="0" xfId="0" applyBorder="1" applyProtection="1">
      <protection locked="0"/>
    </xf>
    <xf numFmtId="0" fontId="44" fillId="0" borderId="0" xfId="0" applyFont="1" applyAlignment="1" applyProtection="1">
      <alignment horizontal="center"/>
      <protection locked="0"/>
    </xf>
    <xf numFmtId="0" fontId="0" fillId="0" borderId="0" xfId="0" applyAlignment="1" applyProtection="1">
      <alignment horizontal="center"/>
      <protection locked="0"/>
    </xf>
    <xf numFmtId="0" fontId="12" fillId="3" borderId="0" xfId="0" applyFont="1" applyFill="1" applyProtection="1">
      <protection locked="0"/>
    </xf>
    <xf numFmtId="0" fontId="49" fillId="3" borderId="0" xfId="0" applyFont="1" applyFill="1" applyAlignment="1" applyProtection="1">
      <alignment horizontal="right" vertical="center"/>
      <protection locked="0"/>
    </xf>
    <xf numFmtId="0" fontId="13" fillId="3" borderId="0" xfId="0" applyFont="1" applyFill="1" applyProtection="1">
      <protection locked="0"/>
    </xf>
    <xf numFmtId="0" fontId="35" fillId="3" borderId="0" xfId="0" applyFont="1" applyFill="1" applyAlignment="1" applyProtection="1">
      <alignment horizontal="right" vertical="center"/>
      <protection locked="0"/>
    </xf>
    <xf numFmtId="1" fontId="34" fillId="11" borderId="23" xfId="0" applyNumberFormat="1" applyFont="1" applyFill="1" applyBorder="1" applyAlignment="1" applyProtection="1">
      <alignment horizontal="center" vertical="center"/>
      <protection locked="0"/>
    </xf>
    <xf numFmtId="0" fontId="36" fillId="3" borderId="0" xfId="0" applyFont="1" applyFill="1" applyAlignment="1" applyProtection="1">
      <alignment vertical="center"/>
      <protection locked="0"/>
    </xf>
    <xf numFmtId="0" fontId="14" fillId="5" borderId="0" xfId="0" applyFont="1" applyFill="1" applyAlignment="1" applyProtection="1">
      <alignment horizontal="center"/>
      <protection locked="0"/>
    </xf>
    <xf numFmtId="0" fontId="17" fillId="4" borderId="0" xfId="0" applyFont="1" applyFill="1" applyAlignment="1" applyProtection="1">
      <alignment horizontal="center"/>
      <protection locked="0"/>
    </xf>
    <xf numFmtId="0" fontId="18" fillId="6" borderId="0" xfId="0" applyFont="1" applyFill="1" applyAlignment="1" applyProtection="1">
      <alignment horizontal="center"/>
      <protection locked="0"/>
    </xf>
    <xf numFmtId="0" fontId="19" fillId="7" borderId="0" xfId="0" applyFont="1" applyFill="1" applyAlignment="1" applyProtection="1">
      <alignment horizontal="center"/>
      <protection locked="0"/>
    </xf>
    <xf numFmtId="0" fontId="20" fillId="8" borderId="0" xfId="0" applyFont="1" applyFill="1" applyAlignment="1" applyProtection="1">
      <alignment horizontal="center"/>
      <protection locked="0"/>
    </xf>
    <xf numFmtId="0" fontId="21" fillId="9" borderId="0" xfId="0" applyFont="1" applyFill="1" applyAlignment="1" applyProtection="1">
      <alignment horizontal="center"/>
      <protection locked="0"/>
    </xf>
    <xf numFmtId="9" fontId="15" fillId="5" borderId="0" xfId="0" applyNumberFormat="1" applyFont="1" applyFill="1" applyAlignment="1" applyProtection="1">
      <alignment horizontal="center" vertical="center"/>
      <protection locked="0"/>
    </xf>
    <xf numFmtId="9" fontId="15" fillId="4" borderId="0" xfId="0" applyNumberFormat="1" applyFont="1" applyFill="1" applyAlignment="1" applyProtection="1">
      <alignment horizontal="center" vertical="center"/>
      <protection locked="0"/>
    </xf>
    <xf numFmtId="167" fontId="15" fillId="6" borderId="0" xfId="0" applyNumberFormat="1" applyFont="1" applyFill="1" applyAlignment="1" applyProtection="1">
      <alignment horizontal="center" vertical="center"/>
      <protection locked="0"/>
    </xf>
    <xf numFmtId="1" fontId="15" fillId="7" borderId="0" xfId="0" applyNumberFormat="1" applyFont="1" applyFill="1" applyAlignment="1" applyProtection="1">
      <alignment horizontal="center" vertical="center"/>
      <protection locked="0"/>
    </xf>
    <xf numFmtId="1" fontId="15" fillId="8" borderId="0" xfId="0" applyNumberFormat="1" applyFont="1" applyFill="1" applyAlignment="1" applyProtection="1">
      <alignment horizontal="center" vertical="center"/>
      <protection locked="0"/>
    </xf>
    <xf numFmtId="1" fontId="15" fillId="9" borderId="0" xfId="0" applyNumberFormat="1" applyFont="1" applyFill="1" applyAlignment="1" applyProtection="1">
      <alignment horizontal="center" vertical="center"/>
      <protection locked="0"/>
    </xf>
    <xf numFmtId="0" fontId="16" fillId="5" borderId="0" xfId="0" applyFont="1" applyFill="1" applyAlignment="1" applyProtection="1">
      <alignment horizontal="center" vertical="top" wrapText="1"/>
      <protection locked="0"/>
    </xf>
    <xf numFmtId="0" fontId="16" fillId="4" borderId="0" xfId="0" applyFont="1" applyFill="1" applyAlignment="1" applyProtection="1">
      <alignment horizontal="center" vertical="top" wrapText="1"/>
      <protection locked="0"/>
    </xf>
    <xf numFmtId="0" fontId="16" fillId="6" borderId="0" xfId="0" applyFont="1" applyFill="1" applyAlignment="1" applyProtection="1">
      <alignment horizontal="center" vertical="top" wrapText="1"/>
      <protection locked="0"/>
    </xf>
    <xf numFmtId="0" fontId="16" fillId="7" borderId="0" xfId="0" applyFont="1" applyFill="1" applyAlignment="1" applyProtection="1">
      <alignment horizontal="center" vertical="top" wrapText="1"/>
      <protection locked="0"/>
    </xf>
    <xf numFmtId="0" fontId="16" fillId="8" borderId="0" xfId="0" applyFont="1" applyFill="1" applyAlignment="1" applyProtection="1">
      <alignment horizontal="center" vertical="top" wrapText="1"/>
      <protection locked="0"/>
    </xf>
    <xf numFmtId="0" fontId="16" fillId="9" borderId="0" xfId="0" applyFont="1" applyFill="1" applyAlignment="1" applyProtection="1">
      <alignment horizontal="center" vertical="top" wrapText="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22" fillId="4" borderId="0" xfId="0" applyFont="1" applyFill="1" applyAlignment="1" applyProtection="1">
      <alignment vertical="center" wrapText="1"/>
      <protection locked="0"/>
    </xf>
    <xf numFmtId="0" fontId="0" fillId="4" borderId="0" xfId="0" applyFill="1" applyProtection="1">
      <protection locked="0"/>
    </xf>
    <xf numFmtId="0" fontId="7" fillId="0" borderId="0" xfId="0" applyFont="1" applyAlignment="1" applyProtection="1">
      <alignment vertical="top"/>
      <protection locked="0"/>
    </xf>
    <xf numFmtId="0" fontId="11" fillId="3" borderId="0" xfId="0" applyFont="1" applyFill="1" applyAlignment="1" applyProtection="1">
      <alignment horizontal="center"/>
      <protection locked="0"/>
    </xf>
    <xf numFmtId="0" fontId="11" fillId="3" borderId="0" xfId="0" applyFont="1" applyFill="1" applyAlignment="1" applyProtection="1">
      <alignment horizontal="left"/>
      <protection locked="0"/>
    </xf>
    <xf numFmtId="0" fontId="11" fillId="3" borderId="0" xfId="0" applyFont="1" applyFill="1" applyAlignment="1" applyProtection="1">
      <alignment horizontal="center"/>
      <protection locked="0"/>
    </xf>
    <xf numFmtId="172" fontId="9" fillId="0" borderId="10" xfId="0" applyNumberFormat="1" applyFont="1" applyBorder="1" applyAlignment="1" applyProtection="1">
      <alignment horizontal="center" vertical="center"/>
      <protection locked="0"/>
    </xf>
    <xf numFmtId="0" fontId="9" fillId="0" borderId="10" xfId="0" applyFont="1" applyBorder="1" applyAlignment="1" applyProtection="1">
      <alignment horizontal="center" vertical="center"/>
      <protection locked="0"/>
    </xf>
    <xf numFmtId="1" fontId="9" fillId="0" borderId="10" xfId="0" applyNumberFormat="1" applyFont="1" applyBorder="1" applyAlignment="1" applyProtection="1">
      <alignment horizontal="center" vertical="center"/>
      <protection locked="0"/>
    </xf>
    <xf numFmtId="0" fontId="9" fillId="0" borderId="10" xfId="0" applyFont="1" applyBorder="1" applyAlignment="1" applyProtection="1">
      <alignment horizontal="left" vertical="center"/>
      <protection locked="0"/>
    </xf>
    <xf numFmtId="0" fontId="9" fillId="0" borderId="10" xfId="0" applyFont="1" applyBorder="1" applyAlignment="1" applyProtection="1">
      <alignment horizontal="center" vertical="center"/>
      <protection locked="0"/>
    </xf>
    <xf numFmtId="0" fontId="9" fillId="0" borderId="20" xfId="0" applyFont="1" applyBorder="1" applyAlignment="1" applyProtection="1">
      <alignment horizontal="left" vertical="center"/>
      <protection locked="0"/>
    </xf>
    <xf numFmtId="0" fontId="9" fillId="0" borderId="20" xfId="0" applyFont="1" applyBorder="1" applyAlignment="1" applyProtection="1">
      <alignment horizontal="center" vertical="center"/>
      <protection locked="0"/>
    </xf>
    <xf numFmtId="0" fontId="11" fillId="3" borderId="0" xfId="0" applyFont="1" applyFill="1" applyAlignment="1" applyProtection="1">
      <alignment horizontal="left"/>
      <protection locked="0"/>
    </xf>
    <xf numFmtId="173" fontId="11" fillId="3" borderId="0" xfId="0" applyNumberFormat="1" applyFont="1" applyFill="1" applyAlignment="1" applyProtection="1">
      <alignment horizontal="right"/>
      <protection locked="0"/>
    </xf>
    <xf numFmtId="0" fontId="11" fillId="3" borderId="0" xfId="0" applyFont="1" applyFill="1" applyAlignment="1" applyProtection="1">
      <alignment horizontal="right"/>
      <protection locked="0"/>
    </xf>
    <xf numFmtId="172" fontId="9" fillId="0" borderId="10" xfId="0" applyNumberFormat="1" applyFont="1" applyBorder="1" applyAlignment="1" applyProtection="1">
      <alignment horizontal="left" vertical="center"/>
      <protection locked="0"/>
    </xf>
    <xf numFmtId="172" fontId="9" fillId="0" borderId="10" xfId="0" applyNumberFormat="1" applyFont="1" applyBorder="1" applyAlignment="1" applyProtection="1">
      <alignment horizontal="left" vertical="center"/>
      <protection locked="0"/>
    </xf>
    <xf numFmtId="174" fontId="9" fillId="0" borderId="10" xfId="0" applyNumberFormat="1" applyFont="1" applyBorder="1" applyAlignment="1" applyProtection="1">
      <alignment horizontal="right" vertical="center"/>
      <protection locked="0"/>
    </xf>
    <xf numFmtId="174" fontId="4" fillId="0" borderId="10" xfId="0" applyNumberFormat="1" applyFont="1" applyBorder="1" applyAlignment="1" applyProtection="1">
      <alignment horizontal="right" vertical="center"/>
      <protection locked="0"/>
    </xf>
    <xf numFmtId="172" fontId="9" fillId="0" borderId="20" xfId="0" applyNumberFormat="1" applyFont="1" applyBorder="1" applyAlignment="1" applyProtection="1">
      <alignment horizontal="left" vertical="center"/>
      <protection locked="0"/>
    </xf>
    <xf numFmtId="172" fontId="37" fillId="0" borderId="0" xfId="0" applyNumberFormat="1" applyFont="1" applyFill="1" applyBorder="1" applyAlignment="1" applyProtection="1">
      <alignment horizontal="left" vertical="center"/>
      <protection locked="0"/>
    </xf>
    <xf numFmtId="0" fontId="0" fillId="0" borderId="0" xfId="0" applyAlignment="1" applyProtection="1">
      <alignment wrapText="1"/>
      <protection locked="0"/>
    </xf>
    <xf numFmtId="0" fontId="11" fillId="3" borderId="0" xfId="0" applyFont="1" applyFill="1" applyAlignment="1" applyProtection="1">
      <alignment horizontal="left" wrapText="1"/>
      <protection locked="0"/>
    </xf>
    <xf numFmtId="0" fontId="11" fillId="3" borderId="0" xfId="0" applyFont="1" applyFill="1" applyAlignment="1" applyProtection="1">
      <alignment horizontal="left" wrapText="1"/>
      <protection locked="0"/>
    </xf>
    <xf numFmtId="173" fontId="11" fillId="3" borderId="0" xfId="0" applyNumberFormat="1" applyFont="1" applyFill="1" applyAlignment="1" applyProtection="1">
      <alignment horizontal="right" wrapText="1"/>
      <protection locked="0"/>
    </xf>
    <xf numFmtId="0" fontId="11" fillId="3" borderId="0" xfId="0" applyFont="1" applyFill="1" applyAlignment="1" applyProtection="1">
      <alignment horizontal="right" wrapText="1"/>
      <protection locked="0"/>
    </xf>
    <xf numFmtId="178" fontId="9" fillId="0" borderId="10" xfId="0" applyNumberFormat="1" applyFont="1" applyBorder="1" applyAlignment="1" applyProtection="1">
      <alignment horizontal="right" vertical="center"/>
      <protection locked="0"/>
    </xf>
    <xf numFmtId="179" fontId="9" fillId="0" borderId="10" xfId="0" applyNumberFormat="1" applyFont="1" applyBorder="1" applyAlignment="1" applyProtection="1">
      <alignment horizontal="right" vertical="center"/>
      <protection locked="0"/>
    </xf>
    <xf numFmtId="180" fontId="4" fillId="0" borderId="10" xfId="0" applyNumberFormat="1" applyFont="1" applyBorder="1" applyAlignment="1" applyProtection="1">
      <alignment horizontal="right" vertical="center"/>
      <protection locked="0"/>
    </xf>
    <xf numFmtId="181" fontId="9" fillId="0" borderId="10" xfId="0" applyNumberFormat="1" applyFont="1" applyBorder="1" applyAlignment="1" applyProtection="1">
      <alignment horizontal="right" vertical="center"/>
      <protection locked="0"/>
    </xf>
    <xf numFmtId="180" fontId="9" fillId="0" borderId="10" xfId="0" applyNumberFormat="1" applyFont="1" applyBorder="1" applyAlignment="1" applyProtection="1">
      <alignment horizontal="right" vertical="center"/>
      <protection locked="0"/>
    </xf>
    <xf numFmtId="0" fontId="42" fillId="3" borderId="19" xfId="0" applyFont="1" applyFill="1" applyBorder="1" applyAlignment="1" applyProtection="1">
      <alignment horizontal="left"/>
      <protection locked="0"/>
    </xf>
    <xf numFmtId="0" fontId="11" fillId="3" borderId="19" xfId="0" applyFont="1" applyFill="1" applyBorder="1" applyAlignment="1" applyProtection="1">
      <alignment horizontal="left"/>
      <protection locked="0"/>
    </xf>
    <xf numFmtId="179" fontId="11" fillId="3" borderId="0" xfId="0" applyNumberFormat="1" applyFont="1" applyFill="1" applyAlignment="1" applyProtection="1">
      <alignment horizontal="right"/>
      <protection locked="0"/>
    </xf>
    <xf numFmtId="180" fontId="11" fillId="3" borderId="0" xfId="0" applyNumberFormat="1" applyFont="1" applyFill="1" applyAlignment="1" applyProtection="1">
      <alignment horizontal="right"/>
      <protection locked="0"/>
    </xf>
    <xf numFmtId="181" fontId="11" fillId="3" borderId="0" xfId="0" applyNumberFormat="1" applyFont="1" applyFill="1" applyAlignment="1" applyProtection="1">
      <alignment horizontal="right"/>
      <protection locked="0"/>
    </xf>
    <xf numFmtId="0" fontId="23" fillId="0" borderId="0" xfId="0" applyFont="1" applyAlignment="1" applyProtection="1">
      <alignment vertical="top"/>
      <protection locked="0"/>
    </xf>
    <xf numFmtId="0" fontId="1" fillId="0" borderId="0" xfId="0" applyFont="1" applyProtection="1">
      <protection locked="0"/>
    </xf>
    <xf numFmtId="0" fontId="8" fillId="0" borderId="0" xfId="0" applyFont="1" applyAlignment="1" applyProtection="1">
      <alignment horizontal="right"/>
      <protection locked="0"/>
    </xf>
    <xf numFmtId="0" fontId="2" fillId="0" borderId="0" xfId="0" applyFont="1" applyProtection="1">
      <protection locked="0"/>
    </xf>
    <xf numFmtId="0" fontId="3" fillId="0" borderId="0" xfId="0" applyFont="1" applyProtection="1">
      <protection locked="0"/>
    </xf>
    <xf numFmtId="0" fontId="0" fillId="0" borderId="3" xfId="0" applyBorder="1" applyProtection="1">
      <protection locked="0"/>
    </xf>
    <xf numFmtId="0" fontId="11" fillId="3" borderId="13" xfId="0" applyFont="1" applyFill="1" applyBorder="1" applyAlignment="1" applyProtection="1">
      <alignment horizontal="center" vertical="center" wrapText="1"/>
      <protection locked="0"/>
    </xf>
    <xf numFmtId="0" fontId="11" fillId="3" borderId="14" xfId="0" applyFont="1" applyFill="1" applyBorder="1" applyAlignment="1" applyProtection="1">
      <alignment horizontal="left" vertical="center" wrapText="1"/>
      <protection locked="0"/>
    </xf>
    <xf numFmtId="0" fontId="11" fillId="3" borderId="14" xfId="0" applyFont="1" applyFill="1" applyBorder="1" applyAlignment="1" applyProtection="1">
      <alignment horizontal="center" vertical="center" wrapText="1"/>
      <protection locked="0"/>
    </xf>
    <xf numFmtId="0" fontId="11" fillId="3" borderId="15" xfId="0" applyFont="1" applyFill="1" applyBorder="1" applyAlignment="1" applyProtection="1">
      <alignment horizontal="left" vertical="center" wrapText="1"/>
      <protection locked="0"/>
    </xf>
    <xf numFmtId="0" fontId="11" fillId="12" borderId="14" xfId="0" applyFont="1" applyFill="1" applyBorder="1" applyAlignment="1" applyProtection="1">
      <alignment horizontal="left" vertical="center" wrapText="1"/>
      <protection locked="0"/>
    </xf>
    <xf numFmtId="168" fontId="38" fillId="11" borderId="11" xfId="0" applyNumberFormat="1" applyFont="1" applyFill="1" applyBorder="1" applyAlignment="1" applyProtection="1">
      <alignment vertical="top"/>
      <protection locked="0"/>
    </xf>
    <xf numFmtId="1" fontId="38" fillId="11" borderId="2" xfId="0" applyNumberFormat="1" applyFont="1" applyFill="1" applyBorder="1" applyAlignment="1" applyProtection="1">
      <alignment vertical="top"/>
      <protection locked="0"/>
    </xf>
    <xf numFmtId="164" fontId="38" fillId="11" borderId="2" xfId="0" applyNumberFormat="1" applyFont="1" applyFill="1" applyBorder="1" applyAlignment="1" applyProtection="1">
      <alignment vertical="top"/>
      <protection locked="0"/>
    </xf>
    <xf numFmtId="0" fontId="33" fillId="0" borderId="2" xfId="0" applyFont="1" applyFill="1" applyBorder="1" applyAlignment="1" applyProtection="1">
      <alignment horizontal="center"/>
      <protection locked="0"/>
    </xf>
    <xf numFmtId="1" fontId="33" fillId="2" borderId="2" xfId="0" applyNumberFormat="1" applyFont="1" applyFill="1" applyBorder="1" applyAlignment="1" applyProtection="1">
      <alignment vertical="top"/>
      <protection locked="0"/>
    </xf>
    <xf numFmtId="0" fontId="33" fillId="0" borderId="2" xfId="0" applyFont="1" applyFill="1" applyBorder="1" applyAlignment="1" applyProtection="1">
      <alignment vertical="top"/>
      <protection locked="0"/>
    </xf>
    <xf numFmtId="0" fontId="38" fillId="11" borderId="2" xfId="0" applyFont="1" applyFill="1" applyBorder="1" applyAlignment="1" applyProtection="1">
      <alignment vertical="top"/>
      <protection locked="0"/>
    </xf>
    <xf numFmtId="1" fontId="33" fillId="0" borderId="2" xfId="0" applyNumberFormat="1" applyFont="1" applyFill="1" applyBorder="1" applyAlignment="1" applyProtection="1">
      <alignment vertical="top"/>
      <protection locked="0"/>
    </xf>
    <xf numFmtId="0" fontId="33" fillId="0" borderId="12" xfId="0" applyFont="1" applyFill="1" applyBorder="1" applyAlignment="1" applyProtection="1">
      <alignment vertical="top" wrapText="1"/>
      <protection locked="0"/>
    </xf>
    <xf numFmtId="1" fontId="38" fillId="11" borderId="14" xfId="0" applyNumberFormat="1" applyFont="1" applyFill="1" applyBorder="1" applyAlignment="1" applyProtection="1">
      <alignment vertical="top"/>
      <protection locked="0"/>
    </xf>
    <xf numFmtId="168" fontId="38" fillId="11" borderId="16" xfId="0" applyNumberFormat="1" applyFont="1" applyFill="1" applyBorder="1" applyAlignment="1" applyProtection="1">
      <alignment vertical="top"/>
      <protection locked="0"/>
    </xf>
    <xf numFmtId="1" fontId="38" fillId="11" borderId="17" xfId="0" applyNumberFormat="1" applyFont="1" applyFill="1" applyBorder="1" applyAlignment="1" applyProtection="1">
      <alignment vertical="top"/>
      <protection locked="0"/>
    </xf>
    <xf numFmtId="164" fontId="38" fillId="11" borderId="17" xfId="0" applyNumberFormat="1" applyFont="1" applyFill="1" applyBorder="1" applyAlignment="1" applyProtection="1">
      <alignment vertical="top"/>
      <protection locked="0"/>
    </xf>
    <xf numFmtId="0" fontId="33" fillId="0" borderId="17" xfId="0" applyFont="1" applyFill="1" applyBorder="1" applyAlignment="1" applyProtection="1">
      <alignment horizontal="center"/>
      <protection locked="0"/>
    </xf>
    <xf numFmtId="1" fontId="33" fillId="2" borderId="17" xfId="0" applyNumberFormat="1" applyFont="1" applyFill="1" applyBorder="1" applyAlignment="1" applyProtection="1">
      <alignment vertical="top"/>
      <protection locked="0"/>
    </xf>
    <xf numFmtId="0" fontId="33" fillId="0" borderId="17" xfId="0" applyFont="1" applyFill="1" applyBorder="1" applyAlignment="1" applyProtection="1">
      <alignment vertical="top"/>
      <protection locked="0"/>
    </xf>
    <xf numFmtId="0" fontId="38" fillId="11" borderId="17" xfId="0" applyFont="1" applyFill="1" applyBorder="1" applyAlignment="1" applyProtection="1">
      <alignment vertical="top"/>
      <protection locked="0"/>
    </xf>
    <xf numFmtId="1" fontId="33" fillId="0" borderId="17" xfId="0" applyNumberFormat="1" applyFont="1" applyFill="1" applyBorder="1" applyAlignment="1" applyProtection="1">
      <alignment vertical="top"/>
      <protection locked="0"/>
    </xf>
    <xf numFmtId="0" fontId="33" fillId="0" borderId="18" xfId="0" applyFont="1" applyFill="1" applyBorder="1" applyAlignment="1" applyProtection="1">
      <alignment vertical="top" wrapText="1"/>
      <protection locked="0"/>
    </xf>
    <xf numFmtId="0" fontId="11" fillId="3" borderId="2" xfId="0" applyFont="1" applyFill="1" applyBorder="1" applyAlignment="1" applyProtection="1">
      <alignment horizontal="left" vertical="center" wrapText="1"/>
      <protection locked="0"/>
    </xf>
    <xf numFmtId="168" fontId="5" fillId="2" borderId="2" xfId="0" applyNumberFormat="1" applyFont="1" applyFill="1" applyBorder="1" applyAlignment="1" applyProtection="1">
      <alignment vertical="top"/>
      <protection locked="0"/>
    </xf>
    <xf numFmtId="0" fontId="5" fillId="2" borderId="2" xfId="0" applyFont="1" applyFill="1" applyBorder="1" applyAlignment="1" applyProtection="1">
      <alignment vertical="top"/>
      <protection locked="0"/>
    </xf>
    <xf numFmtId="0" fontId="53" fillId="17" borderId="2" xfId="0" applyFont="1" applyFill="1" applyBorder="1" applyAlignment="1" applyProtection="1">
      <alignment vertical="top"/>
      <protection locked="0"/>
    </xf>
    <xf numFmtId="168" fontId="9" fillId="0" borderId="2" xfId="0" applyNumberFormat="1" applyFont="1" applyBorder="1" applyAlignment="1" applyProtection="1">
      <alignment vertical="top"/>
      <protection locked="0"/>
    </xf>
    <xf numFmtId="0" fontId="38" fillId="2" borderId="2" xfId="0" applyFont="1" applyFill="1" applyBorder="1" applyAlignment="1" applyProtection="1">
      <alignment vertical="top"/>
      <protection locked="0"/>
    </xf>
    <xf numFmtId="171" fontId="5" fillId="2" borderId="2" xfId="0" applyNumberFormat="1" applyFont="1" applyFill="1" applyBorder="1" applyAlignment="1" applyProtection="1">
      <alignment vertical="top"/>
      <protection locked="0"/>
    </xf>
    <xf numFmtId="1" fontId="9" fillId="0" borderId="2" xfId="0" applyNumberFormat="1" applyFont="1" applyBorder="1" applyAlignment="1" applyProtection="1">
      <alignment vertical="top"/>
      <protection locked="0"/>
    </xf>
    <xf numFmtId="167" fontId="5" fillId="2" borderId="2" xfId="0" applyNumberFormat="1" applyFont="1" applyFill="1" applyBorder="1" applyAlignment="1" applyProtection="1">
      <alignment vertical="top"/>
      <protection locked="0"/>
    </xf>
    <xf numFmtId="171" fontId="33" fillId="2" borderId="2" xfId="0" applyNumberFormat="1" applyFont="1" applyFill="1" applyBorder="1" applyAlignment="1" applyProtection="1">
      <alignment vertical="top"/>
      <protection locked="0"/>
    </xf>
    <xf numFmtId="168" fontId="53" fillId="17" borderId="2" xfId="0" applyNumberFormat="1" applyFont="1" applyFill="1" applyBorder="1" applyAlignment="1" applyProtection="1">
      <alignment vertical="top"/>
      <protection locked="0"/>
    </xf>
    <xf numFmtId="168" fontId="38" fillId="11" borderId="2" xfId="0" applyNumberFormat="1" applyFont="1" applyFill="1" applyBorder="1" applyAlignment="1" applyProtection="1">
      <alignment vertical="top"/>
      <protection locked="0"/>
    </xf>
    <xf numFmtId="0" fontId="40" fillId="0" borderId="2" xfId="0" applyFont="1" applyFill="1" applyBorder="1" applyAlignment="1" applyProtection="1">
      <alignment vertical="top"/>
      <protection locked="0"/>
    </xf>
    <xf numFmtId="171" fontId="38" fillId="11" borderId="2" xfId="0" applyNumberFormat="1" applyFont="1" applyFill="1" applyBorder="1" applyAlignment="1" applyProtection="1">
      <alignment vertical="top"/>
      <protection locked="0"/>
    </xf>
    <xf numFmtId="0" fontId="11" fillId="3" borderId="2" xfId="0" applyFont="1" applyFill="1" applyBorder="1" applyAlignment="1" applyProtection="1">
      <alignment horizontal="center" vertical="center" wrapText="1"/>
      <protection locked="0"/>
    </xf>
    <xf numFmtId="1" fontId="5" fillId="2" borderId="2" xfId="0" applyNumberFormat="1" applyFont="1" applyFill="1" applyBorder="1" applyAlignment="1" applyProtection="1">
      <alignment vertical="top"/>
      <protection locked="0"/>
    </xf>
    <xf numFmtId="0" fontId="9" fillId="0" borderId="2" xfId="0" applyFont="1" applyBorder="1" applyAlignment="1" applyProtection="1">
      <alignment vertical="top"/>
      <protection locked="0"/>
    </xf>
    <xf numFmtId="0" fontId="5" fillId="2" borderId="2" xfId="0" applyFont="1" applyFill="1" applyBorder="1" applyAlignment="1" applyProtection="1">
      <alignment vertical="top" wrapText="1"/>
      <protection locked="0"/>
    </xf>
    <xf numFmtId="0" fontId="11" fillId="3" borderId="0" xfId="0" applyFont="1" applyFill="1" applyBorder="1" applyAlignment="1" applyProtection="1">
      <alignment horizontal="left" vertical="center" wrapText="1"/>
      <protection locked="0"/>
    </xf>
    <xf numFmtId="0" fontId="53" fillId="17" borderId="0" xfId="0" applyFont="1" applyFill="1" applyBorder="1" applyAlignment="1" applyProtection="1">
      <alignment vertical="top"/>
      <protection locked="0"/>
    </xf>
    <xf numFmtId="49" fontId="5" fillId="2" borderId="2" xfId="0" applyNumberFormat="1" applyFont="1" applyFill="1" applyBorder="1" applyAlignment="1" applyProtection="1">
      <alignment vertical="top"/>
      <protection locked="0"/>
    </xf>
    <xf numFmtId="0" fontId="39" fillId="0" borderId="3" xfId="0" applyFont="1" applyBorder="1" applyProtection="1">
      <protection locked="0"/>
    </xf>
    <xf numFmtId="0" fontId="0" fillId="0" borderId="0" xfId="0" applyAlignment="1" applyProtection="1">
      <alignment horizontal="left" wrapText="1"/>
      <protection locked="0"/>
    </xf>
    <xf numFmtId="168" fontId="33" fillId="0" borderId="2" xfId="0" applyNumberFormat="1" applyFont="1" applyFill="1" applyBorder="1" applyAlignment="1" applyProtection="1">
      <alignment vertical="top"/>
      <protection locked="0"/>
    </xf>
    <xf numFmtId="3" fontId="38" fillId="11" borderId="2" xfId="0" applyNumberFormat="1" applyFont="1" applyFill="1" applyBorder="1" applyAlignment="1" applyProtection="1">
      <alignment vertical="top"/>
      <protection locked="0"/>
    </xf>
    <xf numFmtId="2" fontId="33" fillId="0" borderId="2" xfId="0" applyNumberFormat="1" applyFont="1" applyFill="1" applyBorder="1" applyAlignment="1" applyProtection="1">
      <alignment vertical="top"/>
      <protection locked="0"/>
    </xf>
    <xf numFmtId="171" fontId="33" fillId="0" borderId="2" xfId="0" applyNumberFormat="1" applyFont="1" applyFill="1" applyBorder="1" applyAlignment="1" applyProtection="1">
      <alignment vertical="top"/>
      <protection locked="0"/>
    </xf>
    <xf numFmtId="3" fontId="33" fillId="0" borderId="2" xfId="0" applyNumberFormat="1" applyFont="1" applyFill="1" applyBorder="1" applyAlignment="1" applyProtection="1">
      <alignment vertical="top"/>
      <protection locked="0"/>
    </xf>
    <xf numFmtId="176" fontId="33" fillId="0" borderId="2" xfId="0" applyNumberFormat="1" applyFont="1" applyFill="1" applyBorder="1" applyAlignment="1" applyProtection="1">
      <alignment vertical="top"/>
      <protection locked="0"/>
    </xf>
    <xf numFmtId="177" fontId="33" fillId="0" borderId="2" xfId="0" applyNumberFormat="1" applyFont="1" applyFill="1" applyBorder="1" applyAlignment="1" applyProtection="1">
      <alignment vertical="top"/>
      <protection locked="0"/>
    </xf>
    <xf numFmtId="0" fontId="0" fillId="0" borderId="1" xfId="0" applyBorder="1" applyProtection="1">
      <protection locked="0"/>
    </xf>
    <xf numFmtId="164" fontId="5" fillId="2" borderId="2" xfId="0" applyNumberFormat="1" applyFont="1" applyFill="1" applyBorder="1" applyAlignment="1" applyProtection="1">
      <alignment vertical="top"/>
      <protection locked="0"/>
    </xf>
    <xf numFmtId="0" fontId="49" fillId="12" borderId="0" xfId="0" applyFont="1" applyFill="1" applyAlignment="1" applyProtection="1">
      <alignment horizontal="right" vertical="center"/>
    </xf>
    <xf numFmtId="0" fontId="54" fillId="3" borderId="0" xfId="0" applyFont="1" applyFill="1" applyAlignment="1" applyProtection="1">
      <alignment horizontal="right" vertical="center"/>
    </xf>
    <xf numFmtId="0" fontId="54" fillId="12" borderId="0" xfId="0" applyFont="1" applyFill="1" applyAlignment="1" applyProtection="1">
      <alignment horizontal="right" vertical="center"/>
    </xf>
    <xf numFmtId="0" fontId="54" fillId="0" borderId="0" xfId="0" applyFont="1" applyAlignment="1" applyProtection="1">
      <alignment horizontal="right" vertical="center"/>
    </xf>
    <xf numFmtId="0" fontId="55" fillId="0" borderId="0" xfId="0" applyFont="1" applyAlignment="1" applyProtection="1">
      <alignment horizontal="right" vertical="center"/>
    </xf>
    <xf numFmtId="0" fontId="56" fillId="0" borderId="0" xfId="0" applyFont="1" applyFill="1" applyBorder="1" applyProtection="1">
      <protection locked="0"/>
    </xf>
    <xf numFmtId="0" fontId="56" fillId="12" borderId="0" xfId="0" applyFont="1" applyFill="1" applyBorder="1" applyProtection="1">
      <protection locked="0"/>
    </xf>
    <xf numFmtId="0" fontId="59" fillId="12" borderId="0" xfId="0" applyFont="1" applyFill="1" applyBorder="1" applyAlignment="1" applyProtection="1">
      <alignment vertical="center"/>
      <protection locked="0"/>
    </xf>
    <xf numFmtId="0" fontId="60" fillId="12" borderId="0" xfId="0" applyFont="1" applyFill="1" applyBorder="1" applyProtection="1">
      <protection locked="0"/>
    </xf>
    <xf numFmtId="0" fontId="61" fillId="12" borderId="0" xfId="0" applyFont="1" applyFill="1" applyBorder="1" applyProtection="1">
      <protection locked="0"/>
    </xf>
    <xf numFmtId="0" fontId="62" fillId="12" borderId="0" xfId="0" applyFont="1" applyFill="1" applyBorder="1" applyProtection="1">
      <protection locked="0"/>
    </xf>
    <xf numFmtId="0" fontId="63" fillId="12" borderId="0" xfId="0" applyFont="1" applyFill="1" applyBorder="1" applyAlignment="1" applyProtection="1">
      <alignment horizontal="right" vertical="center"/>
    </xf>
    <xf numFmtId="0" fontId="58" fillId="18" borderId="0" xfId="0" applyFont="1" applyFill="1" applyBorder="1" applyProtection="1">
      <protection locked="0"/>
    </xf>
    <xf numFmtId="0" fontId="66" fillId="18" borderId="0" xfId="0" applyFont="1" applyFill="1" applyBorder="1" applyAlignment="1" applyProtection="1">
      <alignment vertical="top"/>
      <protection locked="0"/>
    </xf>
    <xf numFmtId="0" fontId="57" fillId="18" borderId="10" xfId="0" applyFont="1" applyFill="1" applyBorder="1" applyProtection="1">
      <protection locked="0"/>
    </xf>
    <xf numFmtId="0" fontId="57" fillId="18" borderId="20" xfId="0" applyFont="1" applyFill="1" applyBorder="1" applyAlignment="1" applyProtection="1">
      <alignment horizontal="left"/>
      <protection locked="0"/>
    </xf>
    <xf numFmtId="0" fontId="57" fillId="18" borderId="20" xfId="0" applyFont="1" applyFill="1" applyBorder="1" applyProtection="1">
      <protection locked="0"/>
    </xf>
    <xf numFmtId="164" fontId="57" fillId="18" borderId="20" xfId="0" applyNumberFormat="1" applyFont="1" applyFill="1" applyBorder="1" applyAlignment="1" applyProtection="1">
      <alignment horizontal="left" vertical="top"/>
      <protection locked="0"/>
    </xf>
    <xf numFmtId="0" fontId="57" fillId="18" borderId="20" xfId="0" applyFont="1" applyFill="1" applyBorder="1" applyAlignment="1" applyProtection="1">
      <alignment horizontal="left" vertical="top"/>
      <protection locked="0"/>
    </xf>
    <xf numFmtId="1" fontId="57" fillId="18" borderId="10" xfId="0" applyNumberFormat="1" applyFont="1" applyFill="1" applyBorder="1" applyAlignment="1" applyProtection="1">
      <alignment vertical="top"/>
      <protection locked="0"/>
    </xf>
    <xf numFmtId="164" fontId="57" fillId="18" borderId="20" xfId="0" applyNumberFormat="1" applyFont="1" applyFill="1" applyBorder="1" applyAlignment="1" applyProtection="1">
      <alignment vertical="top"/>
      <protection locked="0"/>
    </xf>
    <xf numFmtId="0" fontId="57" fillId="18" borderId="20" xfId="0" applyFont="1" applyFill="1" applyBorder="1" applyAlignment="1" applyProtection="1">
      <alignment vertical="top"/>
      <protection locked="0"/>
    </xf>
    <xf numFmtId="0" fontId="57" fillId="18" borderId="20" xfId="0" applyFont="1" applyFill="1" applyBorder="1" applyAlignment="1" applyProtection="1">
      <alignment vertical="top"/>
      <protection locked="0"/>
    </xf>
    <xf numFmtId="0" fontId="57" fillId="18" borderId="20" xfId="0" applyFont="1" applyFill="1" applyBorder="1" applyProtection="1">
      <protection locked="0"/>
    </xf>
    <xf numFmtId="0" fontId="66" fillId="18" borderId="28" xfId="0" applyFont="1" applyFill="1" applyBorder="1" applyAlignment="1" applyProtection="1">
      <alignment vertical="top"/>
      <protection locked="0"/>
    </xf>
    <xf numFmtId="167" fontId="57" fillId="18" borderId="29" xfId="0" applyNumberFormat="1" applyFont="1" applyFill="1" applyBorder="1" applyAlignment="1" applyProtection="1">
      <alignment horizontal="left" vertical="top"/>
      <protection locked="0"/>
    </xf>
    <xf numFmtId="0" fontId="57" fillId="18" borderId="29" xfId="0" applyFont="1" applyFill="1" applyBorder="1" applyAlignment="1" applyProtection="1">
      <alignment horizontal="left"/>
      <protection locked="0"/>
    </xf>
    <xf numFmtId="0" fontId="57" fillId="18" borderId="29" xfId="0" applyFont="1" applyFill="1" applyBorder="1" applyProtection="1">
      <protection locked="0"/>
    </xf>
    <xf numFmtId="1" fontId="57" fillId="18" borderId="29" xfId="0" applyNumberFormat="1" applyFont="1" applyFill="1" applyBorder="1" applyAlignment="1" applyProtection="1">
      <alignment horizontal="right" vertical="top"/>
      <protection locked="0"/>
    </xf>
    <xf numFmtId="0" fontId="58" fillId="18" borderId="28" xfId="0" applyFont="1" applyFill="1" applyBorder="1" applyProtection="1">
      <protection locked="0"/>
    </xf>
    <xf numFmtId="1" fontId="57" fillId="18" borderId="10" xfId="0" applyNumberFormat="1" applyFont="1" applyFill="1" applyBorder="1" applyAlignment="1" applyProtection="1">
      <alignment horizontal="left" vertical="top"/>
      <protection locked="0"/>
    </xf>
    <xf numFmtId="0" fontId="57" fillId="18" borderId="10" xfId="0" applyFont="1" applyFill="1" applyBorder="1" applyAlignment="1" applyProtection="1">
      <alignment horizontal="left"/>
      <protection locked="0"/>
    </xf>
    <xf numFmtId="0" fontId="68" fillId="11" borderId="21" xfId="0" applyFont="1" applyFill="1" applyBorder="1" applyAlignment="1" applyProtection="1">
      <alignment horizontal="left"/>
      <protection locked="0"/>
    </xf>
    <xf numFmtId="166" fontId="67" fillId="11" borderId="22" xfId="0" applyNumberFormat="1" applyFont="1" applyFill="1" applyBorder="1" applyAlignment="1" applyProtection="1">
      <alignment horizontal="left" vertical="top"/>
      <protection locked="0"/>
    </xf>
    <xf numFmtId="0" fontId="67" fillId="11" borderId="30" xfId="0" applyFont="1" applyFill="1" applyBorder="1" applyProtection="1">
      <protection locked="0"/>
    </xf>
    <xf numFmtId="0" fontId="69" fillId="18" borderId="10" xfId="0" applyFont="1" applyFill="1" applyBorder="1" applyAlignment="1" applyProtection="1">
      <alignment vertical="top"/>
      <protection locked="0"/>
    </xf>
    <xf numFmtId="0" fontId="70" fillId="0" borderId="0" xfId="0" applyFont="1" applyFill="1" applyBorder="1" applyAlignment="1" applyProtection="1">
      <alignment vertical="top"/>
      <protection locked="0"/>
    </xf>
    <xf numFmtId="0" fontId="70" fillId="0" borderId="0" xfId="0" applyFont="1" applyFill="1" applyBorder="1" applyAlignment="1" applyProtection="1">
      <protection locked="0"/>
    </xf>
    <xf numFmtId="0" fontId="56" fillId="0" borderId="0" xfId="0" applyFont="1" applyFill="1" applyBorder="1" applyAlignment="1" applyProtection="1">
      <protection locked="0"/>
    </xf>
    <xf numFmtId="0" fontId="71" fillId="12" borderId="0" xfId="0" applyFont="1" applyFill="1" applyBorder="1" applyAlignment="1" applyProtection="1">
      <alignment horizontal="center" vertical="center" wrapText="1"/>
      <protection locked="0"/>
    </xf>
    <xf numFmtId="0" fontId="71" fillId="12" borderId="0" xfId="0" applyFont="1" applyFill="1" applyBorder="1" applyAlignment="1" applyProtection="1">
      <alignment horizontal="center" vertical="center" wrapText="1"/>
      <protection locked="0"/>
    </xf>
    <xf numFmtId="0" fontId="58" fillId="0" borderId="10" xfId="0" applyFont="1" applyFill="1" applyBorder="1" applyAlignment="1" applyProtection="1">
      <alignment horizontal="center" vertical="top"/>
      <protection locked="0"/>
    </xf>
    <xf numFmtId="1" fontId="58" fillId="0" borderId="10" xfId="0" applyNumberFormat="1" applyFont="1" applyFill="1" applyBorder="1" applyAlignment="1" applyProtection="1">
      <alignment horizontal="center" vertical="top"/>
      <protection locked="0"/>
    </xf>
    <xf numFmtId="167" fontId="58" fillId="0" borderId="10" xfId="0" applyNumberFormat="1" applyFont="1" applyFill="1" applyBorder="1" applyAlignment="1" applyProtection="1">
      <alignment horizontal="center" vertical="top"/>
      <protection locked="0"/>
    </xf>
    <xf numFmtId="0" fontId="58" fillId="0" borderId="10" xfId="0" applyFont="1" applyFill="1" applyBorder="1" applyAlignment="1" applyProtection="1">
      <alignment horizontal="center"/>
      <protection locked="0"/>
    </xf>
    <xf numFmtId="0" fontId="58" fillId="0" borderId="20" xfId="0" applyFont="1" applyFill="1" applyBorder="1" applyAlignment="1" applyProtection="1">
      <alignment horizontal="center" vertical="top"/>
      <protection locked="0"/>
    </xf>
    <xf numFmtId="1" fontId="58" fillId="0" borderId="20" xfId="0" applyNumberFormat="1" applyFont="1" applyFill="1" applyBorder="1" applyAlignment="1" applyProtection="1">
      <alignment horizontal="center" vertical="top"/>
      <protection locked="0"/>
    </xf>
    <xf numFmtId="167" fontId="58" fillId="0" borderId="20" xfId="0" applyNumberFormat="1" applyFont="1" applyFill="1" applyBorder="1" applyAlignment="1" applyProtection="1">
      <alignment horizontal="center" vertical="top"/>
      <protection locked="0"/>
    </xf>
    <xf numFmtId="0" fontId="58" fillId="0" borderId="20" xfId="0" applyFont="1" applyFill="1" applyBorder="1" applyAlignment="1" applyProtection="1">
      <alignment horizontal="center"/>
      <protection locked="0"/>
    </xf>
    <xf numFmtId="0" fontId="58" fillId="0" borderId="20" xfId="0" applyFont="1" applyFill="1" applyBorder="1" applyAlignment="1" applyProtection="1">
      <alignment horizontal="center" vertical="top"/>
      <protection locked="0"/>
    </xf>
    <xf numFmtId="0" fontId="58" fillId="0" borderId="19" xfId="0" applyFont="1" applyFill="1" applyBorder="1" applyAlignment="1" applyProtection="1">
      <alignment vertical="top"/>
      <protection locked="0"/>
    </xf>
    <xf numFmtId="1" fontId="58" fillId="0" borderId="19" xfId="0" applyNumberFormat="1" applyFont="1" applyFill="1" applyBorder="1" applyAlignment="1" applyProtection="1">
      <alignment vertical="top"/>
      <protection locked="0"/>
    </xf>
    <xf numFmtId="167" fontId="58" fillId="0" borderId="19" xfId="0" applyNumberFormat="1" applyFont="1" applyFill="1" applyBorder="1" applyAlignment="1" applyProtection="1">
      <alignment vertical="top"/>
      <protection locked="0"/>
    </xf>
    <xf numFmtId="1" fontId="58" fillId="0" borderId="19" xfId="0" applyNumberFormat="1" applyFont="1" applyFill="1" applyBorder="1" applyAlignment="1" applyProtection="1">
      <alignment horizontal="left" vertical="top"/>
      <protection locked="0"/>
    </xf>
    <xf numFmtId="0" fontId="58" fillId="0" borderId="19" xfId="0" applyFont="1" applyFill="1" applyBorder="1" applyProtection="1">
      <protection locked="0"/>
    </xf>
    <xf numFmtId="0" fontId="64" fillId="18" borderId="31" xfId="0" applyFont="1" applyFill="1" applyBorder="1" applyProtection="1">
      <protection locked="0"/>
    </xf>
    <xf numFmtId="0" fontId="57" fillId="18" borderId="31" xfId="0" applyFont="1" applyFill="1" applyBorder="1" applyAlignment="1" applyProtection="1">
      <alignment vertical="top"/>
      <protection locked="0"/>
    </xf>
    <xf numFmtId="1" fontId="57" fillId="18" borderId="31" xfId="0" applyNumberFormat="1" applyFont="1" applyFill="1" applyBorder="1" applyAlignment="1" applyProtection="1">
      <alignment vertical="top"/>
      <protection locked="0"/>
    </xf>
    <xf numFmtId="0" fontId="71" fillId="12" borderId="0" xfId="0" applyFont="1" applyFill="1" applyBorder="1" applyAlignment="1" applyProtection="1">
      <alignment horizontal="center"/>
      <protection locked="0"/>
    </xf>
    <xf numFmtId="0" fontId="58" fillId="0" borderId="10" xfId="0" applyFont="1" applyFill="1" applyBorder="1" applyAlignment="1" applyProtection="1">
      <alignment horizontal="center" vertical="top"/>
      <protection locked="0"/>
    </xf>
    <xf numFmtId="0" fontId="58" fillId="0" borderId="19" xfId="0" applyFont="1" applyFill="1" applyBorder="1" applyAlignment="1" applyProtection="1">
      <alignment horizontal="center" vertical="top"/>
      <protection locked="0"/>
    </xf>
    <xf numFmtId="0" fontId="58" fillId="0" borderId="19" xfId="0" applyFont="1" applyFill="1" applyBorder="1" applyAlignment="1" applyProtection="1">
      <alignment horizontal="center"/>
      <protection locked="0"/>
    </xf>
    <xf numFmtId="1" fontId="58" fillId="0" borderId="19" xfId="0" applyNumberFormat="1" applyFont="1" applyFill="1" applyBorder="1" applyAlignment="1" applyProtection="1">
      <alignment horizontal="center" vertical="top"/>
      <protection locked="0"/>
    </xf>
    <xf numFmtId="167" fontId="58" fillId="0" borderId="19" xfId="0" applyNumberFormat="1" applyFont="1" applyFill="1" applyBorder="1" applyAlignment="1" applyProtection="1">
      <alignment horizontal="center" vertical="top"/>
      <protection locked="0"/>
    </xf>
    <xf numFmtId="0" fontId="58" fillId="0" borderId="19" xfId="0" applyFont="1" applyFill="1" applyBorder="1" applyAlignment="1" applyProtection="1">
      <alignment horizontal="center" vertical="top"/>
      <protection locked="0"/>
    </xf>
    <xf numFmtId="0" fontId="58" fillId="0" borderId="10" xfId="0" applyFont="1" applyFill="1" applyBorder="1" applyAlignment="1" applyProtection="1">
      <alignment horizontal="center" vertical="top" wrapText="1"/>
      <protection locked="0"/>
    </xf>
    <xf numFmtId="0" fontId="58" fillId="0" borderId="20" xfId="0" applyFont="1" applyFill="1" applyBorder="1" applyAlignment="1" applyProtection="1">
      <alignment horizontal="center" vertical="top" wrapText="1"/>
      <protection locked="0"/>
    </xf>
    <xf numFmtId="164" fontId="58" fillId="0" borderId="10" xfId="0" applyNumberFormat="1" applyFont="1" applyFill="1" applyBorder="1" applyAlignment="1" applyProtection="1">
      <alignment horizontal="center" vertical="top"/>
      <protection locked="0"/>
    </xf>
    <xf numFmtId="164" fontId="58" fillId="0" borderId="20" xfId="0" applyNumberFormat="1" applyFont="1" applyFill="1" applyBorder="1" applyAlignment="1" applyProtection="1">
      <alignment horizontal="center" vertical="top"/>
      <protection locked="0"/>
    </xf>
    <xf numFmtId="0" fontId="72" fillId="0" borderId="0" xfId="0" applyFont="1" applyFill="1" applyBorder="1" applyAlignment="1" applyProtection="1">
      <alignment horizontal="right"/>
      <protection locked="0"/>
    </xf>
    <xf numFmtId="0" fontId="72" fillId="0" borderId="0" xfId="0" applyFont="1" applyFill="1" applyBorder="1" applyAlignment="1" applyProtection="1">
      <alignment horizontal="right" wrapText="1"/>
      <protection locked="0"/>
    </xf>
    <xf numFmtId="0" fontId="73" fillId="0" borderId="10" xfId="0" applyFont="1" applyFill="1" applyBorder="1" applyAlignment="1" applyProtection="1">
      <alignment horizontal="center" vertical="top" wrapText="1"/>
      <protection locked="0"/>
    </xf>
    <xf numFmtId="0" fontId="73" fillId="0" borderId="20" xfId="0" applyFont="1" applyFill="1" applyBorder="1" applyAlignment="1" applyProtection="1">
      <alignment horizontal="center" vertical="top" wrapText="1"/>
      <protection locked="0"/>
    </xf>
    <xf numFmtId="0" fontId="65" fillId="19" borderId="0" xfId="0" applyFont="1" applyFill="1" applyBorder="1" applyProtection="1">
      <protection locked="0"/>
    </xf>
    <xf numFmtId="0" fontId="65" fillId="19" borderId="32" xfId="0" applyFont="1" applyFill="1" applyBorder="1" applyProtection="1">
      <protection locked="0"/>
    </xf>
    <xf numFmtId="0" fontId="65" fillId="19" borderId="33" xfId="0" applyFont="1" applyFill="1" applyBorder="1" applyProtection="1">
      <protection locked="0"/>
    </xf>
    <xf numFmtId="0" fontId="65" fillId="19" borderId="34" xfId="0" applyFont="1" applyFill="1" applyBorder="1" applyProtection="1">
      <protection locked="0"/>
    </xf>
    <xf numFmtId="0" fontId="74" fillId="19" borderId="32" xfId="0" applyFont="1" applyFill="1" applyBorder="1" applyAlignment="1" applyProtection="1">
      <alignment vertical="top"/>
      <protection locked="0"/>
    </xf>
    <xf numFmtId="0" fontId="74" fillId="19" borderId="33" xfId="0" applyFont="1" applyFill="1" applyBorder="1" applyAlignment="1" applyProtection="1">
      <alignment vertical="top"/>
      <protection locked="0"/>
    </xf>
    <xf numFmtId="0" fontId="74" fillId="19" borderId="34" xfId="0" applyFont="1" applyFill="1" applyBorder="1" applyAlignment="1" applyProtection="1">
      <alignment vertical="top"/>
      <protection locked="0"/>
    </xf>
    <xf numFmtId="1" fontId="75" fillId="19" borderId="32" xfId="0" applyNumberFormat="1" applyFont="1" applyFill="1" applyBorder="1" applyAlignment="1" applyProtection="1">
      <alignment vertical="top"/>
      <protection locked="0"/>
    </xf>
    <xf numFmtId="1" fontId="75" fillId="19" borderId="33" xfId="0" applyNumberFormat="1" applyFont="1" applyFill="1" applyBorder="1" applyAlignment="1" applyProtection="1">
      <alignment vertical="top"/>
      <protection locked="0"/>
    </xf>
    <xf numFmtId="1" fontId="75" fillId="19" borderId="34" xfId="0" applyNumberFormat="1" applyFont="1" applyFill="1" applyBorder="1" applyAlignment="1" applyProtection="1">
      <alignment vertical="top"/>
      <protection locked="0"/>
    </xf>
    <xf numFmtId="0" fontId="32" fillId="0" borderId="0" xfId="1" applyProtection="1">
      <protection locked="0"/>
    </xf>
    <xf numFmtId="0" fontId="76" fillId="0" borderId="0" xfId="0" applyFont="1" applyProtection="1"/>
    <xf numFmtId="0" fontId="56" fillId="0" borderId="0" xfId="0" applyFont="1" applyProtection="1"/>
    <xf numFmtId="0" fontId="77" fillId="0" borderId="0" xfId="0" applyFont="1" applyAlignment="1" applyProtection="1">
      <alignment horizontal="right"/>
    </xf>
    <xf numFmtId="0" fontId="78" fillId="0" borderId="0" xfId="0" applyFont="1" applyProtection="1"/>
    <xf numFmtId="0" fontId="79" fillId="0" borderId="0" xfId="0" applyFont="1" applyProtection="1"/>
    <xf numFmtId="0" fontId="80" fillId="0" borderId="0" xfId="0" applyFont="1" applyProtection="1"/>
    <xf numFmtId="0" fontId="81" fillId="0" borderId="0" xfId="0" applyFont="1" applyProtection="1"/>
    <xf numFmtId="168" fontId="56" fillId="0" borderId="0" xfId="0" applyNumberFormat="1" applyFont="1" applyProtection="1"/>
    <xf numFmtId="0" fontId="82" fillId="12" borderId="0" xfId="0" applyFont="1" applyFill="1" applyProtection="1"/>
    <xf numFmtId="175" fontId="56" fillId="0" borderId="0" xfId="0" applyNumberFormat="1" applyFont="1" applyProtection="1"/>
    <xf numFmtId="171" fontId="5" fillId="2" borderId="2" xfId="0" applyNumberFormat="1" applyFont="1" applyFill="1" applyBorder="1" applyAlignment="1" applyProtection="1">
      <alignment horizontal="right" vertical="top"/>
      <protection locked="0"/>
    </xf>
    <xf numFmtId="3" fontId="5" fillId="2" borderId="2" xfId="0" applyNumberFormat="1" applyFont="1" applyFill="1" applyBorder="1" applyAlignment="1" applyProtection="1">
      <alignment horizontal="right" vertical="top"/>
      <protection locked="0"/>
    </xf>
    <xf numFmtId="171" fontId="9" fillId="17" borderId="2" xfId="0" applyNumberFormat="1" applyFont="1" applyFill="1" applyBorder="1" applyAlignment="1" applyProtection="1">
      <alignment horizontal="right" vertical="top"/>
    </xf>
    <xf numFmtId="176" fontId="9" fillId="17" borderId="2" xfId="0" applyNumberFormat="1" applyFont="1" applyFill="1" applyBorder="1" applyAlignment="1" applyProtection="1">
      <alignment horizontal="right" vertical="top"/>
    </xf>
    <xf numFmtId="3" fontId="9" fillId="17" borderId="2" xfId="0" applyNumberFormat="1" applyFont="1" applyFill="1" applyBorder="1" applyAlignment="1" applyProtection="1">
      <alignment horizontal="right" vertical="top"/>
    </xf>
    <xf numFmtId="177" fontId="9" fillId="17" borderId="2" xfId="0" applyNumberFormat="1" applyFont="1" applyFill="1" applyBorder="1" applyAlignment="1" applyProtection="1">
      <alignment horizontal="right" vertical="top"/>
    </xf>
    <xf numFmtId="168" fontId="9" fillId="17" borderId="2" xfId="0" applyNumberFormat="1" applyFont="1" applyFill="1" applyBorder="1" applyAlignment="1" applyProtection="1">
      <alignment horizontal="right" vertical="top"/>
    </xf>
  </cellXfs>
  <cellStyles count="2">
    <cellStyle name="Hyperlink" xfId="1" builtinId="8"/>
    <cellStyle name="Normal" xfId="0" builtinId="0"/>
  </cellStyles>
  <dxfs count="89">
    <dxf>
      <font>
        <b/>
        <i val="0"/>
        <color rgb="FF15803D"/>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color rgb="FF047857"/>
        <name val="Arial"/>
      </font>
      <fill>
        <patternFill patternType="solid">
          <fgColor rgb="FFD1FAE5"/>
        </patternFill>
      </fill>
    </dxf>
    <dxf>
      <font>
        <b/>
        <color rgb="FFB45309"/>
        <name val="Arial"/>
      </font>
      <fill>
        <patternFill patternType="solid">
          <fgColor rgb="FFFEF3C7"/>
        </patternFill>
      </fill>
    </dxf>
    <dxf>
      <font>
        <b/>
        <color rgb="FFBE123C"/>
        <name val="Arial"/>
      </font>
      <fill>
        <patternFill patternType="solid">
          <fgColor rgb="FFFFE4E6"/>
        </patternFill>
      </fill>
    </dxf>
    <dxf>
      <font>
        <b/>
        <color rgb="FF047857"/>
        <name val="Arial"/>
      </font>
      <fill>
        <patternFill patternType="solid">
          <fgColor rgb="FFD1FAE5"/>
        </patternFill>
      </fill>
    </dxf>
    <dxf>
      <font>
        <b/>
        <color rgb="FFB45309"/>
        <name val="Arial"/>
      </font>
      <fill>
        <patternFill patternType="solid">
          <fgColor rgb="FFFEF3C7"/>
        </patternFill>
      </fill>
    </dxf>
    <dxf>
      <font>
        <b/>
        <color rgb="FFBE123C"/>
        <name val="Arial"/>
      </font>
      <fill>
        <patternFill patternType="solid">
          <fgColor rgb="FFFFE4E6"/>
        </patternFill>
      </fill>
    </dxf>
    <dxf>
      <font>
        <b/>
        <i val="0"/>
        <color rgb="FFC00000"/>
      </font>
    </dxf>
    <dxf>
      <font>
        <b/>
        <i val="0"/>
        <color rgb="FFC00000"/>
      </font>
    </dxf>
    <dxf>
      <font>
        <b/>
        <i val="0"/>
        <color rgb="FFC00000"/>
      </font>
    </dxf>
    <dxf>
      <font>
        <b/>
        <i val="0"/>
        <color rgb="FFC00000"/>
      </font>
    </dxf>
    <dxf>
      <fill>
        <patternFill patternType="solid">
          <fgColor indexed="64"/>
          <bgColor rgb="FFFECACA"/>
        </patternFill>
      </fill>
    </dxf>
    <dxf>
      <font>
        <b/>
        <i val="0"/>
        <color rgb="FFC00000"/>
      </font>
    </dxf>
    <dxf>
      <font>
        <b/>
        <color rgb="FFBE123C"/>
        <name val="Arial"/>
      </font>
      <fill>
        <patternFill patternType="solid">
          <fgColor rgb="FFFFE4E6"/>
        </patternFill>
      </fill>
    </dxf>
    <dxf>
      <font>
        <b/>
        <color rgb="FFB45309"/>
        <name val="Arial"/>
      </font>
      <fill>
        <patternFill patternType="solid">
          <fgColor rgb="FFFEF3C7"/>
        </patternFill>
      </fill>
    </dxf>
    <dxf>
      <font>
        <b/>
        <color rgb="FF047857"/>
        <name val="Arial"/>
      </font>
      <fill>
        <patternFill patternType="solid">
          <fgColor rgb="FFD1FAE5"/>
        </patternFill>
      </fill>
    </dxf>
    <dxf>
      <fill>
        <patternFill patternType="solid">
          <fgColor rgb="FFFFE4E6"/>
        </patternFill>
      </fill>
    </dxf>
    <dxf>
      <font>
        <b/>
        <color rgb="FFBE123C"/>
        <name val="Arial"/>
      </font>
      <fill>
        <patternFill patternType="solid">
          <fgColor rgb="FFFFE4E6"/>
        </patternFill>
      </fill>
    </dxf>
    <dxf>
      <font>
        <b/>
        <color rgb="FFB45309"/>
        <name val="Arial"/>
      </font>
      <fill>
        <patternFill patternType="solid">
          <fgColor rgb="FFFEF3C7"/>
        </patternFill>
      </fill>
    </dxf>
    <dxf>
      <font>
        <b/>
        <color rgb="FF047857"/>
        <name val="Arial"/>
      </font>
      <fill>
        <patternFill patternType="solid">
          <fgColor rgb="FFD1FAE5"/>
        </patternFill>
      </fill>
    </dxf>
    <dxf>
      <fill>
        <patternFill patternType="solid">
          <fgColor rgb="FFFFE4E6"/>
        </patternFill>
      </fill>
    </dxf>
    <dxf>
      <font>
        <b/>
        <i val="0"/>
        <color rgb="FFC00000"/>
      </font>
    </dxf>
    <dxf>
      <font>
        <b/>
        <i val="0"/>
        <color rgb="FFC00000"/>
      </font>
    </dxf>
    <dxf>
      <font>
        <b/>
        <color rgb="FFBE123C"/>
        <name val="Arial"/>
      </font>
      <fill>
        <patternFill patternType="solid">
          <fgColor rgb="FFFFE4E6"/>
        </patternFill>
      </fill>
    </dxf>
    <dxf>
      <font>
        <b/>
        <color rgb="FFB45309"/>
        <name val="Arial"/>
      </font>
      <fill>
        <patternFill patternType="solid">
          <fgColor rgb="FFFEF3C7"/>
        </patternFill>
      </fill>
    </dxf>
    <dxf>
      <font>
        <b/>
        <color rgb="FFBE123C"/>
        <name val="Arial"/>
      </font>
      <fill>
        <patternFill patternType="solid">
          <fgColor rgb="FFFFE4E6"/>
        </patternFill>
      </fill>
    </dxf>
    <dxf>
      <font>
        <b/>
        <color rgb="FFB45309"/>
        <name val="Arial"/>
      </font>
      <fill>
        <patternFill patternType="solid">
          <fgColor rgb="FFFEF3C7"/>
        </patternFill>
      </fill>
    </dxf>
    <dxf>
      <font>
        <b/>
        <color rgb="FFB45309"/>
        <name val="Arial"/>
      </font>
      <fill>
        <patternFill patternType="solid">
          <fgColor rgb="FFFEF3C7"/>
        </patternFill>
      </fill>
    </dxf>
    <dxf>
      <font>
        <color rgb="FF047857"/>
      </font>
    </dxf>
    <dxf>
      <font>
        <color rgb="FFC00000"/>
      </font>
    </dxf>
    <dxf>
      <font>
        <color rgb="FF047857"/>
      </font>
    </dxf>
    <dxf>
      <font>
        <color rgb="FFC00000"/>
      </font>
    </dxf>
    <dxf>
      <font>
        <b/>
        <color rgb="FFB45309"/>
        <name val="Arial"/>
      </font>
      <fill>
        <patternFill patternType="solid">
          <fgColor rgb="FFFEF3C7"/>
        </patternFill>
      </fill>
    </dxf>
    <dxf>
      <font>
        <b/>
        <color rgb="FFBE123C"/>
        <name val="Arial"/>
      </font>
      <fill>
        <patternFill patternType="solid">
          <fgColor rgb="FFFFE4E6"/>
        </patternFill>
      </fill>
    </dxf>
    <dxf>
      <font>
        <b/>
        <color rgb="FFB45309"/>
        <name val="Arial"/>
      </font>
      <fill>
        <patternFill patternType="solid">
          <fgColor rgb="FFFEF3C7"/>
        </patternFill>
      </fill>
    </dxf>
    <dxf>
      <font>
        <b/>
        <sz val="26"/>
        <color rgb="FFBE123C"/>
        <name val="Arial"/>
      </font>
    </dxf>
    <dxf>
      <font>
        <b/>
        <color rgb="FFB45309"/>
        <name val="Arial"/>
      </font>
      <fill>
        <patternFill patternType="solid">
          <fgColor rgb="FFFEF3C7"/>
        </patternFill>
      </fill>
    </dxf>
    <dxf>
      <font>
        <b/>
        <sz val="26"/>
        <color rgb="FFBE123C"/>
        <name val="Arial"/>
      </font>
    </dxf>
    <dxf>
      <font>
        <b/>
        <color rgb="FFB45309"/>
        <name val="Arial"/>
      </font>
      <fill>
        <patternFill patternType="solid">
          <fgColor rgb="FFFEF3C7"/>
        </patternFill>
      </fill>
    </dxf>
    <dxf>
      <font>
        <b/>
        <color rgb="FFBE123C"/>
        <name val="Arial"/>
      </font>
      <fill>
        <patternFill patternType="solid">
          <fgColor rgb="FFFFE4E6"/>
        </patternFill>
      </fill>
    </dxf>
    <dxf>
      <fill>
        <patternFill patternType="solid">
          <fgColor indexed="64"/>
          <bgColor rgb="FFFECACA"/>
        </patternFill>
      </fill>
    </dxf>
    <dxf>
      <fill>
        <patternFill patternType="solid">
          <fgColor indexed="64"/>
          <bgColor rgb="FFFECACA"/>
        </patternFill>
      </fill>
    </dxf>
    <dxf>
      <font>
        <b/>
        <color rgb="FFBE123C"/>
        <name val="Arial"/>
      </font>
      <fill>
        <patternFill patternType="solid">
          <fgColor rgb="FFFFE4E6"/>
        </patternFill>
      </fill>
    </dxf>
    <dxf>
      <font>
        <b/>
        <color rgb="FFB45309"/>
        <name val="Arial"/>
      </font>
      <fill>
        <patternFill patternType="solid">
          <fgColor rgb="FFFEF3C7"/>
        </patternFill>
      </fill>
    </dxf>
    <dxf>
      <font>
        <b/>
        <color rgb="FFBE123C"/>
        <name val="Arial"/>
      </font>
      <fill>
        <patternFill patternType="solid">
          <fgColor rgb="FFFFE4E6"/>
        </patternFill>
      </fill>
    </dxf>
    <dxf>
      <font>
        <b/>
        <color rgb="FFBE123C"/>
        <name val="Arial"/>
      </font>
      <fill>
        <patternFill patternType="solid">
          <fgColor rgb="FFFFE4E6"/>
        </patternFill>
      </fill>
    </dxf>
    <dxf>
      <font>
        <b/>
        <color rgb="FFBE123C"/>
        <name val="Arial"/>
      </font>
      <fill>
        <patternFill patternType="solid">
          <fgColor rgb="FFFFE4E6"/>
        </patternFill>
      </fill>
    </dxf>
    <dxf>
      <font>
        <b/>
        <color rgb="FFBE123C"/>
        <name val="Arial"/>
      </font>
      <fill>
        <patternFill patternType="solid">
          <fgColor rgb="FFFFE4E6"/>
        </patternFill>
      </fill>
    </dxf>
    <dxf>
      <font>
        <b/>
        <color rgb="FFBE123C"/>
        <name val="Arial"/>
      </font>
      <fill>
        <patternFill patternType="solid">
          <fgColor rgb="FFFFE4E6"/>
        </patternFill>
      </fill>
    </dxf>
    <dxf>
      <font>
        <b/>
        <color rgb="FFB45309"/>
        <name val="Arial"/>
      </font>
      <fill>
        <patternFill patternType="solid">
          <fgColor rgb="FFFEF3C7"/>
        </patternFill>
      </fill>
    </dxf>
    <dxf>
      <font>
        <b/>
        <color rgb="FF047857"/>
        <name val="Arial"/>
      </font>
      <fill>
        <patternFill patternType="solid">
          <fgColor rgb="FFD1FAE5"/>
        </patternFill>
      </fill>
    </dxf>
    <dxf>
      <font>
        <b/>
        <color rgb="FF047857"/>
        <name val="Arial"/>
      </font>
      <fill>
        <patternFill patternType="solid">
          <fgColor rgb="FFD1FAE5"/>
        </patternFill>
      </fill>
    </dxf>
    <dxf>
      <font>
        <b/>
        <color rgb="FFB45309"/>
        <name val="Arial"/>
      </font>
      <fill>
        <patternFill patternType="solid">
          <fgColor rgb="FFFEF3C7"/>
        </patternFill>
      </fill>
    </dxf>
    <dxf>
      <font>
        <b/>
        <color rgb="FFB45309"/>
        <name val="Arial"/>
      </font>
      <fill>
        <patternFill patternType="solid">
          <fgColor rgb="FFFEF3C7"/>
        </patternFill>
      </fill>
    </dxf>
    <dxf>
      <fill>
        <patternFill patternType="solid">
          <fgColor rgb="FFFFE4E6"/>
        </patternFill>
      </fill>
    </dxf>
    <dxf>
      <font>
        <b/>
        <color rgb="FFBE123C"/>
        <name val="Arial"/>
      </font>
      <fill>
        <patternFill patternType="solid">
          <fgColor rgb="FFFFE4E6"/>
        </patternFill>
      </fill>
    </dxf>
    <dxf>
      <font>
        <b/>
        <color rgb="FFB45309"/>
        <name val="Arial"/>
      </font>
      <fill>
        <patternFill patternType="solid">
          <fgColor rgb="FFFEF3C7"/>
        </patternFill>
      </fill>
    </dxf>
    <dxf>
      <font>
        <b/>
        <color rgb="FFB45309"/>
        <name val="Arial"/>
      </font>
      <fill>
        <patternFill patternType="solid">
          <fgColor rgb="FFFEF3C7"/>
        </patternFill>
      </fill>
    </dxf>
    <dxf>
      <font>
        <b/>
        <color rgb="FFBE123C"/>
        <name val="Arial"/>
      </font>
      <fill>
        <patternFill patternType="solid">
          <fgColor rgb="FFFFE4E6"/>
        </patternFill>
      </fill>
    </dxf>
    <dxf>
      <font>
        <b val="0"/>
        <i val="0"/>
        <strike val="0"/>
        <condense val="0"/>
        <extend val="0"/>
        <outline val="0"/>
        <shadow val="0"/>
        <u val="none"/>
        <vertAlign val="baseline"/>
        <sz val="10"/>
        <color rgb="FF1D4ED8"/>
        <name val="Arial"/>
        <family val="2"/>
        <charset val="162"/>
        <scheme val="none"/>
      </font>
      <fill>
        <patternFill patternType="solid">
          <fgColor indexed="64"/>
          <bgColor rgb="FFFFF7D6"/>
        </patternFill>
      </fill>
      <alignment horizontal="general" vertical="top" textRotation="0" wrapText="0" indent="0" justifyLastLine="0" shrinkToFit="0" readingOrder="0"/>
      <protection locked="0"/>
    </dxf>
    <dxf>
      <font>
        <b/>
        <i val="0"/>
        <strike val="0"/>
        <condense val="0"/>
        <extend val="0"/>
        <outline val="0"/>
        <shadow val="0"/>
        <u val="none"/>
        <vertAlign val="baseline"/>
        <sz val="9.5"/>
        <color rgb="FFFFFFFF"/>
        <name val="Arial"/>
        <family val="2"/>
        <charset val="162"/>
        <scheme val="none"/>
      </font>
      <fill>
        <patternFill patternType="solid">
          <fgColor indexed="64"/>
          <bgColor rgb="FF0F172A"/>
        </patternFill>
      </fill>
      <alignment horizontal="left" vertical="center" textRotation="0" wrapText="1" indent="0" justifyLastLine="0" shrinkToFit="0" readingOrder="0"/>
      <border diagonalUp="0" diagonalDown="0">
        <left style="thin">
          <color rgb="FFE2E8F0"/>
        </left>
        <right style="thin">
          <color rgb="FFE2E8F0"/>
        </right>
        <top/>
        <bottom/>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fill>
        <patternFill patternType="none">
          <fgColor indexed="64"/>
          <bgColor rgb="FFFFF7D6"/>
        </patternFill>
      </fill>
      <alignment horizontal="general" vertical="top" textRotation="0" wrapText="1" indent="0" justifyLastLine="0" shrinkToFit="0" readingOrder="0"/>
      <border diagonalUp="0" diagonalDown="0">
        <left style="thin">
          <color rgb="FFE2E8F0"/>
        </left>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numFmt numFmtId="1" formatCode="0"/>
      <fill>
        <patternFill patternType="none">
          <fgColor indexed="64"/>
          <bgColor rgb="FFFFF7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numFmt numFmtId="1" formatCode="0"/>
      <fill>
        <patternFill patternType="none">
          <fgColor indexed="64"/>
          <bgColor rgb="FFFFF7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numFmt numFmtId="1" formatCode="0"/>
      <fill>
        <patternFill patternType="none">
          <fgColor indexed="64"/>
          <bgColor rgb="FFFFF7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numFmt numFmtId="1" formatCode="0"/>
      <fill>
        <patternFill patternType="none">
          <fgColor indexed="64"/>
          <bgColor rgb="FFFFF7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fill>
        <patternFill patternType="none">
          <fgColor indexed="64"/>
          <bgColor rgb="FFFFF7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numFmt numFmtId="1" formatCode="0"/>
      <fill>
        <patternFill patternType="solid">
          <fgColor indexed="64"/>
          <bgColor rgb="FFFFF7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00"/>
        <name val="Arial"/>
        <family val="2"/>
        <charset val="162"/>
        <scheme val="none"/>
      </font>
      <fill>
        <patternFill patternType="none"/>
      </fill>
      <alignment horizontal="center" vertical="bottom"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64" formatCode="hh:mm"/>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 formatCode="0"/>
      <fill>
        <patternFill patternType="solid">
          <fgColor indexed="64"/>
          <bgColor rgb="FFFFF8D6"/>
        </patternFill>
      </fill>
      <alignment horizontal="general" vertical="top"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protection locked="0"/>
    </dxf>
    <dxf>
      <font>
        <b val="0"/>
        <i val="0"/>
        <strike val="0"/>
        <condense val="0"/>
        <extend val="0"/>
        <outline val="0"/>
        <shadow val="0"/>
        <u val="none"/>
        <vertAlign val="baseline"/>
        <sz val="10"/>
        <color rgb="FF0000FF"/>
        <name val="Arial"/>
        <family val="2"/>
        <charset val="162"/>
        <scheme val="none"/>
      </font>
      <numFmt numFmtId="168" formatCode="d\ mmm\ yyyy"/>
      <fill>
        <patternFill patternType="solid">
          <fgColor indexed="64"/>
          <bgColor rgb="FFFFF8D6"/>
        </patternFill>
      </fill>
      <alignment horizontal="general" vertical="top" textRotation="0" wrapText="0" indent="0" justifyLastLine="0" shrinkToFit="0" readingOrder="0"/>
      <border diagonalUp="0" diagonalDown="0">
        <left/>
        <right style="thin">
          <color rgb="FFE2E8F0"/>
        </right>
        <top style="thin">
          <color rgb="FFE2E8F0"/>
        </top>
        <bottom style="thin">
          <color rgb="FFE2E8F0"/>
        </bottom>
        <vertical/>
        <horizontal/>
      </border>
      <protection locked="0"/>
    </dxf>
    <dxf>
      <border outline="0">
        <top style="thin">
          <color rgb="FFE2E8F0"/>
        </top>
      </border>
    </dxf>
    <dxf>
      <border outline="0">
        <bottom style="thin">
          <color rgb="FFE2E8F0"/>
        </bottom>
      </border>
    </dxf>
    <dxf>
      <border outline="0">
        <left style="thin">
          <color rgb="FFE2E8F0"/>
        </left>
        <right style="thin">
          <color rgb="FFE2E8F0"/>
        </right>
        <top style="thin">
          <color rgb="FFE2E8F0"/>
        </top>
        <bottom style="thin">
          <color rgb="FFE2E8F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People on site, this week</a:t>
            </a:r>
          </a:p>
        </c:rich>
      </c:tx>
      <c:overlay val="0"/>
    </c:title>
    <c:autoTitleDeleted val="0"/>
    <c:plotArea>
      <c:layout/>
      <c:barChart>
        <c:barDir val="col"/>
        <c:grouping val="clustered"/>
        <c:varyColors val="1"/>
        <c:ser>
          <c:idx val="0"/>
          <c:order val="0"/>
          <c:tx>
            <c:strRef>
              <c:f>'03 Day log'!$H$7</c:f>
              <c:strCache>
                <c:ptCount val="1"/>
                <c:pt idx="0">
                  <c:v>People on site</c:v>
                </c:pt>
              </c:strCache>
            </c:strRef>
          </c:tx>
          <c:spPr>
            <a:solidFill>
              <a:srgbClr val="3B82F6"/>
            </a:solidFill>
            <a:ln>
              <a:prstDash val="solid"/>
            </a:ln>
          </c:spPr>
          <c:invertIfNegative val="1"/>
          <c:dLbls>
            <c:numFmt formatCode="0;\-0;;@" sourceLinked="0"/>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'15 Chart data'!$C$26:$C$32</c:f>
              <c:strCache>
                <c:ptCount val="7"/>
                <c:pt idx="0">
                  <c:v>Mon 2</c:v>
                </c:pt>
                <c:pt idx="1">
                  <c:v>Tue 3</c:v>
                </c:pt>
                <c:pt idx="2">
                  <c:v>Wed 4</c:v>
                </c:pt>
                <c:pt idx="3">
                  <c:v>Thu 5</c:v>
                </c:pt>
                <c:pt idx="4">
                  <c:v>Fri 6</c:v>
                </c:pt>
                <c:pt idx="5">
                  <c:v>Sat 7</c:v>
                </c:pt>
                <c:pt idx="6">
                  <c:v>Sun 8</c:v>
                </c:pt>
              </c:strCache>
            </c:strRef>
          </c:cat>
          <c:val>
            <c:numRef>
              <c:f>'15 Chart data'!$D$26:$D$32</c:f>
              <c:numCache>
                <c:formatCode>0;\-0;;@</c:formatCode>
                <c:ptCount val="7"/>
                <c:pt idx="0">
                  <c:v>26</c:v>
                </c:pt>
                <c:pt idx="1">
                  <c:v>28</c:v>
                </c:pt>
                <c:pt idx="2">
                  <c:v>22</c:v>
                </c:pt>
                <c:pt idx="3">
                  <c:v>10</c:v>
                </c:pt>
                <c:pt idx="4">
                  <c:v>27</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E44-4354-BE1F-94D4B18C7A5F}"/>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d\ mmm" sourceLinked="0"/>
        <c:majorTickMark val="none"/>
        <c:minorTickMark val="none"/>
        <c:tickLblPos val="nextTo"/>
        <c:txPr>
          <a:bodyPr/>
          <a:lstStyle/>
          <a:p>
            <a:pPr>
              <a:defRPr sz="800"/>
            </a:pPr>
            <a:endParaRPr lang="tr-TR"/>
          </a:p>
        </c:txPr>
        <c:crossAx val="100"/>
        <c:crosses val="autoZero"/>
        <c:auto val="0"/>
        <c:lblAlgn val="ctr"/>
        <c:lblOffset val="100"/>
        <c:noMultiLvlLbl val="1"/>
      </c:catAx>
      <c:valAx>
        <c:axId val="100"/>
        <c:scaling>
          <c:orientation val="minMax"/>
        </c:scaling>
        <c:delete val="0"/>
        <c:axPos val="l"/>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Revisions after issue, this week</a:t>
            </a:r>
          </a:p>
        </c:rich>
      </c:tx>
      <c:overlay val="0"/>
    </c:title>
    <c:autoTitleDeleted val="0"/>
    <c:plotArea>
      <c:layout/>
      <c:barChart>
        <c:barDir val="col"/>
        <c:grouping val="clustered"/>
        <c:varyColors val="1"/>
        <c:ser>
          <c:idx val="0"/>
          <c:order val="0"/>
          <c:tx>
            <c:strRef>
              <c:f>'03 Day log'!$E$7</c:f>
              <c:strCache>
                <c:ptCount val="1"/>
                <c:pt idx="0">
                  <c:v>Revisions</c:v>
                </c:pt>
              </c:strCache>
            </c:strRef>
          </c:tx>
          <c:spPr>
            <a:solidFill>
              <a:srgbClr val="B45309"/>
            </a:solidFill>
            <a:ln>
              <a:prstDash val="solid"/>
            </a:ln>
          </c:spPr>
          <c:invertIfNegative val="1"/>
          <c:cat>
            <c:strRef>
              <c:f>'15 Chart data'!$C$26:$C$32</c:f>
              <c:strCache>
                <c:ptCount val="7"/>
                <c:pt idx="0">
                  <c:v>Mon 2</c:v>
                </c:pt>
                <c:pt idx="1">
                  <c:v>Tue 3</c:v>
                </c:pt>
                <c:pt idx="2">
                  <c:v>Wed 4</c:v>
                </c:pt>
                <c:pt idx="3">
                  <c:v>Thu 5</c:v>
                </c:pt>
                <c:pt idx="4">
                  <c:v>Fri 6</c:v>
                </c:pt>
                <c:pt idx="5">
                  <c:v>Sat 7</c:v>
                </c:pt>
                <c:pt idx="6">
                  <c:v>Sun 8</c:v>
                </c:pt>
              </c:strCache>
            </c:strRef>
          </c:cat>
          <c:val>
            <c:numRef>
              <c:f>'15 Chart data'!$E$26:$E$32</c:f>
              <c:numCache>
                <c:formatCode>General</c:formatCode>
                <c:ptCount val="7"/>
                <c:pt idx="0">
                  <c:v>0</c:v>
                </c:pt>
                <c:pt idx="1">
                  <c:v>1</c:v>
                </c:pt>
                <c:pt idx="2">
                  <c:v>0</c:v>
                </c:pt>
                <c:pt idx="3">
                  <c:v>2</c:v>
                </c:pt>
                <c:pt idx="4">
                  <c:v>0</c:v>
                </c:pt>
                <c:pt idx="5">
                  <c:v>#N/A</c:v>
                </c:pt>
                <c:pt idx="6">
                  <c:v>#N/A</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BDC-4892-81E0-68E742EC498C}"/>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d\ mmm" sourceLinked="0"/>
        <c:majorTickMark val="none"/>
        <c:minorTickMark val="none"/>
        <c:tickLblPos val="nextTo"/>
        <c:txPr>
          <a:bodyPr/>
          <a:lstStyle/>
          <a:p>
            <a:pPr>
              <a:defRPr sz="800"/>
            </a:pPr>
            <a:endParaRPr lang="tr-TR"/>
          </a:p>
        </c:txPr>
        <c:crossAx val="100"/>
        <c:crosses val="autoZero"/>
        <c:auto val="0"/>
        <c:lblAlgn val="ctr"/>
        <c:lblOffset val="100"/>
        <c:noMultiLvlLbl val="1"/>
      </c:catAx>
      <c:valAx>
        <c:axId val="100"/>
        <c:scaling>
          <c:orientation val="minMax"/>
        </c:scaling>
        <c:delete val="0"/>
        <c:axPos val="l"/>
        <c:numFmt formatCode="General" sourceLinked="1"/>
        <c:majorTickMark val="none"/>
        <c:minorTickMark val="none"/>
        <c:tickLblPos val="nextTo"/>
        <c:crossAx val="10"/>
        <c:crosses val="autoZero"/>
        <c:crossBetween val="between"/>
        <c:majorUnit val="1"/>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Working days, this week</a:t>
            </a:r>
          </a:p>
        </c:rich>
      </c:tx>
      <c:overlay val="0"/>
    </c:title>
    <c:autoTitleDeleted val="0"/>
    <c:plotArea>
      <c:layout/>
      <c:barChart>
        <c:barDir val="bar"/>
        <c:grouping val="clustered"/>
        <c:varyColors val="1"/>
        <c:ser>
          <c:idx val="0"/>
          <c:order val="0"/>
          <c:spPr>
            <a:ln>
              <a:prstDash val="solid"/>
            </a:ln>
          </c:spPr>
          <c:invertIfNegative val="1"/>
          <c:dPt>
            <c:idx val="0"/>
            <c:invertIfNegative val="1"/>
            <c:bubble3D val="0"/>
            <c:spPr>
              <a:solidFill>
                <a:srgbClr val="047857"/>
              </a:solidFill>
              <a:ln>
                <a:solidFill>
                  <a:srgbClr val="047857"/>
                </a:solidFill>
                <a:prstDash val="solid"/>
              </a:ln>
            </c:spPr>
            <c:extLst>
              <c:ext xmlns:c16="http://schemas.microsoft.com/office/drawing/2014/chart" uri="{C3380CC4-5D6E-409C-BE32-E72D297353CC}">
                <c16:uniqueId val="{00000001-8539-4A99-B705-ABF791674127}"/>
              </c:ext>
            </c:extLst>
          </c:dPt>
          <c:dPt>
            <c:idx val="1"/>
            <c:invertIfNegative val="1"/>
            <c:bubble3D val="0"/>
            <c:spPr>
              <a:solidFill>
                <a:srgbClr val="B45309"/>
              </a:solidFill>
              <a:ln>
                <a:solidFill>
                  <a:srgbClr val="B45309"/>
                </a:solidFill>
                <a:prstDash val="solid"/>
              </a:ln>
            </c:spPr>
            <c:extLst>
              <c:ext xmlns:c16="http://schemas.microsoft.com/office/drawing/2014/chart" uri="{C3380CC4-5D6E-409C-BE32-E72D297353CC}">
                <c16:uniqueId val="{00000003-8539-4A99-B705-ABF791674127}"/>
              </c:ext>
            </c:extLst>
          </c:dPt>
          <c:dPt>
            <c:idx val="2"/>
            <c:invertIfNegative val="1"/>
            <c:bubble3D val="0"/>
            <c:spPr>
              <a:solidFill>
                <a:srgbClr val="BE123C"/>
              </a:solidFill>
              <a:ln>
                <a:solidFill>
                  <a:srgbClr val="BE123C"/>
                </a:solidFill>
                <a:prstDash val="solid"/>
              </a:ln>
            </c:spPr>
            <c:extLst>
              <c:ext xmlns:c16="http://schemas.microsoft.com/office/drawing/2014/chart" uri="{C3380CC4-5D6E-409C-BE32-E72D297353CC}">
                <c16:uniqueId val="{00000005-8539-4A99-B705-ABF791674127}"/>
              </c:ext>
            </c:extLst>
          </c:dPt>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'15 Chart data'!$B$12:$B$14</c:f>
              <c:strCache>
                <c:ptCount val="3"/>
                <c:pt idx="0">
                  <c:v>Workable</c:v>
                </c:pt>
                <c:pt idx="1">
                  <c:v>Part lost</c:v>
                </c:pt>
                <c:pt idx="2">
                  <c:v>Lost</c:v>
                </c:pt>
              </c:strCache>
            </c:strRef>
          </c:cat>
          <c:val>
            <c:numRef>
              <c:f>'15 Chart data'!$C$12:$C$14</c:f>
              <c:numCache>
                <c:formatCode>General</c:formatCode>
                <c:ptCount val="3"/>
                <c:pt idx="0">
                  <c:v>2</c:v>
                </c:pt>
                <c:pt idx="1">
                  <c:v>2</c:v>
                </c:pt>
                <c:pt idx="2">
                  <c:v>1</c:v>
                </c:pt>
              </c:numCache>
            </c:numRef>
          </c:val>
          <c:extLst>
            <c:ext xmlns:c16="http://schemas.microsoft.com/office/drawing/2014/chart" uri="{C3380CC4-5D6E-409C-BE32-E72D297353CC}">
              <c16:uniqueId val="{00000006-8539-4A99-B705-ABF791674127}"/>
            </c:ext>
          </c:extLst>
        </c:ser>
        <c:dLbls>
          <c:showLegendKey val="0"/>
          <c:showVal val="1"/>
          <c:showCatName val="0"/>
          <c:showSerName val="0"/>
          <c:showPercent val="1"/>
          <c:showBubbleSize val="1"/>
        </c:dLbls>
        <c:gapWidth val="4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Plant working, this week</a:t>
            </a:r>
          </a:p>
        </c:rich>
      </c:tx>
      <c:overlay val="0"/>
    </c:title>
    <c:autoTitleDeleted val="0"/>
    <c:plotArea>
      <c:layout/>
      <c:lineChart>
        <c:grouping val="standard"/>
        <c:varyColors val="1"/>
        <c:ser>
          <c:idx val="0"/>
          <c:order val="0"/>
          <c:tx>
            <c:strRef>
              <c:f>'03 Day log'!$I$7</c:f>
              <c:strCache>
                <c:ptCount val="1"/>
                <c:pt idx="0">
                  <c:v>Plant working</c:v>
                </c:pt>
              </c:strCache>
            </c:strRef>
          </c:tx>
          <c:spPr>
            <a:ln w="28000">
              <a:solidFill>
                <a:srgbClr val="0D9488"/>
              </a:solidFill>
              <a:prstDash val="solid"/>
            </a:ln>
          </c:spPr>
          <c:marker>
            <c:symbol val="none"/>
          </c:marker>
          <c:cat>
            <c:strRef>
              <c:f>'15 Chart data'!$C$26:$C$32</c:f>
              <c:strCache>
                <c:ptCount val="7"/>
                <c:pt idx="0">
                  <c:v>Mon 2</c:v>
                </c:pt>
                <c:pt idx="1">
                  <c:v>Tue 3</c:v>
                </c:pt>
                <c:pt idx="2">
                  <c:v>Wed 4</c:v>
                </c:pt>
                <c:pt idx="3">
                  <c:v>Thu 5</c:v>
                </c:pt>
                <c:pt idx="4">
                  <c:v>Fri 6</c:v>
                </c:pt>
                <c:pt idx="5">
                  <c:v>Sat 7</c:v>
                </c:pt>
                <c:pt idx="6">
                  <c:v>Sun 8</c:v>
                </c:pt>
              </c:strCache>
            </c:strRef>
          </c:cat>
          <c:val>
            <c:numRef>
              <c:f>'15 Chart data'!$F$26:$F$32</c:f>
              <c:numCache>
                <c:formatCode>General</c:formatCode>
                <c:ptCount val="7"/>
                <c:pt idx="0">
                  <c:v>4</c:v>
                </c:pt>
                <c:pt idx="1">
                  <c:v>3</c:v>
                </c:pt>
                <c:pt idx="2">
                  <c:v>3</c:v>
                </c:pt>
                <c:pt idx="3">
                  <c:v>1</c:v>
                </c:pt>
                <c:pt idx="4">
                  <c:v>4</c:v>
                </c:pt>
                <c:pt idx="5">
                  <c:v>#N/A</c:v>
                </c:pt>
                <c:pt idx="6">
                  <c:v>#N/A</c:v>
                </c:pt>
              </c:numCache>
            </c:numRef>
          </c:val>
          <c:smooth val="0"/>
          <c:extLst>
            <c:ext xmlns:c16="http://schemas.microsoft.com/office/drawing/2014/chart" uri="{C3380CC4-5D6E-409C-BE32-E72D297353CC}">
              <c16:uniqueId val="{00000000-A44C-429A-8689-17520B72DD3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d\ mmm" sourceLinked="0"/>
        <c:majorTickMark val="none"/>
        <c:minorTickMark val="none"/>
        <c:tickLblPos val="nextTo"/>
        <c:txPr>
          <a:bodyPr/>
          <a:lstStyle/>
          <a:p>
            <a:pPr>
              <a:defRPr sz="800"/>
            </a:pPr>
            <a:endParaRPr lang="tr-TR"/>
          </a:p>
        </c:txPr>
        <c:crossAx val="100"/>
        <c:crosses val="autoZero"/>
        <c:auto val="0"/>
        <c:lblAlgn val="ctr"/>
        <c:lblOffset val="100"/>
        <c:noMultiLvlLbl val="1"/>
      </c:catAx>
      <c:valAx>
        <c:axId val="100"/>
        <c:scaling>
          <c:orientation val="minMax"/>
          <c:max val="5"/>
          <c:min val="0"/>
        </c:scaling>
        <c:delete val="0"/>
        <c:axPos val="l"/>
        <c:majorGridlines/>
        <c:numFmt formatCode="General" sourceLinked="1"/>
        <c:majorTickMark val="none"/>
        <c:minorTickMark val="none"/>
        <c:tickLblPos val="nextTo"/>
        <c:crossAx val="10"/>
        <c:crosses val="autoZero"/>
        <c:crossBetween val="between"/>
        <c:majorUnit val="1"/>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5715</xdr:colOff>
      <xdr:row>15</xdr:row>
      <xdr:rowOff>0</xdr:rowOff>
    </xdr:from>
    <xdr:ext cx="5044440" cy="29718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57150</xdr:colOff>
      <xdr:row>15</xdr:row>
      <xdr:rowOff>0</xdr:rowOff>
    </xdr:from>
    <xdr:ext cx="5044440" cy="29718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3810</xdr:colOff>
      <xdr:row>32</xdr:row>
      <xdr:rowOff>53340</xdr:rowOff>
    </xdr:from>
    <xdr:ext cx="5044440" cy="29718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57150</xdr:colOff>
      <xdr:row>32</xdr:row>
      <xdr:rowOff>53340</xdr:rowOff>
    </xdr:from>
    <xdr:ext cx="5044440" cy="29718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8337D-23E4-4BCC-9526-025627327BF8}" name="DayLog" displayName="DayLog" ref="A7:R38" totalsRowShown="0" headerRowDxfId="67" dataDxfId="66" headerRowBorderDxfId="87" tableBorderDxfId="88" totalsRowBorderDxfId="86">
  <autoFilter ref="A7:R38" xr:uid="{3968337D-23E4-4BCC-9526-025627327B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0C0E6F5-DA70-4D60-B473-08B265020535}" name="Date" dataDxfId="85"/>
    <tableColumn id="2" xr3:uid="{8FC3ABFB-8F13-4230-84D5-56591DB8F9BF}" name="Report no." dataDxfId="84"/>
    <tableColumn id="3" xr3:uid="{71B2AAE1-C42D-4A4C-9EA5-A750ABE5EDFB}" name="Issued at" dataDxfId="83"/>
    <tableColumn id="4" xr3:uid="{2221C9FA-5C52-4669-AFD3-74C445B763D1}" name="On time?" dataDxfId="82">
      <calculatedColumnFormula>IF(OR(A8="",C8=""),"",IF(C8&lt;='14 Setup'!$B$7,"Y","N"))</calculatedColumnFormula>
    </tableColumn>
    <tableColumn id="5" xr3:uid="{F8F521E9-BFF0-4D07-8258-DBB28E50664D}" name="Revisions" dataDxfId="81">
      <calculatedColumnFormula>IF(A8="","",COUNTIF('10 Revision log'!$A$7:$A$56,A8))</calculatedColumnFormula>
    </tableColumn>
    <tableColumn id="6" xr3:uid="{4A4F1CE6-09A1-434E-822B-5B383330FA74}" name="Weather" dataDxfId="80">
      <calculatedColumnFormula>IF(M8="","",IF(OR(N8="",N8=M8),M8,M8&amp;" / "&amp;N8))</calculatedColumnFormula>
    </tableColumn>
    <tableColumn id="7" xr3:uid="{44AF64F3-D025-458B-8C83-4FCE4F288007}" name="Working day" dataDxfId="79"/>
    <tableColumn id="8" xr3:uid="{7D0FAC3A-F164-4B37-8572-C321661B93A4}" name="People on site" dataDxfId="78">
      <calculatedColumnFormula>IF(A8="","",SUMIFS('04 Resource log'!$H$7:$H$506,'04 Resource log'!$A$7:$A$506,A8,'04 Resource log'!$E$7:$E$506,"Labour"))</calculatedColumnFormula>
    </tableColumn>
    <tableColumn id="9" xr3:uid="{4764AEBB-C86D-47E9-B499-1C4EE7015CCB}" name="Plant working" dataDxfId="77">
      <calculatedColumnFormula>IF(A8="","",SUMIFS('04 Resource log'!$H$7:$H$506,'04 Resource log'!$A$7:$A$506,A8,'04 Resource log'!$E$7:$E$506,"Plant"))</calculatedColumnFormula>
    </tableColumn>
    <tableColumn id="10" xr3:uid="{332DCE98-A607-4E88-B0F5-1CBB3483481A}" name="Not yet reported" dataDxfId="76">
      <calculatedColumnFormula>IF(A8="","",COUNTIF('09 Not yet reported'!$A$7:$A$46,A8))</calculatedColumnFormula>
    </tableColumn>
    <tableColumn id="11" xr3:uid="{E3C1F251-5633-4EC9-9771-5602B2D7317D}" name="Possible claims" dataDxfId="75">
      <calculatedColumnFormula>IF(A8="","",COUNTIFS('06 Event log'!$A$7:$A$506,A8,'06 Event log'!$H$7:$H$506,"Y"))</calculatedColumnFormula>
    </tableColumn>
    <tableColumn id="12" xr3:uid="{8AC593C8-8F71-4F5A-8B09-7514AFB3361C}" name="Key event" dataDxfId="74">
      <calculatedColumnFormula>IF(A8="","",IFERROR(INDEX('06 Event log'!$C$7:$C$506,MATCH(A8,'06 Event log'!$A$7:$A$506,0)),""))</calculatedColumnFormula>
    </tableColumn>
    <tableColumn id="13" xr3:uid="{837C0CC6-68C2-4C2E-9692-B6578BF9C469}" name="Weather, morning" dataDxfId="73"/>
    <tableColumn id="14" xr3:uid="{AFCC9FFF-F037-47DF-8AB6-D33C0ABAC508}" name="Weather, afternoon" dataDxfId="72"/>
    <tableColumn id="15" xr3:uid="{8A0BD22B-AA7F-4E15-9622-F46D94F82A32}" name="Rainfall (mm)" dataDxfId="71"/>
    <tableColumn id="16" xr3:uid="{E712E31B-CB05-475A-AA6F-04A53D5394A5}" name="Temp. (°C)" dataDxfId="70"/>
    <tableColumn id="17" xr3:uid="{DDD0637A-F37A-4FA9-A91D-4B7058B21D0E}" name="Prepared by" dataDxfId="69"/>
    <tableColumn id="18" xr3:uid="{9C2FA002-FB7F-460A-89A4-6AD77537A8E6}" name="Checked by" dataDxfId="6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heprojectcontrolhub.com/contract-week-1.html" TargetMode="External"/><Relationship Id="rId1" Type="http://schemas.openxmlformats.org/officeDocument/2006/relationships/hyperlink" Target="https://theprojectcontrolhub.com/reporting-week-17.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213D"/>
    <pageSetUpPr fitToPage="1"/>
  </sheetPr>
  <dimension ref="A1:Z1001"/>
  <sheetViews>
    <sheetView showGridLines="0" view="pageBreakPreview" zoomScale="90" zoomScaleNormal="100" zoomScaleSheetLayoutView="90" workbookViewId="0">
      <selection activeCell="H16" sqref="H16"/>
    </sheetView>
  </sheetViews>
  <sheetFormatPr defaultRowHeight="14.4" x14ac:dyDescent="0.3"/>
  <cols>
    <col min="1" max="1" width="3" customWidth="1"/>
    <col min="2" max="2" width="7" customWidth="1"/>
    <col min="3" max="3" width="28" customWidth="1"/>
    <col min="4" max="4" width="72" customWidth="1"/>
    <col min="5" max="5" width="16" customWidth="1"/>
    <col min="6" max="6" width="3" customWidth="1"/>
  </cols>
  <sheetData>
    <row r="1" spans="1:26" ht="12" customHeight="1" x14ac:dyDescent="0.3">
      <c r="A1" s="5"/>
      <c r="B1" s="5"/>
      <c r="C1" s="5"/>
      <c r="D1" s="5"/>
      <c r="E1" s="5"/>
      <c r="F1" s="5"/>
      <c r="G1" s="6"/>
      <c r="H1" s="6"/>
      <c r="I1" s="6"/>
      <c r="J1" s="6"/>
      <c r="K1" s="6"/>
      <c r="L1" s="6"/>
      <c r="M1" s="6"/>
      <c r="N1" s="6"/>
      <c r="O1" s="6"/>
      <c r="P1" s="6"/>
      <c r="Q1" s="6"/>
      <c r="R1" s="6"/>
      <c r="S1" s="6"/>
      <c r="T1" s="6"/>
      <c r="U1" s="6"/>
      <c r="V1" s="6"/>
      <c r="W1" s="6"/>
      <c r="X1" s="6"/>
      <c r="Y1" s="6"/>
      <c r="Z1" s="6"/>
    </row>
    <row r="2" spans="1:26" ht="36" customHeight="1" x14ac:dyDescent="0.5">
      <c r="A2" s="5"/>
      <c r="B2" s="7" t="s">
        <v>0</v>
      </c>
      <c r="C2" s="5"/>
      <c r="D2" s="5"/>
      <c r="E2" s="5"/>
      <c r="F2" s="174" t="s">
        <v>32</v>
      </c>
      <c r="G2" s="6"/>
      <c r="H2" s="6"/>
      <c r="I2" s="6"/>
      <c r="J2" s="6"/>
      <c r="K2" s="6"/>
      <c r="L2" s="6"/>
      <c r="M2" s="6"/>
      <c r="N2" s="6"/>
      <c r="O2" s="6"/>
      <c r="P2" s="6"/>
      <c r="Q2" s="6"/>
      <c r="R2" s="6"/>
      <c r="S2" s="6"/>
      <c r="T2" s="6"/>
      <c r="U2" s="6"/>
      <c r="V2" s="6"/>
      <c r="W2" s="6"/>
      <c r="X2" s="6"/>
      <c r="Y2" s="6"/>
      <c r="Z2" s="6"/>
    </row>
    <row r="3" spans="1:26" x14ac:dyDescent="0.3">
      <c r="A3" s="5"/>
      <c r="B3" s="8" t="s">
        <v>1</v>
      </c>
      <c r="C3" s="5"/>
      <c r="D3" s="5"/>
      <c r="E3" s="5"/>
      <c r="F3" s="5"/>
      <c r="G3" s="6"/>
      <c r="H3" s="6"/>
      <c r="I3" s="6"/>
      <c r="J3" s="6"/>
      <c r="K3" s="6"/>
      <c r="L3" s="6"/>
      <c r="M3" s="6"/>
      <c r="N3" s="6"/>
      <c r="O3" s="6"/>
      <c r="P3" s="6"/>
      <c r="Q3" s="6"/>
      <c r="R3" s="6"/>
      <c r="S3" s="6"/>
      <c r="T3" s="6"/>
      <c r="U3" s="6"/>
      <c r="V3" s="6"/>
      <c r="W3" s="6"/>
      <c r="X3" s="6"/>
      <c r="Y3" s="6"/>
      <c r="Z3" s="6"/>
    </row>
    <row r="4" spans="1:26" x14ac:dyDescent="0.3">
      <c r="A4" s="5"/>
      <c r="B4" s="9" t="s">
        <v>2</v>
      </c>
      <c r="C4" s="5"/>
      <c r="D4" s="5"/>
      <c r="E4" s="5"/>
      <c r="F4" s="5"/>
      <c r="G4" s="6"/>
      <c r="H4" s="6"/>
      <c r="I4" s="6"/>
      <c r="J4" s="6"/>
      <c r="K4" s="6"/>
      <c r="L4" s="6"/>
      <c r="M4" s="6"/>
      <c r="N4" s="6"/>
      <c r="O4" s="6"/>
      <c r="P4" s="6"/>
      <c r="Q4" s="6"/>
      <c r="R4" s="6"/>
      <c r="S4" s="6"/>
      <c r="T4" s="6"/>
      <c r="U4" s="6"/>
      <c r="V4" s="6"/>
      <c r="W4" s="6"/>
      <c r="X4" s="6"/>
      <c r="Y4" s="6"/>
      <c r="Z4" s="6"/>
    </row>
    <row r="5" spans="1:26" ht="10.050000000000001" customHeight="1" x14ac:dyDescent="0.3">
      <c r="A5" s="5"/>
      <c r="B5" s="5"/>
      <c r="C5" s="5"/>
      <c r="D5" s="5"/>
      <c r="E5" s="5"/>
      <c r="F5" s="5"/>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10" t="s">
        <v>368</v>
      </c>
      <c r="C7" s="6"/>
      <c r="D7" s="6"/>
      <c r="E7" s="6"/>
      <c r="F7" s="6"/>
      <c r="G7" s="6"/>
      <c r="H7" s="6"/>
      <c r="I7" s="6"/>
      <c r="J7" s="6"/>
      <c r="K7" s="6"/>
      <c r="L7" s="6"/>
      <c r="M7" s="6"/>
      <c r="N7" s="6"/>
      <c r="O7" s="6"/>
      <c r="P7" s="6"/>
      <c r="Q7" s="6"/>
      <c r="R7" s="6"/>
      <c r="S7" s="6"/>
      <c r="T7" s="6"/>
      <c r="U7" s="6"/>
      <c r="V7" s="6"/>
      <c r="W7" s="6"/>
      <c r="X7" s="6"/>
      <c r="Y7" s="6"/>
      <c r="Z7" s="6"/>
    </row>
    <row r="8" spans="1:26" ht="31.95" customHeight="1" x14ac:dyDescent="0.3">
      <c r="A8" s="6"/>
      <c r="B8" s="11">
        <v>1</v>
      </c>
      <c r="C8" s="12" t="s">
        <v>400</v>
      </c>
      <c r="D8" s="13" t="s">
        <v>361</v>
      </c>
      <c r="E8" s="14" t="s">
        <v>3</v>
      </c>
      <c r="F8" s="6"/>
      <c r="G8" s="6"/>
      <c r="H8" s="6"/>
      <c r="I8" s="6"/>
      <c r="J8" s="6"/>
      <c r="K8" s="6"/>
      <c r="L8" s="6"/>
      <c r="M8" s="6"/>
      <c r="N8" s="6"/>
      <c r="O8" s="6"/>
      <c r="P8" s="6"/>
      <c r="Q8" s="6"/>
      <c r="R8" s="6"/>
      <c r="S8" s="6"/>
      <c r="T8" s="6"/>
      <c r="U8" s="6"/>
      <c r="V8" s="6"/>
      <c r="W8" s="6"/>
      <c r="X8" s="6"/>
      <c r="Y8" s="6"/>
      <c r="Z8" s="6"/>
    </row>
    <row r="9" spans="1:26" ht="31.95" customHeight="1" x14ac:dyDescent="0.3">
      <c r="A9" s="6"/>
      <c r="B9" s="11">
        <v>2</v>
      </c>
      <c r="C9" s="12" t="s">
        <v>401</v>
      </c>
      <c r="D9" s="13" t="s">
        <v>362</v>
      </c>
      <c r="E9" s="14" t="s">
        <v>363</v>
      </c>
      <c r="F9" s="6"/>
      <c r="G9" s="6"/>
      <c r="H9" s="6"/>
      <c r="I9" s="6"/>
      <c r="J9" s="6"/>
      <c r="K9" s="6"/>
      <c r="L9" s="6"/>
      <c r="M9" s="6"/>
      <c r="N9" s="6"/>
      <c r="O9" s="6"/>
      <c r="P9" s="6"/>
      <c r="Q9" s="6"/>
      <c r="R9" s="6"/>
      <c r="S9" s="6"/>
      <c r="T9" s="6"/>
      <c r="U9" s="6"/>
      <c r="V9" s="6"/>
      <c r="W9" s="6"/>
      <c r="X9" s="6"/>
      <c r="Y9" s="6"/>
      <c r="Z9" s="6"/>
    </row>
    <row r="10" spans="1:26" ht="31.95" customHeight="1" x14ac:dyDescent="0.3">
      <c r="A10" s="6"/>
      <c r="B10" s="11">
        <v>3</v>
      </c>
      <c r="C10" s="12" t="s">
        <v>402</v>
      </c>
      <c r="D10" s="13" t="s">
        <v>364</v>
      </c>
      <c r="E10" s="14" t="s">
        <v>363</v>
      </c>
      <c r="F10" s="6"/>
      <c r="G10" s="6"/>
      <c r="H10" s="6"/>
      <c r="I10" s="6"/>
      <c r="J10" s="6"/>
      <c r="K10" s="6"/>
      <c r="L10" s="6"/>
      <c r="M10" s="6"/>
      <c r="N10" s="6"/>
      <c r="O10" s="6"/>
      <c r="P10" s="6"/>
      <c r="Q10" s="6"/>
      <c r="R10" s="6"/>
      <c r="S10" s="6"/>
      <c r="T10" s="6"/>
      <c r="U10" s="6"/>
      <c r="V10" s="6"/>
      <c r="W10" s="6"/>
      <c r="X10" s="6"/>
      <c r="Y10" s="6"/>
      <c r="Z10" s="6"/>
    </row>
    <row r="11" spans="1:26" ht="31.95" customHeight="1" x14ac:dyDescent="0.3">
      <c r="A11" s="6"/>
      <c r="B11" s="11">
        <v>4</v>
      </c>
      <c r="C11" s="12" t="s">
        <v>403</v>
      </c>
      <c r="D11" s="13" t="s">
        <v>365</v>
      </c>
      <c r="E11" s="14" t="s">
        <v>366</v>
      </c>
      <c r="F11" s="6"/>
      <c r="G11" s="6"/>
      <c r="H11" s="6"/>
      <c r="I11" s="6"/>
      <c r="J11" s="6"/>
      <c r="K11" s="6"/>
      <c r="L11" s="6"/>
      <c r="M11" s="6"/>
      <c r="N11" s="6"/>
      <c r="O11" s="6"/>
      <c r="P11" s="6"/>
      <c r="Q11" s="6"/>
      <c r="R11" s="6"/>
      <c r="S11" s="6"/>
      <c r="T11" s="6"/>
      <c r="U11" s="6"/>
      <c r="V11" s="6"/>
      <c r="W11" s="6"/>
      <c r="X11" s="6"/>
      <c r="Y11" s="6"/>
      <c r="Z11" s="6"/>
    </row>
    <row r="12" spans="1:26" ht="31.95" customHeight="1" x14ac:dyDescent="0.3">
      <c r="A12" s="6"/>
      <c r="B12" s="15">
        <v>5</v>
      </c>
      <c r="C12" s="12" t="s">
        <v>404</v>
      </c>
      <c r="D12" s="13" t="s">
        <v>367</v>
      </c>
      <c r="E12" s="14" t="s">
        <v>3</v>
      </c>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10" t="s">
        <v>4</v>
      </c>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16" t="s">
        <v>5</v>
      </c>
      <c r="D15" s="17" t="s">
        <v>6</v>
      </c>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18" t="s">
        <v>7</v>
      </c>
      <c r="D16" s="17" t="s">
        <v>8</v>
      </c>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19" t="s">
        <v>9</v>
      </c>
      <c r="D17" s="17" t="s">
        <v>10</v>
      </c>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10" t="s">
        <v>11</v>
      </c>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20" t="s">
        <v>12</v>
      </c>
      <c r="D20" s="17" t="s">
        <v>13</v>
      </c>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20" t="s">
        <v>14</v>
      </c>
      <c r="D21" s="17" t="s">
        <v>15</v>
      </c>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10" t="s">
        <v>16</v>
      </c>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21" t="s">
        <v>17</v>
      </c>
      <c r="D24" s="17" t="s">
        <v>374</v>
      </c>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22" t="s">
        <v>18</v>
      </c>
      <c r="D25" s="17" t="s">
        <v>375</v>
      </c>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19" t="s">
        <v>19</v>
      </c>
      <c r="D26" s="17" t="s">
        <v>20</v>
      </c>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10" t="s">
        <v>21</v>
      </c>
      <c r="C28" s="6"/>
      <c r="D28" s="6"/>
      <c r="E28" s="6"/>
      <c r="F28" s="6"/>
      <c r="G28" s="6"/>
      <c r="H28" s="6"/>
      <c r="I28" s="6"/>
      <c r="J28" s="6"/>
      <c r="K28" s="6"/>
      <c r="L28" s="6"/>
      <c r="M28" s="6"/>
      <c r="N28" s="6"/>
      <c r="O28" s="6"/>
      <c r="P28" s="6"/>
      <c r="Q28" s="6"/>
      <c r="R28" s="6"/>
      <c r="S28" s="6"/>
      <c r="T28" s="6"/>
      <c r="U28" s="6"/>
      <c r="V28" s="6"/>
      <c r="W28" s="6"/>
      <c r="X28" s="6"/>
      <c r="Y28" s="6"/>
      <c r="Z28" s="6"/>
    </row>
    <row r="29" spans="1:26" ht="22.05" customHeight="1" x14ac:dyDescent="0.3">
      <c r="A29" s="6"/>
      <c r="B29" s="6"/>
      <c r="C29" s="23" t="s">
        <v>383</v>
      </c>
      <c r="D29" s="24"/>
      <c r="E29" s="24"/>
      <c r="F29" s="6"/>
      <c r="G29" s="6"/>
      <c r="H29" s="6"/>
      <c r="I29" s="6"/>
      <c r="J29" s="6"/>
      <c r="K29" s="6"/>
      <c r="L29" s="6"/>
      <c r="M29" s="6"/>
      <c r="N29" s="6"/>
      <c r="O29" s="6"/>
      <c r="P29" s="6"/>
      <c r="Q29" s="6"/>
      <c r="R29" s="6"/>
      <c r="S29" s="6"/>
      <c r="T29" s="6"/>
      <c r="U29" s="6"/>
      <c r="V29" s="6"/>
      <c r="W29" s="6"/>
      <c r="X29" s="6"/>
      <c r="Y29" s="6"/>
      <c r="Z29" s="6"/>
    </row>
    <row r="30" spans="1:26" ht="18" customHeight="1" x14ac:dyDescent="0.3">
      <c r="A30" s="6"/>
      <c r="B30" s="25"/>
      <c r="C30" s="26" t="s">
        <v>389</v>
      </c>
      <c r="D30" s="27" t="s">
        <v>369</v>
      </c>
      <c r="E30" s="6"/>
      <c r="F30" s="6"/>
      <c r="G30" s="6"/>
      <c r="H30" s="6"/>
      <c r="I30" s="6"/>
      <c r="J30" s="6"/>
      <c r="K30" s="6"/>
      <c r="L30" s="6"/>
      <c r="M30" s="6"/>
      <c r="N30" s="6"/>
      <c r="O30" s="6"/>
      <c r="P30" s="6"/>
      <c r="Q30" s="6"/>
      <c r="R30" s="6"/>
      <c r="S30" s="6"/>
      <c r="T30" s="6"/>
      <c r="U30" s="6"/>
      <c r="V30" s="6"/>
      <c r="W30" s="6"/>
      <c r="X30" s="6"/>
      <c r="Y30" s="6"/>
      <c r="Z30" s="6"/>
    </row>
    <row r="31" spans="1:26" ht="18" customHeight="1" x14ac:dyDescent="0.3">
      <c r="A31" s="6"/>
      <c r="B31" s="25"/>
      <c r="C31" s="26" t="s">
        <v>390</v>
      </c>
      <c r="D31" s="27" t="s">
        <v>377</v>
      </c>
      <c r="E31" s="6"/>
      <c r="F31" s="6"/>
      <c r="G31" s="6"/>
      <c r="H31" s="6"/>
      <c r="I31" s="6"/>
      <c r="J31" s="6"/>
      <c r="K31" s="6"/>
      <c r="L31" s="6"/>
      <c r="M31" s="6"/>
      <c r="N31" s="6"/>
      <c r="O31" s="6"/>
      <c r="P31" s="6"/>
      <c r="Q31" s="6"/>
      <c r="R31" s="6"/>
      <c r="S31" s="6"/>
      <c r="T31" s="6"/>
      <c r="U31" s="6"/>
      <c r="V31" s="6"/>
      <c r="W31" s="6"/>
      <c r="X31" s="6"/>
      <c r="Y31" s="6"/>
      <c r="Z31" s="6"/>
    </row>
    <row r="32" spans="1:26" ht="22.05" customHeight="1" x14ac:dyDescent="0.3">
      <c r="A32" s="6"/>
      <c r="B32" s="6"/>
      <c r="C32" s="28" t="s">
        <v>378</v>
      </c>
      <c r="D32" s="29"/>
      <c r="E32" s="29"/>
      <c r="F32" s="6"/>
      <c r="G32" s="6"/>
      <c r="H32" s="6"/>
      <c r="I32" s="6"/>
      <c r="J32" s="6"/>
      <c r="K32" s="6"/>
      <c r="L32" s="6"/>
      <c r="M32" s="6"/>
      <c r="N32" s="6"/>
      <c r="O32" s="6"/>
      <c r="P32" s="6"/>
      <c r="Q32" s="6"/>
      <c r="R32" s="6"/>
      <c r="S32" s="6"/>
      <c r="T32" s="6"/>
      <c r="U32" s="6"/>
      <c r="V32" s="6"/>
      <c r="W32" s="6"/>
      <c r="X32" s="6"/>
      <c r="Y32" s="6"/>
      <c r="Z32" s="6"/>
    </row>
    <row r="33" spans="1:26" ht="18" customHeight="1" x14ac:dyDescent="0.3">
      <c r="A33" s="6"/>
      <c r="B33" s="30"/>
      <c r="C33" s="26" t="s">
        <v>391</v>
      </c>
      <c r="D33" s="27" t="s">
        <v>370</v>
      </c>
      <c r="E33" s="6"/>
      <c r="F33" s="6"/>
      <c r="G33" s="6"/>
      <c r="H33" s="6"/>
      <c r="I33" s="6"/>
      <c r="J33" s="6"/>
      <c r="K33" s="6"/>
      <c r="L33" s="6"/>
      <c r="M33" s="6"/>
      <c r="N33" s="6"/>
      <c r="O33" s="6"/>
      <c r="P33" s="6"/>
      <c r="Q33" s="6"/>
      <c r="R33" s="6"/>
      <c r="S33" s="6"/>
      <c r="T33" s="6"/>
      <c r="U33" s="6"/>
      <c r="V33" s="6"/>
      <c r="W33" s="6"/>
      <c r="X33" s="6"/>
      <c r="Y33" s="6"/>
      <c r="Z33" s="6"/>
    </row>
    <row r="34" spans="1:26" ht="18" customHeight="1" x14ac:dyDescent="0.3">
      <c r="A34" s="6"/>
      <c r="B34" s="30"/>
      <c r="C34" s="26" t="s">
        <v>392</v>
      </c>
      <c r="D34" s="27" t="s">
        <v>379</v>
      </c>
      <c r="E34" s="6"/>
      <c r="F34" s="6"/>
      <c r="G34" s="6"/>
      <c r="H34" s="6"/>
      <c r="I34" s="6"/>
      <c r="J34" s="6"/>
      <c r="K34" s="6"/>
      <c r="L34" s="6"/>
      <c r="M34" s="6"/>
      <c r="N34" s="6"/>
      <c r="O34" s="6"/>
      <c r="P34" s="6"/>
      <c r="Q34" s="6"/>
      <c r="R34" s="6"/>
      <c r="S34" s="6"/>
      <c r="T34" s="6"/>
      <c r="U34" s="6"/>
      <c r="V34" s="6"/>
      <c r="W34" s="6"/>
      <c r="X34" s="6"/>
      <c r="Y34" s="6"/>
      <c r="Z34" s="6"/>
    </row>
    <row r="35" spans="1:26" ht="18" customHeight="1" x14ac:dyDescent="0.3">
      <c r="A35" s="6"/>
      <c r="B35" s="30"/>
      <c r="C35" s="26" t="s">
        <v>393</v>
      </c>
      <c r="D35" s="27" t="s">
        <v>371</v>
      </c>
      <c r="E35" s="6"/>
      <c r="F35" s="6"/>
      <c r="G35" s="6"/>
      <c r="H35" s="6"/>
      <c r="I35" s="6"/>
      <c r="J35" s="6"/>
      <c r="K35" s="6"/>
      <c r="L35" s="6"/>
      <c r="M35" s="6"/>
      <c r="N35" s="6"/>
      <c r="O35" s="6"/>
      <c r="P35" s="6"/>
      <c r="Q35" s="6"/>
      <c r="R35" s="6"/>
      <c r="S35" s="6"/>
      <c r="T35" s="6"/>
      <c r="U35" s="6"/>
      <c r="V35" s="6"/>
      <c r="W35" s="6"/>
      <c r="X35" s="6"/>
      <c r="Y35" s="6"/>
      <c r="Z35" s="6"/>
    </row>
    <row r="36" spans="1:26" ht="18" customHeight="1" x14ac:dyDescent="0.3">
      <c r="A36" s="6"/>
      <c r="B36" s="30"/>
      <c r="C36" s="26" t="s">
        <v>394</v>
      </c>
      <c r="D36" s="27" t="s">
        <v>380</v>
      </c>
      <c r="E36" s="6"/>
      <c r="F36" s="6"/>
      <c r="G36" s="6"/>
      <c r="H36" s="6"/>
      <c r="I36" s="6"/>
      <c r="J36" s="6"/>
      <c r="K36" s="6"/>
      <c r="L36" s="6"/>
      <c r="M36" s="6"/>
      <c r="N36" s="6"/>
      <c r="O36" s="6"/>
      <c r="P36" s="6"/>
      <c r="Q36" s="6"/>
      <c r="R36" s="6"/>
      <c r="S36" s="6"/>
      <c r="T36" s="6"/>
      <c r="U36" s="6"/>
      <c r="V36" s="6"/>
      <c r="W36" s="6"/>
      <c r="X36" s="6"/>
      <c r="Y36" s="6"/>
      <c r="Z36" s="6"/>
    </row>
    <row r="37" spans="1:26" ht="18" customHeight="1" x14ac:dyDescent="0.3">
      <c r="A37" s="6"/>
      <c r="B37" s="30"/>
      <c r="C37" s="26" t="s">
        <v>395</v>
      </c>
      <c r="D37" s="27" t="s">
        <v>381</v>
      </c>
      <c r="E37" s="6"/>
      <c r="F37" s="6"/>
      <c r="G37" s="6"/>
      <c r="H37" s="6"/>
      <c r="I37" s="6"/>
      <c r="J37" s="6"/>
      <c r="K37" s="6"/>
      <c r="L37" s="6"/>
      <c r="M37" s="6"/>
      <c r="N37" s="6"/>
      <c r="O37" s="6"/>
      <c r="P37" s="6"/>
      <c r="Q37" s="6"/>
      <c r="R37" s="6"/>
      <c r="S37" s="6"/>
      <c r="T37" s="6"/>
      <c r="U37" s="6"/>
      <c r="V37" s="6"/>
      <c r="W37" s="6"/>
      <c r="X37" s="6"/>
      <c r="Y37" s="6"/>
      <c r="Z37" s="6"/>
    </row>
    <row r="38" spans="1:26" ht="18" customHeight="1" x14ac:dyDescent="0.3">
      <c r="A38" s="6"/>
      <c r="B38" s="30"/>
      <c r="C38" s="26" t="s">
        <v>396</v>
      </c>
      <c r="D38" s="27" t="s">
        <v>360</v>
      </c>
      <c r="E38" s="6"/>
      <c r="F38" s="6"/>
      <c r="G38" s="6"/>
      <c r="H38" s="6"/>
      <c r="I38" s="6"/>
      <c r="J38" s="6"/>
      <c r="K38" s="6"/>
      <c r="L38" s="6"/>
      <c r="M38" s="6"/>
      <c r="N38" s="6"/>
      <c r="O38" s="6"/>
      <c r="P38" s="6"/>
      <c r="Q38" s="6"/>
      <c r="R38" s="6"/>
      <c r="S38" s="6"/>
      <c r="T38" s="6"/>
      <c r="U38" s="6"/>
      <c r="V38" s="6"/>
      <c r="W38" s="6"/>
      <c r="X38" s="6"/>
      <c r="Y38" s="6"/>
      <c r="Z38" s="6"/>
    </row>
    <row r="39" spans="1:26" ht="22.05" customHeight="1" x14ac:dyDescent="0.3">
      <c r="A39" s="6"/>
      <c r="B39" s="6"/>
      <c r="C39" s="31" t="s">
        <v>382</v>
      </c>
      <c r="D39" s="32"/>
      <c r="E39" s="32"/>
      <c r="F39" s="6"/>
      <c r="G39" s="6"/>
      <c r="H39" s="6"/>
      <c r="I39" s="6"/>
      <c r="J39" s="6"/>
      <c r="K39" s="6"/>
      <c r="L39" s="6"/>
      <c r="M39" s="6"/>
      <c r="N39" s="6"/>
      <c r="O39" s="6"/>
      <c r="P39" s="6"/>
      <c r="Q39" s="6"/>
      <c r="R39" s="6"/>
      <c r="S39" s="6"/>
      <c r="T39" s="6"/>
      <c r="U39" s="6"/>
      <c r="V39" s="6"/>
      <c r="W39" s="6"/>
      <c r="X39" s="6"/>
      <c r="Y39" s="6"/>
      <c r="Z39" s="6"/>
    </row>
    <row r="40" spans="1:26" ht="18" customHeight="1" x14ac:dyDescent="0.3">
      <c r="A40" s="6"/>
      <c r="B40" s="33"/>
      <c r="C40" s="26" t="s">
        <v>397</v>
      </c>
      <c r="D40" s="27" t="s">
        <v>26</v>
      </c>
      <c r="E40" s="6"/>
      <c r="F40" s="6"/>
      <c r="G40" s="6"/>
      <c r="H40" s="6"/>
      <c r="I40" s="6"/>
      <c r="J40" s="6"/>
      <c r="K40" s="6"/>
      <c r="L40" s="6"/>
      <c r="M40" s="6"/>
      <c r="N40" s="6"/>
      <c r="O40" s="6"/>
      <c r="P40" s="6"/>
      <c r="Q40" s="6"/>
      <c r="R40" s="6"/>
      <c r="S40" s="6"/>
      <c r="T40" s="6"/>
      <c r="U40" s="6"/>
      <c r="V40" s="6"/>
      <c r="W40" s="6"/>
      <c r="X40" s="6"/>
      <c r="Y40" s="6"/>
      <c r="Z40" s="6"/>
    </row>
    <row r="41" spans="1:26" ht="18" customHeight="1" x14ac:dyDescent="0.3">
      <c r="A41" s="6"/>
      <c r="B41" s="33"/>
      <c r="C41" s="26" t="s">
        <v>398</v>
      </c>
      <c r="D41" s="27" t="s">
        <v>25</v>
      </c>
      <c r="E41" s="6"/>
      <c r="F41" s="6"/>
      <c r="G41" s="6"/>
      <c r="H41" s="6"/>
      <c r="I41" s="6"/>
      <c r="J41" s="6"/>
      <c r="K41" s="6"/>
      <c r="L41" s="6"/>
      <c r="M41" s="6"/>
      <c r="N41" s="6"/>
      <c r="O41" s="6"/>
      <c r="P41" s="6"/>
      <c r="Q41" s="6"/>
      <c r="R41" s="6"/>
      <c r="S41" s="6"/>
      <c r="T41" s="6"/>
      <c r="U41" s="6"/>
      <c r="V41" s="6"/>
      <c r="W41" s="6"/>
      <c r="X41" s="6"/>
      <c r="Y41" s="6"/>
      <c r="Z41" s="6"/>
    </row>
    <row r="42" spans="1:26" ht="18" customHeight="1" x14ac:dyDescent="0.3">
      <c r="A42" s="6"/>
      <c r="B42" s="33"/>
      <c r="C42" s="26" t="s">
        <v>399</v>
      </c>
      <c r="D42" s="27" t="s">
        <v>218</v>
      </c>
      <c r="E42" s="6"/>
      <c r="F42" s="6"/>
      <c r="G42" s="6"/>
      <c r="H42" s="6"/>
      <c r="I42" s="6"/>
      <c r="J42" s="6"/>
      <c r="K42" s="6"/>
      <c r="L42" s="6"/>
      <c r="M42" s="6"/>
      <c r="N42" s="6"/>
      <c r="O42" s="6"/>
      <c r="P42" s="6"/>
      <c r="Q42" s="6"/>
      <c r="R42" s="6"/>
      <c r="S42" s="6"/>
      <c r="T42" s="6"/>
      <c r="U42" s="6"/>
      <c r="V42" s="6"/>
      <c r="W42" s="6"/>
      <c r="X42" s="6"/>
      <c r="Y42" s="6"/>
      <c r="Z42" s="6"/>
    </row>
    <row r="43" spans="1:26" ht="22.05" customHeight="1" x14ac:dyDescent="0.3">
      <c r="A43" s="6"/>
      <c r="B43" s="6"/>
      <c r="C43" s="34" t="s">
        <v>384</v>
      </c>
      <c r="D43" s="35"/>
      <c r="E43" s="35"/>
      <c r="F43" s="6"/>
      <c r="G43" s="6"/>
      <c r="H43" s="6"/>
      <c r="I43" s="6"/>
      <c r="J43" s="6"/>
      <c r="K43" s="6"/>
      <c r="L43" s="6"/>
      <c r="M43" s="6"/>
      <c r="N43" s="6"/>
      <c r="O43" s="6"/>
      <c r="P43" s="6"/>
      <c r="Q43" s="6"/>
      <c r="R43" s="6"/>
      <c r="S43" s="6"/>
      <c r="T43" s="6"/>
      <c r="U43" s="6"/>
      <c r="V43" s="6"/>
      <c r="W43" s="6"/>
      <c r="X43" s="6"/>
      <c r="Y43" s="6"/>
      <c r="Z43" s="6"/>
    </row>
    <row r="44" spans="1:26" ht="18" customHeight="1" x14ac:dyDescent="0.3">
      <c r="A44" s="6"/>
      <c r="B44" s="36"/>
      <c r="C44" s="26" t="s">
        <v>385</v>
      </c>
      <c r="D44" s="27" t="s">
        <v>373</v>
      </c>
      <c r="E44" s="6"/>
      <c r="F44" s="6"/>
      <c r="G44" s="6"/>
      <c r="H44" s="6"/>
      <c r="I44" s="6"/>
      <c r="J44" s="6"/>
      <c r="K44" s="6"/>
      <c r="L44" s="6"/>
      <c r="M44" s="6"/>
      <c r="N44" s="6"/>
      <c r="O44" s="6"/>
      <c r="P44" s="6"/>
      <c r="Q44" s="6"/>
      <c r="R44" s="6"/>
      <c r="S44" s="6"/>
      <c r="T44" s="6"/>
      <c r="U44" s="6"/>
      <c r="V44" s="6"/>
      <c r="W44" s="6"/>
      <c r="X44" s="6"/>
      <c r="Y44" s="6"/>
      <c r="Z44" s="6"/>
    </row>
    <row r="45" spans="1:26" ht="18" customHeight="1" x14ac:dyDescent="0.3">
      <c r="A45" s="6"/>
      <c r="B45" s="36"/>
      <c r="C45" s="26" t="s">
        <v>386</v>
      </c>
      <c r="D45" s="27" t="s">
        <v>372</v>
      </c>
      <c r="E45" s="6"/>
      <c r="F45" s="6"/>
      <c r="G45" s="6"/>
      <c r="H45" s="6"/>
      <c r="I45" s="6"/>
      <c r="J45" s="6"/>
      <c r="K45" s="6"/>
      <c r="L45" s="6"/>
      <c r="M45" s="6"/>
      <c r="N45" s="6"/>
      <c r="O45" s="6"/>
      <c r="P45" s="6"/>
      <c r="Q45" s="6"/>
      <c r="R45" s="6"/>
      <c r="S45" s="6"/>
      <c r="T45" s="6"/>
      <c r="U45" s="6"/>
      <c r="V45" s="6"/>
      <c r="W45" s="6"/>
      <c r="X45" s="6"/>
      <c r="Y45" s="6"/>
      <c r="Z45" s="6"/>
    </row>
    <row r="46" spans="1:26" ht="18" customHeight="1" x14ac:dyDescent="0.3">
      <c r="A46" s="6"/>
      <c r="B46" s="36"/>
      <c r="C46" s="26" t="s">
        <v>387</v>
      </c>
      <c r="D46" s="27" t="s">
        <v>388</v>
      </c>
      <c r="E46" s="6"/>
      <c r="F46" s="6"/>
      <c r="G46" s="6"/>
      <c r="H46" s="6"/>
      <c r="I46" s="6"/>
      <c r="J46" s="6"/>
      <c r="K46" s="6"/>
      <c r="L46" s="6"/>
      <c r="M46" s="6"/>
      <c r="N46" s="6"/>
      <c r="O46" s="6"/>
      <c r="P46" s="6"/>
      <c r="Q46" s="6"/>
      <c r="R46" s="6"/>
      <c r="S46" s="6"/>
      <c r="T46" s="6"/>
      <c r="U46" s="6"/>
      <c r="V46" s="6"/>
      <c r="W46" s="6"/>
      <c r="X46" s="6"/>
      <c r="Y46" s="6"/>
      <c r="Z46" s="6"/>
    </row>
    <row r="47" spans="1:26" ht="18" customHeight="1" x14ac:dyDescent="0.3">
      <c r="A47" s="6"/>
      <c r="B47" s="36"/>
      <c r="C47" s="256" t="s">
        <v>409</v>
      </c>
      <c r="D47" s="27" t="s">
        <v>410</v>
      </c>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10" t="s">
        <v>27</v>
      </c>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37" t="s">
        <v>28</v>
      </c>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37" t="s">
        <v>29</v>
      </c>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25.95" customHeight="1" x14ac:dyDescent="0.3">
      <c r="A53" s="6"/>
      <c r="B53" s="38" t="s">
        <v>376</v>
      </c>
      <c r="C53" s="39"/>
      <c r="D53" s="39"/>
      <c r="E53" s="39"/>
      <c r="F53" s="6"/>
      <c r="G53" s="6"/>
      <c r="H53" s="6"/>
      <c r="I53" s="6"/>
      <c r="J53" s="6"/>
      <c r="K53" s="6"/>
      <c r="L53" s="6"/>
      <c r="M53" s="6"/>
      <c r="N53" s="6"/>
      <c r="O53" s="6"/>
      <c r="P53" s="6"/>
      <c r="Q53" s="6"/>
      <c r="R53" s="6"/>
      <c r="S53" s="6"/>
      <c r="T53" s="6"/>
      <c r="U53" s="6"/>
      <c r="V53" s="6"/>
      <c r="W53" s="6"/>
      <c r="X53" s="6"/>
      <c r="Y53" s="6"/>
      <c r="Z53" s="6"/>
    </row>
    <row r="54" spans="1:26" x14ac:dyDescent="0.3">
      <c r="A54" s="6"/>
      <c r="B54" s="39"/>
      <c r="C54" s="39"/>
      <c r="D54" s="39"/>
      <c r="E54" s="39"/>
      <c r="F54" s="6"/>
      <c r="G54" s="6"/>
      <c r="H54" s="6"/>
      <c r="I54" s="6"/>
      <c r="J54" s="6"/>
      <c r="K54" s="6"/>
      <c r="L54" s="6"/>
      <c r="M54" s="6"/>
      <c r="N54" s="6"/>
      <c r="O54" s="6"/>
      <c r="P54" s="6"/>
      <c r="Q54" s="6"/>
      <c r="R54" s="6"/>
      <c r="S54" s="6"/>
      <c r="T54" s="6"/>
      <c r="U54" s="6"/>
      <c r="V54" s="6"/>
      <c r="W54" s="6"/>
      <c r="X54" s="6"/>
      <c r="Y54" s="6"/>
      <c r="Z54" s="6"/>
    </row>
    <row r="55" spans="1:26" x14ac:dyDescent="0.3">
      <c r="A55" s="6"/>
      <c r="B55" s="39"/>
      <c r="C55" s="39"/>
      <c r="D55" s="39"/>
      <c r="E55" s="39"/>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40" t="s">
        <v>30</v>
      </c>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x14ac:dyDescent="0.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sheetProtection sheet="1" formatCells="0" formatColumns="0" formatRows="0" insertColumns="0" insertRows="0" insertHyperlinks="0" deleteColumns="0" deleteRows="0" sort="0" autoFilter="0" pivotTables="0"/>
  <mergeCells count="1">
    <mergeCell ref="B53:E55"/>
  </mergeCells>
  <hyperlinks>
    <hyperlink ref="C8" location="'03 Day log'!A1" display="03 Day log  →" xr:uid="{00000000-0004-0000-0000-000000000000}"/>
    <hyperlink ref="C9" location="'04 Resource log'!A1" display="04 Resource log  →" xr:uid="{00000000-0004-0000-0000-000001000000}"/>
    <hyperlink ref="C10" location="'05 Work done log'!A1" display="05 Work done log  →" xr:uid="{00000000-0004-0000-0000-000002000000}"/>
    <hyperlink ref="C11" location="'06 Event log'!A1" display="06 Event log  →" xr:uid="{00000000-0004-0000-0000-000003000000}"/>
    <hyperlink ref="C12" location="'01 Daily report'!A1" display="01 Daily report  →" xr:uid="{00000000-0004-0000-0000-000004000000}"/>
    <hyperlink ref="C50" r:id="rId1" xr:uid="{00000000-0004-0000-0000-00000B000000}"/>
    <hyperlink ref="C51" r:id="rId2" xr:uid="{00000000-0004-0000-0000-00000C000000}"/>
    <hyperlink ref="C30" location="'01 Daily report'!A1" display="01 Daily report" xr:uid="{0823CBDA-B56D-4CC8-8F5E-565E5C4510E5}"/>
    <hyperlink ref="C31" location="'02 Dashboard'!A1" display="02 Dashboard" xr:uid="{55D3A521-5280-4F36-B62D-6B252CAF69F9}"/>
    <hyperlink ref="C33" location="'03 Day log'!A1" display="03 Day log" xr:uid="{EDC85033-5A49-49C4-AF4C-8D3AA5838C32}"/>
    <hyperlink ref="C34" location="'04 Resource log'!A1" display="04 Resource log" xr:uid="{8C6241BF-EDE2-4A1E-9FFD-596E40669A42}"/>
    <hyperlink ref="C35" location="'05 Work done log'!A1" display="05 Work done log" xr:uid="{7EC646FC-3885-44F7-94D3-F7228444280E}"/>
    <hyperlink ref="C36" location="'06 Event log'!A1" display="06 Event log" xr:uid="{BD106E04-31FA-483B-9568-59291D476A54}"/>
    <hyperlink ref="C37" location="'07 Delivery log'!A1" display="07 Delivery log" xr:uid="{3795DC61-E4E1-4694-B5FE-187B81B5508A}"/>
    <hyperlink ref="C38" location="'08 Safety log'!A1" display="08 Safety log" xr:uid="{F8592B4A-F156-4477-BB2C-F1F693876B7B}"/>
    <hyperlink ref="C40" location="'09 Not yet reported'!A1" display="09 Not yet reported" xr:uid="{C3C194C2-B40F-44D4-9E79-687AF06A4AA5}"/>
    <hyperlink ref="C41" location="'10 Revision log'!A1" display="10 Revision log" xr:uid="{828DE650-C07B-4065-97E7-FEEE06C09979}"/>
    <hyperlink ref="C42" location="'11 Notice calendar'!A1" display="11 Notice calendar" xr:uid="{D5A96779-8E3D-4482-958B-EC53D9C4056D}"/>
    <hyperlink ref="C44" location="'12 P6 activities'!A1" display="12 P6 activities" xr:uid="{258FD041-060E-4771-9C70-83D3AC36E0DF}"/>
    <hyperlink ref="C45" location="'13 Contract hours'!A1" display="13 Contract hours" xr:uid="{872C98DB-D5C2-4250-81DA-94EBCE2C9195}"/>
    <hyperlink ref="C46" location="'14 Setup'!A1" display="14 Setup" xr:uid="{1CCD16DF-4A07-4EDF-8B05-C4607841881A}"/>
    <hyperlink ref="C47" location="'15 Chart data'!A1" display="15 Chart data" xr:uid="{4114BBDA-B64A-4E57-B0C2-44B05E277C65}"/>
  </hyperlinks>
  <printOptions horizontalCentered="1"/>
  <pageMargins left="0.4" right="0.4" top="0.5" bottom="0.5" header="0.5" footer="0.5"/>
  <pageSetup paperSize="9" scale="74" orientation="portrait" r:id="rId3"/>
  <headerFooter>
    <oddHeader>&amp;R&amp;BThe Project Control Hub</oddHeader>
    <oddFooter>&amp;L&amp;8The Project Control Hub · &amp;A&amp;R&amp;8Page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9A227"/>
    <pageSetUpPr fitToPage="1"/>
  </sheetPr>
  <dimension ref="A1:Z1000"/>
  <sheetViews>
    <sheetView showGridLines="0" view="pageBreakPreview" zoomScale="85" zoomScaleNormal="100" zoomScaleSheetLayoutView="85" workbookViewId="0">
      <selection activeCell="B5" sqref="B5:C5"/>
    </sheetView>
  </sheetViews>
  <sheetFormatPr defaultRowHeight="14.4" x14ac:dyDescent="0.3"/>
  <cols>
    <col min="1" max="1" width="18" customWidth="1"/>
    <col min="2" max="2" width="30" customWidth="1"/>
    <col min="3" max="3" width="16" customWidth="1"/>
    <col min="4" max="4" width="12" customWidth="1"/>
    <col min="5" max="5" width="12.5546875" customWidth="1"/>
    <col min="6" max="6" width="16" customWidth="1"/>
    <col min="7" max="7" width="18" customWidth="1"/>
    <col min="8" max="8" width="30" customWidth="1"/>
  </cols>
  <sheetData>
    <row r="1" spans="1:26" ht="34.049999999999997" customHeight="1" x14ac:dyDescent="0.3">
      <c r="A1" s="180" t="s">
        <v>0</v>
      </c>
      <c r="B1" s="179"/>
      <c r="C1" s="179"/>
      <c r="D1" s="179"/>
      <c r="E1" s="179"/>
      <c r="F1" s="179"/>
      <c r="G1" s="179"/>
      <c r="H1" s="184" t="s">
        <v>32</v>
      </c>
      <c r="I1" s="6"/>
      <c r="J1" s="6"/>
      <c r="K1" s="6"/>
      <c r="L1" s="6"/>
      <c r="M1" s="6"/>
      <c r="N1" s="6"/>
      <c r="O1" s="6"/>
      <c r="P1" s="6"/>
      <c r="Q1" s="6"/>
      <c r="R1" s="6"/>
      <c r="S1" s="6"/>
      <c r="T1" s="6"/>
      <c r="U1" s="6"/>
      <c r="V1" s="6"/>
      <c r="W1" s="6"/>
      <c r="X1" s="6"/>
      <c r="Y1" s="6"/>
      <c r="Z1" s="6"/>
    </row>
    <row r="2" spans="1:26" ht="19.95" customHeight="1" x14ac:dyDescent="0.3">
      <c r="A2" s="181" t="s">
        <v>71</v>
      </c>
      <c r="B2" s="179"/>
      <c r="C2" s="179"/>
      <c r="D2" s="179"/>
      <c r="E2" s="179"/>
      <c r="F2" s="179"/>
      <c r="G2" s="179"/>
      <c r="H2" s="179"/>
      <c r="I2" s="6"/>
      <c r="J2" s="6"/>
      <c r="K2" s="6"/>
      <c r="L2" s="6"/>
      <c r="M2" s="6"/>
      <c r="N2" s="6"/>
      <c r="O2" s="6"/>
      <c r="P2" s="6"/>
      <c r="Q2" s="6"/>
      <c r="R2" s="6"/>
      <c r="S2" s="6"/>
      <c r="T2" s="6"/>
      <c r="U2" s="6"/>
      <c r="V2" s="6"/>
      <c r="W2" s="6"/>
      <c r="X2" s="6"/>
      <c r="Y2" s="6"/>
      <c r="Z2" s="6"/>
    </row>
    <row r="3" spans="1:26" ht="19.95" customHeight="1" x14ac:dyDescent="0.3">
      <c r="A3" s="182" t="s">
        <v>358</v>
      </c>
      <c r="B3" s="179"/>
      <c r="C3" s="179"/>
      <c r="D3" s="179"/>
      <c r="E3" s="179"/>
      <c r="F3" s="179"/>
      <c r="G3" s="179"/>
      <c r="H3" s="179"/>
      <c r="I3" s="6"/>
      <c r="J3" s="6"/>
      <c r="K3" s="6"/>
      <c r="L3" s="6"/>
      <c r="M3" s="6"/>
      <c r="N3" s="6"/>
      <c r="O3" s="6"/>
      <c r="P3" s="6"/>
      <c r="Q3" s="6"/>
      <c r="R3" s="6"/>
      <c r="S3" s="6"/>
      <c r="T3" s="6"/>
      <c r="U3" s="6"/>
      <c r="V3" s="6"/>
      <c r="W3" s="6"/>
      <c r="X3" s="6"/>
      <c r="Y3" s="6"/>
      <c r="Z3" s="6"/>
    </row>
    <row r="4" spans="1:26" ht="19.95" customHeight="1" x14ac:dyDescent="0.3">
      <c r="A4" s="183" t="str">
        <f>IF($B$5="","Pick a date in B5",IF(COUNTIF('03 Day log'!$A$8:$A$38,$B$5)=0,"⚠ This date is not in the Day log yet: add the day there first","Built automatically from the logs for the date in B5. Change the facts in the logs, not here."))</f>
        <v>Built automatically from the logs for the date in B5. Change the facts in the logs, not here.</v>
      </c>
      <c r="B4" s="179"/>
      <c r="C4" s="179"/>
      <c r="D4" s="179"/>
      <c r="E4" s="179"/>
      <c r="F4" s="179"/>
      <c r="G4" s="179"/>
      <c r="H4" s="179"/>
      <c r="I4" s="6"/>
      <c r="J4" s="6"/>
      <c r="K4" s="6"/>
      <c r="L4" s="6"/>
      <c r="M4" s="6"/>
      <c r="N4" s="6"/>
      <c r="O4" s="6"/>
      <c r="P4" s="6"/>
      <c r="Q4" s="6"/>
      <c r="R4" s="6"/>
      <c r="S4" s="6"/>
      <c r="T4" s="6"/>
      <c r="U4" s="6"/>
      <c r="V4" s="6"/>
      <c r="W4" s="6"/>
      <c r="X4" s="6"/>
      <c r="Y4" s="6"/>
      <c r="Z4" s="6"/>
    </row>
    <row r="5" spans="1:26" ht="15.6" x14ac:dyDescent="0.3">
      <c r="A5" s="186" t="s">
        <v>42</v>
      </c>
      <c r="B5" s="206">
        <v>46084</v>
      </c>
      <c r="C5" s="205"/>
      <c r="D5" s="207"/>
      <c r="E5" s="186" t="s">
        <v>72</v>
      </c>
      <c r="F5" s="192">
        <f>IF(B5="","",COUNTIF('10 Revision log'!$A$7:$A$56,B5))</f>
        <v>1</v>
      </c>
      <c r="G5" s="208" t="s">
        <v>73</v>
      </c>
      <c r="H5" s="185"/>
      <c r="I5" s="6"/>
      <c r="J5" s="6"/>
      <c r="K5" s="6"/>
      <c r="L5" s="6"/>
      <c r="M5" s="6"/>
      <c r="N5" s="6"/>
      <c r="O5" s="6"/>
      <c r="P5" s="6"/>
      <c r="Q5" s="6"/>
      <c r="R5" s="6"/>
      <c r="S5" s="6"/>
      <c r="T5" s="6"/>
      <c r="U5" s="6"/>
      <c r="V5" s="6"/>
      <c r="W5" s="6"/>
      <c r="X5" s="6"/>
      <c r="Y5" s="6"/>
      <c r="Z5" s="6"/>
    </row>
    <row r="6" spans="1:26" x14ac:dyDescent="0.3">
      <c r="A6" s="186" t="s">
        <v>74</v>
      </c>
      <c r="B6" s="203">
        <f>IF($B$5="","",IFERROR(_xlfn.LET(_xlpm.v,INDEX('03 Day log'!$B$8:$B$38,MATCH($B$5,'03 Day log'!$A$8:$A$38,0)),IF(_xlpm.v="","",_xlpm.v)),""))</f>
        <v>41</v>
      </c>
      <c r="C6" s="204"/>
      <c r="D6" s="187"/>
      <c r="E6" s="186" t="s">
        <v>75</v>
      </c>
      <c r="F6" s="193">
        <f>'14 Setup'!B7</f>
        <v>0.58333333333333337</v>
      </c>
      <c r="G6" s="189"/>
      <c r="H6" s="185"/>
      <c r="I6" s="6"/>
      <c r="J6" s="6"/>
      <c r="K6" s="6"/>
      <c r="L6" s="6"/>
      <c r="M6" s="6"/>
      <c r="N6" s="6"/>
      <c r="O6" s="6"/>
      <c r="P6" s="6"/>
      <c r="Q6" s="6"/>
      <c r="R6" s="6"/>
      <c r="S6" s="6"/>
      <c r="T6" s="6"/>
      <c r="U6" s="6"/>
      <c r="V6" s="6"/>
      <c r="W6" s="6"/>
      <c r="X6" s="6"/>
      <c r="Y6" s="6"/>
      <c r="Z6" s="6"/>
    </row>
    <row r="7" spans="1:26" x14ac:dyDescent="0.3">
      <c r="A7" s="186" t="s">
        <v>76</v>
      </c>
      <c r="B7" s="190">
        <f>IF($B$5="","",IFERROR(_xlfn.LET(_xlpm.v,INDEX('03 Day log'!$C$8:$C$38,MATCH($B$5,'03 Day log'!$A$8:$A$38,0)),IF(_xlpm.v="","",_xlpm.v)),""))</f>
        <v>0.58333333333333337</v>
      </c>
      <c r="C7" s="188"/>
      <c r="D7" s="189"/>
      <c r="E7" s="186" t="s">
        <v>77</v>
      </c>
      <c r="F7" s="194" t="str">
        <f>IF(OR(B7="",F6=""),"",IF(B7&lt;=F6,"✔ on time","Late by "&amp;TEXT(B7-F6,"h:mm")))</f>
        <v>✔ on time</v>
      </c>
      <c r="G7" s="189"/>
      <c r="H7" s="185"/>
      <c r="I7" s="6"/>
      <c r="J7" s="6"/>
      <c r="K7" s="6"/>
      <c r="L7" s="6"/>
      <c r="M7" s="6"/>
      <c r="N7" s="6"/>
      <c r="O7" s="6"/>
      <c r="P7" s="6"/>
      <c r="Q7" s="6"/>
      <c r="R7" s="6"/>
      <c r="S7" s="6"/>
      <c r="T7" s="6"/>
      <c r="U7" s="6"/>
      <c r="V7" s="6"/>
      <c r="W7" s="6"/>
      <c r="X7" s="6"/>
      <c r="Y7" s="6"/>
      <c r="Z7" s="6"/>
    </row>
    <row r="8" spans="1:26" x14ac:dyDescent="0.3">
      <c r="A8" s="186" t="s">
        <v>78</v>
      </c>
      <c r="B8" s="191" t="str">
        <f>IF($B$5="","",IFERROR(_xlfn.LET(_xlpm.v,INDEX('03 Day log'!$M$8:$M$38,MATCH($B$5,'03 Day log'!$A$8:$A$38,0)),IF(_xlpm.v="","",_xlpm.v)),""))</f>
        <v>Dry</v>
      </c>
      <c r="C8" s="188"/>
      <c r="D8" s="189"/>
      <c r="E8" s="186" t="s">
        <v>54</v>
      </c>
      <c r="F8" s="195" t="str">
        <f>IF($B$5="","",IFERROR(_xlfn.LET(_xlpm.v,INDEX('03 Day log'!$Q$8:$Q$38,MATCH($B$5,'03 Day log'!$A$8:$A$38,0)),IF(_xlpm.v="","",_xlpm.v)),""))</f>
        <v>Site engineer</v>
      </c>
      <c r="G8" s="196"/>
      <c r="H8" s="185"/>
      <c r="I8" s="6"/>
      <c r="J8" s="6"/>
      <c r="K8" s="6"/>
      <c r="L8" s="6"/>
      <c r="M8" s="6"/>
      <c r="N8" s="6"/>
      <c r="O8" s="6"/>
      <c r="P8" s="6"/>
      <c r="Q8" s="6"/>
      <c r="R8" s="6"/>
      <c r="S8" s="6"/>
      <c r="T8" s="6"/>
      <c r="U8" s="6"/>
      <c r="V8" s="6"/>
      <c r="W8" s="6"/>
      <c r="X8" s="6"/>
      <c r="Y8" s="6"/>
      <c r="Z8" s="6"/>
    </row>
    <row r="9" spans="1:26" x14ac:dyDescent="0.3">
      <c r="A9" s="186" t="s">
        <v>80</v>
      </c>
      <c r="B9" s="191" t="str">
        <f>IF($B$5="","",IFERROR(_xlfn.LET(_xlpm.v,INDEX('03 Day log'!$N$8:$N$38,MATCH($B$5,'03 Day log'!$A$8:$A$38,0)),IF(_xlpm.v="","",_xlpm.v)),""))</f>
        <v>Rain</v>
      </c>
      <c r="C9" s="188"/>
      <c r="D9" s="189"/>
      <c r="E9" s="186" t="s">
        <v>198</v>
      </c>
      <c r="F9" s="195" t="str">
        <f>IF($B$5="","",IFERROR(_xlfn.LET(_xlpm.v,INDEX('03 Day log'!$R$8:$R$38,MATCH($B$5,'03 Day log'!$A$8:$A$38,0)),IF(_xlpm.v="","",_xlpm.v)),""))</f>
        <v/>
      </c>
      <c r="G9" s="196"/>
      <c r="H9" s="185"/>
      <c r="I9" s="6"/>
      <c r="J9" s="6"/>
      <c r="K9" s="6"/>
      <c r="L9" s="6"/>
      <c r="M9" s="6"/>
      <c r="N9" s="6"/>
      <c r="O9" s="6"/>
      <c r="P9" s="6"/>
      <c r="Q9" s="6"/>
      <c r="R9" s="6"/>
      <c r="S9" s="6"/>
      <c r="T9" s="6"/>
      <c r="U9" s="6"/>
      <c r="V9" s="6"/>
      <c r="W9" s="6"/>
      <c r="X9" s="6"/>
      <c r="Y9" s="6"/>
      <c r="Z9" s="6"/>
    </row>
    <row r="10" spans="1:26" x14ac:dyDescent="0.3">
      <c r="A10" s="186" t="s">
        <v>81</v>
      </c>
      <c r="B10" s="191" t="str">
        <f>IF($B$5="","",IFERROR(_xlfn.LET(_xlpm.v,INDEX('03 Day log'!$G$8:$G$38,MATCH($B$5,'03 Day log'!$A$8:$A$38,0)),IF(_xlpm.v="","",_xlpm.v)),""))</f>
        <v>Part lost</v>
      </c>
      <c r="C10" s="188"/>
      <c r="D10" s="189"/>
      <c r="E10" s="186" t="s">
        <v>50</v>
      </c>
      <c r="F10" s="195" t="str">
        <f>'14 Setup'!B6</f>
        <v>Example project</v>
      </c>
      <c r="G10" s="196"/>
      <c r="H10" s="185"/>
      <c r="I10" s="6"/>
      <c r="J10" s="6"/>
      <c r="K10" s="6"/>
      <c r="L10" s="6"/>
      <c r="M10" s="6"/>
      <c r="N10" s="6"/>
      <c r="O10" s="6"/>
      <c r="P10" s="6"/>
      <c r="Q10" s="6"/>
      <c r="R10" s="6"/>
      <c r="S10" s="6"/>
      <c r="T10" s="6"/>
      <c r="U10" s="6"/>
      <c r="V10" s="6"/>
      <c r="W10" s="6"/>
      <c r="X10" s="6"/>
      <c r="Y10" s="6"/>
      <c r="Z10" s="6"/>
    </row>
    <row r="11" spans="1:26" ht="15" thickBot="1" x14ac:dyDescent="0.35">
      <c r="A11" s="197" t="s">
        <v>199</v>
      </c>
      <c r="B11" s="198" t="str">
        <f>IF($B$5="","",IFERROR(_xlfn.LET(_xlpm.v,INDEX('03 Day log'!$O$8:$O$38,MATCH($B$5,'03 Day log'!$A$8:$A$38,0)),IF(_xlpm.v="","",_xlpm.v)),""))</f>
        <v/>
      </c>
      <c r="C11" s="199"/>
      <c r="D11" s="200"/>
      <c r="E11" s="197" t="s">
        <v>293</v>
      </c>
      <c r="F11" s="201">
        <f>IF($B$5="","",IFERROR(_xlfn.LET(_xlpm.v,INDEX('03 Day log'!$P$8:$P$38,MATCH($B$5,'03 Day log'!$A$8:$A$38,0)),IF(_xlpm.v="","",_xlpm.v)),""))</f>
        <v>6</v>
      </c>
      <c r="G11" s="200"/>
      <c r="H11" s="202"/>
      <c r="I11" s="6"/>
      <c r="J11" s="6"/>
      <c r="K11" s="6"/>
      <c r="L11" s="6"/>
      <c r="M11" s="6"/>
      <c r="N11" s="6"/>
      <c r="O11" s="6"/>
      <c r="P11" s="6"/>
      <c r="Q11" s="6"/>
      <c r="R11" s="6"/>
      <c r="S11" s="6"/>
      <c r="T11" s="6"/>
      <c r="U11" s="6"/>
      <c r="V11" s="6"/>
      <c r="W11" s="6"/>
      <c r="X11" s="6"/>
      <c r="Y11" s="6"/>
      <c r="Z11" s="6"/>
    </row>
    <row r="12" spans="1:26" ht="15" thickTop="1" x14ac:dyDescent="0.3">
      <c r="A12" s="178"/>
      <c r="B12" s="178"/>
      <c r="C12" s="178"/>
      <c r="D12" s="178"/>
      <c r="E12" s="178"/>
      <c r="F12" s="178"/>
      <c r="G12" s="178"/>
      <c r="H12" s="178"/>
      <c r="I12" s="6"/>
      <c r="J12" s="6"/>
      <c r="K12" s="6"/>
      <c r="L12" s="6"/>
      <c r="M12" s="6"/>
      <c r="N12" s="6"/>
      <c r="O12" s="6"/>
      <c r="P12" s="6"/>
      <c r="Q12" s="6"/>
      <c r="R12" s="6"/>
      <c r="S12" s="6"/>
      <c r="T12" s="6"/>
      <c r="U12" s="6"/>
      <c r="V12" s="6"/>
      <c r="W12" s="6"/>
      <c r="X12" s="6"/>
      <c r="Y12" s="6"/>
      <c r="Z12" s="6"/>
    </row>
    <row r="13" spans="1:26" ht="22.05" customHeight="1" x14ac:dyDescent="0.3">
      <c r="A13" s="210" t="s">
        <v>82</v>
      </c>
      <c r="B13" s="211"/>
      <c r="C13" s="211"/>
      <c r="D13" s="211"/>
      <c r="E13" s="211"/>
      <c r="F13" s="211"/>
      <c r="G13" s="211"/>
      <c r="H13" s="242" t="str">
        <f>IF($B$5="","",IF(COUNTIFS('04 Resource log'!$A$7:$A$506,$B$5,'04 Resource log'!$E$7:$E$506,"Labour")&gt;10,"⚠ "&amp;COUNTIFS('04 Resource log'!$A$7:$A$506,$B$5,'04 Resource log'!$E$7:$E$506,"Labour")&amp;" lines in the Resource log: only 10 fit here",""))</f>
        <v/>
      </c>
      <c r="I13" s="6"/>
      <c r="J13" s="6"/>
      <c r="K13" s="6"/>
      <c r="L13" s="6"/>
      <c r="M13" s="6"/>
      <c r="N13" s="6"/>
      <c r="O13" s="6"/>
      <c r="P13" s="6"/>
      <c r="Q13" s="6"/>
      <c r="R13" s="6"/>
      <c r="S13" s="6"/>
      <c r="T13" s="6"/>
      <c r="U13" s="6"/>
      <c r="V13" s="6"/>
      <c r="W13" s="6"/>
      <c r="X13" s="6"/>
      <c r="Y13" s="6"/>
      <c r="Z13" s="6"/>
    </row>
    <row r="14" spans="1:26" s="3" customFormat="1" ht="27.6" customHeight="1" x14ac:dyDescent="0.2">
      <c r="A14" s="212" t="s">
        <v>83</v>
      </c>
      <c r="B14" s="212" t="s">
        <v>84</v>
      </c>
      <c r="C14" s="212" t="s">
        <v>85</v>
      </c>
      <c r="D14" s="212" t="s">
        <v>86</v>
      </c>
      <c r="E14" s="212" t="s">
        <v>87</v>
      </c>
      <c r="F14" s="212" t="s">
        <v>294</v>
      </c>
      <c r="G14" s="213" t="s">
        <v>88</v>
      </c>
      <c r="H14" s="213"/>
      <c r="I14" s="42"/>
      <c r="J14" s="42"/>
      <c r="K14" s="42"/>
      <c r="L14" s="42"/>
      <c r="M14" s="42"/>
      <c r="N14" s="42"/>
      <c r="O14" s="42"/>
      <c r="P14" s="42"/>
      <c r="Q14" s="42"/>
      <c r="R14" s="42"/>
      <c r="S14" s="42"/>
      <c r="T14" s="42"/>
      <c r="U14" s="42"/>
      <c r="V14" s="42"/>
      <c r="W14" s="42"/>
      <c r="X14" s="42"/>
      <c r="Y14" s="42"/>
      <c r="Z14" s="42"/>
    </row>
    <row r="15" spans="1:26" s="4" customFormat="1" x14ac:dyDescent="0.3">
      <c r="A15" s="214" t="str" cm="1">
        <f t="array" ref="A15">IF($B$5="","",IFERROR(_xlfn.LET(_xlpm.v,INDEX(_xlfn._xlws.FILTER('04 Resource log'!$G$7:$G$506,('04 Resource log'!$A$7:$A$506=$B$5)*('04 Resource log'!$E$7:$E$506="Labour")),ROWS($A$15:A15)),IF(_xlpm.v="","",_xlpm.v)),""))</f>
        <v>Piling sub</v>
      </c>
      <c r="B15" s="214" t="str" cm="1">
        <f t="array" ref="B15">IF($B$5="","",IFERROR(_xlfn.LET(_xlpm.v,INDEX(_xlfn._xlws.FILTER('04 Resource log'!$F$7:$F$506,('04 Resource log'!$A$7:$A$506=$B$5)*('04 Resource log'!$E$7:$E$506="Labour")),ROWS($A$15:A15)),IF(_xlpm.v="","",_xlpm.v)),""))</f>
        <v>Piling crew</v>
      </c>
      <c r="C15" s="215" cm="1">
        <f t="array" ref="C15">IF($B$5="","",IFERROR(_xlfn.LET(_xlpm.v,INDEX(_xlfn._xlws.FILTER('04 Resource log'!$H$7:$H$506,('04 Resource log'!$A$7:$A$506=$B$5)*('04 Resource log'!$E$7:$E$506="Labour")),ROWS($A$15:A15)),IF(_xlpm.v="","",_xlpm.v)),""))</f>
        <v>6</v>
      </c>
      <c r="D15" s="216" cm="1">
        <f t="array" ref="D15">IF($B$5="","",IFERROR(_xlfn.LET(_xlpm.v,INDEX(_xlfn._xlws.FILTER('04 Resource log'!$I$7:$I$506,('04 Resource log'!$A$7:$A$506=$B$5)*('04 Resource log'!$E$7:$E$506="Labour")),ROWS($A$15:A15)),IF(_xlpm.v="","",_xlpm.v)),""))</f>
        <v>9</v>
      </c>
      <c r="E15" s="215">
        <f t="shared" ref="E15:E24" si="0">IF(OR(C15="",D15=""),"",C15*D15)</f>
        <v>54</v>
      </c>
      <c r="F15" s="215" t="str" cm="1">
        <f t="array" ref="F15">IF($B$5="","",IFERROR(_xlfn.LET(_xlpm.v,INDEX(_xlfn._xlws.FILTER('04 Resource log'!$B$7:$B$506,('04 Resource log'!$A$7:$A$506=$B$5)*('04 Resource log'!$E$7:$E$506="Labour")),ROWS($A$15:A15)),IF(_xlpm.v="","",_xlpm.v)),""))</f>
        <v>A1000</v>
      </c>
      <c r="G15" s="217"/>
      <c r="H15" s="217"/>
      <c r="I15" s="43"/>
      <c r="J15" s="43"/>
      <c r="K15" s="43"/>
      <c r="L15" s="43"/>
      <c r="M15" s="43"/>
      <c r="N15" s="43"/>
      <c r="O15" s="43"/>
      <c r="P15" s="43"/>
      <c r="Q15" s="43"/>
      <c r="R15" s="43"/>
      <c r="S15" s="43"/>
      <c r="T15" s="43"/>
      <c r="U15" s="43"/>
      <c r="V15" s="43"/>
      <c r="W15" s="43"/>
      <c r="X15" s="43"/>
      <c r="Y15" s="43"/>
      <c r="Z15" s="43"/>
    </row>
    <row r="16" spans="1:26" s="4" customFormat="1" x14ac:dyDescent="0.3">
      <c r="A16" s="218" t="str" cm="1">
        <f t="array" ref="A16">IF($B$5="","",IFERROR(_xlfn.LET(_xlpm.v,INDEX(_xlfn._xlws.FILTER('04 Resource log'!$G$7:$G$506,('04 Resource log'!$A$7:$A$506=$B$5)*('04 Resource log'!$E$7:$E$506="Labour")),ROWS($A$15:A16)),IF(_xlpm.v="","",_xlpm.v)),""))</f>
        <v>Rebar sub</v>
      </c>
      <c r="B16" s="218" t="str" cm="1">
        <f t="array" ref="B16">IF($B$5="","",IFERROR(_xlfn.LET(_xlpm.v,INDEX(_xlfn._xlws.FILTER('04 Resource log'!$F$7:$F$506,('04 Resource log'!$A$7:$A$506=$B$5)*('04 Resource log'!$E$7:$E$506="Labour")),ROWS($A$15:A16)),IF(_xlpm.v="","",_xlpm.v)),""))</f>
        <v>Rebar gang</v>
      </c>
      <c r="C16" s="219" cm="1">
        <f t="array" ref="C16">IF($B$5="","",IFERROR(_xlfn.LET(_xlpm.v,INDEX(_xlfn._xlws.FILTER('04 Resource log'!$H$7:$H$506,('04 Resource log'!$A$7:$A$506=$B$5)*('04 Resource log'!$E$7:$E$506="Labour")),ROWS($A$15:A16)),IF(_xlpm.v="","",_xlpm.v)),""))</f>
        <v>8</v>
      </c>
      <c r="D16" s="220" cm="1">
        <f t="array" ref="D16">IF($B$5="","",IFERROR(_xlfn.LET(_xlpm.v,INDEX(_xlfn._xlws.FILTER('04 Resource log'!$I$7:$I$506,('04 Resource log'!$A$7:$A$506=$B$5)*('04 Resource log'!$E$7:$E$506="Labour")),ROWS($A$15:A16)),IF(_xlpm.v="","",_xlpm.v)),""))</f>
        <v>9</v>
      </c>
      <c r="E16" s="219">
        <f t="shared" si="0"/>
        <v>72</v>
      </c>
      <c r="F16" s="219" t="str" cm="1">
        <f t="array" ref="F16">IF($B$5="","",IFERROR(_xlfn.LET(_xlpm.v,INDEX(_xlfn._xlws.FILTER('04 Resource log'!$B$7:$B$506,('04 Resource log'!$A$7:$A$506=$B$5)*('04 Resource log'!$E$7:$E$506="Labour")),ROWS($A$15:A16)),IF(_xlpm.v="","",_xlpm.v)),""))</f>
        <v>A1100</v>
      </c>
      <c r="G16" s="221"/>
      <c r="H16" s="221"/>
      <c r="I16" s="43"/>
      <c r="J16" s="43"/>
      <c r="K16" s="43"/>
      <c r="L16" s="43"/>
      <c r="M16" s="43"/>
      <c r="N16" s="43"/>
      <c r="O16" s="43"/>
      <c r="P16" s="43"/>
      <c r="Q16" s="43"/>
      <c r="R16" s="43"/>
      <c r="S16" s="43"/>
      <c r="T16" s="43"/>
      <c r="U16" s="43"/>
      <c r="V16" s="43"/>
      <c r="W16" s="43"/>
      <c r="X16" s="43"/>
      <c r="Y16" s="43"/>
      <c r="Z16" s="43"/>
    </row>
    <row r="17" spans="1:26" s="4" customFormat="1" x14ac:dyDescent="0.3">
      <c r="A17" s="218" t="str" cm="1">
        <f t="array" ref="A17">IF($B$5="","",IFERROR(_xlfn.LET(_xlpm.v,INDEX(_xlfn._xlws.FILTER('04 Resource log'!$G$7:$G$506,('04 Resource log'!$A$7:$A$506=$B$5)*('04 Resource log'!$E$7:$E$506="Labour")),ROWS($A$15:A17)),IF(_xlpm.v="","",_xlpm.v)),""))</f>
        <v>Concrete sub</v>
      </c>
      <c r="B17" s="218" t="str" cm="1">
        <f t="array" ref="B17">IF($B$5="","",IFERROR(_xlfn.LET(_xlpm.v,INDEX(_xlfn._xlws.FILTER('04 Resource log'!$F$7:$F$506,('04 Resource log'!$A$7:$A$506=$B$5)*('04 Resource log'!$E$7:$E$506="Labour")),ROWS($A$15:A17)),IF(_xlpm.v="","",_xlpm.v)),""))</f>
        <v>Concrete gang</v>
      </c>
      <c r="C17" s="219" cm="1">
        <f t="array" ref="C17">IF($B$5="","",IFERROR(_xlfn.LET(_xlpm.v,INDEX(_xlfn._xlws.FILTER('04 Resource log'!$H$7:$H$506,('04 Resource log'!$A$7:$A$506=$B$5)*('04 Resource log'!$E$7:$E$506="Labour")),ROWS($A$15:A17)),IF(_xlpm.v="","",_xlpm.v)),""))</f>
        <v>6</v>
      </c>
      <c r="D17" s="220" cm="1">
        <f t="array" ref="D17">IF($B$5="","",IFERROR(_xlfn.LET(_xlpm.v,INDEX(_xlfn._xlws.FILTER('04 Resource log'!$I$7:$I$506,('04 Resource log'!$A$7:$A$506=$B$5)*('04 Resource log'!$E$7:$E$506="Labour")),ROWS($A$15:A17)),IF(_xlpm.v="","",_xlpm.v)),""))</f>
        <v>9</v>
      </c>
      <c r="E17" s="219">
        <f t="shared" si="0"/>
        <v>54</v>
      </c>
      <c r="F17" s="219" t="str" cm="1">
        <f t="array" ref="F17">IF($B$5="","",IFERROR(_xlfn.LET(_xlpm.v,INDEX(_xlfn._xlws.FILTER('04 Resource log'!$B$7:$B$506,('04 Resource log'!$A$7:$A$506=$B$5)*('04 Resource log'!$E$7:$E$506="Labour")),ROWS($A$15:A17)),IF(_xlpm.v="","",_xlpm.v)),""))</f>
        <v>A1200</v>
      </c>
      <c r="G17" s="221"/>
      <c r="H17" s="221"/>
      <c r="I17" s="43"/>
      <c r="J17" s="43"/>
      <c r="K17" s="43"/>
      <c r="L17" s="43"/>
      <c r="M17" s="43"/>
      <c r="N17" s="43"/>
      <c r="O17" s="43"/>
      <c r="P17" s="43"/>
      <c r="Q17" s="43"/>
      <c r="R17" s="43"/>
      <c r="S17" s="43"/>
      <c r="T17" s="43"/>
      <c r="U17" s="43"/>
      <c r="V17" s="43"/>
      <c r="W17" s="43"/>
      <c r="X17" s="43"/>
      <c r="Y17" s="43"/>
      <c r="Z17" s="43"/>
    </row>
    <row r="18" spans="1:26" s="4" customFormat="1" x14ac:dyDescent="0.3">
      <c r="A18" s="218" t="str" cm="1">
        <f t="array" ref="A18">IF($B$5="","",IFERROR(_xlfn.LET(_xlpm.v,INDEX(_xlfn._xlws.FILTER('04 Resource log'!$G$7:$G$506,('04 Resource log'!$A$7:$A$506=$B$5)*('04 Resource log'!$E$7:$E$506="Labour")),ROWS($A$15:A18)),IF(_xlpm.v="","",_xlpm.v)),""))</f>
        <v>Groundworks</v>
      </c>
      <c r="B18" s="218" t="str" cm="1">
        <f t="array" ref="B18">IF($B$5="","",IFERROR(_xlfn.LET(_xlpm.v,INDEX(_xlfn._xlws.FILTER('04 Resource log'!$F$7:$F$506,('04 Resource log'!$A$7:$A$506=$B$5)*('04 Resource log'!$E$7:$E$506="Labour")),ROWS($A$15:A18)),IF(_xlpm.v="","",_xlpm.v)),""))</f>
        <v>Groundworks</v>
      </c>
      <c r="C18" s="219" cm="1">
        <f t="array" ref="C18">IF($B$5="","",IFERROR(_xlfn.LET(_xlpm.v,INDEX(_xlfn._xlws.FILTER('04 Resource log'!$H$7:$H$506,('04 Resource log'!$A$7:$A$506=$B$5)*('04 Resource log'!$E$7:$E$506="Labour")),ROWS($A$15:A18)),IF(_xlpm.v="","",_xlpm.v)),""))</f>
        <v>5</v>
      </c>
      <c r="D18" s="220" cm="1">
        <f t="array" ref="D18">IF($B$5="","",IFERROR(_xlfn.LET(_xlpm.v,INDEX(_xlfn._xlws.FILTER('04 Resource log'!$I$7:$I$506,('04 Resource log'!$A$7:$A$506=$B$5)*('04 Resource log'!$E$7:$E$506="Labour")),ROWS($A$15:A18)),IF(_xlpm.v="","",_xlpm.v)),""))</f>
        <v>9</v>
      </c>
      <c r="E18" s="219">
        <f t="shared" si="0"/>
        <v>45</v>
      </c>
      <c r="F18" s="219" t="str" cm="1">
        <f t="array" ref="F18">IF($B$5="","",IFERROR(_xlfn.LET(_xlpm.v,INDEX(_xlfn._xlws.FILTER('04 Resource log'!$B$7:$B$506,('04 Resource log'!$A$7:$A$506=$B$5)*('04 Resource log'!$E$7:$E$506="Labour")),ROWS($A$15:A18)),IF(_xlpm.v="","",_xlpm.v)),""))</f>
        <v>A1300</v>
      </c>
      <c r="G18" s="221"/>
      <c r="H18" s="221"/>
      <c r="I18" s="43"/>
      <c r="J18" s="43"/>
      <c r="K18" s="43"/>
      <c r="L18" s="43"/>
      <c r="M18" s="43"/>
      <c r="N18" s="43"/>
      <c r="O18" s="43"/>
      <c r="P18" s="43"/>
      <c r="Q18" s="43"/>
      <c r="R18" s="43"/>
      <c r="S18" s="43"/>
      <c r="T18" s="43"/>
      <c r="U18" s="43"/>
      <c r="V18" s="43"/>
      <c r="W18" s="43"/>
      <c r="X18" s="43"/>
      <c r="Y18" s="43"/>
      <c r="Z18" s="43"/>
    </row>
    <row r="19" spans="1:26" s="4" customFormat="1" x14ac:dyDescent="0.3">
      <c r="A19" s="218" t="str" cm="1">
        <f t="array" ref="A19">IF($B$5="","",IFERROR(_xlfn.LET(_xlpm.v,INDEX(_xlfn._xlws.FILTER('04 Resource log'!$G$7:$G$506,('04 Resource log'!$A$7:$A$506=$B$5)*('04 Resource log'!$E$7:$E$506="Labour")),ROWS($A$15:A19)),IF(_xlpm.v="","",_xlpm.v)),""))</f>
        <v>Main contractor</v>
      </c>
      <c r="B19" s="218" t="str" cm="1">
        <f t="array" ref="B19">IF($B$5="","",IFERROR(_xlfn.LET(_xlpm.v,INDEX(_xlfn._xlws.FILTER('04 Resource log'!$F$7:$F$506,('04 Resource log'!$A$7:$A$506=$B$5)*('04 Resource log'!$E$7:$E$506="Labour")),ROWS($A$15:A19)),IF(_xlpm.v="","",_xlpm.v)),""))</f>
        <v>Supervision</v>
      </c>
      <c r="C19" s="219" cm="1">
        <f t="array" ref="C19">IF($B$5="","",IFERROR(_xlfn.LET(_xlpm.v,INDEX(_xlfn._xlws.FILTER('04 Resource log'!$H$7:$H$506,('04 Resource log'!$A$7:$A$506=$B$5)*('04 Resource log'!$E$7:$E$506="Labour")),ROWS($A$15:A19)),IF(_xlpm.v="","",_xlpm.v)),""))</f>
        <v>3</v>
      </c>
      <c r="D19" s="220" cm="1">
        <f t="array" ref="D19">IF($B$5="","",IFERROR(_xlfn.LET(_xlpm.v,INDEX(_xlfn._xlws.FILTER('04 Resource log'!$I$7:$I$506,('04 Resource log'!$A$7:$A$506=$B$5)*('04 Resource log'!$E$7:$E$506="Labour")),ROWS($A$15:A19)),IF(_xlpm.v="","",_xlpm.v)),""))</f>
        <v>10</v>
      </c>
      <c r="E19" s="219">
        <f t="shared" si="0"/>
        <v>30</v>
      </c>
      <c r="F19" s="219" t="str" cm="1">
        <f t="array" ref="F19">IF($B$5="","",IFERROR(_xlfn.LET(_xlpm.v,INDEX(_xlfn._xlws.FILTER('04 Resource log'!$B$7:$B$506,('04 Resource log'!$A$7:$A$506=$B$5)*('04 Resource log'!$E$7:$E$506="Labour")),ROWS($A$15:A19)),IF(_xlpm.v="","",_xlpm.v)),""))</f>
        <v>INDIRECT</v>
      </c>
      <c r="G19" s="222"/>
      <c r="H19" s="222"/>
      <c r="I19" s="43"/>
      <c r="J19" s="43"/>
      <c r="K19" s="43"/>
      <c r="L19" s="43"/>
      <c r="M19" s="43"/>
      <c r="N19" s="43"/>
      <c r="O19" s="43"/>
      <c r="P19" s="43"/>
      <c r="Q19" s="43"/>
      <c r="R19" s="43"/>
      <c r="S19" s="43"/>
      <c r="T19" s="43"/>
      <c r="U19" s="43"/>
      <c r="V19" s="43"/>
      <c r="W19" s="43"/>
      <c r="X19" s="43"/>
      <c r="Y19" s="43"/>
      <c r="Z19" s="43"/>
    </row>
    <row r="20" spans="1:26" s="4" customFormat="1" x14ac:dyDescent="0.3">
      <c r="A20" s="218" t="str" cm="1">
        <f t="array" ref="A20">IF($B$5="","",IFERROR(_xlfn.LET(_xlpm.v,INDEX(_xlfn._xlws.FILTER('04 Resource log'!$G$7:$G$506,('04 Resource log'!$A$7:$A$506=$B$5)*('04 Resource log'!$E$7:$E$506="Labour")),ROWS($A$15:A20)),IF(_xlpm.v="","",_xlpm.v)),""))</f>
        <v/>
      </c>
      <c r="B20" s="218" t="str" cm="1">
        <f t="array" ref="B20">IF($B$5="","",IFERROR(_xlfn.LET(_xlpm.v,INDEX(_xlfn._xlws.FILTER('04 Resource log'!$F$7:$F$506,('04 Resource log'!$A$7:$A$506=$B$5)*('04 Resource log'!$E$7:$E$506="Labour")),ROWS($A$15:A20)),IF(_xlpm.v="","",_xlpm.v)),""))</f>
        <v/>
      </c>
      <c r="C20" s="219" t="str" cm="1">
        <f t="array" ref="C20">IF($B$5="","",IFERROR(_xlfn.LET(_xlpm.v,INDEX(_xlfn._xlws.FILTER('04 Resource log'!$H$7:$H$506,('04 Resource log'!$A$7:$A$506=$B$5)*('04 Resource log'!$E$7:$E$506="Labour")),ROWS($A$15:A20)),IF(_xlpm.v="","",_xlpm.v)),""))</f>
        <v/>
      </c>
      <c r="D20" s="220" t="str" cm="1">
        <f t="array" ref="D20">IF($B$5="","",IFERROR(_xlfn.LET(_xlpm.v,INDEX(_xlfn._xlws.FILTER('04 Resource log'!$I$7:$I$506,('04 Resource log'!$A$7:$A$506=$B$5)*('04 Resource log'!$E$7:$E$506="Labour")),ROWS($A$15:A20)),IF(_xlpm.v="","",_xlpm.v)),""))</f>
        <v/>
      </c>
      <c r="E20" s="219" t="str">
        <f t="shared" si="0"/>
        <v/>
      </c>
      <c r="F20" s="219" t="str" cm="1">
        <f t="array" ref="F20">IF($B$5="","",IFERROR(_xlfn.LET(_xlpm.v,INDEX(_xlfn._xlws.FILTER('04 Resource log'!$B$7:$B$506,('04 Resource log'!$A$7:$A$506=$B$5)*('04 Resource log'!$E$7:$E$506="Labour")),ROWS($A$15:A20)),IF(_xlpm.v="","",_xlpm.v)),""))</f>
        <v/>
      </c>
      <c r="G20" s="221"/>
      <c r="H20" s="221"/>
      <c r="I20" s="43"/>
      <c r="J20" s="43"/>
      <c r="K20" s="43"/>
      <c r="L20" s="43"/>
      <c r="M20" s="43"/>
      <c r="N20" s="43"/>
      <c r="O20" s="43"/>
      <c r="P20" s="43"/>
      <c r="Q20" s="43"/>
      <c r="R20" s="43"/>
      <c r="S20" s="43"/>
      <c r="T20" s="43"/>
      <c r="U20" s="43"/>
      <c r="V20" s="43"/>
      <c r="W20" s="43"/>
      <c r="X20" s="43"/>
      <c r="Y20" s="43"/>
      <c r="Z20" s="43"/>
    </row>
    <row r="21" spans="1:26" s="4" customFormat="1" x14ac:dyDescent="0.3">
      <c r="A21" s="218" t="str" cm="1">
        <f t="array" ref="A21">IF($B$5="","",IFERROR(_xlfn.LET(_xlpm.v,INDEX(_xlfn._xlws.FILTER('04 Resource log'!$G$7:$G$506,('04 Resource log'!$A$7:$A$506=$B$5)*('04 Resource log'!$E$7:$E$506="Labour")),ROWS($A$15:A21)),IF(_xlpm.v="","",_xlpm.v)),""))</f>
        <v/>
      </c>
      <c r="B21" s="218" t="str" cm="1">
        <f t="array" ref="B21">IF($B$5="","",IFERROR(_xlfn.LET(_xlpm.v,INDEX(_xlfn._xlws.FILTER('04 Resource log'!$F$7:$F$506,('04 Resource log'!$A$7:$A$506=$B$5)*('04 Resource log'!$E$7:$E$506="Labour")),ROWS($A$15:A21)),IF(_xlpm.v="","",_xlpm.v)),""))</f>
        <v/>
      </c>
      <c r="C21" s="219" t="str" cm="1">
        <f t="array" ref="C21">IF($B$5="","",IFERROR(_xlfn.LET(_xlpm.v,INDEX(_xlfn._xlws.FILTER('04 Resource log'!$H$7:$H$506,('04 Resource log'!$A$7:$A$506=$B$5)*('04 Resource log'!$E$7:$E$506="Labour")),ROWS($A$15:A21)),IF(_xlpm.v="","",_xlpm.v)),""))</f>
        <v/>
      </c>
      <c r="D21" s="220" t="str" cm="1">
        <f t="array" ref="D21">IF($B$5="","",IFERROR(_xlfn.LET(_xlpm.v,INDEX(_xlfn._xlws.FILTER('04 Resource log'!$I$7:$I$506,('04 Resource log'!$A$7:$A$506=$B$5)*('04 Resource log'!$E$7:$E$506="Labour")),ROWS($A$15:A21)),IF(_xlpm.v="","",_xlpm.v)),""))</f>
        <v/>
      </c>
      <c r="E21" s="219" t="str">
        <f t="shared" si="0"/>
        <v/>
      </c>
      <c r="F21" s="219" t="str" cm="1">
        <f t="array" ref="F21">IF($B$5="","",IFERROR(_xlfn.LET(_xlpm.v,INDEX(_xlfn._xlws.FILTER('04 Resource log'!$B$7:$B$506,('04 Resource log'!$A$7:$A$506=$B$5)*('04 Resource log'!$E$7:$E$506="Labour")),ROWS($A$15:A21)),IF(_xlpm.v="","",_xlpm.v)),""))</f>
        <v/>
      </c>
      <c r="G21" s="221"/>
      <c r="H21" s="221"/>
      <c r="I21" s="43"/>
      <c r="J21" s="43"/>
      <c r="K21" s="43"/>
      <c r="L21" s="43"/>
      <c r="M21" s="43"/>
      <c r="N21" s="43"/>
      <c r="O21" s="43"/>
      <c r="P21" s="43"/>
      <c r="Q21" s="43"/>
      <c r="R21" s="43"/>
      <c r="S21" s="43"/>
      <c r="T21" s="43"/>
      <c r="U21" s="43"/>
      <c r="V21" s="43"/>
      <c r="W21" s="43"/>
      <c r="X21" s="43"/>
      <c r="Y21" s="43"/>
      <c r="Z21" s="43"/>
    </row>
    <row r="22" spans="1:26" s="4" customFormat="1" x14ac:dyDescent="0.3">
      <c r="A22" s="218" t="str" cm="1">
        <f t="array" ref="A22">IF($B$5="","",IFERROR(_xlfn.LET(_xlpm.v,INDEX(_xlfn._xlws.FILTER('04 Resource log'!$G$7:$G$506,('04 Resource log'!$A$7:$A$506=$B$5)*('04 Resource log'!$E$7:$E$506="Labour")),ROWS($A$15:A22)),IF(_xlpm.v="","",_xlpm.v)),""))</f>
        <v/>
      </c>
      <c r="B22" s="218" t="str" cm="1">
        <f t="array" ref="B22">IF($B$5="","",IFERROR(_xlfn.LET(_xlpm.v,INDEX(_xlfn._xlws.FILTER('04 Resource log'!$F$7:$F$506,('04 Resource log'!$A$7:$A$506=$B$5)*('04 Resource log'!$E$7:$E$506="Labour")),ROWS($A$15:A22)),IF(_xlpm.v="","",_xlpm.v)),""))</f>
        <v/>
      </c>
      <c r="C22" s="219" t="str" cm="1">
        <f t="array" ref="C22">IF($B$5="","",IFERROR(_xlfn.LET(_xlpm.v,INDEX(_xlfn._xlws.FILTER('04 Resource log'!$H$7:$H$506,('04 Resource log'!$A$7:$A$506=$B$5)*('04 Resource log'!$E$7:$E$506="Labour")),ROWS($A$15:A22)),IF(_xlpm.v="","",_xlpm.v)),""))</f>
        <v/>
      </c>
      <c r="D22" s="220" t="str" cm="1">
        <f t="array" ref="D22">IF($B$5="","",IFERROR(_xlfn.LET(_xlpm.v,INDEX(_xlfn._xlws.FILTER('04 Resource log'!$I$7:$I$506,('04 Resource log'!$A$7:$A$506=$B$5)*('04 Resource log'!$E$7:$E$506="Labour")),ROWS($A$15:A22)),IF(_xlpm.v="","",_xlpm.v)),""))</f>
        <v/>
      </c>
      <c r="E22" s="219" t="str">
        <f t="shared" si="0"/>
        <v/>
      </c>
      <c r="F22" s="219" t="str" cm="1">
        <f t="array" ref="F22">IF($B$5="","",IFERROR(_xlfn.LET(_xlpm.v,INDEX(_xlfn._xlws.FILTER('04 Resource log'!$B$7:$B$506,('04 Resource log'!$A$7:$A$506=$B$5)*('04 Resource log'!$E$7:$E$506="Labour")),ROWS($A$15:A22)),IF(_xlpm.v="","",_xlpm.v)),""))</f>
        <v/>
      </c>
      <c r="G22" s="221"/>
      <c r="H22" s="221"/>
      <c r="I22" s="43"/>
      <c r="J22" s="43"/>
      <c r="K22" s="43"/>
      <c r="L22" s="43"/>
      <c r="M22" s="43"/>
      <c r="N22" s="43"/>
      <c r="O22" s="43"/>
      <c r="P22" s="43"/>
      <c r="Q22" s="43"/>
      <c r="R22" s="43"/>
      <c r="S22" s="43"/>
      <c r="T22" s="43"/>
      <c r="U22" s="43"/>
      <c r="V22" s="43"/>
      <c r="W22" s="43"/>
      <c r="X22" s="43"/>
      <c r="Y22" s="43"/>
      <c r="Z22" s="43"/>
    </row>
    <row r="23" spans="1:26" s="4" customFormat="1" x14ac:dyDescent="0.3">
      <c r="A23" s="218" t="str" cm="1">
        <f t="array" ref="A23">IF($B$5="","",IFERROR(_xlfn.LET(_xlpm.v,INDEX(_xlfn._xlws.FILTER('04 Resource log'!$G$7:$G$506,('04 Resource log'!$A$7:$A$506=$B$5)*('04 Resource log'!$E$7:$E$506="Labour")),ROWS($A$15:A23)),IF(_xlpm.v="","",_xlpm.v)),""))</f>
        <v/>
      </c>
      <c r="B23" s="218" t="str" cm="1">
        <f t="array" ref="B23">IF($B$5="","",IFERROR(_xlfn.LET(_xlpm.v,INDEX(_xlfn._xlws.FILTER('04 Resource log'!$F$7:$F$506,('04 Resource log'!$A$7:$A$506=$B$5)*('04 Resource log'!$E$7:$E$506="Labour")),ROWS($A$15:A23)),IF(_xlpm.v="","",_xlpm.v)),""))</f>
        <v/>
      </c>
      <c r="C23" s="219" t="str" cm="1">
        <f t="array" ref="C23">IF($B$5="","",IFERROR(_xlfn.LET(_xlpm.v,INDEX(_xlfn._xlws.FILTER('04 Resource log'!$H$7:$H$506,('04 Resource log'!$A$7:$A$506=$B$5)*('04 Resource log'!$E$7:$E$506="Labour")),ROWS($A$15:A23)),IF(_xlpm.v="","",_xlpm.v)),""))</f>
        <v/>
      </c>
      <c r="D23" s="220" t="str" cm="1">
        <f t="array" ref="D23">IF($B$5="","",IFERROR(_xlfn.LET(_xlpm.v,INDEX(_xlfn._xlws.FILTER('04 Resource log'!$I$7:$I$506,('04 Resource log'!$A$7:$A$506=$B$5)*('04 Resource log'!$E$7:$E$506="Labour")),ROWS($A$15:A23)),IF(_xlpm.v="","",_xlpm.v)),""))</f>
        <v/>
      </c>
      <c r="E23" s="219" t="str">
        <f t="shared" si="0"/>
        <v/>
      </c>
      <c r="F23" s="219" t="str" cm="1">
        <f t="array" ref="F23">IF($B$5="","",IFERROR(_xlfn.LET(_xlpm.v,INDEX(_xlfn._xlws.FILTER('04 Resource log'!$B$7:$B$506,('04 Resource log'!$A$7:$A$506=$B$5)*('04 Resource log'!$E$7:$E$506="Labour")),ROWS($A$15:A23)),IF(_xlpm.v="","",_xlpm.v)),""))</f>
        <v/>
      </c>
      <c r="G23" s="221"/>
      <c r="H23" s="221"/>
      <c r="I23" s="43"/>
      <c r="J23" s="43"/>
      <c r="K23" s="43"/>
      <c r="L23" s="43"/>
      <c r="M23" s="43"/>
      <c r="N23" s="43"/>
      <c r="O23" s="43"/>
      <c r="P23" s="43"/>
      <c r="Q23" s="43"/>
      <c r="R23" s="43"/>
      <c r="S23" s="43"/>
      <c r="T23" s="43"/>
      <c r="U23" s="43"/>
      <c r="V23" s="43"/>
      <c r="W23" s="43"/>
      <c r="X23" s="43"/>
      <c r="Y23" s="43"/>
      <c r="Z23" s="43"/>
    </row>
    <row r="24" spans="1:26" x14ac:dyDescent="0.3">
      <c r="A24" s="223" t="str" cm="1">
        <f t="array" ref="A24">IF($B$5="","",IFERROR(_xlfn.LET(_xlpm.v,INDEX(_xlfn._xlws.FILTER('04 Resource log'!$G$7:$G$506,('04 Resource log'!$A$7:$A$506=$B$5)*('04 Resource log'!$E$7:$E$506="Labour")),ROWS($A$15:A24)),IF(_xlpm.v="","",_xlpm.v)),""))</f>
        <v/>
      </c>
      <c r="B24" s="223" t="str" cm="1">
        <f t="array" ref="B24">IF($B$5="","",IFERROR(_xlfn.LET(_xlpm.v,INDEX(_xlfn._xlws.FILTER('04 Resource log'!$F$7:$F$506,('04 Resource log'!$A$7:$A$506=$B$5)*('04 Resource log'!$E$7:$E$506="Labour")),ROWS($A$15:A24)),IF(_xlpm.v="","",_xlpm.v)),""))</f>
        <v/>
      </c>
      <c r="C24" s="224" t="str" cm="1">
        <f t="array" ref="C24">IF($B$5="","",IFERROR(_xlfn.LET(_xlpm.v,INDEX(_xlfn._xlws.FILTER('04 Resource log'!$H$7:$H$506,('04 Resource log'!$A$7:$A$506=$B$5)*('04 Resource log'!$E$7:$E$506="Labour")),ROWS($A$15:A24)),IF(_xlpm.v="","",_xlpm.v)),""))</f>
        <v/>
      </c>
      <c r="D24" s="225" t="str" cm="1">
        <f t="array" ref="D24">IF($B$5="","",IFERROR(_xlfn.LET(_xlpm.v,INDEX(_xlfn._xlws.FILTER('04 Resource log'!$I$7:$I$506,('04 Resource log'!$A$7:$A$506=$B$5)*('04 Resource log'!$E$7:$E$506="Labour")),ROWS($A$15:A24)),IF(_xlpm.v="","",_xlpm.v)),""))</f>
        <v/>
      </c>
      <c r="E24" s="224" t="str">
        <f t="shared" si="0"/>
        <v/>
      </c>
      <c r="F24" s="226" t="str" cm="1">
        <f t="array" ref="F24">IF($B$5="","",IFERROR(_xlfn.LET(_xlpm.v,INDEX(_xlfn._xlws.FILTER('04 Resource log'!$B$7:$B$506,('04 Resource log'!$A$7:$A$506=$B$5)*('04 Resource log'!$E$7:$E$506="Labour")),ROWS($A$15:A24)),IF(_xlpm.v="","",_xlpm.v)),""))</f>
        <v/>
      </c>
      <c r="G24" s="227"/>
      <c r="H24" s="227"/>
      <c r="I24" s="6"/>
      <c r="J24" s="6"/>
      <c r="K24" s="6"/>
      <c r="L24" s="6"/>
      <c r="M24" s="6"/>
      <c r="N24" s="6"/>
      <c r="O24" s="6"/>
      <c r="P24" s="6"/>
      <c r="Q24" s="6"/>
      <c r="R24" s="6"/>
      <c r="S24" s="6"/>
      <c r="T24" s="6"/>
      <c r="U24" s="6"/>
      <c r="V24" s="6"/>
      <c r="W24" s="6"/>
      <c r="X24" s="6"/>
      <c r="Y24" s="6"/>
      <c r="Z24" s="6"/>
    </row>
    <row r="25" spans="1:26" ht="15" thickBot="1" x14ac:dyDescent="0.35">
      <c r="A25" s="228"/>
      <c r="B25" s="229" t="s">
        <v>93</v>
      </c>
      <c r="C25" s="230">
        <f>SUM(C15:C24)</f>
        <v>28</v>
      </c>
      <c r="D25" s="228"/>
      <c r="E25" s="230">
        <f>SUM(E15:E24)</f>
        <v>255</v>
      </c>
      <c r="F25" s="228"/>
      <c r="G25" s="228"/>
      <c r="H25" s="228"/>
      <c r="I25" s="6"/>
      <c r="J25" s="6"/>
      <c r="K25" s="6"/>
      <c r="L25" s="6"/>
      <c r="M25" s="6"/>
      <c r="N25" s="6"/>
      <c r="O25" s="6"/>
      <c r="P25" s="6"/>
      <c r="Q25" s="6"/>
      <c r="R25" s="6"/>
      <c r="S25" s="6"/>
      <c r="T25" s="6"/>
      <c r="U25" s="6"/>
      <c r="V25" s="6"/>
      <c r="W25" s="6"/>
      <c r="X25" s="6"/>
      <c r="Y25" s="6"/>
      <c r="Z25" s="6"/>
    </row>
    <row r="26" spans="1:26" x14ac:dyDescent="0.3">
      <c r="A26" s="178"/>
      <c r="B26" s="178"/>
      <c r="C26" s="178"/>
      <c r="D26" s="178"/>
      <c r="E26" s="178"/>
      <c r="F26" s="178"/>
      <c r="G26" s="178"/>
      <c r="H26" s="178"/>
      <c r="I26" s="6"/>
      <c r="J26" s="6"/>
      <c r="K26" s="6"/>
      <c r="L26" s="6"/>
      <c r="M26" s="6"/>
      <c r="N26" s="6"/>
      <c r="O26" s="6"/>
      <c r="P26" s="6"/>
      <c r="Q26" s="6"/>
      <c r="R26" s="6"/>
      <c r="S26" s="6"/>
      <c r="T26" s="6"/>
      <c r="U26" s="6"/>
      <c r="V26" s="6"/>
      <c r="W26" s="6"/>
      <c r="X26" s="6"/>
      <c r="Y26" s="6"/>
      <c r="Z26" s="6"/>
    </row>
    <row r="27" spans="1:26" ht="22.05" customHeight="1" x14ac:dyDescent="0.3">
      <c r="A27" s="210" t="s">
        <v>94</v>
      </c>
      <c r="B27" s="211"/>
      <c r="C27" s="211"/>
      <c r="D27" s="211"/>
      <c r="E27" s="211"/>
      <c r="F27" s="211"/>
      <c r="G27" s="211"/>
      <c r="H27" s="242" t="str">
        <f>IF($B$5="","",IF(COUNTIFS('04 Resource log'!$A$7:$A$506,$B$5,'04 Resource log'!$E$7:$E$506,"Plant")&gt;8,"⚠ "&amp;COUNTIFS('04 Resource log'!$A$7:$A$506,$B$5,'04 Resource log'!$E$7:$E$506,"Plant")&amp;" lines in the Resource log: only 8 fit here",""))</f>
        <v/>
      </c>
      <c r="I27" s="6"/>
      <c r="J27" s="6"/>
      <c r="K27" s="6"/>
      <c r="L27" s="6"/>
      <c r="M27" s="6"/>
      <c r="N27" s="6"/>
      <c r="O27" s="6"/>
      <c r="P27" s="6"/>
      <c r="Q27" s="6"/>
      <c r="R27" s="6"/>
      <c r="S27" s="6"/>
      <c r="T27" s="6"/>
      <c r="U27" s="6"/>
      <c r="V27" s="6"/>
      <c r="W27" s="6"/>
      <c r="X27" s="6"/>
      <c r="Y27" s="6"/>
      <c r="Z27" s="6"/>
    </row>
    <row r="28" spans="1:26" s="3" customFormat="1" ht="27.6" customHeight="1" x14ac:dyDescent="0.25">
      <c r="A28" s="213" t="s">
        <v>57</v>
      </c>
      <c r="B28" s="231"/>
      <c r="C28" s="212" t="s">
        <v>95</v>
      </c>
      <c r="D28" s="212" t="s">
        <v>96</v>
      </c>
      <c r="E28" s="212" t="s">
        <v>97</v>
      </c>
      <c r="F28" s="212" t="s">
        <v>294</v>
      </c>
      <c r="G28" s="212" t="s">
        <v>86</v>
      </c>
      <c r="H28" s="212" t="s">
        <v>98</v>
      </c>
      <c r="I28" s="42"/>
      <c r="J28" s="42"/>
      <c r="K28" s="42"/>
      <c r="L28" s="42"/>
      <c r="M28" s="42"/>
      <c r="N28" s="42"/>
      <c r="O28" s="42"/>
      <c r="P28" s="42"/>
      <c r="Q28" s="42"/>
      <c r="R28" s="42"/>
      <c r="S28" s="42"/>
      <c r="T28" s="42"/>
      <c r="U28" s="42"/>
      <c r="V28" s="42"/>
      <c r="W28" s="42"/>
      <c r="X28" s="42"/>
      <c r="Y28" s="42"/>
      <c r="Z28" s="42"/>
    </row>
    <row r="29" spans="1:26" s="4" customFormat="1" x14ac:dyDescent="0.3">
      <c r="A29" s="232" t="str" cm="1">
        <f t="array" ref="A29">IF($B$5="","",IFERROR(_xlfn.LET(_xlpm.v,INDEX(_xlfn._xlws.FILTER('04 Resource log'!$F$7:$F$506,('04 Resource log'!$A$7:$A$506=$B$5)*('04 Resource log'!$E$7:$E$506="Plant")),ROWS($A$29:A29)),IF(_xlpm.v="","",_xlpm.v)),""))</f>
        <v>Piling rig</v>
      </c>
      <c r="B29" s="217"/>
      <c r="C29" s="215" cm="1">
        <f t="array" ref="C29">IF($B$5="","",IFERROR(_xlfn.LET(_xlpm.v,INDEX(_xlfn._xlws.FILTER('04 Resource log'!$K$7:$K$506,('04 Resource log'!$A$7:$A$506=$B$5)*('04 Resource log'!$E$7:$E$506="Plant")),ROWS($A$29:A29)),IF(_xlpm.v="","",_xlpm.v)),""))</f>
        <v>1</v>
      </c>
      <c r="D29" s="215" cm="1">
        <f t="array" ref="D29">IF($B$5="","",IFERROR(_xlfn.LET(_xlpm.v,INDEX(_xlfn._xlws.FILTER('04 Resource log'!$H$7:$H$506,('04 Resource log'!$A$7:$A$506=$B$5)*('04 Resource log'!$E$7:$E$506="Plant")),ROWS($A$29:A29)),IF(_xlpm.v="","",_xlpm.v)),""))</f>
        <v>1</v>
      </c>
      <c r="E29" s="215">
        <f t="shared" ref="E29:E36" si="1">IF(OR(C29="",D29=""),"",C29-D29)</f>
        <v>0</v>
      </c>
      <c r="F29" s="215" t="str" cm="1">
        <f t="array" ref="F29">IF($B$5="","",IFERROR(_xlfn.LET(_xlpm.v,INDEX(_xlfn._xlws.FILTER('04 Resource log'!$B$7:$B$506,('04 Resource log'!$A$7:$A$506=$B$5)*('04 Resource log'!$E$7:$E$506="Plant")),ROWS($A$29:A29)),IF(_xlpm.v="","",_xlpm.v)),""))</f>
        <v>A1000</v>
      </c>
      <c r="G29" s="216" cm="1">
        <f t="array" ref="G29">IF($B$5="","",IFERROR(_xlfn.LET(_xlpm.v,INDEX(_xlfn._xlws.FILTER('04 Resource log'!$I$7:$I$506,('04 Resource log'!$A$7:$A$506=$B$5)*('04 Resource log'!$E$7:$E$506="Plant")),ROWS($A$29:A29)),IF(_xlpm.v="","",_xlpm.v)),""))</f>
        <v>9</v>
      </c>
      <c r="H29" s="214" t="str" cm="1">
        <f t="array" ref="H29">IF($B$5="","",IFERROR(_xlfn.LET(_xlpm.v,INDEX(_xlfn._xlws.FILTER('04 Resource log'!$L$7:$L$506,('04 Resource log'!$A$7:$A$506=$B$5)*('04 Resource log'!$E$7:$E$506="Plant")),ROWS($A$29:A29)),IF(_xlpm.v="","",_xlpm.v)),""))</f>
        <v/>
      </c>
      <c r="I29" s="43"/>
      <c r="J29" s="43"/>
      <c r="K29" s="43"/>
      <c r="L29" s="43"/>
      <c r="M29" s="43"/>
      <c r="N29" s="43"/>
      <c r="O29" s="43"/>
      <c r="P29" s="43"/>
      <c r="Q29" s="43"/>
      <c r="R29" s="43"/>
      <c r="S29" s="43"/>
      <c r="T29" s="43"/>
      <c r="U29" s="43"/>
      <c r="V29" s="43"/>
      <c r="W29" s="43"/>
      <c r="X29" s="43"/>
      <c r="Y29" s="43"/>
      <c r="Z29" s="43"/>
    </row>
    <row r="30" spans="1:26" s="4" customFormat="1" x14ac:dyDescent="0.3">
      <c r="A30" s="222" t="str" cm="1">
        <f t="array" ref="A30">IF($B$5="","",IFERROR(_xlfn.LET(_xlpm.v,INDEX(_xlfn._xlws.FILTER('04 Resource log'!$F$7:$F$506,('04 Resource log'!$A$7:$A$506=$B$5)*('04 Resource log'!$E$7:$E$506="Plant")),ROWS($A$29:A30)),IF(_xlpm.v="","",_xlpm.v)),""))</f>
        <v>Crawler crane</v>
      </c>
      <c r="B30" s="221"/>
      <c r="C30" s="219" cm="1">
        <f t="array" ref="C30">IF($B$5="","",IFERROR(_xlfn.LET(_xlpm.v,INDEX(_xlfn._xlws.FILTER('04 Resource log'!$K$7:$K$506,('04 Resource log'!$A$7:$A$506=$B$5)*('04 Resource log'!$E$7:$E$506="Plant")),ROWS($A$29:A30)),IF(_xlpm.v="","",_xlpm.v)),""))</f>
        <v>1</v>
      </c>
      <c r="D30" s="219" cm="1">
        <f t="array" ref="D30">IF($B$5="","",IFERROR(_xlfn.LET(_xlpm.v,INDEX(_xlfn._xlws.FILTER('04 Resource log'!$H$7:$H$506,('04 Resource log'!$A$7:$A$506=$B$5)*('04 Resource log'!$E$7:$E$506="Plant")),ROWS($A$29:A30)),IF(_xlpm.v="","",_xlpm.v)),""))</f>
        <v>1</v>
      </c>
      <c r="E30" s="219">
        <f t="shared" si="1"/>
        <v>0</v>
      </c>
      <c r="F30" s="219" t="str" cm="1">
        <f t="array" ref="F30">IF($B$5="","",IFERROR(_xlfn.LET(_xlpm.v,INDEX(_xlfn._xlws.FILTER('04 Resource log'!$B$7:$B$506,('04 Resource log'!$A$7:$A$506=$B$5)*('04 Resource log'!$E$7:$E$506="Plant")),ROWS($A$29:A30)),IF(_xlpm.v="","",_xlpm.v)),""))</f>
        <v>A1100</v>
      </c>
      <c r="G30" s="220" cm="1">
        <f t="array" ref="G30">IF($B$5="","",IFERROR(_xlfn.LET(_xlpm.v,INDEX(_xlfn._xlws.FILTER('04 Resource log'!$I$7:$I$506,('04 Resource log'!$A$7:$A$506=$B$5)*('04 Resource log'!$E$7:$E$506="Plant")),ROWS($A$29:A30)),IF(_xlpm.v="","",_xlpm.v)),""))</f>
        <v>9</v>
      </c>
      <c r="H30" s="218" t="str" cm="1">
        <f t="array" ref="H30">IF($B$5="","",IFERROR(_xlfn.LET(_xlpm.v,INDEX(_xlfn._xlws.FILTER('04 Resource log'!$L$7:$L$506,('04 Resource log'!$A$7:$A$506=$B$5)*('04 Resource log'!$E$7:$E$506="Plant")),ROWS($A$29:A30)),IF(_xlpm.v="","",_xlpm.v)),""))</f>
        <v/>
      </c>
      <c r="I30" s="43"/>
      <c r="J30" s="43"/>
      <c r="K30" s="43"/>
      <c r="L30" s="43"/>
      <c r="M30" s="43"/>
      <c r="N30" s="43"/>
      <c r="O30" s="43"/>
      <c r="P30" s="43"/>
      <c r="Q30" s="43"/>
      <c r="R30" s="43"/>
      <c r="S30" s="43"/>
      <c r="T30" s="43"/>
      <c r="U30" s="43"/>
      <c r="V30" s="43"/>
      <c r="W30" s="43"/>
      <c r="X30" s="43"/>
      <c r="Y30" s="43"/>
      <c r="Z30" s="43"/>
    </row>
    <row r="31" spans="1:26" s="4" customFormat="1" x14ac:dyDescent="0.3">
      <c r="A31" s="222" t="str" cm="1">
        <f t="array" ref="A31">IF($B$5="","",IFERROR(_xlfn.LET(_xlpm.v,INDEX(_xlfn._xlws.FILTER('04 Resource log'!$F$7:$F$506,('04 Resource log'!$A$7:$A$506=$B$5)*('04 Resource log'!$E$7:$E$506="Plant")),ROWS($A$29:A31)),IF(_xlpm.v="","",_xlpm.v)),""))</f>
        <v>Excavator</v>
      </c>
      <c r="B31" s="221"/>
      <c r="C31" s="219" cm="1">
        <f t="array" ref="C31">IF($B$5="","",IFERROR(_xlfn.LET(_xlpm.v,INDEX(_xlfn._xlws.FILTER('04 Resource log'!$K$7:$K$506,('04 Resource log'!$A$7:$A$506=$B$5)*('04 Resource log'!$E$7:$E$506="Plant")),ROWS($A$29:A31)),IF(_xlpm.v="","",_xlpm.v)),""))</f>
        <v>2</v>
      </c>
      <c r="D31" s="219" cm="1">
        <f t="array" ref="D31">IF($B$5="","",IFERROR(_xlfn.LET(_xlpm.v,INDEX(_xlfn._xlws.FILTER('04 Resource log'!$H$7:$H$506,('04 Resource log'!$A$7:$A$506=$B$5)*('04 Resource log'!$E$7:$E$506="Plant")),ROWS($A$29:A31)),IF(_xlpm.v="","",_xlpm.v)),""))</f>
        <v>1</v>
      </c>
      <c r="E31" s="219">
        <f t="shared" si="1"/>
        <v>1</v>
      </c>
      <c r="F31" s="219" t="str" cm="1">
        <f t="array" ref="F31">IF($B$5="","",IFERROR(_xlfn.LET(_xlpm.v,INDEX(_xlfn._xlws.FILTER('04 Resource log'!$B$7:$B$506,('04 Resource log'!$A$7:$A$506=$B$5)*('04 Resource log'!$E$7:$E$506="Plant")),ROWS($A$29:A31)),IF(_xlpm.v="","",_xlpm.v)),""))</f>
        <v>A1300</v>
      </c>
      <c r="G31" s="220" cm="1">
        <f t="array" ref="G31">IF($B$5="","",IFERROR(_xlfn.LET(_xlpm.v,INDEX(_xlfn._xlws.FILTER('04 Resource log'!$I$7:$I$506,('04 Resource log'!$A$7:$A$506=$B$5)*('04 Resource log'!$E$7:$E$506="Plant")),ROWS($A$29:A31)),IF(_xlpm.v="","",_xlpm.v)),""))</f>
        <v>9</v>
      </c>
      <c r="H31" s="218" t="str" cm="1">
        <f t="array" ref="H31">IF($B$5="","",IFERROR(_xlfn.LET(_xlpm.v,INDEX(_xlfn._xlws.FILTER('04 Resource log'!$L$7:$L$506,('04 Resource log'!$A$7:$A$506=$B$5)*('04 Resource log'!$E$7:$E$506="Plant")),ROWS($A$29:A31)),IF(_xlpm.v="","",_xlpm.v)),""))</f>
        <v>No operator</v>
      </c>
      <c r="I31" s="43"/>
      <c r="J31" s="43"/>
      <c r="K31" s="43"/>
      <c r="L31" s="43"/>
      <c r="M31" s="43"/>
      <c r="N31" s="43"/>
      <c r="O31" s="43"/>
      <c r="P31" s="43"/>
      <c r="Q31" s="43"/>
      <c r="R31" s="43"/>
      <c r="S31" s="43"/>
      <c r="T31" s="43"/>
      <c r="U31" s="43"/>
      <c r="V31" s="43"/>
      <c r="W31" s="43"/>
      <c r="X31" s="43"/>
      <c r="Y31" s="43"/>
      <c r="Z31" s="43"/>
    </row>
    <row r="32" spans="1:26" s="4" customFormat="1" x14ac:dyDescent="0.3">
      <c r="A32" s="222" t="str" cm="1">
        <f t="array" ref="A32">IF($B$5="","",IFERROR(_xlfn.LET(_xlpm.v,INDEX(_xlfn._xlws.FILTER('04 Resource log'!$F$7:$F$506,('04 Resource log'!$A$7:$A$506=$B$5)*('04 Resource log'!$E$7:$E$506="Plant")),ROWS($A$29:A32)),IF(_xlpm.v="","",_xlpm.v)),""))</f>
        <v>Concrete pump</v>
      </c>
      <c r="B32" s="221"/>
      <c r="C32" s="219" cm="1">
        <f t="array" ref="C32">IF($B$5="","",IFERROR(_xlfn.LET(_xlpm.v,INDEX(_xlfn._xlws.FILTER('04 Resource log'!$K$7:$K$506,('04 Resource log'!$A$7:$A$506=$B$5)*('04 Resource log'!$E$7:$E$506="Plant")),ROWS($A$29:A32)),IF(_xlpm.v="","",_xlpm.v)),""))</f>
        <v>1</v>
      </c>
      <c r="D32" s="219" cm="1">
        <f t="array" ref="D32">IF($B$5="","",IFERROR(_xlfn.LET(_xlpm.v,INDEX(_xlfn._xlws.FILTER('04 Resource log'!$H$7:$H$506,('04 Resource log'!$A$7:$A$506=$B$5)*('04 Resource log'!$E$7:$E$506="Plant")),ROWS($A$29:A32)),IF(_xlpm.v="","",_xlpm.v)),""))</f>
        <v>0</v>
      </c>
      <c r="E32" s="219">
        <f t="shared" si="1"/>
        <v>1</v>
      </c>
      <c r="F32" s="219" t="str" cm="1">
        <f t="array" ref="F32">IF($B$5="","",IFERROR(_xlfn.LET(_xlpm.v,INDEX(_xlfn._xlws.FILTER('04 Resource log'!$B$7:$B$506,('04 Resource log'!$A$7:$A$506=$B$5)*('04 Resource log'!$E$7:$E$506="Plant")),ROWS($A$29:A32)),IF(_xlpm.v="","",_xlpm.v)),""))</f>
        <v>A1200</v>
      </c>
      <c r="G32" s="220" cm="1">
        <f t="array" ref="G32">IF($B$5="","",IFERROR(_xlfn.LET(_xlpm.v,INDEX(_xlfn._xlws.FILTER('04 Resource log'!$I$7:$I$506,('04 Resource log'!$A$7:$A$506=$B$5)*('04 Resource log'!$E$7:$E$506="Plant")),ROWS($A$29:A32)),IF(_xlpm.v="","",_xlpm.v)),""))</f>
        <v>0</v>
      </c>
      <c r="H32" s="218" t="str" cm="1">
        <f t="array" ref="H32">IF($B$5="","",IFERROR(_xlfn.LET(_xlpm.v,INDEX(_xlfn._xlws.FILTER('04 Resource log'!$L$7:$L$506,('04 Resource log'!$A$7:$A$506=$B$5)*('04 Resource log'!$E$7:$E$506="Plant")),ROWS($A$29:A32)),IF(_xlpm.v="","",_xlpm.v)),""))</f>
        <v>Standby</v>
      </c>
      <c r="I32" s="43"/>
      <c r="J32" s="43"/>
      <c r="K32" s="43"/>
      <c r="L32" s="43"/>
      <c r="M32" s="43"/>
      <c r="N32" s="43"/>
      <c r="O32" s="43"/>
      <c r="P32" s="43"/>
      <c r="Q32" s="43"/>
      <c r="R32" s="43"/>
      <c r="S32" s="43"/>
      <c r="T32" s="43"/>
      <c r="U32" s="43"/>
      <c r="V32" s="43"/>
      <c r="W32" s="43"/>
      <c r="X32" s="43"/>
      <c r="Y32" s="43"/>
      <c r="Z32" s="43"/>
    </row>
    <row r="33" spans="1:26" s="4" customFormat="1" x14ac:dyDescent="0.3">
      <c r="A33" s="222" t="str" cm="1">
        <f t="array" ref="A33">IF($B$5="","",IFERROR(_xlfn.LET(_xlpm.v,INDEX(_xlfn._xlws.FILTER('04 Resource log'!$F$7:$F$506,('04 Resource log'!$A$7:$A$506=$B$5)*('04 Resource log'!$E$7:$E$506="Plant")),ROWS($A$29:A33)),IF(_xlpm.v="","",_xlpm.v)),""))</f>
        <v/>
      </c>
      <c r="B33" s="221"/>
      <c r="C33" s="219" t="str" cm="1">
        <f t="array" ref="C33">IF($B$5="","",IFERROR(_xlfn.LET(_xlpm.v,INDEX(_xlfn._xlws.FILTER('04 Resource log'!$K$7:$K$506,('04 Resource log'!$A$7:$A$506=$B$5)*('04 Resource log'!$E$7:$E$506="Plant")),ROWS($A$29:A33)),IF(_xlpm.v="","",_xlpm.v)),""))</f>
        <v/>
      </c>
      <c r="D33" s="219" t="str" cm="1">
        <f t="array" ref="D33">IF($B$5="","",IFERROR(_xlfn.LET(_xlpm.v,INDEX(_xlfn._xlws.FILTER('04 Resource log'!$H$7:$H$506,('04 Resource log'!$A$7:$A$506=$B$5)*('04 Resource log'!$E$7:$E$506="Plant")),ROWS($A$29:A33)),IF(_xlpm.v="","",_xlpm.v)),""))</f>
        <v/>
      </c>
      <c r="E33" s="219" t="str">
        <f t="shared" si="1"/>
        <v/>
      </c>
      <c r="F33" s="219" t="str" cm="1">
        <f t="array" ref="F33">IF($B$5="","",IFERROR(_xlfn.LET(_xlpm.v,INDEX(_xlfn._xlws.FILTER('04 Resource log'!$B$7:$B$506,('04 Resource log'!$A$7:$A$506=$B$5)*('04 Resource log'!$E$7:$E$506="Plant")),ROWS($A$29:A33)),IF(_xlpm.v="","",_xlpm.v)),""))</f>
        <v/>
      </c>
      <c r="G33" s="220" t="str" cm="1">
        <f t="array" ref="G33">IF($B$5="","",IFERROR(_xlfn.LET(_xlpm.v,INDEX(_xlfn._xlws.FILTER('04 Resource log'!$I$7:$I$506,('04 Resource log'!$A$7:$A$506=$B$5)*('04 Resource log'!$E$7:$E$506="Plant")),ROWS($A$29:A33)),IF(_xlpm.v="","",_xlpm.v)),""))</f>
        <v/>
      </c>
      <c r="H33" s="218" t="str" cm="1">
        <f t="array" ref="H33">IF($B$5="","",IFERROR(_xlfn.LET(_xlpm.v,INDEX(_xlfn._xlws.FILTER('04 Resource log'!$L$7:$L$506,('04 Resource log'!$A$7:$A$506=$B$5)*('04 Resource log'!$E$7:$E$506="Plant")),ROWS($A$29:A33)),IF(_xlpm.v="","",_xlpm.v)),""))</f>
        <v/>
      </c>
      <c r="I33" s="43"/>
      <c r="J33" s="43"/>
      <c r="K33" s="43"/>
      <c r="L33" s="43"/>
      <c r="M33" s="43"/>
      <c r="N33" s="43"/>
      <c r="O33" s="43"/>
      <c r="P33" s="43"/>
      <c r="Q33" s="43"/>
      <c r="R33" s="43"/>
      <c r="S33" s="43"/>
      <c r="T33" s="43"/>
      <c r="U33" s="43"/>
      <c r="V33" s="43"/>
      <c r="W33" s="43"/>
      <c r="X33" s="43"/>
      <c r="Y33" s="43"/>
      <c r="Z33" s="43"/>
    </row>
    <row r="34" spans="1:26" s="4" customFormat="1" x14ac:dyDescent="0.3">
      <c r="A34" s="222" t="str" cm="1">
        <f t="array" ref="A34">IF($B$5="","",IFERROR(_xlfn.LET(_xlpm.v,INDEX(_xlfn._xlws.FILTER('04 Resource log'!$F$7:$F$506,('04 Resource log'!$A$7:$A$506=$B$5)*('04 Resource log'!$E$7:$E$506="Plant")),ROWS($A$29:A34)),IF(_xlpm.v="","",_xlpm.v)),""))</f>
        <v/>
      </c>
      <c r="B34" s="221"/>
      <c r="C34" s="219" t="str" cm="1">
        <f t="array" ref="C34">IF($B$5="","",IFERROR(_xlfn.LET(_xlpm.v,INDEX(_xlfn._xlws.FILTER('04 Resource log'!$K$7:$K$506,('04 Resource log'!$A$7:$A$506=$B$5)*('04 Resource log'!$E$7:$E$506="Plant")),ROWS($A$29:A34)),IF(_xlpm.v="","",_xlpm.v)),""))</f>
        <v/>
      </c>
      <c r="D34" s="219" t="str" cm="1">
        <f t="array" ref="D34">IF($B$5="","",IFERROR(_xlfn.LET(_xlpm.v,INDEX(_xlfn._xlws.FILTER('04 Resource log'!$H$7:$H$506,('04 Resource log'!$A$7:$A$506=$B$5)*('04 Resource log'!$E$7:$E$506="Plant")),ROWS($A$29:A34)),IF(_xlpm.v="","",_xlpm.v)),""))</f>
        <v/>
      </c>
      <c r="E34" s="219" t="str">
        <f t="shared" si="1"/>
        <v/>
      </c>
      <c r="F34" s="219" t="str" cm="1">
        <f t="array" ref="F34">IF($B$5="","",IFERROR(_xlfn.LET(_xlpm.v,INDEX(_xlfn._xlws.FILTER('04 Resource log'!$B$7:$B$506,('04 Resource log'!$A$7:$A$506=$B$5)*('04 Resource log'!$E$7:$E$506="Plant")),ROWS($A$29:A34)),IF(_xlpm.v="","",_xlpm.v)),""))</f>
        <v/>
      </c>
      <c r="G34" s="220" t="str" cm="1">
        <f t="array" ref="G34">IF($B$5="","",IFERROR(_xlfn.LET(_xlpm.v,INDEX(_xlfn._xlws.FILTER('04 Resource log'!$I$7:$I$506,('04 Resource log'!$A$7:$A$506=$B$5)*('04 Resource log'!$E$7:$E$506="Plant")),ROWS($A$29:A34)),IF(_xlpm.v="","",_xlpm.v)),""))</f>
        <v/>
      </c>
      <c r="H34" s="218" t="str" cm="1">
        <f t="array" ref="H34">IF($B$5="","",IFERROR(_xlfn.LET(_xlpm.v,INDEX(_xlfn._xlws.FILTER('04 Resource log'!$L$7:$L$506,('04 Resource log'!$A$7:$A$506=$B$5)*('04 Resource log'!$E$7:$E$506="Plant")),ROWS($A$29:A34)),IF(_xlpm.v="","",_xlpm.v)),""))</f>
        <v/>
      </c>
      <c r="I34" s="43"/>
      <c r="J34" s="43"/>
      <c r="K34" s="43"/>
      <c r="L34" s="43"/>
      <c r="M34" s="43"/>
      <c r="N34" s="43"/>
      <c r="O34" s="43"/>
      <c r="P34" s="43"/>
      <c r="Q34" s="43"/>
      <c r="R34" s="43"/>
      <c r="S34" s="43"/>
      <c r="T34" s="43"/>
      <c r="U34" s="43"/>
      <c r="V34" s="43"/>
      <c r="W34" s="43"/>
      <c r="X34" s="43"/>
      <c r="Y34" s="43"/>
      <c r="Z34" s="43"/>
    </row>
    <row r="35" spans="1:26" s="4" customFormat="1" x14ac:dyDescent="0.3">
      <c r="A35" s="222" t="str" cm="1">
        <f t="array" ref="A35">IF($B$5="","",IFERROR(_xlfn.LET(_xlpm.v,INDEX(_xlfn._xlws.FILTER('04 Resource log'!$F$7:$F$506,('04 Resource log'!$A$7:$A$506=$B$5)*('04 Resource log'!$E$7:$E$506="Plant")),ROWS($A$29:A35)),IF(_xlpm.v="","",_xlpm.v)),""))</f>
        <v/>
      </c>
      <c r="B35" s="221"/>
      <c r="C35" s="219" t="str" cm="1">
        <f t="array" ref="C35">IF($B$5="","",IFERROR(_xlfn.LET(_xlpm.v,INDEX(_xlfn._xlws.FILTER('04 Resource log'!$K$7:$K$506,('04 Resource log'!$A$7:$A$506=$B$5)*('04 Resource log'!$E$7:$E$506="Plant")),ROWS($A$29:A35)),IF(_xlpm.v="","",_xlpm.v)),""))</f>
        <v/>
      </c>
      <c r="D35" s="219" t="str" cm="1">
        <f t="array" ref="D35">IF($B$5="","",IFERROR(_xlfn.LET(_xlpm.v,INDEX(_xlfn._xlws.FILTER('04 Resource log'!$H$7:$H$506,('04 Resource log'!$A$7:$A$506=$B$5)*('04 Resource log'!$E$7:$E$506="Plant")),ROWS($A$29:A35)),IF(_xlpm.v="","",_xlpm.v)),""))</f>
        <v/>
      </c>
      <c r="E35" s="219" t="str">
        <f t="shared" si="1"/>
        <v/>
      </c>
      <c r="F35" s="219" t="str" cm="1">
        <f t="array" ref="F35">IF($B$5="","",IFERROR(_xlfn.LET(_xlpm.v,INDEX(_xlfn._xlws.FILTER('04 Resource log'!$B$7:$B$506,('04 Resource log'!$A$7:$A$506=$B$5)*('04 Resource log'!$E$7:$E$506="Plant")),ROWS($A$29:A35)),IF(_xlpm.v="","",_xlpm.v)),""))</f>
        <v/>
      </c>
      <c r="G35" s="220" t="str" cm="1">
        <f t="array" ref="G35">IF($B$5="","",IFERROR(_xlfn.LET(_xlpm.v,INDEX(_xlfn._xlws.FILTER('04 Resource log'!$I$7:$I$506,('04 Resource log'!$A$7:$A$506=$B$5)*('04 Resource log'!$E$7:$E$506="Plant")),ROWS($A$29:A35)),IF(_xlpm.v="","",_xlpm.v)),""))</f>
        <v/>
      </c>
      <c r="H35" s="218" t="str" cm="1">
        <f t="array" ref="H35">IF($B$5="","",IFERROR(_xlfn.LET(_xlpm.v,INDEX(_xlfn._xlws.FILTER('04 Resource log'!$L$7:$L$506,('04 Resource log'!$A$7:$A$506=$B$5)*('04 Resource log'!$E$7:$E$506="Plant")),ROWS($A$29:A35)),IF(_xlpm.v="","",_xlpm.v)),""))</f>
        <v/>
      </c>
      <c r="I35" s="43"/>
      <c r="J35" s="43"/>
      <c r="K35" s="43"/>
      <c r="L35" s="43"/>
      <c r="M35" s="43"/>
      <c r="N35" s="43"/>
      <c r="O35" s="43"/>
      <c r="P35" s="43"/>
      <c r="Q35" s="43"/>
      <c r="R35" s="43"/>
      <c r="S35" s="43"/>
      <c r="T35" s="43"/>
      <c r="U35" s="43"/>
      <c r="V35" s="43"/>
      <c r="W35" s="43"/>
      <c r="X35" s="43"/>
      <c r="Y35" s="43"/>
      <c r="Z35" s="43"/>
    </row>
    <row r="36" spans="1:26" s="4" customFormat="1" x14ac:dyDescent="0.3">
      <c r="A36" s="233" t="str" cm="1">
        <f t="array" ref="A36">IF($B$5="","",IFERROR(_xlfn.LET(_xlpm.v,INDEX(_xlfn._xlws.FILTER('04 Resource log'!$F$7:$F$506,('04 Resource log'!$A$7:$A$506=$B$5)*('04 Resource log'!$E$7:$E$506="Plant")),ROWS($A$29:A36)),IF(_xlpm.v="","",_xlpm.v)),""))</f>
        <v/>
      </c>
      <c r="B36" s="234"/>
      <c r="C36" s="235" t="str" cm="1">
        <f t="array" ref="C36">IF($B$5="","",IFERROR(_xlfn.LET(_xlpm.v,INDEX(_xlfn._xlws.FILTER('04 Resource log'!$K$7:$K$506,('04 Resource log'!$A$7:$A$506=$B$5)*('04 Resource log'!$E$7:$E$506="Plant")),ROWS($A$29:A36)),IF(_xlpm.v="","",_xlpm.v)),""))</f>
        <v/>
      </c>
      <c r="D36" s="235" t="str" cm="1">
        <f t="array" ref="D36">IF($B$5="","",IFERROR(_xlfn.LET(_xlpm.v,INDEX(_xlfn._xlws.FILTER('04 Resource log'!$H$7:$H$506,('04 Resource log'!$A$7:$A$506=$B$5)*('04 Resource log'!$E$7:$E$506="Plant")),ROWS($A$29:A36)),IF(_xlpm.v="","",_xlpm.v)),""))</f>
        <v/>
      </c>
      <c r="E36" s="235" t="str">
        <f t="shared" si="1"/>
        <v/>
      </c>
      <c r="F36" s="235" t="str" cm="1">
        <f t="array" ref="F36">IF($B$5="","",IFERROR(_xlfn.LET(_xlpm.v,INDEX(_xlfn._xlws.FILTER('04 Resource log'!$B$7:$B$506,('04 Resource log'!$A$7:$A$506=$B$5)*('04 Resource log'!$E$7:$E$506="Plant")),ROWS($A$29:A36)),IF(_xlpm.v="","",_xlpm.v)),""))</f>
        <v/>
      </c>
      <c r="G36" s="236" t="str" cm="1">
        <f t="array" ref="G36">IF($B$5="","",IFERROR(_xlfn.LET(_xlpm.v,INDEX(_xlfn._xlws.FILTER('04 Resource log'!$I$7:$I$506,('04 Resource log'!$A$7:$A$506=$B$5)*('04 Resource log'!$E$7:$E$506="Plant")),ROWS($A$29:A36)),IF(_xlpm.v="","",_xlpm.v)),""))</f>
        <v/>
      </c>
      <c r="H36" s="237" t="str" cm="1">
        <f t="array" ref="H36">IF($B$5="","",IFERROR(_xlfn.LET(_xlpm.v,INDEX(_xlfn._xlws.FILTER('04 Resource log'!$L$7:$L$506,('04 Resource log'!$A$7:$A$506=$B$5)*('04 Resource log'!$E$7:$E$506="Plant")),ROWS($A$29:A36)),IF(_xlpm.v="","",_xlpm.v)),""))</f>
        <v/>
      </c>
      <c r="I36" s="43"/>
      <c r="J36" s="43"/>
      <c r="K36" s="43"/>
      <c r="L36" s="43"/>
      <c r="M36" s="43"/>
      <c r="N36" s="43"/>
      <c r="O36" s="43"/>
      <c r="P36" s="43"/>
      <c r="Q36" s="43"/>
      <c r="R36" s="43"/>
      <c r="S36" s="43"/>
      <c r="T36" s="43"/>
      <c r="U36" s="43"/>
      <c r="V36" s="43"/>
      <c r="W36" s="43"/>
      <c r="X36" s="43"/>
      <c r="Y36" s="43"/>
      <c r="Z36" s="43"/>
    </row>
    <row r="37" spans="1:26" ht="15" thickBot="1" x14ac:dyDescent="0.35">
      <c r="A37" s="228"/>
      <c r="B37" s="229" t="s">
        <v>96</v>
      </c>
      <c r="C37" s="228"/>
      <c r="D37" s="230">
        <f>SUM(D29:D36)</f>
        <v>3</v>
      </c>
      <c r="E37" s="230">
        <f>SUM(E29:E36)</f>
        <v>2</v>
      </c>
      <c r="F37" s="228"/>
      <c r="G37" s="230">
        <f>SUMPRODUCT(D29:D36,G29:G36)</f>
        <v>27</v>
      </c>
      <c r="H37" s="228" t="s">
        <v>316</v>
      </c>
      <c r="I37" s="6"/>
      <c r="J37" s="6"/>
      <c r="K37" s="6"/>
      <c r="L37" s="6"/>
      <c r="M37" s="6"/>
      <c r="N37" s="6"/>
      <c r="O37" s="6"/>
      <c r="P37" s="6"/>
      <c r="Q37" s="6"/>
      <c r="R37" s="6"/>
      <c r="S37" s="6"/>
      <c r="T37" s="6"/>
      <c r="U37" s="6"/>
      <c r="V37" s="6"/>
      <c r="W37" s="6"/>
      <c r="X37" s="6"/>
      <c r="Y37" s="6"/>
      <c r="Z37" s="6"/>
    </row>
    <row r="38" spans="1:26" x14ac:dyDescent="0.3">
      <c r="A38" s="178"/>
      <c r="B38" s="178"/>
      <c r="C38" s="178"/>
      <c r="D38" s="178"/>
      <c r="E38" s="178"/>
      <c r="F38" s="178"/>
      <c r="G38" s="178"/>
      <c r="H38" s="178"/>
      <c r="I38" s="6"/>
      <c r="J38" s="6"/>
      <c r="K38" s="6"/>
      <c r="L38" s="6"/>
      <c r="M38" s="6"/>
      <c r="N38" s="6"/>
      <c r="O38" s="6"/>
      <c r="P38" s="6"/>
      <c r="Q38" s="6"/>
      <c r="R38" s="6"/>
      <c r="S38" s="6"/>
      <c r="T38" s="6"/>
      <c r="U38" s="6"/>
      <c r="V38" s="6"/>
      <c r="W38" s="6"/>
      <c r="X38" s="6"/>
      <c r="Y38" s="6"/>
      <c r="Z38" s="6"/>
    </row>
    <row r="39" spans="1:26" ht="22.05" customHeight="1" x14ac:dyDescent="0.3">
      <c r="A39" s="210" t="s">
        <v>99</v>
      </c>
      <c r="B39" s="211"/>
      <c r="C39" s="211"/>
      <c r="D39" s="211"/>
      <c r="E39" s="211"/>
      <c r="F39" s="211"/>
      <c r="G39" s="211"/>
      <c r="H39" s="242" t="str">
        <f>IF($B$5="","",IF(COUNTIFS('05 Work done log'!$A$7:$A$506,$B$5)&gt;12,"⚠ "&amp;COUNTIFS('05 Work done log'!$A$7:$A$506,$B$5)&amp;" lines in the Work done log: only 12 fit here",""))</f>
        <v/>
      </c>
      <c r="I39" s="6"/>
      <c r="J39" s="6"/>
      <c r="K39" s="6"/>
      <c r="L39" s="6"/>
      <c r="M39" s="6"/>
      <c r="N39" s="6"/>
      <c r="O39" s="6"/>
      <c r="P39" s="6"/>
      <c r="Q39" s="6"/>
      <c r="R39" s="6"/>
      <c r="S39" s="6"/>
      <c r="T39" s="6"/>
      <c r="U39" s="6"/>
      <c r="V39" s="6"/>
      <c r="W39" s="6"/>
      <c r="X39" s="6"/>
      <c r="Y39" s="6"/>
      <c r="Z39" s="6"/>
    </row>
    <row r="40" spans="1:26" s="3" customFormat="1" ht="27.6" customHeight="1" x14ac:dyDescent="0.25">
      <c r="A40" s="212" t="s">
        <v>294</v>
      </c>
      <c r="B40" s="212" t="s">
        <v>100</v>
      </c>
      <c r="C40" s="212" t="s">
        <v>101</v>
      </c>
      <c r="D40" s="212" t="s">
        <v>102</v>
      </c>
      <c r="E40" s="212" t="s">
        <v>103</v>
      </c>
      <c r="F40" s="212" t="s">
        <v>104</v>
      </c>
      <c r="G40" s="213" t="s">
        <v>105</v>
      </c>
      <c r="H40" s="231"/>
      <c r="I40" s="42"/>
      <c r="J40" s="42"/>
      <c r="K40" s="42"/>
      <c r="L40" s="42"/>
      <c r="M40" s="42"/>
      <c r="N40" s="42"/>
      <c r="O40" s="42"/>
      <c r="P40" s="42"/>
      <c r="Q40" s="42"/>
      <c r="R40" s="42"/>
      <c r="S40" s="42"/>
      <c r="T40" s="42"/>
      <c r="U40" s="42"/>
      <c r="V40" s="42"/>
      <c r="W40" s="42"/>
      <c r="X40" s="42"/>
      <c r="Y40" s="42"/>
      <c r="Z40" s="42"/>
    </row>
    <row r="41" spans="1:26" s="4" customFormat="1" x14ac:dyDescent="0.3">
      <c r="A41" s="214" t="str" cm="1">
        <f t="array" ref="A41">IF($B$5="","",IFERROR(_xlfn.LET(_xlpm.v,INDEX(_xlfn._xlws.FILTER('05 Work done log'!$B$7:$B$506,'05 Work done log'!$A$7:$A$506=$B$5),ROWS($A$41:A41)),IF(_xlpm.v="","",_xlpm.v)),""))</f>
        <v>A1000</v>
      </c>
      <c r="B41" s="214" t="str">
        <f>IF(A41="","",IFERROR(INDEX('12 P6 activities'!$B$7:$B$206,MATCH(A41,'12 P6 activities'!$A$7:$A$206,0)),"ID not in P6 list"))</f>
        <v>Bored piles, north</v>
      </c>
      <c r="C41" s="214" t="str" cm="1">
        <f t="array" ref="C41">IF($B$5="","",IFERROR(_xlfn.LET(_xlpm.v,INDEX(_xlfn._xlws.FILTER('05 Work done log'!$E$7:$E$506,'05 Work done log'!$A$7:$A$506=$B$5),ROWS($A$41:A41)),IF(_xlpm.v="","",_xlpm.v)),""))</f>
        <v>North piling area</v>
      </c>
      <c r="D41" s="216" cm="1">
        <f t="array" ref="D41">IF($B$5="","",IFERROR(_xlfn.LET(_xlpm.v,INDEX(_xlfn._xlws.FILTER('05 Work done log'!$F$7:$F$506,'05 Work done log'!$A$7:$A$506=$B$5),ROWS($A$41:A41)),IF(_xlpm.v="","",_xlpm.v)),""))</f>
        <v>2</v>
      </c>
      <c r="E41" s="214" t="str">
        <f>IF(A41="","",IFERROR(INDEX('12 P6 activities'!$E$7:$E$206,MATCH(A41,'12 P6 activities'!$A$7:$A$206,0)),""))</f>
        <v>no.</v>
      </c>
      <c r="F41" s="214" t="str" cm="1">
        <f t="array" ref="F41">IF($B$5="","",IFERROR(_xlfn.LET(_xlpm.v,INDEX(_xlfn._xlws.FILTER('05 Work done log'!$H$7:$H$506,'05 Work done log'!$A$7:$A$506=$B$5),ROWS($A$41:A41)),IF(_xlpm.v="","",_xlpm.v)),""))</f>
        <v>Counted</v>
      </c>
      <c r="G41" s="238" t="str" cm="1">
        <f t="array" ref="G41">IF($B$5="","",IFERROR(_xlfn.LET(_xlpm.v,INDEX(_xlfn._xlws.FILTER('05 Work done log'!$I$7:$I$506,'05 Work done log'!$A$7:$A$506=$B$5),ROWS($A$41:A41)),IF(_xlpm.v="","",_xlpm.v)),""))</f>
        <v>P17, P18. Penetration rate changed: see events</v>
      </c>
      <c r="H41" s="217"/>
      <c r="I41" s="43"/>
      <c r="J41" s="43"/>
      <c r="K41" s="43"/>
      <c r="L41" s="43"/>
      <c r="M41" s="43"/>
      <c r="N41" s="43"/>
      <c r="O41" s="43"/>
      <c r="P41" s="43"/>
      <c r="Q41" s="43"/>
      <c r="R41" s="43"/>
      <c r="S41" s="43"/>
      <c r="T41" s="43"/>
      <c r="U41" s="43"/>
      <c r="V41" s="43"/>
      <c r="W41" s="43"/>
      <c r="X41" s="43"/>
      <c r="Y41" s="43"/>
      <c r="Z41" s="43"/>
    </row>
    <row r="42" spans="1:26" s="4" customFormat="1" x14ac:dyDescent="0.3">
      <c r="A42" s="218" t="str" cm="1">
        <f t="array" ref="A42">IF($B$5="","",IFERROR(_xlfn.LET(_xlpm.v,INDEX(_xlfn._xlws.FILTER('05 Work done log'!$B$7:$B$506,'05 Work done log'!$A$7:$A$506=$B$5),ROWS($A$41:A42)),IF(_xlpm.v="","",_xlpm.v)),""))</f>
        <v>A1100</v>
      </c>
      <c r="B42" s="218" t="str">
        <f>IF(A42="","",IFERROR(INDEX('12 P6 activities'!$B$7:$B$206,MATCH(A42,'12 P6 activities'!$A$7:$A$206,0)),"ID not in P6 list"))</f>
        <v>Raft reinforcement, bay 1</v>
      </c>
      <c r="C42" s="218" t="str" cm="1">
        <f t="array" ref="C42">IF($B$5="","",IFERROR(_xlfn.LET(_xlpm.v,INDEX(_xlfn._xlws.FILTER('05 Work done log'!$E$7:$E$506,'05 Work done log'!$A$7:$A$506=$B$5),ROWS($A$41:A42)),IF(_xlpm.v="","",_xlpm.v)),""))</f>
        <v>Raft bay 1</v>
      </c>
      <c r="D42" s="220" cm="1">
        <f t="array" ref="D42">IF($B$5="","",IFERROR(_xlfn.LET(_xlpm.v,INDEX(_xlfn._xlws.FILTER('05 Work done log'!$F$7:$F$506,'05 Work done log'!$A$7:$A$506=$B$5),ROWS($A$41:A42)),IF(_xlpm.v="","",_xlpm.v)),""))</f>
        <v>3.5</v>
      </c>
      <c r="E42" s="218" t="str">
        <f>IF(A42="","",IFERROR(INDEX('12 P6 activities'!$E$7:$E$206,MATCH(A42,'12 P6 activities'!$A$7:$A$206,0)),""))</f>
        <v>t</v>
      </c>
      <c r="F42" s="218" t="str" cm="1">
        <f t="array" ref="F42">IF($B$5="","",IFERROR(_xlfn.LET(_xlpm.v,INDEX(_xlfn._xlws.FILTER('05 Work done log'!$H$7:$H$506,'05 Work done log'!$A$7:$A$506=$B$5),ROWS($A$41:A42)),IF(_xlpm.v="","",_xlpm.v)),""))</f>
        <v>Counted</v>
      </c>
      <c r="G42" s="239" t="str" cm="1">
        <f t="array" ref="G42">IF($B$5="","",IFERROR(_xlfn.LET(_xlpm.v,INDEX(_xlfn._xlws.FILTER('05 Work done log'!$I$7:$I$506,'05 Work done log'!$A$7:$A$506=$B$5),ROWS($A$41:A42)),IF(_xlpm.v="","",_xlpm.v)),""))</f>
        <v>About 16 hours a tonne</v>
      </c>
      <c r="H42" s="221"/>
      <c r="I42" s="43"/>
      <c r="J42" s="43"/>
      <c r="K42" s="43"/>
      <c r="L42" s="43"/>
      <c r="M42" s="43"/>
      <c r="N42" s="43"/>
      <c r="O42" s="43"/>
      <c r="P42" s="43"/>
      <c r="Q42" s="43"/>
      <c r="R42" s="43"/>
      <c r="S42" s="43"/>
      <c r="T42" s="43"/>
      <c r="U42" s="43"/>
      <c r="V42" s="43"/>
      <c r="W42" s="43"/>
      <c r="X42" s="43"/>
      <c r="Y42" s="43"/>
      <c r="Z42" s="43"/>
    </row>
    <row r="43" spans="1:26" s="4" customFormat="1" x14ac:dyDescent="0.3">
      <c r="A43" s="218" t="str" cm="1">
        <f t="array" ref="A43">IF($B$5="","",IFERROR(_xlfn.LET(_xlpm.v,INDEX(_xlfn._xlws.FILTER('05 Work done log'!$B$7:$B$506,'05 Work done log'!$A$7:$A$506=$B$5),ROWS($A$41:A43)),IF(_xlpm.v="","",_xlpm.v)),""))</f>
        <v>A1200</v>
      </c>
      <c r="B43" s="218" t="str">
        <f>IF(A43="","",IFERROR(INDEX('12 P6 activities'!$B$7:$B$206,MATCH(A43,'12 P6 activities'!$A$7:$A$206,0)),"ID not in P6 list"))</f>
        <v>Blinding, substation slab</v>
      </c>
      <c r="C43" s="218" t="str" cm="1">
        <f t="array" ref="C43">IF($B$5="","",IFERROR(_xlfn.LET(_xlpm.v,INDEX(_xlfn._xlws.FILTER('05 Work done log'!$E$7:$E$506,'05 Work done log'!$A$7:$A$506=$B$5),ROWS($A$41:A43)),IF(_xlpm.v="","",_xlpm.v)),""))</f>
        <v>Substation slab</v>
      </c>
      <c r="D43" s="220" cm="1">
        <f t="array" ref="D43">IF($B$5="","",IFERROR(_xlfn.LET(_xlpm.v,INDEX(_xlfn._xlws.FILTER('05 Work done log'!$F$7:$F$506,'05 Work done log'!$A$7:$A$506=$B$5),ROWS($A$41:A43)),IF(_xlpm.v="","",_xlpm.v)),""))</f>
        <v>38</v>
      </c>
      <c r="E43" s="218" t="str">
        <f>IF(A43="","",IFERROR(INDEX('12 P6 activities'!$E$7:$E$206,MATCH(A43,'12 P6 activities'!$A$7:$A$206,0)),""))</f>
        <v>m²</v>
      </c>
      <c r="F43" s="218" t="str" cm="1">
        <f t="array" ref="F43">IF($B$5="","",IFERROR(_xlfn.LET(_xlpm.v,INDEX(_xlfn._xlws.FILTER('05 Work done log'!$H$7:$H$506,'05 Work done log'!$A$7:$A$506=$B$5),ROWS($A$41:A43)),IF(_xlpm.v="","",_xlpm.v)),""))</f>
        <v>Counted</v>
      </c>
      <c r="G43" s="239" t="str" cm="1">
        <f t="array" ref="G43">IF($B$5="","",IFERROR(_xlfn.LET(_xlpm.v,INDEX(_xlfn._xlws.FILTER('05 Work done log'!$I$7:$I$506,'05 Work done log'!$A$7:$A$506=$B$5),ROWS($A$41:A43)),IF(_xlpm.v="","",_xlpm.v)),""))</f>
        <v>Survey completed next morning (revision 1)</v>
      </c>
      <c r="H43" s="221"/>
      <c r="I43" s="43"/>
      <c r="J43" s="43"/>
      <c r="K43" s="43"/>
      <c r="L43" s="43"/>
      <c r="M43" s="43"/>
      <c r="N43" s="43"/>
      <c r="O43" s="43"/>
      <c r="P43" s="43"/>
      <c r="Q43" s="43"/>
      <c r="R43" s="43"/>
      <c r="S43" s="43"/>
      <c r="T43" s="43"/>
      <c r="U43" s="43"/>
      <c r="V43" s="43"/>
      <c r="W43" s="43"/>
      <c r="X43" s="43"/>
      <c r="Y43" s="43"/>
      <c r="Z43" s="43"/>
    </row>
    <row r="44" spans="1:26" s="4" customFormat="1" x14ac:dyDescent="0.3">
      <c r="A44" s="218" t="str" cm="1">
        <f t="array" ref="A44">IF($B$5="","",IFERROR(_xlfn.LET(_xlpm.v,INDEX(_xlfn._xlws.FILTER('05 Work done log'!$B$7:$B$506,'05 Work done log'!$A$7:$A$506=$B$5),ROWS($A$41:A44)),IF(_xlpm.v="","",_xlpm.v)),""))</f>
        <v>A1300</v>
      </c>
      <c r="B44" s="218" t="str">
        <f>IF(A44="","",IFERROR(INDEX('12 P6 activities'!$B$7:$B$206,MATCH(A44,'12 P6 activities'!$A$7:$A$206,0)),"ID not in P6 list"))</f>
        <v>Drainage run D2</v>
      </c>
      <c r="C44" s="218" t="str" cm="1">
        <f t="array" ref="C44">IF($B$5="","",IFERROR(_xlfn.LET(_xlpm.v,INDEX(_xlfn._xlws.FILTER('05 Work done log'!$E$7:$E$506,'05 Work done log'!$A$7:$A$506=$B$5),ROWS($A$41:A44)),IF(_xlpm.v="","",_xlpm.v)),""))</f>
        <v>East side</v>
      </c>
      <c r="D44" s="220" cm="1">
        <f t="array" ref="D44">IF($B$5="","",IFERROR(_xlfn.LET(_xlpm.v,INDEX(_xlfn._xlws.FILTER('05 Work done log'!$F$7:$F$506,'05 Work done log'!$A$7:$A$506=$B$5),ROWS($A$41:A44)),IF(_xlpm.v="","",_xlpm.v)),""))</f>
        <v>24</v>
      </c>
      <c r="E44" s="218" t="str">
        <f>IF(A44="","",IFERROR(INDEX('12 P6 activities'!$E$7:$E$206,MATCH(A44,'12 P6 activities'!$A$7:$A$206,0)),""))</f>
        <v>m</v>
      </c>
      <c r="F44" s="218" t="str" cm="1">
        <f t="array" ref="F44">IF($B$5="","",IFERROR(_xlfn.LET(_xlpm.v,INDEX(_xlfn._xlws.FILTER('05 Work done log'!$H$7:$H$506,'05 Work done log'!$A$7:$A$506=$B$5),ROWS($A$41:A44)),IF(_xlpm.v="","",_xlpm.v)),""))</f>
        <v>Estimated</v>
      </c>
      <c r="G44" s="239" t="str" cm="1">
        <f t="array" ref="G44">IF($B$5="","",IFERROR(_xlfn.LET(_xlpm.v,INDEX(_xlfn._xlws.FILTER('05 Work done log'!$I$7:$I$506,'05 Work done log'!$A$7:$A$506=$B$5),ROWS($A$41:A44)),IF(_xlpm.v="","",_xlpm.v)),""))</f>
        <v>Foreman’s figure; to be measured</v>
      </c>
      <c r="H44" s="221"/>
      <c r="I44" s="43"/>
      <c r="J44" s="43"/>
      <c r="K44" s="43"/>
      <c r="L44" s="43"/>
      <c r="M44" s="43"/>
      <c r="N44" s="43"/>
      <c r="O44" s="43"/>
      <c r="P44" s="43"/>
      <c r="Q44" s="43"/>
      <c r="R44" s="43"/>
      <c r="S44" s="43"/>
      <c r="T44" s="43"/>
      <c r="U44" s="43"/>
      <c r="V44" s="43"/>
      <c r="W44" s="43"/>
      <c r="X44" s="43"/>
      <c r="Y44" s="43"/>
      <c r="Z44" s="43"/>
    </row>
    <row r="45" spans="1:26" s="4" customFormat="1" x14ac:dyDescent="0.3">
      <c r="A45" s="218" t="str" cm="1">
        <f t="array" ref="A45">IF($B$5="","",IFERROR(_xlfn.LET(_xlpm.v,INDEX(_xlfn._xlws.FILTER('05 Work done log'!$B$7:$B$506,'05 Work done log'!$A$7:$A$506=$B$5),ROWS($A$41:A45)),IF(_xlpm.v="","",_xlpm.v)),""))</f>
        <v/>
      </c>
      <c r="B45" s="218" t="str">
        <f>IF(A45="","",IFERROR(INDEX('12 P6 activities'!$B$7:$B$206,MATCH(A45,'12 P6 activities'!$A$7:$A$206,0)),"ID not in P6 list"))</f>
        <v/>
      </c>
      <c r="C45" s="218" t="str" cm="1">
        <f t="array" ref="C45">IF($B$5="","",IFERROR(_xlfn.LET(_xlpm.v,INDEX(_xlfn._xlws.FILTER('05 Work done log'!$E$7:$E$506,'05 Work done log'!$A$7:$A$506=$B$5),ROWS($A$41:A45)),IF(_xlpm.v="","",_xlpm.v)),""))</f>
        <v/>
      </c>
      <c r="D45" s="220" t="str" cm="1">
        <f t="array" ref="D45">IF($B$5="","",IFERROR(_xlfn.LET(_xlpm.v,INDEX(_xlfn._xlws.FILTER('05 Work done log'!$F$7:$F$506,'05 Work done log'!$A$7:$A$506=$B$5),ROWS($A$41:A45)),IF(_xlpm.v="","",_xlpm.v)),""))</f>
        <v/>
      </c>
      <c r="E45" s="218" t="str">
        <f>IF(A45="","",IFERROR(INDEX('12 P6 activities'!$E$7:$E$206,MATCH(A45,'12 P6 activities'!$A$7:$A$206,0)),""))</f>
        <v/>
      </c>
      <c r="F45" s="218" t="str" cm="1">
        <f t="array" ref="F45">IF($B$5="","",IFERROR(_xlfn.LET(_xlpm.v,INDEX(_xlfn._xlws.FILTER('05 Work done log'!$H$7:$H$506,'05 Work done log'!$A$7:$A$506=$B$5),ROWS($A$41:A45)),IF(_xlpm.v="","",_xlpm.v)),""))</f>
        <v/>
      </c>
      <c r="G45" s="239" t="str" cm="1">
        <f t="array" ref="G45">IF($B$5="","",IFERROR(_xlfn.LET(_xlpm.v,INDEX(_xlfn._xlws.FILTER('05 Work done log'!$I$7:$I$506,'05 Work done log'!$A$7:$A$506=$B$5),ROWS($A$41:A45)),IF(_xlpm.v="","",_xlpm.v)),""))</f>
        <v/>
      </c>
      <c r="H45" s="221"/>
      <c r="I45" s="43"/>
      <c r="J45" s="43"/>
      <c r="K45" s="43"/>
      <c r="L45" s="43"/>
      <c r="M45" s="43"/>
      <c r="N45" s="43"/>
      <c r="O45" s="43"/>
      <c r="P45" s="43"/>
      <c r="Q45" s="43"/>
      <c r="R45" s="43"/>
      <c r="S45" s="43"/>
      <c r="T45" s="43"/>
      <c r="U45" s="43"/>
      <c r="V45" s="43"/>
      <c r="W45" s="43"/>
      <c r="X45" s="43"/>
      <c r="Y45" s="43"/>
      <c r="Z45" s="43"/>
    </row>
    <row r="46" spans="1:26" s="4" customFormat="1" x14ac:dyDescent="0.3">
      <c r="A46" s="218" t="str" cm="1">
        <f t="array" ref="A46">IF($B$5="","",IFERROR(_xlfn.LET(_xlpm.v,INDEX(_xlfn._xlws.FILTER('05 Work done log'!$B$7:$B$506,'05 Work done log'!$A$7:$A$506=$B$5),ROWS($A$41:A46)),IF(_xlpm.v="","",_xlpm.v)),""))</f>
        <v/>
      </c>
      <c r="B46" s="218" t="str">
        <f>IF(A46="","",IFERROR(INDEX('12 P6 activities'!$B$7:$B$206,MATCH(A46,'12 P6 activities'!$A$7:$A$206,0)),"ID not in P6 list"))</f>
        <v/>
      </c>
      <c r="C46" s="218" t="str" cm="1">
        <f t="array" ref="C46">IF($B$5="","",IFERROR(_xlfn.LET(_xlpm.v,INDEX(_xlfn._xlws.FILTER('05 Work done log'!$E$7:$E$506,'05 Work done log'!$A$7:$A$506=$B$5),ROWS($A$41:A46)),IF(_xlpm.v="","",_xlpm.v)),""))</f>
        <v/>
      </c>
      <c r="D46" s="220" t="str" cm="1">
        <f t="array" ref="D46">IF($B$5="","",IFERROR(_xlfn.LET(_xlpm.v,INDEX(_xlfn._xlws.FILTER('05 Work done log'!$F$7:$F$506,'05 Work done log'!$A$7:$A$506=$B$5),ROWS($A$41:A46)),IF(_xlpm.v="","",_xlpm.v)),""))</f>
        <v/>
      </c>
      <c r="E46" s="218" t="str">
        <f>IF(A46="","",IFERROR(INDEX('12 P6 activities'!$E$7:$E$206,MATCH(A46,'12 P6 activities'!$A$7:$A$206,0)),""))</f>
        <v/>
      </c>
      <c r="F46" s="218" t="str" cm="1">
        <f t="array" ref="F46">IF($B$5="","",IFERROR(_xlfn.LET(_xlpm.v,INDEX(_xlfn._xlws.FILTER('05 Work done log'!$H$7:$H$506,'05 Work done log'!$A$7:$A$506=$B$5),ROWS($A$41:A46)),IF(_xlpm.v="","",_xlpm.v)),""))</f>
        <v/>
      </c>
      <c r="G46" s="239" t="str" cm="1">
        <f t="array" ref="G46">IF($B$5="","",IFERROR(_xlfn.LET(_xlpm.v,INDEX(_xlfn._xlws.FILTER('05 Work done log'!$I$7:$I$506,'05 Work done log'!$A$7:$A$506=$B$5),ROWS($A$41:A46)),IF(_xlpm.v="","",_xlpm.v)),""))</f>
        <v/>
      </c>
      <c r="H46" s="221"/>
      <c r="I46" s="43"/>
      <c r="J46" s="43"/>
      <c r="K46" s="43"/>
      <c r="L46" s="43"/>
      <c r="M46" s="43"/>
      <c r="N46" s="43"/>
      <c r="O46" s="43"/>
      <c r="P46" s="43"/>
      <c r="Q46" s="43"/>
      <c r="R46" s="43"/>
      <c r="S46" s="43"/>
      <c r="T46" s="43"/>
      <c r="U46" s="43"/>
      <c r="V46" s="43"/>
      <c r="W46" s="43"/>
      <c r="X46" s="43"/>
      <c r="Y46" s="43"/>
      <c r="Z46" s="43"/>
    </row>
    <row r="47" spans="1:26" s="4" customFormat="1" x14ac:dyDescent="0.3">
      <c r="A47" s="218" t="str" cm="1">
        <f t="array" ref="A47">IF($B$5="","",IFERROR(_xlfn.LET(_xlpm.v,INDEX(_xlfn._xlws.FILTER('05 Work done log'!$B$7:$B$506,'05 Work done log'!$A$7:$A$506=$B$5),ROWS($A$41:A47)),IF(_xlpm.v="","",_xlpm.v)),""))</f>
        <v/>
      </c>
      <c r="B47" s="218" t="str">
        <f>IF(A47="","",IFERROR(INDEX('12 P6 activities'!$B$7:$B$206,MATCH(A47,'12 P6 activities'!$A$7:$A$206,0)),"ID not in P6 list"))</f>
        <v/>
      </c>
      <c r="C47" s="218" t="str" cm="1">
        <f t="array" ref="C47">IF($B$5="","",IFERROR(_xlfn.LET(_xlpm.v,INDEX(_xlfn._xlws.FILTER('05 Work done log'!$E$7:$E$506,'05 Work done log'!$A$7:$A$506=$B$5),ROWS($A$41:A47)),IF(_xlpm.v="","",_xlpm.v)),""))</f>
        <v/>
      </c>
      <c r="D47" s="220" t="str" cm="1">
        <f t="array" ref="D47">IF($B$5="","",IFERROR(_xlfn.LET(_xlpm.v,INDEX(_xlfn._xlws.FILTER('05 Work done log'!$F$7:$F$506,'05 Work done log'!$A$7:$A$506=$B$5),ROWS($A$41:A47)),IF(_xlpm.v="","",_xlpm.v)),""))</f>
        <v/>
      </c>
      <c r="E47" s="218" t="str">
        <f>IF(A47="","",IFERROR(INDEX('12 P6 activities'!$E$7:$E$206,MATCH(A47,'12 P6 activities'!$A$7:$A$206,0)),""))</f>
        <v/>
      </c>
      <c r="F47" s="218" t="str" cm="1">
        <f t="array" ref="F47">IF($B$5="","",IFERROR(_xlfn.LET(_xlpm.v,INDEX(_xlfn._xlws.FILTER('05 Work done log'!$H$7:$H$506,'05 Work done log'!$A$7:$A$506=$B$5),ROWS($A$41:A47)),IF(_xlpm.v="","",_xlpm.v)),""))</f>
        <v/>
      </c>
      <c r="G47" s="239" t="str" cm="1">
        <f t="array" ref="G47">IF($B$5="","",IFERROR(_xlfn.LET(_xlpm.v,INDEX(_xlfn._xlws.FILTER('05 Work done log'!$I$7:$I$506,'05 Work done log'!$A$7:$A$506=$B$5),ROWS($A$41:A47)),IF(_xlpm.v="","",_xlpm.v)),""))</f>
        <v/>
      </c>
      <c r="H47" s="221"/>
      <c r="I47" s="43"/>
      <c r="J47" s="43"/>
      <c r="K47" s="43"/>
      <c r="L47" s="43"/>
      <c r="M47" s="43"/>
      <c r="N47" s="43"/>
      <c r="O47" s="43"/>
      <c r="P47" s="43"/>
      <c r="Q47" s="43"/>
      <c r="R47" s="43"/>
      <c r="S47" s="43"/>
      <c r="T47" s="43"/>
      <c r="U47" s="43"/>
      <c r="V47" s="43"/>
      <c r="W47" s="43"/>
      <c r="X47" s="43"/>
      <c r="Y47" s="43"/>
      <c r="Z47" s="43"/>
    </row>
    <row r="48" spans="1:26" s="4" customFormat="1" x14ac:dyDescent="0.3">
      <c r="A48" s="218" t="str" cm="1">
        <f t="array" ref="A48">IF($B$5="","",IFERROR(_xlfn.LET(_xlpm.v,INDEX(_xlfn._xlws.FILTER('05 Work done log'!$B$7:$B$506,'05 Work done log'!$A$7:$A$506=$B$5),ROWS($A$41:A48)),IF(_xlpm.v="","",_xlpm.v)),""))</f>
        <v/>
      </c>
      <c r="B48" s="218" t="str">
        <f>IF(A48="","",IFERROR(INDEX('12 P6 activities'!$B$7:$B$206,MATCH(A48,'12 P6 activities'!$A$7:$A$206,0)),"ID not in P6 list"))</f>
        <v/>
      </c>
      <c r="C48" s="218" t="str" cm="1">
        <f t="array" ref="C48">IF($B$5="","",IFERROR(_xlfn.LET(_xlpm.v,INDEX(_xlfn._xlws.FILTER('05 Work done log'!$E$7:$E$506,'05 Work done log'!$A$7:$A$506=$B$5),ROWS($A$41:A48)),IF(_xlpm.v="","",_xlpm.v)),""))</f>
        <v/>
      </c>
      <c r="D48" s="220" t="str" cm="1">
        <f t="array" ref="D48">IF($B$5="","",IFERROR(_xlfn.LET(_xlpm.v,INDEX(_xlfn._xlws.FILTER('05 Work done log'!$F$7:$F$506,'05 Work done log'!$A$7:$A$506=$B$5),ROWS($A$41:A48)),IF(_xlpm.v="","",_xlpm.v)),""))</f>
        <v/>
      </c>
      <c r="E48" s="218" t="str">
        <f>IF(A48="","",IFERROR(INDEX('12 P6 activities'!$E$7:$E$206,MATCH(A48,'12 P6 activities'!$A$7:$A$206,0)),""))</f>
        <v/>
      </c>
      <c r="F48" s="218" t="str" cm="1">
        <f t="array" ref="F48">IF($B$5="","",IFERROR(_xlfn.LET(_xlpm.v,INDEX(_xlfn._xlws.FILTER('05 Work done log'!$H$7:$H$506,'05 Work done log'!$A$7:$A$506=$B$5),ROWS($A$41:A48)),IF(_xlpm.v="","",_xlpm.v)),""))</f>
        <v/>
      </c>
      <c r="G48" s="239" t="str" cm="1">
        <f t="array" ref="G48">IF($B$5="","",IFERROR(_xlfn.LET(_xlpm.v,INDEX(_xlfn._xlws.FILTER('05 Work done log'!$I$7:$I$506,'05 Work done log'!$A$7:$A$506=$B$5),ROWS($A$41:A48)),IF(_xlpm.v="","",_xlpm.v)),""))</f>
        <v/>
      </c>
      <c r="H48" s="221"/>
      <c r="I48" s="43"/>
      <c r="J48" s="43"/>
      <c r="K48" s="43"/>
      <c r="L48" s="43"/>
      <c r="M48" s="43"/>
      <c r="N48" s="43"/>
      <c r="O48" s="43"/>
      <c r="P48" s="43"/>
      <c r="Q48" s="43"/>
      <c r="R48" s="43"/>
      <c r="S48" s="43"/>
      <c r="T48" s="43"/>
      <c r="U48" s="43"/>
      <c r="V48" s="43"/>
      <c r="W48" s="43"/>
      <c r="X48" s="43"/>
      <c r="Y48" s="43"/>
      <c r="Z48" s="43"/>
    </row>
    <row r="49" spans="1:26" s="4" customFormat="1" x14ac:dyDescent="0.3">
      <c r="A49" s="218" t="str" cm="1">
        <f t="array" ref="A49">IF($B$5="","",IFERROR(_xlfn.LET(_xlpm.v,INDEX(_xlfn._xlws.FILTER('05 Work done log'!$B$7:$B$506,'05 Work done log'!$A$7:$A$506=$B$5),ROWS($A$41:A49)),IF(_xlpm.v="","",_xlpm.v)),""))</f>
        <v/>
      </c>
      <c r="B49" s="218" t="str">
        <f>IF(A49="","",IFERROR(INDEX('12 P6 activities'!$B$7:$B$206,MATCH(A49,'12 P6 activities'!$A$7:$A$206,0)),"ID not in P6 list"))</f>
        <v/>
      </c>
      <c r="C49" s="218" t="str" cm="1">
        <f t="array" ref="C49">IF($B$5="","",IFERROR(_xlfn.LET(_xlpm.v,INDEX(_xlfn._xlws.FILTER('05 Work done log'!$E$7:$E$506,'05 Work done log'!$A$7:$A$506=$B$5),ROWS($A$41:A49)),IF(_xlpm.v="","",_xlpm.v)),""))</f>
        <v/>
      </c>
      <c r="D49" s="220" t="str" cm="1">
        <f t="array" ref="D49">IF($B$5="","",IFERROR(_xlfn.LET(_xlpm.v,INDEX(_xlfn._xlws.FILTER('05 Work done log'!$F$7:$F$506,'05 Work done log'!$A$7:$A$506=$B$5),ROWS($A$41:A49)),IF(_xlpm.v="","",_xlpm.v)),""))</f>
        <v/>
      </c>
      <c r="E49" s="218" t="str">
        <f>IF(A49="","",IFERROR(INDEX('12 P6 activities'!$E$7:$E$206,MATCH(A49,'12 P6 activities'!$A$7:$A$206,0)),""))</f>
        <v/>
      </c>
      <c r="F49" s="218" t="str" cm="1">
        <f t="array" ref="F49">IF($B$5="","",IFERROR(_xlfn.LET(_xlpm.v,INDEX(_xlfn._xlws.FILTER('05 Work done log'!$H$7:$H$506,'05 Work done log'!$A$7:$A$506=$B$5),ROWS($A$41:A49)),IF(_xlpm.v="","",_xlpm.v)),""))</f>
        <v/>
      </c>
      <c r="G49" s="239" t="str" cm="1">
        <f t="array" ref="G49">IF($B$5="","",IFERROR(_xlfn.LET(_xlpm.v,INDEX(_xlfn._xlws.FILTER('05 Work done log'!$I$7:$I$506,'05 Work done log'!$A$7:$A$506=$B$5),ROWS($A$41:A49)),IF(_xlpm.v="","",_xlpm.v)),""))</f>
        <v/>
      </c>
      <c r="H49" s="221"/>
      <c r="I49" s="43"/>
      <c r="J49" s="43"/>
      <c r="K49" s="43"/>
      <c r="L49" s="43"/>
      <c r="M49" s="43"/>
      <c r="N49" s="43"/>
      <c r="O49" s="43"/>
      <c r="P49" s="43"/>
      <c r="Q49" s="43"/>
      <c r="R49" s="43"/>
      <c r="S49" s="43"/>
      <c r="T49" s="43"/>
      <c r="U49" s="43"/>
      <c r="V49" s="43"/>
      <c r="W49" s="43"/>
      <c r="X49" s="43"/>
      <c r="Y49" s="43"/>
      <c r="Z49" s="43"/>
    </row>
    <row r="50" spans="1:26" s="4" customFormat="1" x14ac:dyDescent="0.3">
      <c r="A50" s="218" t="str" cm="1">
        <f t="array" ref="A50">IF($B$5="","",IFERROR(_xlfn.LET(_xlpm.v,INDEX(_xlfn._xlws.FILTER('05 Work done log'!$B$7:$B$506,'05 Work done log'!$A$7:$A$506=$B$5),ROWS($A$41:A50)),IF(_xlpm.v="","",_xlpm.v)),""))</f>
        <v/>
      </c>
      <c r="B50" s="218" t="str">
        <f>IF(A50="","",IFERROR(INDEX('12 P6 activities'!$B$7:$B$206,MATCH(A50,'12 P6 activities'!$A$7:$A$206,0)),"ID not in P6 list"))</f>
        <v/>
      </c>
      <c r="C50" s="218" t="str" cm="1">
        <f t="array" ref="C50">IF($B$5="","",IFERROR(_xlfn.LET(_xlpm.v,INDEX(_xlfn._xlws.FILTER('05 Work done log'!$E$7:$E$506,'05 Work done log'!$A$7:$A$506=$B$5),ROWS($A$41:A50)),IF(_xlpm.v="","",_xlpm.v)),""))</f>
        <v/>
      </c>
      <c r="D50" s="220" t="str" cm="1">
        <f t="array" ref="D50">IF($B$5="","",IFERROR(_xlfn.LET(_xlpm.v,INDEX(_xlfn._xlws.FILTER('05 Work done log'!$F$7:$F$506,'05 Work done log'!$A$7:$A$506=$B$5),ROWS($A$41:A50)),IF(_xlpm.v="","",_xlpm.v)),""))</f>
        <v/>
      </c>
      <c r="E50" s="218" t="str">
        <f>IF(A50="","",IFERROR(INDEX('12 P6 activities'!$E$7:$E$206,MATCH(A50,'12 P6 activities'!$A$7:$A$206,0)),""))</f>
        <v/>
      </c>
      <c r="F50" s="218" t="str" cm="1">
        <f t="array" ref="F50">IF($B$5="","",IFERROR(_xlfn.LET(_xlpm.v,INDEX(_xlfn._xlws.FILTER('05 Work done log'!$H$7:$H$506,'05 Work done log'!$A$7:$A$506=$B$5),ROWS($A$41:A50)),IF(_xlpm.v="","",_xlpm.v)),""))</f>
        <v/>
      </c>
      <c r="G50" s="239" t="str" cm="1">
        <f t="array" ref="G50">IF($B$5="","",IFERROR(_xlfn.LET(_xlpm.v,INDEX(_xlfn._xlws.FILTER('05 Work done log'!$I$7:$I$506,'05 Work done log'!$A$7:$A$506=$B$5),ROWS($A$41:A50)),IF(_xlpm.v="","",_xlpm.v)),""))</f>
        <v/>
      </c>
      <c r="H50" s="221"/>
      <c r="I50" s="43"/>
      <c r="J50" s="43"/>
      <c r="K50" s="43"/>
      <c r="L50" s="43"/>
      <c r="M50" s="43"/>
      <c r="N50" s="43"/>
      <c r="O50" s="43"/>
      <c r="P50" s="43"/>
      <c r="Q50" s="43"/>
      <c r="R50" s="43"/>
      <c r="S50" s="43"/>
      <c r="T50" s="43"/>
      <c r="U50" s="43"/>
      <c r="V50" s="43"/>
      <c r="W50" s="43"/>
      <c r="X50" s="43"/>
      <c r="Y50" s="43"/>
      <c r="Z50" s="43"/>
    </row>
    <row r="51" spans="1:26" s="4" customFormat="1" x14ac:dyDescent="0.3">
      <c r="A51" s="218" t="str" cm="1">
        <f t="array" ref="A51">IF($B$5="","",IFERROR(_xlfn.LET(_xlpm.v,INDEX(_xlfn._xlws.FILTER('05 Work done log'!$B$7:$B$506,'05 Work done log'!$A$7:$A$506=$B$5),ROWS($A$41:A51)),IF(_xlpm.v="","",_xlpm.v)),""))</f>
        <v/>
      </c>
      <c r="B51" s="218" t="str">
        <f>IF(A51="","",IFERROR(INDEX('12 P6 activities'!$B$7:$B$206,MATCH(A51,'12 P6 activities'!$A$7:$A$206,0)),"ID not in P6 list"))</f>
        <v/>
      </c>
      <c r="C51" s="218" t="str" cm="1">
        <f t="array" ref="C51">IF($B$5="","",IFERROR(_xlfn.LET(_xlpm.v,INDEX(_xlfn._xlws.FILTER('05 Work done log'!$E$7:$E$506,'05 Work done log'!$A$7:$A$506=$B$5),ROWS($A$41:A51)),IF(_xlpm.v="","",_xlpm.v)),""))</f>
        <v/>
      </c>
      <c r="D51" s="220" t="str" cm="1">
        <f t="array" ref="D51">IF($B$5="","",IFERROR(_xlfn.LET(_xlpm.v,INDEX(_xlfn._xlws.FILTER('05 Work done log'!$F$7:$F$506,'05 Work done log'!$A$7:$A$506=$B$5),ROWS($A$41:A51)),IF(_xlpm.v="","",_xlpm.v)),""))</f>
        <v/>
      </c>
      <c r="E51" s="218" t="str">
        <f>IF(A51="","",IFERROR(INDEX('12 P6 activities'!$E$7:$E$206,MATCH(A51,'12 P6 activities'!$A$7:$A$206,0)),""))</f>
        <v/>
      </c>
      <c r="F51" s="218" t="str" cm="1">
        <f t="array" ref="F51">IF($B$5="","",IFERROR(_xlfn.LET(_xlpm.v,INDEX(_xlfn._xlws.FILTER('05 Work done log'!$H$7:$H$506,'05 Work done log'!$A$7:$A$506=$B$5),ROWS($A$41:A51)),IF(_xlpm.v="","",_xlpm.v)),""))</f>
        <v/>
      </c>
      <c r="G51" s="239" t="str" cm="1">
        <f t="array" ref="G51">IF($B$5="","",IFERROR(_xlfn.LET(_xlpm.v,INDEX(_xlfn._xlws.FILTER('05 Work done log'!$I$7:$I$506,'05 Work done log'!$A$7:$A$506=$B$5),ROWS($A$41:A51)),IF(_xlpm.v="","",_xlpm.v)),""))</f>
        <v/>
      </c>
      <c r="H51" s="221"/>
      <c r="I51" s="43"/>
      <c r="J51" s="43"/>
      <c r="K51" s="43"/>
      <c r="L51" s="43"/>
      <c r="M51" s="43"/>
      <c r="N51" s="43"/>
      <c r="O51" s="43"/>
      <c r="P51" s="43"/>
      <c r="Q51" s="43"/>
      <c r="R51" s="43"/>
      <c r="S51" s="43"/>
      <c r="T51" s="43"/>
      <c r="U51" s="43"/>
      <c r="V51" s="43"/>
      <c r="W51" s="43"/>
      <c r="X51" s="43"/>
      <c r="Y51" s="43"/>
      <c r="Z51" s="43"/>
    </row>
    <row r="52" spans="1:26" s="4" customFormat="1" x14ac:dyDescent="0.3">
      <c r="A52" s="218" t="str" cm="1">
        <f t="array" ref="A52">IF($B$5="","",IFERROR(_xlfn.LET(_xlpm.v,INDEX(_xlfn._xlws.FILTER('05 Work done log'!$B$7:$B$506,'05 Work done log'!$A$7:$A$506=$B$5),ROWS($A$41:A52)),IF(_xlpm.v="","",_xlpm.v)),""))</f>
        <v/>
      </c>
      <c r="B52" s="218" t="str">
        <f>IF(A52="","",IFERROR(INDEX('12 P6 activities'!$B$7:$B$206,MATCH(A52,'12 P6 activities'!$A$7:$A$206,0)),"ID not in P6 list"))</f>
        <v/>
      </c>
      <c r="C52" s="218" t="str" cm="1">
        <f t="array" ref="C52">IF($B$5="","",IFERROR(_xlfn.LET(_xlpm.v,INDEX(_xlfn._xlws.FILTER('05 Work done log'!$E$7:$E$506,'05 Work done log'!$A$7:$A$506=$B$5),ROWS($A$41:A52)),IF(_xlpm.v="","",_xlpm.v)),""))</f>
        <v/>
      </c>
      <c r="D52" s="220" t="str" cm="1">
        <f t="array" ref="D52">IF($B$5="","",IFERROR(_xlfn.LET(_xlpm.v,INDEX(_xlfn._xlws.FILTER('05 Work done log'!$F$7:$F$506,'05 Work done log'!$A$7:$A$506=$B$5),ROWS($A$41:A52)),IF(_xlpm.v="","",_xlpm.v)),""))</f>
        <v/>
      </c>
      <c r="E52" s="218" t="str">
        <f>IF(A52="","",IFERROR(INDEX('12 P6 activities'!$E$7:$E$206,MATCH(A52,'12 P6 activities'!$A$7:$A$206,0)),""))</f>
        <v/>
      </c>
      <c r="F52" s="218" t="str" cm="1">
        <f t="array" ref="F52">IF($B$5="","",IFERROR(_xlfn.LET(_xlpm.v,INDEX(_xlfn._xlws.FILTER('05 Work done log'!$H$7:$H$506,'05 Work done log'!$A$7:$A$506=$B$5),ROWS($A$41:A52)),IF(_xlpm.v="","",_xlpm.v)),""))</f>
        <v/>
      </c>
      <c r="G52" s="239" t="str" cm="1">
        <f t="array" ref="G52">IF($B$5="","",IFERROR(_xlfn.LET(_xlpm.v,INDEX(_xlfn._xlws.FILTER('05 Work done log'!$I$7:$I$506,'05 Work done log'!$A$7:$A$506=$B$5),ROWS($A$41:A52)),IF(_xlpm.v="","",_xlpm.v)),""))</f>
        <v/>
      </c>
      <c r="H52" s="221"/>
      <c r="I52" s="43"/>
      <c r="J52" s="43"/>
      <c r="K52" s="43"/>
      <c r="L52" s="43"/>
      <c r="M52" s="43"/>
      <c r="N52" s="43"/>
      <c r="O52" s="43"/>
      <c r="P52" s="43"/>
      <c r="Q52" s="43"/>
      <c r="R52" s="43"/>
      <c r="S52" s="43"/>
      <c r="T52" s="43"/>
      <c r="U52" s="43"/>
      <c r="V52" s="43"/>
      <c r="W52" s="43"/>
      <c r="X52" s="43"/>
      <c r="Y52" s="43"/>
      <c r="Z52" s="43"/>
    </row>
    <row r="53" spans="1:26" x14ac:dyDescent="0.3">
      <c r="A53" s="178"/>
      <c r="B53" s="178"/>
      <c r="C53" s="178"/>
      <c r="D53" s="178"/>
      <c r="E53" s="178"/>
      <c r="F53" s="178"/>
      <c r="G53" s="178"/>
      <c r="H53" s="178"/>
      <c r="I53" s="6"/>
      <c r="J53" s="6"/>
      <c r="K53" s="6"/>
      <c r="L53" s="6"/>
      <c r="M53" s="6"/>
      <c r="N53" s="6"/>
      <c r="O53" s="6"/>
      <c r="P53" s="6"/>
      <c r="Q53" s="6"/>
      <c r="R53" s="6"/>
      <c r="S53" s="6"/>
      <c r="T53" s="6"/>
      <c r="U53" s="6"/>
      <c r="V53" s="6"/>
      <c r="W53" s="6"/>
      <c r="X53" s="6"/>
      <c r="Y53" s="6"/>
      <c r="Z53" s="6"/>
    </row>
    <row r="54" spans="1:26" ht="22.05" customHeight="1" x14ac:dyDescent="0.3">
      <c r="A54" s="210" t="s">
        <v>116</v>
      </c>
      <c r="B54" s="211"/>
      <c r="C54" s="211"/>
      <c r="D54" s="211"/>
      <c r="E54" s="211"/>
      <c r="F54" s="211"/>
      <c r="G54" s="211"/>
      <c r="H54" s="242" t="str">
        <f>IF($B$5="","",IF(COUNTIFS('07 Delivery log'!$A$7:$A$506,$B$5)&gt;6,"⚠ "&amp;COUNTIFS('07 Delivery log'!$A$7:$A$506,$B$5)&amp;" lines in the Delivery log: only 6 fit here",""))</f>
        <v/>
      </c>
      <c r="I54" s="6"/>
      <c r="J54" s="6"/>
      <c r="K54" s="6"/>
      <c r="L54" s="6"/>
      <c r="M54" s="6"/>
      <c r="N54" s="6"/>
      <c r="O54" s="6"/>
      <c r="P54" s="6"/>
      <c r="Q54" s="6"/>
      <c r="R54" s="6"/>
      <c r="S54" s="6"/>
      <c r="T54" s="6"/>
      <c r="U54" s="6"/>
      <c r="V54" s="6"/>
      <c r="W54" s="6"/>
      <c r="X54" s="6"/>
      <c r="Y54" s="6"/>
      <c r="Z54" s="6"/>
    </row>
    <row r="55" spans="1:26" s="3" customFormat="1" ht="27.6" customHeight="1" x14ac:dyDescent="0.2">
      <c r="A55" s="212" t="s">
        <v>117</v>
      </c>
      <c r="B55" s="212" t="s">
        <v>118</v>
      </c>
      <c r="C55" s="212" t="s">
        <v>102</v>
      </c>
      <c r="D55" s="212" t="s">
        <v>103</v>
      </c>
      <c r="E55" s="212" t="s">
        <v>119</v>
      </c>
      <c r="F55" s="212" t="s">
        <v>120</v>
      </c>
      <c r="G55" s="212" t="s">
        <v>294</v>
      </c>
      <c r="H55" s="212" t="s">
        <v>88</v>
      </c>
      <c r="I55" s="42"/>
      <c r="J55" s="42"/>
      <c r="K55" s="42"/>
      <c r="L55" s="42"/>
      <c r="M55" s="42"/>
      <c r="N55" s="42"/>
      <c r="O55" s="42"/>
      <c r="P55" s="42"/>
      <c r="Q55" s="42"/>
      <c r="R55" s="42"/>
      <c r="S55" s="42"/>
      <c r="T55" s="42"/>
      <c r="U55" s="42"/>
      <c r="V55" s="42"/>
      <c r="W55" s="42"/>
      <c r="X55" s="42"/>
      <c r="Y55" s="42"/>
      <c r="Z55" s="42"/>
    </row>
    <row r="56" spans="1:26" s="4" customFormat="1" x14ac:dyDescent="0.3">
      <c r="A56" s="214" t="str" cm="1">
        <f t="array" ref="A56">IF($B$5="","",IFERROR(_xlfn.LET(_xlpm.v,INDEX(_xlfn._xlws.FILTER('07 Delivery log'!$B$7:$B$506,'07 Delivery log'!$A$7:$A$506=$B$5),ROWS($A$56:A56)),IF(_xlpm.v="","",_xlpm.v)),""))</f>
        <v>Steel supplier</v>
      </c>
      <c r="B56" s="214" t="str" cm="1">
        <f t="array" ref="B56">IF($B$5="","",IFERROR(_xlfn.LET(_xlpm.v,INDEX(_xlfn._xlws.FILTER('07 Delivery log'!$C$7:$C$506,'07 Delivery log'!$A$7:$A$506=$B$5),ROWS($A$56:A56)),IF(_xlpm.v="","",_xlpm.v)),""))</f>
        <v>Reinforcement</v>
      </c>
      <c r="C56" s="216" cm="1">
        <f t="array" ref="C56">IF($B$5="","",IFERROR(_xlfn.LET(_xlpm.v,INDEX(_xlfn._xlws.FILTER('07 Delivery log'!$D$7:$D$506,'07 Delivery log'!$A$7:$A$506=$B$5),ROWS($A$56:A56)),IF(_xlpm.v="","",_xlpm.v)),""))</f>
        <v>12</v>
      </c>
      <c r="D56" s="214" t="str" cm="1">
        <f t="array" ref="D56">IF($B$5="","",IFERROR(_xlfn.LET(_xlpm.v,INDEX(_xlfn._xlws.FILTER('07 Delivery log'!$E$7:$E$506,'07 Delivery log'!$A$7:$A$506=$B$5),ROWS($A$56:A56)),IF(_xlpm.v="","",_xlpm.v)),""))</f>
        <v>t</v>
      </c>
      <c r="E56" s="214" t="str" cm="1">
        <f t="array" ref="E56">IF($B$5="","",IFERROR(_xlfn.LET(_xlpm.v,INDEX(_xlfn._xlws.FILTER('07 Delivery log'!$F$7:$F$506,'07 Delivery log'!$A$7:$A$506=$B$5),ROWS($A$56:A56)),IF(_xlpm.v="","",_xlpm.v)),""))</f>
        <v>DN-1182</v>
      </c>
      <c r="F56" s="214" t="str" cm="1">
        <f t="array" ref="F56">IF($B$5="","",IFERROR(_xlfn.LET(_xlpm.v,INDEX(_xlfn._xlws.FILTER('07 Delivery log'!$G$7:$G$506,'07 Delivery log'!$A$7:$A$506=$B$5),ROWS($A$56:A56)),IF(_xlpm.v="","",_xlpm.v)),""))</f>
        <v>N</v>
      </c>
      <c r="G56" s="214" t="str" cm="1">
        <f t="array" ref="G56">IF($B$5="","",IFERROR(_xlfn.LET(_xlpm.v,INDEX(_xlfn._xlws.FILTER('07 Delivery log'!$H$7:$H$506,'07 Delivery log'!$A$7:$A$506=$B$5),ROWS($A$56:A56)),IF(_xlpm.v="","",_xlpm.v)),""))</f>
        <v>A1100</v>
      </c>
      <c r="H56" s="214" t="str" cm="1">
        <f t="array" ref="H56">IF($B$5="","",IFERROR(_xlfn.LET(_xlpm.v,INDEX(_xlfn._xlws.FILTER('07 Delivery log'!$K$7:$K$506,'07 Delivery log'!$A$7:$A$506=$B$5),ROWS($A$56:A56)),IF(_xlpm.v="","",_xlpm.v)),""))</f>
        <v/>
      </c>
      <c r="I56" s="43"/>
      <c r="J56" s="43"/>
      <c r="K56" s="43"/>
      <c r="L56" s="43"/>
      <c r="M56" s="43"/>
      <c r="N56" s="43"/>
      <c r="O56" s="43"/>
      <c r="P56" s="43"/>
      <c r="Q56" s="43"/>
      <c r="R56" s="43"/>
      <c r="S56" s="43"/>
      <c r="T56" s="43"/>
      <c r="U56" s="43"/>
      <c r="V56" s="43"/>
      <c r="W56" s="43"/>
      <c r="X56" s="43"/>
      <c r="Y56" s="43"/>
      <c r="Z56" s="43"/>
    </row>
    <row r="57" spans="1:26" s="4" customFormat="1" x14ac:dyDescent="0.3">
      <c r="A57" s="218" t="str" cm="1">
        <f t="array" ref="A57">IF($B$5="","",IFERROR(_xlfn.LET(_xlpm.v,INDEX(_xlfn._xlws.FILTER('07 Delivery log'!$B$7:$B$506,'07 Delivery log'!$A$7:$A$506=$B$5),ROWS($A$56:A57)),IF(_xlpm.v="","",_xlpm.v)),""))</f>
        <v>Aggregates</v>
      </c>
      <c r="B57" s="218" t="str" cm="1">
        <f t="array" ref="B57">IF($B$5="","",IFERROR(_xlfn.LET(_xlpm.v,INDEX(_xlfn._xlws.FILTER('07 Delivery log'!$C$7:$C$506,'07 Delivery log'!$A$7:$A$506=$B$5),ROWS($A$56:A57)),IF(_xlpm.v="","",_xlpm.v)),""))</f>
        <v>Blinding stone</v>
      </c>
      <c r="C57" s="220" cm="1">
        <f t="array" ref="C57">IF($B$5="","",IFERROR(_xlfn.LET(_xlpm.v,INDEX(_xlfn._xlws.FILTER('07 Delivery log'!$D$7:$D$506,'07 Delivery log'!$A$7:$A$506=$B$5),ROWS($A$56:A57)),IF(_xlpm.v="","",_xlpm.v)),""))</f>
        <v>20</v>
      </c>
      <c r="D57" s="218" t="str" cm="1">
        <f t="array" ref="D57">IF($B$5="","",IFERROR(_xlfn.LET(_xlpm.v,INDEX(_xlfn._xlws.FILTER('07 Delivery log'!$E$7:$E$506,'07 Delivery log'!$A$7:$A$506=$B$5),ROWS($A$56:A57)),IF(_xlpm.v="","",_xlpm.v)),""))</f>
        <v>t</v>
      </c>
      <c r="E57" s="218" t="str" cm="1">
        <f t="array" ref="E57">IF($B$5="","",IFERROR(_xlfn.LET(_xlpm.v,INDEX(_xlfn._xlws.FILTER('07 Delivery log'!$F$7:$F$506,'07 Delivery log'!$A$7:$A$506=$B$5),ROWS($A$56:A57)),IF(_xlpm.v="","",_xlpm.v)),""))</f>
        <v>DN-0457</v>
      </c>
      <c r="F57" s="218" t="str" cm="1">
        <f t="array" ref="F57">IF($B$5="","",IFERROR(_xlfn.LET(_xlpm.v,INDEX(_xlfn._xlws.FILTER('07 Delivery log'!$G$7:$G$506,'07 Delivery log'!$A$7:$A$506=$B$5),ROWS($A$56:A57)),IF(_xlpm.v="","",_xlpm.v)),""))</f>
        <v>N</v>
      </c>
      <c r="G57" s="218" t="str" cm="1">
        <f t="array" ref="G57">IF($B$5="","",IFERROR(_xlfn.LET(_xlpm.v,INDEX(_xlfn._xlws.FILTER('07 Delivery log'!$H$7:$H$506,'07 Delivery log'!$A$7:$A$506=$B$5),ROWS($A$56:A57)),IF(_xlpm.v="","",_xlpm.v)),""))</f>
        <v>A1200</v>
      </c>
      <c r="H57" s="218" t="str" cm="1">
        <f t="array" ref="H57">IF($B$5="","",IFERROR(_xlfn.LET(_xlpm.v,INDEX(_xlfn._xlws.FILTER('07 Delivery log'!$K$7:$K$506,'07 Delivery log'!$A$7:$A$506=$B$5),ROWS($A$56:A57)),IF(_xlpm.v="","",_xlpm.v)),""))</f>
        <v/>
      </c>
      <c r="I57" s="43"/>
      <c r="J57" s="43"/>
      <c r="K57" s="43"/>
      <c r="L57" s="43"/>
      <c r="M57" s="43"/>
      <c r="N57" s="43"/>
      <c r="O57" s="43"/>
      <c r="P57" s="43"/>
      <c r="Q57" s="43"/>
      <c r="R57" s="43"/>
      <c r="S57" s="43"/>
      <c r="T57" s="43"/>
      <c r="U57" s="43"/>
      <c r="V57" s="43"/>
      <c r="W57" s="43"/>
      <c r="X57" s="43"/>
      <c r="Y57" s="43"/>
      <c r="Z57" s="43"/>
    </row>
    <row r="58" spans="1:26" s="4" customFormat="1" x14ac:dyDescent="0.3">
      <c r="A58" s="218" t="str" cm="1">
        <f t="array" ref="A58">IF($B$5="","",IFERROR(_xlfn.LET(_xlpm.v,INDEX(_xlfn._xlws.FILTER('07 Delivery log'!$B$7:$B$506,'07 Delivery log'!$A$7:$A$506=$B$5),ROWS($A$56:A58)),IF(_xlpm.v="","",_xlpm.v)),""))</f>
        <v/>
      </c>
      <c r="B58" s="218" t="str" cm="1">
        <f t="array" ref="B58">IF($B$5="","",IFERROR(_xlfn.LET(_xlpm.v,INDEX(_xlfn._xlws.FILTER('07 Delivery log'!$C$7:$C$506,'07 Delivery log'!$A$7:$A$506=$B$5),ROWS($A$56:A58)),IF(_xlpm.v="","",_xlpm.v)),""))</f>
        <v/>
      </c>
      <c r="C58" s="220" t="str" cm="1">
        <f t="array" ref="C58">IF($B$5="","",IFERROR(_xlfn.LET(_xlpm.v,INDEX(_xlfn._xlws.FILTER('07 Delivery log'!$D$7:$D$506,'07 Delivery log'!$A$7:$A$506=$B$5),ROWS($A$56:A58)),IF(_xlpm.v="","",_xlpm.v)),""))</f>
        <v/>
      </c>
      <c r="D58" s="218" t="str" cm="1">
        <f t="array" ref="D58">IF($B$5="","",IFERROR(_xlfn.LET(_xlpm.v,INDEX(_xlfn._xlws.FILTER('07 Delivery log'!$E$7:$E$506,'07 Delivery log'!$A$7:$A$506=$B$5),ROWS($A$56:A58)),IF(_xlpm.v="","",_xlpm.v)),""))</f>
        <v/>
      </c>
      <c r="E58" s="218" t="str" cm="1">
        <f t="array" ref="E58">IF($B$5="","",IFERROR(_xlfn.LET(_xlpm.v,INDEX(_xlfn._xlws.FILTER('07 Delivery log'!$F$7:$F$506,'07 Delivery log'!$A$7:$A$506=$B$5),ROWS($A$56:A58)),IF(_xlpm.v="","",_xlpm.v)),""))</f>
        <v/>
      </c>
      <c r="F58" s="218" t="str" cm="1">
        <f t="array" ref="F58">IF($B$5="","",IFERROR(_xlfn.LET(_xlpm.v,INDEX(_xlfn._xlws.FILTER('07 Delivery log'!$G$7:$G$506,'07 Delivery log'!$A$7:$A$506=$B$5),ROWS($A$56:A58)),IF(_xlpm.v="","",_xlpm.v)),""))</f>
        <v/>
      </c>
      <c r="G58" s="218" t="str" cm="1">
        <f t="array" ref="G58">IF($B$5="","",IFERROR(_xlfn.LET(_xlpm.v,INDEX(_xlfn._xlws.FILTER('07 Delivery log'!$H$7:$H$506,'07 Delivery log'!$A$7:$A$506=$B$5),ROWS($A$56:A58)),IF(_xlpm.v="","",_xlpm.v)),""))</f>
        <v/>
      </c>
      <c r="H58" s="218" t="str" cm="1">
        <f t="array" ref="H58">IF($B$5="","",IFERROR(_xlfn.LET(_xlpm.v,INDEX(_xlfn._xlws.FILTER('07 Delivery log'!$K$7:$K$506,'07 Delivery log'!$A$7:$A$506=$B$5),ROWS($A$56:A58)),IF(_xlpm.v="","",_xlpm.v)),""))</f>
        <v/>
      </c>
      <c r="I58" s="43"/>
      <c r="J58" s="43"/>
      <c r="K58" s="43"/>
      <c r="L58" s="43"/>
      <c r="M58" s="43"/>
      <c r="N58" s="43"/>
      <c r="O58" s="43"/>
      <c r="P58" s="43"/>
      <c r="Q58" s="43"/>
      <c r="R58" s="43"/>
      <c r="S58" s="43"/>
      <c r="T58" s="43"/>
      <c r="U58" s="43"/>
      <c r="V58" s="43"/>
      <c r="W58" s="43"/>
      <c r="X58" s="43"/>
      <c r="Y58" s="43"/>
      <c r="Z58" s="43"/>
    </row>
    <row r="59" spans="1:26" s="4" customFormat="1" x14ac:dyDescent="0.3">
      <c r="A59" s="218" t="str" cm="1">
        <f t="array" ref="A59">IF($B$5="","",IFERROR(_xlfn.LET(_xlpm.v,INDEX(_xlfn._xlws.FILTER('07 Delivery log'!$B$7:$B$506,'07 Delivery log'!$A$7:$A$506=$B$5),ROWS($A$56:A59)),IF(_xlpm.v="","",_xlpm.v)),""))</f>
        <v/>
      </c>
      <c r="B59" s="218" t="str" cm="1">
        <f t="array" ref="B59">IF($B$5="","",IFERROR(_xlfn.LET(_xlpm.v,INDEX(_xlfn._xlws.FILTER('07 Delivery log'!$C$7:$C$506,'07 Delivery log'!$A$7:$A$506=$B$5),ROWS($A$56:A59)),IF(_xlpm.v="","",_xlpm.v)),""))</f>
        <v/>
      </c>
      <c r="C59" s="220" t="str" cm="1">
        <f t="array" ref="C59">IF($B$5="","",IFERROR(_xlfn.LET(_xlpm.v,INDEX(_xlfn._xlws.FILTER('07 Delivery log'!$D$7:$D$506,'07 Delivery log'!$A$7:$A$506=$B$5),ROWS($A$56:A59)),IF(_xlpm.v="","",_xlpm.v)),""))</f>
        <v/>
      </c>
      <c r="D59" s="218" t="str" cm="1">
        <f t="array" ref="D59">IF($B$5="","",IFERROR(_xlfn.LET(_xlpm.v,INDEX(_xlfn._xlws.FILTER('07 Delivery log'!$E$7:$E$506,'07 Delivery log'!$A$7:$A$506=$B$5),ROWS($A$56:A59)),IF(_xlpm.v="","",_xlpm.v)),""))</f>
        <v/>
      </c>
      <c r="E59" s="218" t="str" cm="1">
        <f t="array" ref="E59">IF($B$5="","",IFERROR(_xlfn.LET(_xlpm.v,INDEX(_xlfn._xlws.FILTER('07 Delivery log'!$F$7:$F$506,'07 Delivery log'!$A$7:$A$506=$B$5),ROWS($A$56:A59)),IF(_xlpm.v="","",_xlpm.v)),""))</f>
        <v/>
      </c>
      <c r="F59" s="218" t="str" cm="1">
        <f t="array" ref="F59">IF($B$5="","",IFERROR(_xlfn.LET(_xlpm.v,INDEX(_xlfn._xlws.FILTER('07 Delivery log'!$G$7:$G$506,'07 Delivery log'!$A$7:$A$506=$B$5),ROWS($A$56:A59)),IF(_xlpm.v="","",_xlpm.v)),""))</f>
        <v/>
      </c>
      <c r="G59" s="218" t="str" cm="1">
        <f t="array" ref="G59">IF($B$5="","",IFERROR(_xlfn.LET(_xlpm.v,INDEX(_xlfn._xlws.FILTER('07 Delivery log'!$H$7:$H$506,'07 Delivery log'!$A$7:$A$506=$B$5),ROWS($A$56:A59)),IF(_xlpm.v="","",_xlpm.v)),""))</f>
        <v/>
      </c>
      <c r="H59" s="218" t="str" cm="1">
        <f t="array" ref="H59">IF($B$5="","",IFERROR(_xlfn.LET(_xlpm.v,INDEX(_xlfn._xlws.FILTER('07 Delivery log'!$K$7:$K$506,'07 Delivery log'!$A$7:$A$506=$B$5),ROWS($A$56:A59)),IF(_xlpm.v="","",_xlpm.v)),""))</f>
        <v/>
      </c>
      <c r="I59" s="43"/>
      <c r="J59" s="43"/>
      <c r="K59" s="43"/>
      <c r="L59" s="43"/>
      <c r="M59" s="43"/>
      <c r="N59" s="43"/>
      <c r="O59" s="43"/>
      <c r="P59" s="43"/>
      <c r="Q59" s="43"/>
      <c r="R59" s="43"/>
      <c r="S59" s="43"/>
      <c r="T59" s="43"/>
      <c r="U59" s="43"/>
      <c r="V59" s="43"/>
      <c r="W59" s="43"/>
      <c r="X59" s="43"/>
      <c r="Y59" s="43"/>
      <c r="Z59" s="43"/>
    </row>
    <row r="60" spans="1:26" s="4" customFormat="1" x14ac:dyDescent="0.3">
      <c r="A60" s="218" t="str" cm="1">
        <f t="array" ref="A60">IF($B$5="","",IFERROR(_xlfn.LET(_xlpm.v,INDEX(_xlfn._xlws.FILTER('07 Delivery log'!$B$7:$B$506,'07 Delivery log'!$A$7:$A$506=$B$5),ROWS($A$56:A60)),IF(_xlpm.v="","",_xlpm.v)),""))</f>
        <v/>
      </c>
      <c r="B60" s="218" t="str" cm="1">
        <f t="array" ref="B60">IF($B$5="","",IFERROR(_xlfn.LET(_xlpm.v,INDEX(_xlfn._xlws.FILTER('07 Delivery log'!$C$7:$C$506,'07 Delivery log'!$A$7:$A$506=$B$5),ROWS($A$56:A60)),IF(_xlpm.v="","",_xlpm.v)),""))</f>
        <v/>
      </c>
      <c r="C60" s="220" t="str" cm="1">
        <f t="array" ref="C60">IF($B$5="","",IFERROR(_xlfn.LET(_xlpm.v,INDEX(_xlfn._xlws.FILTER('07 Delivery log'!$D$7:$D$506,'07 Delivery log'!$A$7:$A$506=$B$5),ROWS($A$56:A60)),IF(_xlpm.v="","",_xlpm.v)),""))</f>
        <v/>
      </c>
      <c r="D60" s="218" t="str" cm="1">
        <f t="array" ref="D60">IF($B$5="","",IFERROR(_xlfn.LET(_xlpm.v,INDEX(_xlfn._xlws.FILTER('07 Delivery log'!$E$7:$E$506,'07 Delivery log'!$A$7:$A$506=$B$5),ROWS($A$56:A60)),IF(_xlpm.v="","",_xlpm.v)),""))</f>
        <v/>
      </c>
      <c r="E60" s="218" t="str" cm="1">
        <f t="array" ref="E60">IF($B$5="","",IFERROR(_xlfn.LET(_xlpm.v,INDEX(_xlfn._xlws.FILTER('07 Delivery log'!$F$7:$F$506,'07 Delivery log'!$A$7:$A$506=$B$5),ROWS($A$56:A60)),IF(_xlpm.v="","",_xlpm.v)),""))</f>
        <v/>
      </c>
      <c r="F60" s="218" t="str" cm="1">
        <f t="array" ref="F60">IF($B$5="","",IFERROR(_xlfn.LET(_xlpm.v,INDEX(_xlfn._xlws.FILTER('07 Delivery log'!$G$7:$G$506,'07 Delivery log'!$A$7:$A$506=$B$5),ROWS($A$56:A60)),IF(_xlpm.v="","",_xlpm.v)),""))</f>
        <v/>
      </c>
      <c r="G60" s="218" t="str" cm="1">
        <f t="array" ref="G60">IF($B$5="","",IFERROR(_xlfn.LET(_xlpm.v,INDEX(_xlfn._xlws.FILTER('07 Delivery log'!$H$7:$H$506,'07 Delivery log'!$A$7:$A$506=$B$5),ROWS($A$56:A60)),IF(_xlpm.v="","",_xlpm.v)),""))</f>
        <v/>
      </c>
      <c r="H60" s="218" t="str" cm="1">
        <f t="array" ref="H60">IF($B$5="","",IFERROR(_xlfn.LET(_xlpm.v,INDEX(_xlfn._xlws.FILTER('07 Delivery log'!$K$7:$K$506,'07 Delivery log'!$A$7:$A$506=$B$5),ROWS($A$56:A60)),IF(_xlpm.v="","",_xlpm.v)),""))</f>
        <v/>
      </c>
      <c r="I60" s="43"/>
      <c r="J60" s="43"/>
      <c r="K60" s="43"/>
      <c r="L60" s="43"/>
      <c r="M60" s="43"/>
      <c r="N60" s="43"/>
      <c r="O60" s="43"/>
      <c r="P60" s="43"/>
      <c r="Q60" s="43"/>
      <c r="R60" s="43"/>
      <c r="S60" s="43"/>
      <c r="T60" s="43"/>
      <c r="U60" s="43"/>
      <c r="V60" s="43"/>
      <c r="W60" s="43"/>
      <c r="X60" s="43"/>
      <c r="Y60" s="43"/>
      <c r="Z60" s="43"/>
    </row>
    <row r="61" spans="1:26" s="4" customFormat="1" x14ac:dyDescent="0.3">
      <c r="A61" s="218" t="str" cm="1">
        <f t="array" ref="A61">IF($B$5="","",IFERROR(_xlfn.LET(_xlpm.v,INDEX(_xlfn._xlws.FILTER('07 Delivery log'!$B$7:$B$506,'07 Delivery log'!$A$7:$A$506=$B$5),ROWS($A$56:A61)),IF(_xlpm.v="","",_xlpm.v)),""))</f>
        <v/>
      </c>
      <c r="B61" s="218" t="str" cm="1">
        <f t="array" ref="B61">IF($B$5="","",IFERROR(_xlfn.LET(_xlpm.v,INDEX(_xlfn._xlws.FILTER('07 Delivery log'!$C$7:$C$506,'07 Delivery log'!$A$7:$A$506=$B$5),ROWS($A$56:A61)),IF(_xlpm.v="","",_xlpm.v)),""))</f>
        <v/>
      </c>
      <c r="C61" s="220" t="str" cm="1">
        <f t="array" ref="C61">IF($B$5="","",IFERROR(_xlfn.LET(_xlpm.v,INDEX(_xlfn._xlws.FILTER('07 Delivery log'!$D$7:$D$506,'07 Delivery log'!$A$7:$A$506=$B$5),ROWS($A$56:A61)),IF(_xlpm.v="","",_xlpm.v)),""))</f>
        <v/>
      </c>
      <c r="D61" s="218" t="str" cm="1">
        <f t="array" ref="D61">IF($B$5="","",IFERROR(_xlfn.LET(_xlpm.v,INDEX(_xlfn._xlws.FILTER('07 Delivery log'!$E$7:$E$506,'07 Delivery log'!$A$7:$A$506=$B$5),ROWS($A$56:A61)),IF(_xlpm.v="","",_xlpm.v)),""))</f>
        <v/>
      </c>
      <c r="E61" s="218" t="str" cm="1">
        <f t="array" ref="E61">IF($B$5="","",IFERROR(_xlfn.LET(_xlpm.v,INDEX(_xlfn._xlws.FILTER('07 Delivery log'!$F$7:$F$506,'07 Delivery log'!$A$7:$A$506=$B$5),ROWS($A$56:A61)),IF(_xlpm.v="","",_xlpm.v)),""))</f>
        <v/>
      </c>
      <c r="F61" s="218" t="str" cm="1">
        <f t="array" ref="F61">IF($B$5="","",IFERROR(_xlfn.LET(_xlpm.v,INDEX(_xlfn._xlws.FILTER('07 Delivery log'!$G$7:$G$506,'07 Delivery log'!$A$7:$A$506=$B$5),ROWS($A$56:A61)),IF(_xlpm.v="","",_xlpm.v)),""))</f>
        <v/>
      </c>
      <c r="G61" s="218" t="str" cm="1">
        <f t="array" ref="G61">IF($B$5="","",IFERROR(_xlfn.LET(_xlpm.v,INDEX(_xlfn._xlws.FILTER('07 Delivery log'!$H$7:$H$506,'07 Delivery log'!$A$7:$A$506=$B$5),ROWS($A$56:A61)),IF(_xlpm.v="","",_xlpm.v)),""))</f>
        <v/>
      </c>
      <c r="H61" s="218" t="str" cm="1">
        <f t="array" ref="H61">IF($B$5="","",IFERROR(_xlfn.LET(_xlpm.v,INDEX(_xlfn._xlws.FILTER('07 Delivery log'!$K$7:$K$506,'07 Delivery log'!$A$7:$A$506=$B$5),ROWS($A$56:A61)),IF(_xlpm.v="","",_xlpm.v)),""))</f>
        <v/>
      </c>
      <c r="I61" s="43"/>
      <c r="J61" s="43"/>
      <c r="K61" s="43"/>
      <c r="L61" s="43"/>
      <c r="M61" s="43"/>
      <c r="N61" s="43"/>
      <c r="O61" s="43"/>
      <c r="P61" s="43"/>
      <c r="Q61" s="43"/>
      <c r="R61" s="43"/>
      <c r="S61" s="43"/>
      <c r="T61" s="43"/>
      <c r="U61" s="43"/>
      <c r="V61" s="43"/>
      <c r="W61" s="43"/>
      <c r="X61" s="43"/>
      <c r="Y61" s="43"/>
      <c r="Z61" s="43"/>
    </row>
    <row r="62" spans="1:26" x14ac:dyDescent="0.3">
      <c r="A62" s="178"/>
      <c r="B62" s="178"/>
      <c r="C62" s="178"/>
      <c r="D62" s="178"/>
      <c r="E62" s="178"/>
      <c r="F62" s="178"/>
      <c r="G62" s="178"/>
      <c r="H62" s="178"/>
      <c r="I62" s="6"/>
      <c r="J62" s="6"/>
      <c r="K62" s="6"/>
      <c r="L62" s="6"/>
      <c r="M62" s="6"/>
      <c r="N62" s="6"/>
      <c r="O62" s="6"/>
      <c r="P62" s="6"/>
      <c r="Q62" s="6"/>
      <c r="R62" s="6"/>
      <c r="S62" s="6"/>
      <c r="T62" s="6"/>
      <c r="U62" s="6"/>
      <c r="V62" s="6"/>
      <c r="W62" s="6"/>
      <c r="X62" s="6"/>
      <c r="Y62" s="6"/>
      <c r="Z62" s="6"/>
    </row>
    <row r="63" spans="1:26" ht="22.05" customHeight="1" x14ac:dyDescent="0.3">
      <c r="A63" s="210" t="s">
        <v>128</v>
      </c>
      <c r="B63" s="211"/>
      <c r="C63" s="211"/>
      <c r="D63" s="211"/>
      <c r="E63" s="211"/>
      <c r="F63" s="211"/>
      <c r="G63" s="211"/>
      <c r="H63" s="242" t="str">
        <f>IF($B$5="","",IF(COUNTIFS('06 Event log'!$A$7:$A$506,$B$5)&gt;8,"⚠ "&amp;COUNTIFS('06 Event log'!$A$7:$A$506,$B$5)&amp;" lines in the Event log: only 8 fit here",""))</f>
        <v/>
      </c>
      <c r="I63" s="6"/>
      <c r="J63" s="6"/>
      <c r="K63" s="6"/>
      <c r="L63" s="6"/>
      <c r="M63" s="6"/>
      <c r="N63" s="6"/>
      <c r="O63" s="6"/>
      <c r="P63" s="6"/>
      <c r="Q63" s="6"/>
      <c r="R63" s="6"/>
      <c r="S63" s="6"/>
      <c r="T63" s="6"/>
      <c r="U63" s="6"/>
      <c r="V63" s="6"/>
      <c r="W63" s="6"/>
      <c r="X63" s="6"/>
      <c r="Y63" s="6"/>
      <c r="Z63" s="6"/>
    </row>
    <row r="64" spans="1:26" s="3" customFormat="1" ht="27.6" customHeight="1" x14ac:dyDescent="0.2">
      <c r="A64" s="212" t="s">
        <v>129</v>
      </c>
      <c r="B64" s="213" t="s">
        <v>130</v>
      </c>
      <c r="C64" s="213"/>
      <c r="D64" s="213"/>
      <c r="E64" s="212" t="s">
        <v>294</v>
      </c>
      <c r="F64" s="212" t="s">
        <v>131</v>
      </c>
      <c r="G64" s="212" t="s">
        <v>132</v>
      </c>
      <c r="H64" s="212" t="s">
        <v>133</v>
      </c>
      <c r="I64" s="42"/>
      <c r="J64" s="42"/>
      <c r="K64" s="42"/>
      <c r="L64" s="42"/>
      <c r="M64" s="42"/>
      <c r="N64" s="42"/>
      <c r="O64" s="42"/>
      <c r="P64" s="42"/>
      <c r="Q64" s="42"/>
      <c r="R64" s="42"/>
      <c r="S64" s="42"/>
      <c r="T64" s="42"/>
      <c r="U64" s="42"/>
      <c r="V64" s="42"/>
      <c r="W64" s="42"/>
      <c r="X64" s="42"/>
      <c r="Y64" s="42"/>
      <c r="Z64" s="42"/>
    </row>
    <row r="65" spans="1:26" s="4" customFormat="1" ht="30" customHeight="1" x14ac:dyDescent="0.3">
      <c r="A65" s="214" t="str" cm="1">
        <f t="array" ref="A65">IF($B$5="","",IFERROR(_xlfn.LET(_xlpm.v,INDEX(_xlfn._xlws.FILTER('06 Event log'!$B$7:$B$506,'06 Event log'!$A$7:$A$506=$B$5),ROWS($A$65:A65)),IF(_xlpm.v="","",_xlpm.v)),""))</f>
        <v>Event</v>
      </c>
      <c r="B65" s="238" t="str" cm="1">
        <f t="array" ref="B65">IF($B$5="","",IFERROR(_xlfn.LET(_xlpm.v,INDEX(_xlfn._xlws.FILTER('06 Event log'!$C$7:$C$506,'06 Event log'!$A$7:$A$506=$B$5),ROWS($A$65:A65)),IF(_xlpm.v="","",_xlpm.v)),""))</f>
        <v>Piling rig: penetration rate changed at P17 and P18, consistent with rock. Driller’s log kept.</v>
      </c>
      <c r="C65" s="238"/>
      <c r="D65" s="238"/>
      <c r="E65" s="214" t="str" cm="1">
        <f t="array" ref="E65">IF($B$5="","",IFERROR(_xlfn.LET(_xlpm.v,INDEX(_xlfn._xlws.FILTER('06 Event log'!$D$7:$D$506,'06 Event log'!$A$7:$A$506=$B$5),ROWS($A$65:A65)),IF(_xlpm.v="","",_xlpm.v)),""))</f>
        <v>A1000</v>
      </c>
      <c r="F65" s="240" cm="1">
        <f t="array" ref="F65">IF($B$5="","",IFERROR(_xlfn.LET(_xlpm.v,INDEX(_xlfn._xlws.FILTER('06 Event log'!$G$7:$G$506,'06 Event log'!$A$7:$A$506=$B$5),ROWS($A$65:A65)),IF(_xlpm.v="","",_xlpm.v)),""))</f>
        <v>0.44444444444444398</v>
      </c>
      <c r="G65" s="214" t="str" cm="1">
        <f t="array" ref="G65">IF($B$5="","",IFERROR(_xlfn.LET(_xlpm.v,INDEX(_xlfn._xlws.FILTER('06 Event log'!$H$7:$H$506,'06 Event log'!$A$7:$A$506=$B$5),ROWS($A$65:A65)),IF(_xlpm.v="","",_xlpm.v)),""))</f>
        <v>Y</v>
      </c>
      <c r="H65" s="244" t="str">
        <f>IF(G65&lt;&gt;"Y","",IF(E65="","Pick the affected P6 activity first",IF(COUNTIFS('11 Notice calendar'!$A$7:$A$46,$B$5,'11 Notice calendar'!$I$7:$I$46,E65)&gt;0,"In the Notice calendar","Log it in the Notice calendar today: the clock started")))</f>
        <v>In the Notice calendar</v>
      </c>
      <c r="I65" s="43"/>
      <c r="J65" s="43"/>
      <c r="K65" s="43"/>
      <c r="L65" s="43"/>
      <c r="M65" s="43"/>
      <c r="N65" s="43"/>
      <c r="O65" s="43"/>
      <c r="P65" s="43"/>
      <c r="Q65" s="43"/>
      <c r="R65" s="43"/>
      <c r="S65" s="43"/>
      <c r="T65" s="43"/>
      <c r="U65" s="43"/>
      <c r="V65" s="43"/>
      <c r="W65" s="43"/>
      <c r="X65" s="43"/>
      <c r="Y65" s="43"/>
      <c r="Z65" s="43"/>
    </row>
    <row r="66" spans="1:26" s="4" customFormat="1" ht="30" customHeight="1" x14ac:dyDescent="0.3">
      <c r="A66" s="218" t="str" cm="1">
        <f t="array" ref="A66">IF($B$5="","",IFERROR(_xlfn.LET(_xlpm.v,INDEX(_xlfn._xlws.FILTER('06 Event log'!$B$7:$B$506,'06 Event log'!$A$7:$A$506=$B$5),ROWS($A$65:A66)),IF(_xlpm.v="","",_xlpm.v)),""))</f>
        <v>Instruction</v>
      </c>
      <c r="B66" s="239" t="str" cm="1">
        <f t="array" ref="B66">IF($B$5="","",IFERROR(_xlfn.LET(_xlpm.v,INDEX(_xlfn._xlws.FILTER('06 Event log'!$C$7:$C$506,'06 Event log'!$A$7:$A$506=$B$5),ROWS($A$65:A66)),IF(_xlpm.v="","",_xlpm.v)),""))</f>
        <v>Site engineer emailed the resident engineer; reply "noted, discuss Thursday". No Notice served yet.</v>
      </c>
      <c r="C66" s="239"/>
      <c r="D66" s="239"/>
      <c r="E66" s="218" t="str" cm="1">
        <f t="array" ref="E66">IF($B$5="","",IFERROR(_xlfn.LET(_xlpm.v,INDEX(_xlfn._xlws.FILTER('06 Event log'!$D$7:$D$506,'06 Event log'!$A$7:$A$506=$B$5),ROWS($A$65:A66)),IF(_xlpm.v="","",_xlpm.v)),""))</f>
        <v>A1000</v>
      </c>
      <c r="F66" s="241" cm="1">
        <f t="array" ref="F66">IF($B$5="","",IFERROR(_xlfn.LET(_xlpm.v,INDEX(_xlfn._xlws.FILTER('06 Event log'!$G$7:$G$506,'06 Event log'!$A$7:$A$506=$B$5),ROWS($A$65:A66)),IF(_xlpm.v="","",_xlpm.v)),""))</f>
        <v>0.46875</v>
      </c>
      <c r="G66" s="218" t="str" cm="1">
        <f t="array" ref="G66">IF($B$5="","",IFERROR(_xlfn.LET(_xlpm.v,INDEX(_xlfn._xlws.FILTER('06 Event log'!$H$7:$H$506,'06 Event log'!$A$7:$A$506=$B$5),ROWS($A$65:A66)),IF(_xlpm.v="","",_xlpm.v)),""))</f>
        <v>Y</v>
      </c>
      <c r="H66" s="245" t="str">
        <f>IF(G66&lt;&gt;"Y","",IF(E66="","Pick the affected P6 activity first",IF(COUNTIFS('11 Notice calendar'!$A$7:$A$46,$B$5,'11 Notice calendar'!$I$7:$I$46,E66)&gt;0,"In the Notice calendar","Log it in the Notice calendar today: the clock started")))</f>
        <v>In the Notice calendar</v>
      </c>
      <c r="I66" s="43"/>
      <c r="J66" s="43"/>
      <c r="K66" s="43"/>
      <c r="L66" s="43"/>
      <c r="M66" s="43"/>
      <c r="N66" s="43"/>
      <c r="O66" s="43"/>
      <c r="P66" s="43"/>
      <c r="Q66" s="43"/>
      <c r="R66" s="43"/>
      <c r="S66" s="43"/>
      <c r="T66" s="43"/>
      <c r="U66" s="43"/>
      <c r="V66" s="43"/>
      <c r="W66" s="43"/>
      <c r="X66" s="43"/>
      <c r="Y66" s="43"/>
      <c r="Z66" s="43"/>
    </row>
    <row r="67" spans="1:26" s="4" customFormat="1" ht="30" customHeight="1" x14ac:dyDescent="0.3">
      <c r="A67" s="218" t="str" cm="1">
        <f t="array" ref="A67">IF($B$5="","",IFERROR(_xlfn.LET(_xlpm.v,INDEX(_xlfn._xlws.FILTER('06 Event log'!$B$7:$B$506,'06 Event log'!$A$7:$A$506=$B$5),ROWS($A$65:A67)),IF(_xlpm.v="","",_xlpm.v)),""))</f>
        <v>Delay</v>
      </c>
      <c r="B67" s="239" t="str" cm="1">
        <f t="array" ref="B67">IF($B$5="","",IFERROR(_xlfn.LET(_xlpm.v,INDEX(_xlfn._xlws.FILTER('06 Event log'!$C$7:$C$506,'06 Event log'!$A$7:$A$506=$B$5),ROWS($A$65:A67)),IF(_xlpm.v="","",_xlpm.v)),""))</f>
        <v>Rain from 15:00: blinding stopped for the day.</v>
      </c>
      <c r="C67" s="239"/>
      <c r="D67" s="239"/>
      <c r="E67" s="218" t="str" cm="1">
        <f t="array" ref="E67">IF($B$5="","",IFERROR(_xlfn.LET(_xlpm.v,INDEX(_xlfn._xlws.FILTER('06 Event log'!$D$7:$D$506,'06 Event log'!$A$7:$A$506=$B$5),ROWS($A$65:A67)),IF(_xlpm.v="","",_xlpm.v)),""))</f>
        <v>A1200</v>
      </c>
      <c r="F67" s="241" cm="1">
        <f t="array" ref="F67">IF($B$5="","",IFERROR(_xlfn.LET(_xlpm.v,INDEX(_xlfn._xlws.FILTER('06 Event log'!$G$7:$G$506,'06 Event log'!$A$7:$A$506=$B$5),ROWS($A$65:A67)),IF(_xlpm.v="","",_xlpm.v)),""))</f>
        <v>0.625</v>
      </c>
      <c r="G67" s="218" t="str" cm="1">
        <f t="array" ref="G67">IF($B$5="","",IFERROR(_xlfn.LET(_xlpm.v,INDEX(_xlfn._xlws.FILTER('06 Event log'!$H$7:$H$506,'06 Event log'!$A$7:$A$506=$B$5),ROWS($A$65:A67)),IF(_xlpm.v="","",_xlpm.v)),""))</f>
        <v>N</v>
      </c>
      <c r="H67" s="245" t="str">
        <f>IF(G67&lt;&gt;"Y","",IF(E67="","Pick the affected P6 activity first",IF(COUNTIFS('11 Notice calendar'!$A$7:$A$46,$B$5,'11 Notice calendar'!$I$7:$I$46,E67)&gt;0,"In the Notice calendar","Log it in the Notice calendar today: the clock started")))</f>
        <v/>
      </c>
      <c r="I67" s="43"/>
      <c r="J67" s="43"/>
      <c r="K67" s="43"/>
      <c r="L67" s="43"/>
      <c r="M67" s="43"/>
      <c r="N67" s="43"/>
      <c r="O67" s="43"/>
      <c r="P67" s="43"/>
      <c r="Q67" s="43"/>
      <c r="R67" s="43"/>
      <c r="S67" s="43"/>
      <c r="T67" s="43"/>
      <c r="U67" s="43"/>
      <c r="V67" s="43"/>
      <c r="W67" s="43"/>
      <c r="X67" s="43"/>
      <c r="Y67" s="43"/>
      <c r="Z67" s="43"/>
    </row>
    <row r="68" spans="1:26" s="4" customFormat="1" ht="30" customHeight="1" x14ac:dyDescent="0.3">
      <c r="A68" s="218" t="str" cm="1">
        <f t="array" ref="A68">IF($B$5="","",IFERROR(_xlfn.LET(_xlpm.v,INDEX(_xlfn._xlws.FILTER('06 Event log'!$B$7:$B$506,'06 Event log'!$A$7:$A$506=$B$5),ROWS($A$65:A68)),IF(_xlpm.v="","",_xlpm.v)),""))</f>
        <v/>
      </c>
      <c r="B68" s="239" t="str" cm="1">
        <f t="array" ref="B68">IF($B$5="","",IFERROR(_xlfn.LET(_xlpm.v,INDEX(_xlfn._xlws.FILTER('06 Event log'!$C$7:$C$506,'06 Event log'!$A$7:$A$506=$B$5),ROWS($A$65:A68)),IF(_xlpm.v="","",_xlpm.v)),""))</f>
        <v/>
      </c>
      <c r="C68" s="239"/>
      <c r="D68" s="239"/>
      <c r="E68" s="218" t="str" cm="1">
        <f t="array" ref="E68">IF($B$5="","",IFERROR(_xlfn.LET(_xlpm.v,INDEX(_xlfn._xlws.FILTER('06 Event log'!$D$7:$D$506,'06 Event log'!$A$7:$A$506=$B$5),ROWS($A$65:A68)),IF(_xlpm.v="","",_xlpm.v)),""))</f>
        <v/>
      </c>
      <c r="F68" s="241" t="str" cm="1">
        <f t="array" ref="F68">IF($B$5="","",IFERROR(_xlfn.LET(_xlpm.v,INDEX(_xlfn._xlws.FILTER('06 Event log'!$G$7:$G$506,'06 Event log'!$A$7:$A$506=$B$5),ROWS($A$65:A68)),IF(_xlpm.v="","",_xlpm.v)),""))</f>
        <v/>
      </c>
      <c r="G68" s="218" t="str" cm="1">
        <f t="array" ref="G68">IF($B$5="","",IFERROR(_xlfn.LET(_xlpm.v,INDEX(_xlfn._xlws.FILTER('06 Event log'!$H$7:$H$506,'06 Event log'!$A$7:$A$506=$B$5),ROWS($A$65:A68)),IF(_xlpm.v="","",_xlpm.v)),""))</f>
        <v/>
      </c>
      <c r="H68" s="245" t="str">
        <f>IF(G68&lt;&gt;"Y","",IF(E68="","Pick the affected P6 activity first",IF(COUNTIFS('11 Notice calendar'!$A$7:$A$46,$B$5,'11 Notice calendar'!$I$7:$I$46,E68)&gt;0,"In the Notice calendar","Log it in the Notice calendar today: the clock started")))</f>
        <v/>
      </c>
      <c r="I68" s="43"/>
      <c r="J68" s="43"/>
      <c r="K68" s="43"/>
      <c r="L68" s="43"/>
      <c r="M68" s="43"/>
      <c r="N68" s="43"/>
      <c r="O68" s="43"/>
      <c r="P68" s="43"/>
      <c r="Q68" s="43"/>
      <c r="R68" s="43"/>
      <c r="S68" s="43"/>
      <c r="T68" s="43"/>
      <c r="U68" s="43"/>
      <c r="V68" s="43"/>
      <c r="W68" s="43"/>
      <c r="X68" s="43"/>
      <c r="Y68" s="43"/>
      <c r="Z68" s="43"/>
    </row>
    <row r="69" spans="1:26" s="4" customFormat="1" ht="30" customHeight="1" x14ac:dyDescent="0.3">
      <c r="A69" s="218" t="str" cm="1">
        <f t="array" ref="A69">IF($B$5="","",IFERROR(_xlfn.LET(_xlpm.v,INDEX(_xlfn._xlws.FILTER('06 Event log'!$B$7:$B$506,'06 Event log'!$A$7:$A$506=$B$5),ROWS($A$65:A69)),IF(_xlpm.v="","",_xlpm.v)),""))</f>
        <v/>
      </c>
      <c r="B69" s="239" t="str" cm="1">
        <f t="array" ref="B69">IF($B$5="","",IFERROR(_xlfn.LET(_xlpm.v,INDEX(_xlfn._xlws.FILTER('06 Event log'!$C$7:$C$506,'06 Event log'!$A$7:$A$506=$B$5),ROWS($A$65:A69)),IF(_xlpm.v="","",_xlpm.v)),""))</f>
        <v/>
      </c>
      <c r="C69" s="239"/>
      <c r="D69" s="239"/>
      <c r="E69" s="218" t="str" cm="1">
        <f t="array" ref="E69">IF($B$5="","",IFERROR(_xlfn.LET(_xlpm.v,INDEX(_xlfn._xlws.FILTER('06 Event log'!$D$7:$D$506,'06 Event log'!$A$7:$A$506=$B$5),ROWS($A$65:A69)),IF(_xlpm.v="","",_xlpm.v)),""))</f>
        <v/>
      </c>
      <c r="F69" s="241" t="str" cm="1">
        <f t="array" ref="F69">IF($B$5="","",IFERROR(_xlfn.LET(_xlpm.v,INDEX(_xlfn._xlws.FILTER('06 Event log'!$G$7:$G$506,'06 Event log'!$A$7:$A$506=$B$5),ROWS($A$65:A69)),IF(_xlpm.v="","",_xlpm.v)),""))</f>
        <v/>
      </c>
      <c r="G69" s="218" t="str" cm="1">
        <f t="array" ref="G69">IF($B$5="","",IFERROR(_xlfn.LET(_xlpm.v,INDEX(_xlfn._xlws.FILTER('06 Event log'!$H$7:$H$506,'06 Event log'!$A$7:$A$506=$B$5),ROWS($A$65:A69)),IF(_xlpm.v="","",_xlpm.v)),""))</f>
        <v/>
      </c>
      <c r="H69" s="245" t="str">
        <f>IF(G69&lt;&gt;"Y","",IF(E69="","Pick the affected P6 activity first",IF(COUNTIFS('11 Notice calendar'!$A$7:$A$46,$B$5,'11 Notice calendar'!$I$7:$I$46,E69)&gt;0,"In the Notice calendar","Log it in the Notice calendar today: the clock started")))</f>
        <v/>
      </c>
      <c r="I69" s="43"/>
      <c r="J69" s="43"/>
      <c r="K69" s="43"/>
      <c r="L69" s="43"/>
      <c r="M69" s="43"/>
      <c r="N69" s="43"/>
      <c r="O69" s="43"/>
      <c r="P69" s="43"/>
      <c r="Q69" s="43"/>
      <c r="R69" s="43"/>
      <c r="S69" s="43"/>
      <c r="T69" s="43"/>
      <c r="U69" s="43"/>
      <c r="V69" s="43"/>
      <c r="W69" s="43"/>
      <c r="X69" s="43"/>
      <c r="Y69" s="43"/>
      <c r="Z69" s="43"/>
    </row>
    <row r="70" spans="1:26" s="4" customFormat="1" ht="30" customHeight="1" x14ac:dyDescent="0.3">
      <c r="A70" s="218" t="str" cm="1">
        <f t="array" ref="A70">IF($B$5="","",IFERROR(_xlfn.LET(_xlpm.v,INDEX(_xlfn._xlws.FILTER('06 Event log'!$B$7:$B$506,'06 Event log'!$A$7:$A$506=$B$5),ROWS($A$65:A70)),IF(_xlpm.v="","",_xlpm.v)),""))</f>
        <v/>
      </c>
      <c r="B70" s="239" t="str" cm="1">
        <f t="array" ref="B70">IF($B$5="","",IFERROR(_xlfn.LET(_xlpm.v,INDEX(_xlfn._xlws.FILTER('06 Event log'!$C$7:$C$506,'06 Event log'!$A$7:$A$506=$B$5),ROWS($A$65:A70)),IF(_xlpm.v="","",_xlpm.v)),""))</f>
        <v/>
      </c>
      <c r="C70" s="239"/>
      <c r="D70" s="239"/>
      <c r="E70" s="218" t="str" cm="1">
        <f t="array" ref="E70">IF($B$5="","",IFERROR(_xlfn.LET(_xlpm.v,INDEX(_xlfn._xlws.FILTER('06 Event log'!$D$7:$D$506,'06 Event log'!$A$7:$A$506=$B$5),ROWS($A$65:A70)),IF(_xlpm.v="","",_xlpm.v)),""))</f>
        <v/>
      </c>
      <c r="F70" s="241" t="str" cm="1">
        <f t="array" ref="F70">IF($B$5="","",IFERROR(_xlfn.LET(_xlpm.v,INDEX(_xlfn._xlws.FILTER('06 Event log'!$G$7:$G$506,'06 Event log'!$A$7:$A$506=$B$5),ROWS($A$65:A70)),IF(_xlpm.v="","",_xlpm.v)),""))</f>
        <v/>
      </c>
      <c r="G70" s="218" t="str" cm="1">
        <f t="array" ref="G70">IF($B$5="","",IFERROR(_xlfn.LET(_xlpm.v,INDEX(_xlfn._xlws.FILTER('06 Event log'!$H$7:$H$506,'06 Event log'!$A$7:$A$506=$B$5),ROWS($A$65:A70)),IF(_xlpm.v="","",_xlpm.v)),""))</f>
        <v/>
      </c>
      <c r="H70" s="245" t="str">
        <f>IF(G70&lt;&gt;"Y","",IF(E70="","Pick the affected P6 activity first",IF(COUNTIFS('11 Notice calendar'!$A$7:$A$46,$B$5,'11 Notice calendar'!$I$7:$I$46,E70)&gt;0,"In the Notice calendar","Log it in the Notice calendar today: the clock started")))</f>
        <v/>
      </c>
      <c r="I70" s="43"/>
      <c r="J70" s="43"/>
      <c r="K70" s="43"/>
      <c r="L70" s="43"/>
      <c r="M70" s="43"/>
      <c r="N70" s="43"/>
      <c r="O70" s="43"/>
      <c r="P70" s="43"/>
      <c r="Q70" s="43"/>
      <c r="R70" s="43"/>
      <c r="S70" s="43"/>
      <c r="T70" s="43"/>
      <c r="U70" s="43"/>
      <c r="V70" s="43"/>
      <c r="W70" s="43"/>
      <c r="X70" s="43"/>
      <c r="Y70" s="43"/>
      <c r="Z70" s="43"/>
    </row>
    <row r="71" spans="1:26" s="4" customFormat="1" ht="30" customHeight="1" x14ac:dyDescent="0.3">
      <c r="A71" s="218" t="str" cm="1">
        <f t="array" ref="A71">IF($B$5="","",IFERROR(_xlfn.LET(_xlpm.v,INDEX(_xlfn._xlws.FILTER('06 Event log'!$B$7:$B$506,'06 Event log'!$A$7:$A$506=$B$5),ROWS($A$65:A71)),IF(_xlpm.v="","",_xlpm.v)),""))</f>
        <v/>
      </c>
      <c r="B71" s="239" t="str" cm="1">
        <f t="array" ref="B71">IF($B$5="","",IFERROR(_xlfn.LET(_xlpm.v,INDEX(_xlfn._xlws.FILTER('06 Event log'!$C$7:$C$506,'06 Event log'!$A$7:$A$506=$B$5),ROWS($A$65:A71)),IF(_xlpm.v="","",_xlpm.v)),""))</f>
        <v/>
      </c>
      <c r="C71" s="239"/>
      <c r="D71" s="239"/>
      <c r="E71" s="218" t="str" cm="1">
        <f t="array" ref="E71">IF($B$5="","",IFERROR(_xlfn.LET(_xlpm.v,INDEX(_xlfn._xlws.FILTER('06 Event log'!$D$7:$D$506,'06 Event log'!$A$7:$A$506=$B$5),ROWS($A$65:A71)),IF(_xlpm.v="","",_xlpm.v)),""))</f>
        <v/>
      </c>
      <c r="F71" s="241" t="str" cm="1">
        <f t="array" ref="F71">IF($B$5="","",IFERROR(_xlfn.LET(_xlpm.v,INDEX(_xlfn._xlws.FILTER('06 Event log'!$G$7:$G$506,'06 Event log'!$A$7:$A$506=$B$5),ROWS($A$65:A71)),IF(_xlpm.v="","",_xlpm.v)),""))</f>
        <v/>
      </c>
      <c r="G71" s="218" t="str" cm="1">
        <f t="array" ref="G71">IF($B$5="","",IFERROR(_xlfn.LET(_xlpm.v,INDEX(_xlfn._xlws.FILTER('06 Event log'!$H$7:$H$506,'06 Event log'!$A$7:$A$506=$B$5),ROWS($A$65:A71)),IF(_xlpm.v="","",_xlpm.v)),""))</f>
        <v/>
      </c>
      <c r="H71" s="245" t="str">
        <f>IF(G71&lt;&gt;"Y","",IF(E71="","Pick the affected P6 activity first",IF(COUNTIFS('11 Notice calendar'!$A$7:$A$46,$B$5,'11 Notice calendar'!$I$7:$I$46,E71)&gt;0,"In the Notice calendar","Log it in the Notice calendar today: the clock started")))</f>
        <v/>
      </c>
      <c r="I71" s="43"/>
      <c r="J71" s="43"/>
      <c r="K71" s="43"/>
      <c r="L71" s="43"/>
      <c r="M71" s="43"/>
      <c r="N71" s="43"/>
      <c r="O71" s="43"/>
      <c r="P71" s="43"/>
      <c r="Q71" s="43"/>
      <c r="R71" s="43"/>
      <c r="S71" s="43"/>
      <c r="T71" s="43"/>
      <c r="U71" s="43"/>
      <c r="V71" s="43"/>
      <c r="W71" s="43"/>
      <c r="X71" s="43"/>
      <c r="Y71" s="43"/>
      <c r="Z71" s="43"/>
    </row>
    <row r="72" spans="1:26" s="4" customFormat="1" ht="30" customHeight="1" x14ac:dyDescent="0.3">
      <c r="A72" s="218" t="str" cm="1">
        <f t="array" ref="A72">IF($B$5="","",IFERROR(_xlfn.LET(_xlpm.v,INDEX(_xlfn._xlws.FILTER('06 Event log'!$B$7:$B$506,'06 Event log'!$A$7:$A$506=$B$5),ROWS($A$65:A72)),IF(_xlpm.v="","",_xlpm.v)),""))</f>
        <v/>
      </c>
      <c r="B72" s="239" t="str" cm="1">
        <f t="array" ref="B72">IF($B$5="","",IFERROR(_xlfn.LET(_xlpm.v,INDEX(_xlfn._xlws.FILTER('06 Event log'!$C$7:$C$506,'06 Event log'!$A$7:$A$506=$B$5),ROWS($A$65:A72)),IF(_xlpm.v="","",_xlpm.v)),""))</f>
        <v/>
      </c>
      <c r="C72" s="239"/>
      <c r="D72" s="239"/>
      <c r="E72" s="218" t="str" cm="1">
        <f t="array" ref="E72">IF($B$5="","",IFERROR(_xlfn.LET(_xlpm.v,INDEX(_xlfn._xlws.FILTER('06 Event log'!$D$7:$D$506,'06 Event log'!$A$7:$A$506=$B$5),ROWS($A$65:A72)),IF(_xlpm.v="","",_xlpm.v)),""))</f>
        <v/>
      </c>
      <c r="F72" s="241" t="str" cm="1">
        <f t="array" ref="F72">IF($B$5="","",IFERROR(_xlfn.LET(_xlpm.v,INDEX(_xlfn._xlws.FILTER('06 Event log'!$G$7:$G$506,'06 Event log'!$A$7:$A$506=$B$5),ROWS($A$65:A72)),IF(_xlpm.v="","",_xlpm.v)),""))</f>
        <v/>
      </c>
      <c r="G72" s="218" t="str" cm="1">
        <f t="array" ref="G72">IF($B$5="","",IFERROR(_xlfn.LET(_xlpm.v,INDEX(_xlfn._xlws.FILTER('06 Event log'!$H$7:$H$506,'06 Event log'!$A$7:$A$506=$B$5),ROWS($A$65:A72)),IF(_xlpm.v="","",_xlpm.v)),""))</f>
        <v/>
      </c>
      <c r="H72" s="245" t="str">
        <f>IF(G72&lt;&gt;"Y","",IF(E72="","Pick the affected P6 activity first",IF(COUNTIFS('11 Notice calendar'!$A$7:$A$46,$B$5,'11 Notice calendar'!$I$7:$I$46,E72)&gt;0,"In the Notice calendar","Log it in the Notice calendar today: the clock started")))</f>
        <v/>
      </c>
      <c r="I72" s="43"/>
      <c r="J72" s="43"/>
      <c r="K72" s="43"/>
      <c r="L72" s="43"/>
      <c r="M72" s="43"/>
      <c r="N72" s="43"/>
      <c r="O72" s="43"/>
      <c r="P72" s="43"/>
      <c r="Q72" s="43"/>
      <c r="R72" s="43"/>
      <c r="S72" s="43"/>
      <c r="T72" s="43"/>
      <c r="U72" s="43"/>
      <c r="V72" s="43"/>
      <c r="W72" s="43"/>
      <c r="X72" s="43"/>
      <c r="Y72" s="43"/>
      <c r="Z72" s="43"/>
    </row>
    <row r="73" spans="1:26" x14ac:dyDescent="0.3">
      <c r="A73" s="178"/>
      <c r="B73" s="178"/>
      <c r="C73" s="178"/>
      <c r="D73" s="178"/>
      <c r="E73" s="178"/>
      <c r="F73" s="178"/>
      <c r="G73" s="178"/>
      <c r="H73" s="178"/>
      <c r="I73" s="6"/>
      <c r="J73" s="6"/>
      <c r="K73" s="6"/>
      <c r="L73" s="6"/>
      <c r="M73" s="6"/>
      <c r="N73" s="6"/>
      <c r="O73" s="6"/>
      <c r="P73" s="6"/>
      <c r="Q73" s="6"/>
      <c r="R73" s="6"/>
      <c r="S73" s="6"/>
      <c r="T73" s="6"/>
      <c r="U73" s="6"/>
      <c r="V73" s="6"/>
      <c r="W73" s="6"/>
      <c r="X73" s="6"/>
      <c r="Y73" s="6"/>
      <c r="Z73" s="6"/>
    </row>
    <row r="74" spans="1:26" ht="22.05" customHeight="1" x14ac:dyDescent="0.3">
      <c r="A74" s="210" t="s">
        <v>200</v>
      </c>
      <c r="B74" s="211"/>
      <c r="C74" s="211"/>
      <c r="D74" s="211"/>
      <c r="E74" s="211"/>
      <c r="F74" s="211"/>
      <c r="G74" s="211"/>
      <c r="H74" s="243" t="str">
        <f>IF($B$5="","",IF(COUNTIFS('08 Safety log'!$A$7:$A$506,$B$5)&gt;4,"⚠ "&amp;COUNTIFS('08 Safety log'!$A$7:$A$506,$B$5)&amp;" lines in the Safety log: only 4 fit here",""))</f>
        <v/>
      </c>
      <c r="I74" s="6"/>
      <c r="J74" s="6"/>
      <c r="K74" s="6"/>
      <c r="L74" s="6"/>
      <c r="M74" s="6"/>
      <c r="N74" s="6"/>
      <c r="O74" s="6"/>
      <c r="P74" s="6"/>
      <c r="Q74" s="6"/>
      <c r="R74" s="6"/>
      <c r="S74" s="6"/>
      <c r="T74" s="6"/>
      <c r="U74" s="6"/>
      <c r="V74" s="6"/>
      <c r="W74" s="6"/>
      <c r="X74" s="6"/>
      <c r="Y74" s="6"/>
      <c r="Z74" s="6"/>
    </row>
    <row r="75" spans="1:26" ht="24" customHeight="1" x14ac:dyDescent="0.3">
      <c r="A75" s="212" t="s">
        <v>129</v>
      </c>
      <c r="B75" s="213" t="s">
        <v>130</v>
      </c>
      <c r="C75" s="213"/>
      <c r="D75" s="213"/>
      <c r="E75" s="212" t="s">
        <v>101</v>
      </c>
      <c r="F75" s="212" t="s">
        <v>131</v>
      </c>
      <c r="G75" s="212" t="s">
        <v>201</v>
      </c>
      <c r="H75" s="212" t="s">
        <v>202</v>
      </c>
      <c r="I75" s="6"/>
      <c r="J75" s="6"/>
      <c r="K75" s="6"/>
      <c r="L75" s="6"/>
      <c r="M75" s="6"/>
      <c r="N75" s="6"/>
      <c r="O75" s="6"/>
      <c r="P75" s="6"/>
      <c r="Q75" s="6"/>
      <c r="R75" s="6"/>
      <c r="S75" s="6"/>
      <c r="T75" s="6"/>
      <c r="U75" s="6"/>
      <c r="V75" s="6"/>
      <c r="W75" s="6"/>
      <c r="X75" s="6"/>
      <c r="Y75" s="6"/>
      <c r="Z75" s="6"/>
    </row>
    <row r="76" spans="1:26" s="4" customFormat="1" ht="30" customHeight="1" x14ac:dyDescent="0.3">
      <c r="A76" s="214" t="str" cm="1">
        <f t="array" ref="A76">IF($B$5="","",IFERROR(_xlfn.LET(_xlpm.v,INDEX(_xlfn._xlws.FILTER('08 Safety log'!$B$7:$B$506,'08 Safety log'!$A$7:$A$506=$B$5),ROWS($A$76:A76)),IF(_xlpm.v="","",_xlpm.v)),""))</f>
        <v/>
      </c>
      <c r="B76" s="238" t="str" cm="1">
        <f t="array" ref="B76">IF($B$5="","",IFERROR(_xlfn.LET(_xlpm.v,INDEX(_xlfn._xlws.FILTER('08 Safety log'!$C$7:$C$506,'08 Safety log'!$A$7:$A$506=$B$5),ROWS($A$76:A76)),IF(_xlpm.v="","",_xlpm.v)),""))</f>
        <v/>
      </c>
      <c r="C76" s="238"/>
      <c r="D76" s="238"/>
      <c r="E76" s="214" t="str" cm="1">
        <f t="array" ref="E76">IF($B$5="","",IFERROR(_xlfn.LET(_xlpm.v,INDEX(_xlfn._xlws.FILTER('08 Safety log'!$D$7:$D$506,'08 Safety log'!$A$7:$A$506=$B$5),ROWS($A$76:A76)),IF(_xlpm.v="","",_xlpm.v)),""))</f>
        <v/>
      </c>
      <c r="F76" s="240" t="str" cm="1">
        <f t="array" ref="F76">IF($B$5="","",IFERROR(_xlfn.LET(_xlpm.v,INDEX(_xlfn._xlws.FILTER('08 Safety log'!$E$7:$E$506,'08 Safety log'!$A$7:$A$506=$B$5),ROWS($A$76:A76)),IF(_xlpm.v="","",_xlpm.v)),""))</f>
        <v/>
      </c>
      <c r="G76" s="214" t="str" cm="1">
        <f t="array" ref="G76">IF($B$5="","",IFERROR(_xlfn.LET(_xlpm.v,INDEX(_xlfn._xlws.FILTER('08 Safety log'!$F$7:$F$506,'08 Safety log'!$A$7:$A$506=$B$5),ROWS($A$76:A76)),IF(_xlpm.v="","",_xlpm.v)),""))</f>
        <v/>
      </c>
      <c r="H76" s="214" t="str" cm="1">
        <f t="array" ref="H76">IF($B$5="","",IFERROR(_xlfn.LET(_xlpm.v,INDEX(_xlfn._xlws.FILTER('08 Safety log'!$G$7:$G$506,'08 Safety log'!$A$7:$A$506=$B$5),ROWS($A$76:A76)),IF(_xlpm.v="","",_xlpm.v)),""))</f>
        <v/>
      </c>
      <c r="I76" s="43"/>
      <c r="J76" s="43"/>
      <c r="K76" s="43"/>
      <c r="L76" s="43"/>
      <c r="M76" s="43"/>
      <c r="N76" s="43"/>
      <c r="O76" s="43"/>
      <c r="P76" s="43"/>
      <c r="Q76" s="43"/>
      <c r="R76" s="43"/>
      <c r="S76" s="43"/>
      <c r="T76" s="43"/>
      <c r="U76" s="43"/>
      <c r="V76" s="43"/>
      <c r="W76" s="43"/>
      <c r="X76" s="43"/>
      <c r="Y76" s="43"/>
      <c r="Z76" s="43"/>
    </row>
    <row r="77" spans="1:26" s="4" customFormat="1" ht="30" customHeight="1" x14ac:dyDescent="0.3">
      <c r="A77" s="218" t="str" cm="1">
        <f t="array" ref="A77">IF($B$5="","",IFERROR(_xlfn.LET(_xlpm.v,INDEX(_xlfn._xlws.FILTER('08 Safety log'!$B$7:$B$506,'08 Safety log'!$A$7:$A$506=$B$5),ROWS($A$76:A77)),IF(_xlpm.v="","",_xlpm.v)),""))</f>
        <v/>
      </c>
      <c r="B77" s="239" t="str" cm="1">
        <f t="array" ref="B77">IF($B$5="","",IFERROR(_xlfn.LET(_xlpm.v,INDEX(_xlfn._xlws.FILTER('08 Safety log'!$C$7:$C$506,'08 Safety log'!$A$7:$A$506=$B$5),ROWS($A$76:A77)),IF(_xlpm.v="","",_xlpm.v)),""))</f>
        <v/>
      </c>
      <c r="C77" s="239"/>
      <c r="D77" s="239"/>
      <c r="E77" s="218" t="str" cm="1">
        <f t="array" ref="E77">IF($B$5="","",IFERROR(_xlfn.LET(_xlpm.v,INDEX(_xlfn._xlws.FILTER('08 Safety log'!$D$7:$D$506,'08 Safety log'!$A$7:$A$506=$B$5),ROWS($A$76:A77)),IF(_xlpm.v="","",_xlpm.v)),""))</f>
        <v/>
      </c>
      <c r="F77" s="241" t="str" cm="1">
        <f t="array" ref="F77">IF($B$5="","",IFERROR(_xlfn.LET(_xlpm.v,INDEX(_xlfn._xlws.FILTER('08 Safety log'!$E$7:$E$506,'08 Safety log'!$A$7:$A$506=$B$5),ROWS($A$76:A77)),IF(_xlpm.v="","",_xlpm.v)),""))</f>
        <v/>
      </c>
      <c r="G77" s="218" t="str" cm="1">
        <f t="array" ref="G77">IF($B$5="","",IFERROR(_xlfn.LET(_xlpm.v,INDEX(_xlfn._xlws.FILTER('08 Safety log'!$F$7:$F$506,'08 Safety log'!$A$7:$A$506=$B$5),ROWS($A$76:A77)),IF(_xlpm.v="","",_xlpm.v)),""))</f>
        <v/>
      </c>
      <c r="H77" s="218" t="str" cm="1">
        <f t="array" ref="H77">IF($B$5="","",IFERROR(_xlfn.LET(_xlpm.v,INDEX(_xlfn._xlws.FILTER('08 Safety log'!$G$7:$G$506,'08 Safety log'!$A$7:$A$506=$B$5),ROWS($A$76:A77)),IF(_xlpm.v="","",_xlpm.v)),""))</f>
        <v/>
      </c>
      <c r="I77" s="43"/>
      <c r="J77" s="43"/>
      <c r="K77" s="43"/>
      <c r="L77" s="43"/>
      <c r="M77" s="43"/>
      <c r="N77" s="43"/>
      <c r="O77" s="43"/>
      <c r="P77" s="43"/>
      <c r="Q77" s="43"/>
      <c r="R77" s="43"/>
      <c r="S77" s="43"/>
      <c r="T77" s="43"/>
      <c r="U77" s="43"/>
      <c r="V77" s="43"/>
      <c r="W77" s="43"/>
      <c r="X77" s="43"/>
      <c r="Y77" s="43"/>
      <c r="Z77" s="43"/>
    </row>
    <row r="78" spans="1:26" s="4" customFormat="1" ht="30" customHeight="1" x14ac:dyDescent="0.3">
      <c r="A78" s="218" t="str" cm="1">
        <f t="array" ref="A78">IF($B$5="","",IFERROR(_xlfn.LET(_xlpm.v,INDEX(_xlfn._xlws.FILTER('08 Safety log'!$B$7:$B$506,'08 Safety log'!$A$7:$A$506=$B$5),ROWS($A$76:A78)),IF(_xlpm.v="","",_xlpm.v)),""))</f>
        <v/>
      </c>
      <c r="B78" s="239" t="str" cm="1">
        <f t="array" ref="B78">IF($B$5="","",IFERROR(_xlfn.LET(_xlpm.v,INDEX(_xlfn._xlws.FILTER('08 Safety log'!$C$7:$C$506,'08 Safety log'!$A$7:$A$506=$B$5),ROWS($A$76:A78)),IF(_xlpm.v="","",_xlpm.v)),""))</f>
        <v/>
      </c>
      <c r="C78" s="239"/>
      <c r="D78" s="239"/>
      <c r="E78" s="218" t="str" cm="1">
        <f t="array" ref="E78">IF($B$5="","",IFERROR(_xlfn.LET(_xlpm.v,INDEX(_xlfn._xlws.FILTER('08 Safety log'!$D$7:$D$506,'08 Safety log'!$A$7:$A$506=$B$5),ROWS($A$76:A78)),IF(_xlpm.v="","",_xlpm.v)),""))</f>
        <v/>
      </c>
      <c r="F78" s="241" t="str" cm="1">
        <f t="array" ref="F78">IF($B$5="","",IFERROR(_xlfn.LET(_xlpm.v,INDEX(_xlfn._xlws.FILTER('08 Safety log'!$E$7:$E$506,'08 Safety log'!$A$7:$A$506=$B$5),ROWS($A$76:A78)),IF(_xlpm.v="","",_xlpm.v)),""))</f>
        <v/>
      </c>
      <c r="G78" s="218" t="str" cm="1">
        <f t="array" ref="G78">IF($B$5="","",IFERROR(_xlfn.LET(_xlpm.v,INDEX(_xlfn._xlws.FILTER('08 Safety log'!$F$7:$F$506,'08 Safety log'!$A$7:$A$506=$B$5),ROWS($A$76:A78)),IF(_xlpm.v="","",_xlpm.v)),""))</f>
        <v/>
      </c>
      <c r="H78" s="218" t="str" cm="1">
        <f t="array" ref="H78">IF($B$5="","",IFERROR(_xlfn.LET(_xlpm.v,INDEX(_xlfn._xlws.FILTER('08 Safety log'!$G$7:$G$506,'08 Safety log'!$A$7:$A$506=$B$5),ROWS($A$76:A78)),IF(_xlpm.v="","",_xlpm.v)),""))</f>
        <v/>
      </c>
      <c r="I78" s="43"/>
      <c r="J78" s="43"/>
      <c r="K78" s="43"/>
      <c r="L78" s="43"/>
      <c r="M78" s="43"/>
      <c r="N78" s="43"/>
      <c r="O78" s="43"/>
      <c r="P78" s="43"/>
      <c r="Q78" s="43"/>
      <c r="R78" s="43"/>
      <c r="S78" s="43"/>
      <c r="T78" s="43"/>
      <c r="U78" s="43"/>
      <c r="V78" s="43"/>
      <c r="W78" s="43"/>
      <c r="X78" s="43"/>
      <c r="Y78" s="43"/>
      <c r="Z78" s="43"/>
    </row>
    <row r="79" spans="1:26" s="4" customFormat="1" ht="30" customHeight="1" x14ac:dyDescent="0.3">
      <c r="A79" s="218" t="str" cm="1">
        <f t="array" ref="A79">IF($B$5="","",IFERROR(_xlfn.LET(_xlpm.v,INDEX(_xlfn._xlws.FILTER('08 Safety log'!$B$7:$B$506,'08 Safety log'!$A$7:$A$506=$B$5),ROWS($A$76:A79)),IF(_xlpm.v="","",_xlpm.v)),""))</f>
        <v/>
      </c>
      <c r="B79" s="239" t="str" cm="1">
        <f t="array" ref="B79">IF($B$5="","",IFERROR(_xlfn.LET(_xlpm.v,INDEX(_xlfn._xlws.FILTER('08 Safety log'!$C$7:$C$506,'08 Safety log'!$A$7:$A$506=$B$5),ROWS($A$76:A79)),IF(_xlpm.v="","",_xlpm.v)),""))</f>
        <v/>
      </c>
      <c r="C79" s="239"/>
      <c r="D79" s="239"/>
      <c r="E79" s="218" t="str" cm="1">
        <f t="array" ref="E79">IF($B$5="","",IFERROR(_xlfn.LET(_xlpm.v,INDEX(_xlfn._xlws.FILTER('08 Safety log'!$D$7:$D$506,'08 Safety log'!$A$7:$A$506=$B$5),ROWS($A$76:A79)),IF(_xlpm.v="","",_xlpm.v)),""))</f>
        <v/>
      </c>
      <c r="F79" s="241" t="str" cm="1">
        <f t="array" ref="F79">IF($B$5="","",IFERROR(_xlfn.LET(_xlpm.v,INDEX(_xlfn._xlws.FILTER('08 Safety log'!$E$7:$E$506,'08 Safety log'!$A$7:$A$506=$B$5),ROWS($A$76:A79)),IF(_xlpm.v="","",_xlpm.v)),""))</f>
        <v/>
      </c>
      <c r="G79" s="218" t="str" cm="1">
        <f t="array" ref="G79">IF($B$5="","",IFERROR(_xlfn.LET(_xlpm.v,INDEX(_xlfn._xlws.FILTER('08 Safety log'!$F$7:$F$506,'08 Safety log'!$A$7:$A$506=$B$5),ROWS($A$76:A79)),IF(_xlpm.v="","",_xlpm.v)),""))</f>
        <v/>
      </c>
      <c r="H79" s="218" t="str" cm="1">
        <f t="array" ref="H79">IF($B$5="","",IFERROR(_xlfn.LET(_xlpm.v,INDEX(_xlfn._xlws.FILTER('08 Safety log'!$G$7:$G$506,'08 Safety log'!$A$7:$A$506=$B$5),ROWS($A$76:A79)),IF(_xlpm.v="","",_xlpm.v)),""))</f>
        <v/>
      </c>
      <c r="I79" s="43"/>
      <c r="J79" s="43"/>
      <c r="K79" s="43"/>
      <c r="L79" s="43"/>
      <c r="M79" s="43"/>
      <c r="N79" s="43"/>
      <c r="O79" s="43"/>
      <c r="P79" s="43"/>
      <c r="Q79" s="43"/>
      <c r="R79" s="43"/>
      <c r="S79" s="43"/>
      <c r="T79" s="43"/>
      <c r="U79" s="43"/>
      <c r="V79" s="43"/>
      <c r="W79" s="43"/>
      <c r="X79" s="43"/>
      <c r="Y79" s="43"/>
      <c r="Z79" s="43"/>
    </row>
    <row r="80" spans="1:26" ht="14.55" customHeight="1" x14ac:dyDescent="0.3">
      <c r="A80" s="178"/>
      <c r="B80" s="178"/>
      <c r="C80" s="178"/>
      <c r="D80" s="178"/>
      <c r="E80" s="178"/>
      <c r="F80" s="178"/>
      <c r="G80" s="178"/>
      <c r="H80" s="178"/>
      <c r="I80" s="6"/>
      <c r="J80" s="6"/>
      <c r="K80" s="6"/>
      <c r="L80" s="6"/>
      <c r="M80" s="6"/>
      <c r="N80" s="6"/>
      <c r="O80" s="6"/>
      <c r="P80" s="6"/>
      <c r="Q80" s="6"/>
      <c r="R80" s="6"/>
      <c r="S80" s="6"/>
      <c r="T80" s="6"/>
      <c r="U80" s="6"/>
      <c r="V80" s="6"/>
      <c r="W80" s="6"/>
      <c r="X80" s="6"/>
      <c r="Y80" s="6"/>
      <c r="Z80" s="6"/>
    </row>
    <row r="81" spans="1:26" ht="22.05" customHeight="1" x14ac:dyDescent="0.3">
      <c r="A81" s="209" t="s">
        <v>141</v>
      </c>
      <c r="B81" s="178"/>
      <c r="C81" s="178"/>
      <c r="D81" s="178"/>
      <c r="E81" s="178"/>
      <c r="F81" s="178"/>
      <c r="G81" s="178"/>
      <c r="H81" s="178"/>
      <c r="I81" s="6"/>
      <c r="J81" s="6"/>
      <c r="K81" s="6"/>
      <c r="L81" s="6"/>
      <c r="M81" s="6"/>
      <c r="N81" s="6"/>
      <c r="O81" s="6"/>
      <c r="P81" s="6"/>
      <c r="Q81" s="6"/>
      <c r="R81" s="6"/>
      <c r="S81" s="6"/>
      <c r="T81" s="6"/>
      <c r="U81" s="6"/>
      <c r="V81" s="6"/>
      <c r="W81" s="6"/>
      <c r="X81" s="6"/>
      <c r="Y81" s="6"/>
      <c r="Z81" s="6"/>
    </row>
    <row r="82" spans="1:26" ht="15.6" x14ac:dyDescent="0.3">
      <c r="A82" s="250" t="s">
        <v>142</v>
      </c>
      <c r="B82" s="247"/>
      <c r="C82" s="253">
        <f>C25</f>
        <v>28</v>
      </c>
      <c r="D82" s="246"/>
      <c r="E82" s="246"/>
      <c r="F82" s="246"/>
      <c r="G82" s="246"/>
      <c r="H82" s="246"/>
      <c r="I82" s="6"/>
      <c r="J82" s="6"/>
      <c r="K82" s="6"/>
      <c r="L82" s="6"/>
      <c r="M82" s="6"/>
      <c r="N82" s="6"/>
      <c r="O82" s="6"/>
      <c r="P82" s="6"/>
      <c r="Q82" s="6"/>
      <c r="R82" s="6"/>
      <c r="S82" s="6"/>
      <c r="T82" s="6"/>
      <c r="U82" s="6"/>
      <c r="V82" s="6"/>
      <c r="W82" s="6"/>
      <c r="X82" s="6"/>
      <c r="Y82" s="6"/>
      <c r="Z82" s="6"/>
    </row>
    <row r="83" spans="1:26" ht="15.6" x14ac:dyDescent="0.3">
      <c r="A83" s="251" t="s">
        <v>87</v>
      </c>
      <c r="B83" s="248"/>
      <c r="C83" s="254">
        <f>E25</f>
        <v>255</v>
      </c>
      <c r="D83" s="246"/>
      <c r="E83" s="246"/>
      <c r="F83" s="246"/>
      <c r="G83" s="246"/>
      <c r="H83" s="246"/>
      <c r="I83" s="6"/>
      <c r="J83" s="6"/>
      <c r="K83" s="6"/>
      <c r="L83" s="6"/>
      <c r="M83" s="6"/>
      <c r="N83" s="6"/>
      <c r="O83" s="6"/>
      <c r="P83" s="6"/>
      <c r="Q83" s="6"/>
      <c r="R83" s="6"/>
      <c r="S83" s="6"/>
      <c r="T83" s="6"/>
      <c r="U83" s="6"/>
      <c r="V83" s="6"/>
      <c r="W83" s="6"/>
      <c r="X83" s="6"/>
      <c r="Y83" s="6"/>
      <c r="Z83" s="6"/>
    </row>
    <row r="84" spans="1:26" ht="15.6" x14ac:dyDescent="0.3">
      <c r="A84" s="251" t="s">
        <v>143</v>
      </c>
      <c r="B84" s="248"/>
      <c r="C84" s="254">
        <f>D37</f>
        <v>3</v>
      </c>
      <c r="D84" s="246"/>
      <c r="E84" s="246"/>
      <c r="F84" s="246"/>
      <c r="G84" s="246"/>
      <c r="H84" s="246"/>
      <c r="I84" s="6"/>
      <c r="J84" s="6"/>
      <c r="K84" s="6"/>
      <c r="L84" s="6"/>
      <c r="M84" s="6"/>
      <c r="N84" s="6"/>
      <c r="O84" s="6"/>
      <c r="P84" s="6"/>
      <c r="Q84" s="6"/>
      <c r="R84" s="6"/>
      <c r="S84" s="6"/>
      <c r="T84" s="6"/>
      <c r="U84" s="6"/>
      <c r="V84" s="6"/>
      <c r="W84" s="6"/>
      <c r="X84" s="6"/>
      <c r="Y84" s="6"/>
      <c r="Z84" s="6"/>
    </row>
    <row r="85" spans="1:26" ht="15.6" x14ac:dyDescent="0.3">
      <c r="A85" s="251" t="s">
        <v>144</v>
      </c>
      <c r="B85" s="248"/>
      <c r="C85" s="254">
        <f>E37</f>
        <v>2</v>
      </c>
      <c r="D85" s="246"/>
      <c r="E85" s="246"/>
      <c r="F85" s="246"/>
      <c r="G85" s="246"/>
      <c r="H85" s="246"/>
      <c r="I85" s="6"/>
      <c r="J85" s="6"/>
      <c r="K85" s="6"/>
      <c r="L85" s="6"/>
      <c r="M85" s="6"/>
      <c r="N85" s="6"/>
      <c r="O85" s="6"/>
      <c r="P85" s="6"/>
      <c r="Q85" s="6"/>
      <c r="R85" s="6"/>
      <c r="S85" s="6"/>
      <c r="T85" s="6"/>
      <c r="U85" s="6"/>
      <c r="V85" s="6"/>
      <c r="W85" s="6"/>
      <c r="X85" s="6"/>
      <c r="Y85" s="6"/>
      <c r="Z85" s="6"/>
    </row>
    <row r="86" spans="1:26" ht="15.6" x14ac:dyDescent="0.3">
      <c r="A86" s="251" t="s">
        <v>145</v>
      </c>
      <c r="B86" s="248"/>
      <c r="C86" s="254">
        <f>COUNTIF(F41:F52,"Counted")</f>
        <v>3</v>
      </c>
      <c r="D86" s="246"/>
      <c r="E86" s="246"/>
      <c r="F86" s="246"/>
      <c r="G86" s="246"/>
      <c r="H86" s="246"/>
      <c r="I86" s="6"/>
      <c r="J86" s="6"/>
      <c r="K86" s="6"/>
      <c r="L86" s="6"/>
      <c r="M86" s="6"/>
      <c r="N86" s="6"/>
      <c r="O86" s="6"/>
      <c r="P86" s="6"/>
      <c r="Q86" s="6"/>
      <c r="R86" s="6"/>
      <c r="S86" s="6"/>
      <c r="T86" s="6"/>
      <c r="U86" s="6"/>
      <c r="V86" s="6"/>
      <c r="W86" s="6"/>
      <c r="X86" s="6"/>
      <c r="Y86" s="6"/>
      <c r="Z86" s="6"/>
    </row>
    <row r="87" spans="1:26" ht="15.6" x14ac:dyDescent="0.3">
      <c r="A87" s="251" t="s">
        <v>146</v>
      </c>
      <c r="B87" s="248"/>
      <c r="C87" s="254">
        <f>COUNTIF(F41:F52,"Estimated")</f>
        <v>1</v>
      </c>
      <c r="D87" s="246"/>
      <c r="E87" s="246"/>
      <c r="F87" s="246"/>
      <c r="G87" s="246"/>
      <c r="H87" s="246"/>
      <c r="I87" s="6"/>
      <c r="J87" s="6"/>
      <c r="K87" s="6"/>
      <c r="L87" s="6"/>
      <c r="M87" s="6"/>
      <c r="N87" s="6"/>
      <c r="O87" s="6"/>
      <c r="P87" s="6"/>
      <c r="Q87" s="6"/>
      <c r="R87" s="6"/>
      <c r="S87" s="6"/>
      <c r="T87" s="6"/>
      <c r="U87" s="6"/>
      <c r="V87" s="6"/>
      <c r="W87" s="6"/>
      <c r="X87" s="6"/>
      <c r="Y87" s="6"/>
      <c r="Z87" s="6"/>
    </row>
    <row r="88" spans="1:26" ht="15.6" x14ac:dyDescent="0.3">
      <c r="A88" s="251" t="s">
        <v>203</v>
      </c>
      <c r="B88" s="248"/>
      <c r="C88" s="254">
        <f>IF($B$5="","",COUNTIF('09 Not yet reported'!$A$7:$A$46,$B$5))</f>
        <v>2</v>
      </c>
      <c r="D88" s="246"/>
      <c r="E88" s="246"/>
      <c r="F88" s="246"/>
      <c r="G88" s="246"/>
      <c r="H88" s="246"/>
      <c r="I88" s="6"/>
      <c r="J88" s="6"/>
      <c r="K88" s="6"/>
      <c r="L88" s="6"/>
      <c r="M88" s="6"/>
      <c r="N88" s="6"/>
      <c r="O88" s="6"/>
      <c r="P88" s="6"/>
      <c r="Q88" s="6"/>
      <c r="R88" s="6"/>
      <c r="S88" s="6"/>
      <c r="T88" s="6"/>
      <c r="U88" s="6"/>
      <c r="V88" s="6"/>
      <c r="W88" s="6"/>
      <c r="X88" s="6"/>
      <c r="Y88" s="6"/>
      <c r="Z88" s="6"/>
    </row>
    <row r="89" spans="1:26" ht="15.6" x14ac:dyDescent="0.3">
      <c r="A89" s="251" t="s">
        <v>147</v>
      </c>
      <c r="B89" s="248"/>
      <c r="C89" s="254">
        <f>COUNTIF(G65:G72,"Y")</f>
        <v>2</v>
      </c>
      <c r="D89" s="246"/>
      <c r="E89" s="246"/>
      <c r="F89" s="246"/>
      <c r="G89" s="246"/>
      <c r="H89" s="246"/>
      <c r="I89" s="6"/>
      <c r="J89" s="6"/>
      <c r="K89" s="6"/>
      <c r="L89" s="6"/>
      <c r="M89" s="6"/>
      <c r="N89" s="6"/>
      <c r="O89" s="6"/>
      <c r="P89" s="6"/>
      <c r="Q89" s="6"/>
      <c r="R89" s="6"/>
      <c r="S89" s="6"/>
      <c r="T89" s="6"/>
      <c r="U89" s="6"/>
      <c r="V89" s="6"/>
      <c r="W89" s="6"/>
      <c r="X89" s="6"/>
      <c r="Y89" s="6"/>
      <c r="Z89" s="6"/>
    </row>
    <row r="90" spans="1:26" ht="15.6" x14ac:dyDescent="0.3">
      <c r="A90" s="251" t="s">
        <v>204</v>
      </c>
      <c r="B90" s="248"/>
      <c r="C90" s="254">
        <f>COUNTIF(F56:F61,"Y")</f>
        <v>0</v>
      </c>
      <c r="D90" s="246"/>
      <c r="E90" s="246"/>
      <c r="F90" s="246"/>
      <c r="G90" s="246"/>
      <c r="H90" s="246"/>
      <c r="I90" s="6"/>
      <c r="J90" s="6"/>
      <c r="K90" s="6"/>
      <c r="L90" s="6"/>
      <c r="M90" s="6"/>
      <c r="N90" s="6"/>
      <c r="O90" s="6"/>
      <c r="P90" s="6"/>
      <c r="Q90" s="6"/>
      <c r="R90" s="6"/>
      <c r="S90" s="6"/>
      <c r="T90" s="6"/>
      <c r="U90" s="6"/>
      <c r="V90" s="6"/>
      <c r="W90" s="6"/>
      <c r="X90" s="6"/>
      <c r="Y90" s="6"/>
      <c r="Z90" s="6"/>
    </row>
    <row r="91" spans="1:26" ht="15.6" x14ac:dyDescent="0.3">
      <c r="A91" s="252" t="s">
        <v>205</v>
      </c>
      <c r="B91" s="249"/>
      <c r="C91" s="255">
        <f>COUNTIF(A76:A79,"Incident")+COUNTIF(A76:A79,"Near miss")</f>
        <v>0</v>
      </c>
      <c r="D91" s="246"/>
      <c r="E91" s="246"/>
      <c r="F91" s="246"/>
      <c r="G91" s="246"/>
      <c r="H91" s="246"/>
      <c r="I91" s="6"/>
      <c r="J91" s="6"/>
      <c r="K91" s="6"/>
      <c r="L91" s="6"/>
      <c r="M91" s="6"/>
      <c r="N91" s="6"/>
      <c r="O91" s="6"/>
      <c r="P91" s="6"/>
      <c r="Q91" s="6"/>
      <c r="R91" s="6"/>
      <c r="S91" s="6"/>
      <c r="T91" s="6"/>
      <c r="U91" s="6"/>
      <c r="V91" s="6"/>
      <c r="W91" s="6"/>
      <c r="X91" s="6"/>
      <c r="Y91" s="6"/>
      <c r="Z91" s="6"/>
    </row>
    <row r="92" spans="1:26" x14ac:dyDescent="0.3">
      <c r="A92" s="178"/>
      <c r="B92" s="178"/>
      <c r="C92" s="178"/>
      <c r="D92" s="178"/>
      <c r="E92" s="178"/>
      <c r="F92" s="178"/>
      <c r="G92" s="178"/>
      <c r="H92" s="178"/>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mergeCells count="67">
    <mergeCell ref="B70:D70"/>
    <mergeCell ref="B71:D71"/>
    <mergeCell ref="B72:D72"/>
    <mergeCell ref="B75:D75"/>
    <mergeCell ref="B76:D76"/>
    <mergeCell ref="A90:B90"/>
    <mergeCell ref="A91:B91"/>
    <mergeCell ref="G14:H14"/>
    <mergeCell ref="G15:H15"/>
    <mergeCell ref="G16:H16"/>
    <mergeCell ref="G17:H17"/>
    <mergeCell ref="G18:H18"/>
    <mergeCell ref="G19:H19"/>
    <mergeCell ref="G20:H20"/>
    <mergeCell ref="G21:H21"/>
    <mergeCell ref="G22:H22"/>
    <mergeCell ref="G23:H23"/>
    <mergeCell ref="G24:H24"/>
    <mergeCell ref="B64:D64"/>
    <mergeCell ref="B65:D65"/>
    <mergeCell ref="B66:D66"/>
    <mergeCell ref="B77:D77"/>
    <mergeCell ref="B78:D78"/>
    <mergeCell ref="B79:D79"/>
    <mergeCell ref="A89:B89"/>
    <mergeCell ref="B5:C5"/>
    <mergeCell ref="A29:B29"/>
    <mergeCell ref="G42:H42"/>
    <mergeCell ref="G51:H51"/>
    <mergeCell ref="G45:H45"/>
    <mergeCell ref="G47:H47"/>
    <mergeCell ref="G41:H41"/>
    <mergeCell ref="A35:B35"/>
    <mergeCell ref="F9:G9"/>
    <mergeCell ref="F10:G10"/>
    <mergeCell ref="B6:C6"/>
    <mergeCell ref="G52:H52"/>
    <mergeCell ref="A30:B30"/>
    <mergeCell ref="G48:H48"/>
    <mergeCell ref="B11:C11"/>
    <mergeCell ref="B67:D67"/>
    <mergeCell ref="B68:D68"/>
    <mergeCell ref="A88:B88"/>
    <mergeCell ref="A28:B28"/>
    <mergeCell ref="B8:C8"/>
    <mergeCell ref="F8:G8"/>
    <mergeCell ref="G50:H50"/>
    <mergeCell ref="A85:B85"/>
    <mergeCell ref="A84:B84"/>
    <mergeCell ref="A34:B34"/>
    <mergeCell ref="B10:C10"/>
    <mergeCell ref="A33:B33"/>
    <mergeCell ref="A87:B87"/>
    <mergeCell ref="G49:H49"/>
    <mergeCell ref="G40:H40"/>
    <mergeCell ref="A86:B86"/>
    <mergeCell ref="A83:B83"/>
    <mergeCell ref="A82:B82"/>
    <mergeCell ref="G46:H46"/>
    <mergeCell ref="A36:B36"/>
    <mergeCell ref="B69:D69"/>
    <mergeCell ref="B7:C7"/>
    <mergeCell ref="G43:H43"/>
    <mergeCell ref="B9:C9"/>
    <mergeCell ref="A32:B32"/>
    <mergeCell ref="A31:B31"/>
    <mergeCell ref="G44:H44"/>
  </mergeCells>
  <conditionalFormatting sqref="B10">
    <cfRule type="cellIs" dxfId="65" priority="7" operator="equal">
      <formula>"Lost"</formula>
    </cfRule>
    <cfRule type="cellIs" dxfId="64" priority="8" operator="equal">
      <formula>"Part lost"</formula>
    </cfRule>
  </conditionalFormatting>
  <conditionalFormatting sqref="C88">
    <cfRule type="cellIs" dxfId="63" priority="17" operator="greaterThan">
      <formula>0</formula>
    </cfRule>
  </conditionalFormatting>
  <conditionalFormatting sqref="C89">
    <cfRule type="cellIs" dxfId="62" priority="16" operator="greaterThan">
      <formula>0</formula>
    </cfRule>
  </conditionalFormatting>
  <conditionalFormatting sqref="E29:E36">
    <cfRule type="cellIs" dxfId="60" priority="9" operator="greaterThan">
      <formula>0</formula>
    </cfRule>
  </conditionalFormatting>
  <conditionalFormatting sqref="F7">
    <cfRule type="expression" dxfId="59" priority="5">
      <formula>LEFT(F7,4)="Late"</formula>
    </cfRule>
    <cfRule type="expression" dxfId="58" priority="6">
      <formula>LEFT(F7,1)="✔"</formula>
    </cfRule>
  </conditionalFormatting>
  <conditionalFormatting sqref="F56:F61">
    <cfRule type="cellIs" dxfId="54" priority="14" operator="equal">
      <formula>"Y"</formula>
    </cfRule>
  </conditionalFormatting>
  <conditionalFormatting sqref="G65:H72 H74">
    <cfRule type="expression" dxfId="53" priority="15">
      <formula>$G65="Y"</formula>
    </cfRule>
  </conditionalFormatting>
  <conditionalFormatting sqref="G76:G79">
    <cfRule type="expression" dxfId="52" priority="4">
      <formula>$G76="Y"</formula>
    </cfRule>
  </conditionalFormatting>
  <conditionalFormatting sqref="H76:H79">
    <cfRule type="expression" dxfId="51" priority="3">
      <formula>$G76="Y"</formula>
    </cfRule>
  </conditionalFormatting>
  <conditionalFormatting sqref="C90">
    <cfRule type="cellIs" dxfId="50" priority="2" operator="greaterThan">
      <formula>0</formula>
    </cfRule>
  </conditionalFormatting>
  <conditionalFormatting sqref="C91">
    <cfRule type="cellIs" dxfId="49" priority="1" operator="greaterThan">
      <formula>0</formula>
    </cfRule>
  </conditionalFormatting>
  <conditionalFormatting sqref="E65:E72">
    <cfRule type="expression" dxfId="48" priority="18">
      <formula>AND($G65="Y",$E65="")</formula>
    </cfRule>
  </conditionalFormatting>
  <dataValidations count="5">
    <dataValidation type="list" allowBlank="1" sqref="B10" xr:uid="{00000000-0002-0000-0300-000000000000}">
      <formula1>"Workable,Part lost,Lost"</formula1>
    </dataValidation>
    <dataValidation type="decimal" allowBlank="1" showInputMessage="1" showErrorMessage="1" errorTitle="Number" error="Rainfall in mm, 0 to 500. Leave blank and log it on Not yet reported if the gauge has not been read." sqref="B11" xr:uid="{5433CF1E-4ADC-4A63-A8DF-B436B3B89D80}">
      <formula1>0</formula1>
      <formula2>500</formula2>
    </dataValidation>
    <dataValidation type="whole" allowBlank="1" showInputMessage="1" showErrorMessage="1" sqref="F11" xr:uid="{DC4F8A4C-0006-491E-9E3A-589D9938AB20}">
      <formula1>-40</formula1>
      <formula2>55</formula2>
    </dataValidation>
    <dataValidation type="whole" allowBlank="1" showInputMessage="1" showErrorMessage="1" errorTitle="Whole number" error="Report number: a whole number." sqref="B6" xr:uid="{A965BFB7-F9C3-4C88-A72C-ACB5641A6DB3}">
      <formula1>1</formula1>
      <formula2>9999</formula2>
    </dataValidation>
    <dataValidation type="time" allowBlank="1" showInputMessage="1" showErrorMessage="1" errorTitle="Time" error="Enter a time as hh:mm, e.g. 10:40." sqref="B7" xr:uid="{CC92419F-CD92-4285-BF73-7EB4A997BC2E}">
      <formula1>0</formula1>
      <formula2>0.999305555555556</formula2>
    </dataValidation>
  </dataValidations>
  <printOptions horizontalCentered="1"/>
  <pageMargins left="0.25" right="0.25" top="0.75" bottom="0.75" header="0.3" footer="0.3"/>
  <pageSetup paperSize="9" scale="65" fitToHeight="0" orientation="portrait"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errorTitle="Pick from the list" error="Choose a value from the drop-down. To add a new one, add it to the list on Setup first." xr:uid="{C09EFE0F-1B84-4584-89B5-905D1D2AB05B}">
          <x14:formula1>
            <xm:f>'14 Setup'!$N$12:$N$26</xm:f>
          </x14:formula1>
          <xm:sqref>B8:B9</xm:sqref>
        </x14:dataValidation>
        <x14:dataValidation type="list" allowBlank="1" showInputMessage="1" showErrorMessage="1" errorTitle="Pick from the list" error="Choose a value from the drop-down. To add a new one, add it to the list on Setup first." xr:uid="{02A9C694-3311-4E43-8C13-6532879EC9AC}">
          <x14:formula1>
            <xm:f>'14 Setup'!$H$12:$H$26</xm:f>
          </x14:formula1>
          <xm:sqref>F8:F9</xm:sqref>
        </x14:dataValidation>
        <x14:dataValidation type="list" allowBlank="1" showInputMessage="1" showErrorMessage="1" promptTitle="Report date" prompt="Pick or type a date. Everything below fills itself from the logs." xr:uid="{6AD27E15-18C4-431D-BC13-D523C821440B}">
          <x14:formula1>
            <xm:f>'03 Day log'!$A$8:$A$38</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227"/>
    <pageSetUpPr fitToPage="1"/>
  </sheetPr>
  <dimension ref="A1:Z1000"/>
  <sheetViews>
    <sheetView showGridLines="0" view="pageBreakPreview" zoomScale="85" zoomScaleNormal="100" zoomScaleSheetLayoutView="85" workbookViewId="0">
      <pane ySplit="3" topLeftCell="A4" activePane="bottomLeft" state="frozen"/>
      <selection pane="bottomLeft" activeCell="Q17" sqref="Q17"/>
    </sheetView>
  </sheetViews>
  <sheetFormatPr defaultRowHeight="14.4" x14ac:dyDescent="0.3"/>
  <cols>
    <col min="1" max="1" width="2" customWidth="1"/>
    <col min="2" max="13" width="12.44140625" customWidth="1"/>
    <col min="14" max="14" width="2" customWidth="1"/>
    <col min="16" max="16" width="21" bestFit="1" customWidth="1"/>
    <col min="17" max="17" width="10.21875" bestFit="1" customWidth="1"/>
    <col min="18" max="18" width="7.109375" bestFit="1" customWidth="1"/>
    <col min="19" max="19" width="9.109375" bestFit="1" customWidth="1"/>
    <col min="20" max="20" width="12.88671875" bestFit="1" customWidth="1"/>
    <col min="21" max="21" width="11.77734375" bestFit="1" customWidth="1"/>
    <col min="22" max="22" width="6.6640625" bestFit="1" customWidth="1"/>
    <col min="23" max="23" width="37.33203125" bestFit="1" customWidth="1"/>
  </cols>
  <sheetData>
    <row r="1" spans="1:26" ht="10.050000000000001" customHeight="1" x14ac:dyDescent="0.3">
      <c r="A1" s="5"/>
      <c r="B1" s="5"/>
      <c r="C1" s="5"/>
      <c r="D1" s="5"/>
      <c r="E1" s="5"/>
      <c r="F1" s="5"/>
      <c r="G1" s="5"/>
      <c r="H1" s="5"/>
      <c r="I1" s="5"/>
      <c r="J1" s="5"/>
      <c r="K1" s="5"/>
      <c r="L1" s="5"/>
      <c r="M1" s="5"/>
      <c r="N1" s="5"/>
      <c r="O1" s="6"/>
      <c r="X1" s="6"/>
      <c r="Y1" s="6"/>
      <c r="Z1" s="6"/>
    </row>
    <row r="2" spans="1:26" ht="31.95" customHeight="1" x14ac:dyDescent="0.4">
      <c r="A2" s="5"/>
      <c r="B2" s="44" t="s">
        <v>31</v>
      </c>
      <c r="C2" s="5"/>
      <c r="D2" s="5"/>
      <c r="E2" s="5"/>
      <c r="F2" s="5"/>
      <c r="G2" s="5"/>
      <c r="H2" s="5"/>
      <c r="I2" s="5"/>
      <c r="J2" s="5"/>
      <c r="K2" s="175" t="s">
        <v>32</v>
      </c>
      <c r="L2" s="173"/>
      <c r="M2" s="173"/>
      <c r="N2" s="45"/>
      <c r="O2" s="6"/>
      <c r="X2" s="6"/>
      <c r="Y2" s="6"/>
      <c r="Z2" s="6"/>
    </row>
    <row r="3" spans="1:26" ht="22.05" customHeight="1" x14ac:dyDescent="0.3">
      <c r="A3" s="5"/>
      <c r="B3" s="46" t="str">
        <f>IF(COUNT('03 Day log'!$A$8:$A$38)=0,"Log your first day on the Day log",IF('14 Setup'!B6="","",'14 Setup'!B6&amp;"   ·   ")&amp;"weekly view   ·   log runs "&amp;TEXT(MIN('03 Day log'!$A$8:$A$38),"d mmm")&amp;" to "&amp;TEXT(MAX('03 Day log'!$A$8:$A$38),"d mmm yyyy")&amp;"   ·   due by "&amp;TEXT('14 Setup'!B7,"hh:mm"))</f>
        <v>Example project   ·   weekly view   ·   log runs 2 Mar to 13 Mar 2026   ·   due by 14:00</v>
      </c>
      <c r="C3" s="5"/>
      <c r="D3" s="5"/>
      <c r="E3" s="5"/>
      <c r="F3" s="5"/>
      <c r="G3" s="5"/>
      <c r="H3" s="5"/>
      <c r="I3" s="5"/>
      <c r="J3" s="5"/>
      <c r="K3" s="5"/>
      <c r="L3" s="5"/>
      <c r="M3" s="5"/>
      <c r="N3" s="5"/>
      <c r="O3" s="6"/>
      <c r="X3" s="6"/>
      <c r="Y3" s="6"/>
      <c r="Z3" s="6"/>
    </row>
    <row r="4" spans="1:26" ht="28.05" customHeight="1" x14ac:dyDescent="0.3">
      <c r="A4" s="5"/>
      <c r="B4" s="47" t="s">
        <v>308</v>
      </c>
      <c r="C4" s="48">
        <v>1</v>
      </c>
      <c r="D4" s="5"/>
      <c r="E4" s="49" t="str">
        <f>IF(WeekStart="","","Mon "&amp;TEXT(WeekStart,"d mmm")&amp;"  to  Sun "&amp;TEXT(WeekEnd,"d mmm yyyy")&amp;"   ·   week "&amp;WeekNo&amp;" of "&amp;'15 Chart data'!$C$20&amp;"   ·   "&amp;WeekReports&amp;" reports")</f>
        <v>Mon 2 Mar  to  Sun 8 Mar 2026   ·   week 1 of 2   ·   5 reports</v>
      </c>
      <c r="F4" s="5"/>
      <c r="G4" s="5"/>
      <c r="H4" s="5"/>
      <c r="I4" s="5"/>
      <c r="J4" s="5"/>
      <c r="K4" s="5"/>
      <c r="L4" s="5"/>
      <c r="M4" s="5"/>
      <c r="N4" s="5"/>
      <c r="O4" s="6"/>
      <c r="X4" s="6"/>
      <c r="Y4" s="6"/>
      <c r="Z4" s="6"/>
    </row>
    <row r="5" spans="1:26" ht="10.050000000000001" customHeight="1" x14ac:dyDescent="0.3">
      <c r="A5" s="6"/>
      <c r="B5" s="6"/>
      <c r="C5" s="6"/>
      <c r="D5" s="6"/>
      <c r="E5" s="6"/>
      <c r="F5" s="6"/>
      <c r="G5" s="6"/>
      <c r="H5" s="6"/>
      <c r="I5" s="6"/>
      <c r="J5" s="6"/>
      <c r="K5" s="6"/>
      <c r="L5" s="6"/>
      <c r="M5" s="6"/>
      <c r="N5" s="6"/>
      <c r="O5" s="6"/>
      <c r="X5" s="6"/>
      <c r="Y5" s="6"/>
      <c r="Z5" s="6"/>
    </row>
    <row r="6" spans="1:26" ht="19.95" customHeight="1" x14ac:dyDescent="0.3">
      <c r="A6" s="6"/>
      <c r="B6" s="50" t="s">
        <v>33</v>
      </c>
      <c r="C6" s="39"/>
      <c r="D6" s="51" t="s">
        <v>34</v>
      </c>
      <c r="E6" s="39"/>
      <c r="F6" s="52" t="s">
        <v>35</v>
      </c>
      <c r="G6" s="39"/>
      <c r="H6" s="53" t="s">
        <v>36</v>
      </c>
      <c r="I6" s="39"/>
      <c r="J6" s="54" t="s">
        <v>310</v>
      </c>
      <c r="K6" s="39"/>
      <c r="L6" s="55" t="s">
        <v>37</v>
      </c>
      <c r="M6" s="39"/>
      <c r="N6" s="6"/>
      <c r="O6" s="6"/>
      <c r="X6" s="6"/>
      <c r="Y6" s="6"/>
      <c r="Z6" s="6"/>
    </row>
    <row r="7" spans="1:26" ht="22.05" customHeight="1" x14ac:dyDescent="0.3">
      <c r="A7" s="6"/>
      <c r="B7" s="56">
        <f>IF(WeekReports=0,"",COUNTIFS('03 Day log'!$D$8:$D$38,"Y",'03 Day log'!$A$8:$A$38,"&gt;="&amp;WeekStart,'03 Day log'!$A$8:$A$38,"&lt;="&amp;WeekEnd)/WeekReports)</f>
        <v>0.8</v>
      </c>
      <c r="C7" s="39"/>
      <c r="D7" s="57">
        <f>IF(WeekReports=0,"",COUNTIFS('03 Day log'!$E$8:$E$38,0,'03 Day log'!$A$8:$A$38,"&gt;="&amp;WeekStart,'03 Day log'!$A$8:$A$38,"&lt;="&amp;WeekEnd)/WeekReports)</f>
        <v>0.6</v>
      </c>
      <c r="E7" s="39"/>
      <c r="F7" s="58">
        <f>COUNTIFS('03 Day log'!$G$8:$G$38,"Lost",'03 Day log'!$A$8:$A$38,"&gt;="&amp;WeekStart,'03 Day log'!$A$8:$A$38,"&lt;="&amp;WeekEnd)+'14 Setup'!$B$9*COUNTIFS('03 Day log'!$G$8:$G$38,"Part lost",'03 Day log'!$A$8:$A$38,"&gt;="&amp;WeekStart,'03 Day log'!$A$8:$A$38,"&lt;="&amp;WeekEnd)</f>
        <v>2</v>
      </c>
      <c r="G7" s="39"/>
      <c r="H7" s="59">
        <f>IF(WeekReports=0,"",AVERAGEIFS('03 Day log'!$H$8:$H$38,'03 Day log'!$A$8:$A$38,"&gt;="&amp;WeekStart,'03 Day log'!$A$8:$A$38,"&lt;="&amp;WeekEnd))</f>
        <v>22.6</v>
      </c>
      <c r="I7" s="39"/>
      <c r="J7" s="60">
        <f>COUNTIFS('09 Not yet reported'!$H$7:$H$46,"Open",'09 Not yet reported'!$A$7:$A$46,"&gt;="&amp;WeekStart,'09 Not yet reported'!$A$7:$A$46,"&lt;="&amp;WeekEnd)+COUNTIFS('09 Not yet reported'!$H$7:$H$46,"Overdue",'09 Not yet reported'!$A$7:$A$46,"&gt;="&amp;WeekStart,'09 Not yet reported'!$A$7:$A$46,"&lt;="&amp;WeekEnd)</f>
        <v>2</v>
      </c>
      <c r="K7" s="39"/>
      <c r="L7" s="61">
        <f>SUMIFS('03 Day log'!$K$8:$K$38,'03 Day log'!$A$8:$A$38,"&gt;="&amp;WeekStart,'03 Day log'!$A$8:$A$38,"&lt;="&amp;WeekEnd)</f>
        <v>2</v>
      </c>
      <c r="M7" s="39"/>
      <c r="N7" s="6"/>
      <c r="O7" s="6"/>
      <c r="X7" s="6"/>
      <c r="Y7" s="6"/>
      <c r="Z7" s="6"/>
    </row>
    <row r="8" spans="1:26" ht="22.05" customHeight="1" x14ac:dyDescent="0.3">
      <c r="A8" s="6"/>
      <c r="B8" s="39"/>
      <c r="C8" s="39"/>
      <c r="D8" s="39"/>
      <c r="E8" s="39"/>
      <c r="F8" s="39"/>
      <c r="G8" s="39"/>
      <c r="H8" s="39"/>
      <c r="I8" s="39"/>
      <c r="J8" s="39"/>
      <c r="K8" s="39"/>
      <c r="L8" s="39"/>
      <c r="M8" s="39"/>
      <c r="N8" s="6"/>
      <c r="O8" s="6"/>
      <c r="X8" s="6"/>
      <c r="Y8" s="6"/>
      <c r="Z8" s="6"/>
    </row>
    <row r="9" spans="1:26" ht="22.05" customHeight="1" x14ac:dyDescent="0.3">
      <c r="A9" s="6"/>
      <c r="B9" s="62" t="str">
        <f>COUNTIFS('03 Day log'!$D$8:$D$38,"N",'03 Day log'!$A$8:$A$38,"&gt;="&amp;WeekStart,'03 Day log'!$A$8:$A$38,"&lt;="&amp;WeekEnd)&amp;" late"</f>
        <v>1 late</v>
      </c>
      <c r="C9" s="39"/>
      <c r="D9" s="63" t="str">
        <f>"the measure that matters  ·  "&amp;SUMIFS('03 Day log'!$E$8:$E$38,'03 Day log'!$A$8:$A$38,"&gt;="&amp;WeekStart,'03 Day log'!$A$8:$A$38,"&lt;="&amp;WeekEnd)&amp;" revisions"</f>
        <v>the measure that matters  ·  3 revisions</v>
      </c>
      <c r="E9" s="39"/>
      <c r="F9" s="64" t="str">
        <f>COUNTIFS('03 Day log'!$G$8:$G$38,"Lost",'03 Day log'!$A$8:$A$38,"&gt;="&amp;WeekStart,'03 Day log'!$A$8:$A$38,"&lt;="&amp;WeekEnd)&amp;" lost, "&amp;COUNTIFS('03 Day log'!$G$8:$G$38,"Part lost",'03 Day log'!$A$8:$A$38,"&gt;="&amp;WeekStart,'03 Day log'!$A$8:$A$38,"&lt;="&amp;WeekEnd)&amp;" part lost"</f>
        <v>1 lost, 2 part lost</v>
      </c>
      <c r="G9" s="39"/>
      <c r="H9" s="65" t="str">
        <f>"people a day  ·  peak "&amp;IF(WeekReports=0,0,_xlfn.MAXIFS('03 Day log'!$H$8:$H$38,'03 Day log'!$A$8:$A$38,"&gt;="&amp;WeekStart,'03 Day log'!$A$8:$A$38,"&lt;="&amp;WeekEnd))</f>
        <v>people a day  ·  peak 28</v>
      </c>
      <c r="I9" s="39"/>
      <c r="J9" s="66" t="str">
        <f>"raised this week  ·  "&amp;(COUNTIF('09 Not yet reported'!$H$7:$H$46,"Open")+COUNTIF('09 Not yet reported'!$H$7:$H$46,"Overdue"))&amp;" open in total"</f>
        <v>raised this week  ·  2 open in total</v>
      </c>
      <c r="K9" s="39"/>
      <c r="L9" s="67" t="str">
        <f>"notices: "&amp;COUNTIF('11 Notice calendar'!$G$7:$G$46,"Open")&amp;" open, "&amp;COUNTIF('11 Notice calendar'!$G$7:$G$46,"Overdue")&amp;" overdue"</f>
        <v>notices: 2 open, 0 overdue</v>
      </c>
      <c r="M9" s="39"/>
      <c r="N9" s="6"/>
      <c r="O9" s="6"/>
      <c r="X9" s="6"/>
      <c r="Y9" s="6"/>
      <c r="Z9" s="6"/>
    </row>
    <row r="10" spans="1:26" x14ac:dyDescent="0.3">
      <c r="A10" s="6"/>
      <c r="B10" s="68"/>
      <c r="C10" s="68"/>
      <c r="D10" s="69"/>
      <c r="E10" s="69"/>
      <c r="F10" s="70"/>
      <c r="G10" s="70"/>
      <c r="H10" s="71"/>
      <c r="I10" s="71"/>
      <c r="J10" s="72"/>
      <c r="K10" s="72"/>
      <c r="L10" s="73"/>
      <c r="M10" s="73"/>
      <c r="N10" s="6"/>
      <c r="O10" s="6"/>
      <c r="X10" s="6"/>
      <c r="Y10" s="6"/>
      <c r="Z10" s="6"/>
    </row>
    <row r="11" spans="1:26" x14ac:dyDescent="0.3">
      <c r="A11" s="6"/>
      <c r="B11" s="6"/>
      <c r="C11" s="6"/>
      <c r="D11" s="6"/>
      <c r="E11" s="6"/>
      <c r="F11" s="6"/>
      <c r="G11" s="6"/>
      <c r="H11" s="6"/>
      <c r="I11" s="6"/>
      <c r="J11" s="6"/>
      <c r="K11" s="6"/>
      <c r="L11" s="6"/>
      <c r="M11" s="6"/>
      <c r="N11" s="6"/>
      <c r="O11" s="6"/>
      <c r="X11" s="6"/>
      <c r="Y11" s="6"/>
      <c r="Z11" s="6"/>
    </row>
    <row r="12" spans="1:26" ht="22.05" customHeight="1" x14ac:dyDescent="0.3">
      <c r="A12" s="6"/>
      <c r="B12" s="74" t="str">
        <f>IF(WeekReports=0,"No reports logged for this week.","This week, of "&amp;WeekReports&amp;" reports, "&amp;COUNTIFS('03 Day log'!$D$8:$D$38,"Y",'03 Day log'!$A$8:$A$38,"&gt;="&amp;WeekStart,'03 Day log'!$A$8:$A$38,"&lt;="&amp;WeekEnd)&amp;" went out on time and "&amp;COUNTIFS('03 Day log'!$E$8:$E$38,0,'03 Day log'!$A$8:$A$38,"&gt;="&amp;WeekStart,'03 Day log'!$A$8:$A$38,"&lt;="&amp;WeekEnd)&amp;" never changed afterwards. Judge the report by the second number: a report that stands is worth more than one that arrives early and is corrected three times.")</f>
        <v>This week, of 5 reports, 4 went out on time and 3 never changed afterwards. Judge the report by the second number: a report that stands is worth more than one that arrives early and is corrected three times.</v>
      </c>
      <c r="C12" s="75"/>
      <c r="D12" s="75"/>
      <c r="E12" s="75"/>
      <c r="F12" s="75"/>
      <c r="G12" s="75"/>
      <c r="H12" s="75"/>
      <c r="I12" s="75"/>
      <c r="J12" s="75"/>
      <c r="K12" s="75"/>
      <c r="L12" s="75"/>
      <c r="M12" s="75"/>
      <c r="N12" s="6"/>
      <c r="O12" s="6"/>
      <c r="X12" s="6"/>
      <c r="Y12" s="6"/>
      <c r="Z12" s="6"/>
    </row>
    <row r="13" spans="1:26" ht="22.05" customHeight="1" x14ac:dyDescent="0.3">
      <c r="A13" s="6"/>
      <c r="B13" s="75"/>
      <c r="C13" s="75"/>
      <c r="D13" s="75"/>
      <c r="E13" s="75"/>
      <c r="F13" s="75"/>
      <c r="G13" s="75"/>
      <c r="H13" s="75"/>
      <c r="I13" s="75"/>
      <c r="J13" s="75"/>
      <c r="K13" s="75"/>
      <c r="L13" s="75"/>
      <c r="M13" s="75"/>
      <c r="N13" s="6"/>
      <c r="O13" s="6"/>
      <c r="X13" s="6"/>
      <c r="Y13" s="6"/>
      <c r="Z13" s="6"/>
    </row>
    <row r="14" spans="1:26" x14ac:dyDescent="0.3">
      <c r="A14" s="6"/>
      <c r="B14" s="6"/>
      <c r="C14" s="6"/>
      <c r="D14" s="6"/>
      <c r="E14" s="6"/>
      <c r="F14" s="6"/>
      <c r="G14" s="6"/>
      <c r="H14" s="6"/>
      <c r="I14" s="6"/>
      <c r="J14" s="6"/>
      <c r="K14" s="6"/>
      <c r="L14" s="6"/>
      <c r="M14" s="6"/>
      <c r="N14" s="6"/>
      <c r="O14" s="6"/>
      <c r="X14" s="6"/>
      <c r="Y14" s="6"/>
      <c r="Z14" s="6"/>
    </row>
    <row r="15" spans="1:26" x14ac:dyDescent="0.3">
      <c r="A15" s="6"/>
      <c r="B15" s="76" t="s">
        <v>311</v>
      </c>
      <c r="C15" s="6"/>
      <c r="D15" s="6"/>
      <c r="E15" s="6"/>
      <c r="F15" s="6"/>
      <c r="G15" s="6"/>
      <c r="H15" s="6"/>
      <c r="I15" s="6"/>
      <c r="J15" s="6"/>
      <c r="K15" s="6"/>
      <c r="L15" s="6"/>
      <c r="M15" s="6"/>
      <c r="N15" s="6"/>
      <c r="O15" s="6"/>
      <c r="X15" s="6"/>
      <c r="Y15" s="6"/>
      <c r="Z15" s="6"/>
    </row>
    <row r="16" spans="1:26" x14ac:dyDescent="0.3">
      <c r="A16" s="6"/>
      <c r="B16" s="6"/>
      <c r="C16" s="6"/>
      <c r="D16" s="6"/>
      <c r="E16" s="6"/>
      <c r="F16" s="6"/>
      <c r="G16" s="6"/>
      <c r="H16" s="6"/>
      <c r="I16" s="6"/>
      <c r="J16" s="6"/>
      <c r="K16" s="6"/>
      <c r="L16" s="6"/>
      <c r="M16" s="6"/>
      <c r="N16" s="6"/>
      <c r="O16" s="6"/>
      <c r="X16" s="6"/>
      <c r="Y16" s="6"/>
      <c r="Z16" s="6"/>
    </row>
    <row r="17" spans="1:26" x14ac:dyDescent="0.3">
      <c r="A17" s="6"/>
      <c r="B17" s="6"/>
      <c r="C17" s="6"/>
      <c r="D17" s="6"/>
      <c r="E17" s="6"/>
      <c r="F17" s="6"/>
      <c r="G17" s="6"/>
      <c r="H17" s="6"/>
      <c r="I17" s="6"/>
      <c r="J17" s="6"/>
      <c r="K17" s="6"/>
      <c r="L17" s="6"/>
      <c r="M17" s="6"/>
      <c r="N17" s="6"/>
      <c r="O17" s="6"/>
      <c r="X17" s="6"/>
      <c r="Y17" s="6"/>
      <c r="Z17" s="6"/>
    </row>
    <row r="18" spans="1:26" x14ac:dyDescent="0.3">
      <c r="A18" s="6"/>
      <c r="B18" s="6"/>
      <c r="C18" s="6"/>
      <c r="D18" s="6"/>
      <c r="E18" s="6"/>
      <c r="F18" s="6"/>
      <c r="G18" s="6"/>
      <c r="H18" s="6"/>
      <c r="I18" s="6"/>
      <c r="J18" s="6"/>
      <c r="K18" s="6"/>
      <c r="L18" s="6"/>
      <c r="M18" s="6"/>
      <c r="N18" s="6"/>
      <c r="O18" s="6"/>
      <c r="X18" s="6"/>
      <c r="Y18" s="6"/>
      <c r="Z18" s="6"/>
    </row>
    <row r="19" spans="1:26" x14ac:dyDescent="0.3">
      <c r="A19" s="6"/>
      <c r="B19" s="6"/>
      <c r="C19" s="6"/>
      <c r="D19" s="6"/>
      <c r="E19" s="6"/>
      <c r="F19" s="6"/>
      <c r="G19" s="6"/>
      <c r="H19" s="6"/>
      <c r="I19" s="6"/>
      <c r="J19" s="6"/>
      <c r="K19" s="6"/>
      <c r="L19" s="6"/>
      <c r="M19" s="6"/>
      <c r="N19" s="6"/>
      <c r="O19" s="6"/>
      <c r="X19" s="6"/>
      <c r="Y19" s="6"/>
      <c r="Z19" s="6"/>
    </row>
    <row r="20" spans="1:26" x14ac:dyDescent="0.3">
      <c r="A20" s="6"/>
      <c r="B20" s="6"/>
      <c r="C20" s="6"/>
      <c r="D20" s="6"/>
      <c r="E20" s="6"/>
      <c r="F20" s="6"/>
      <c r="G20" s="6"/>
      <c r="H20" s="6"/>
      <c r="I20" s="6"/>
      <c r="J20" s="6"/>
      <c r="K20" s="6"/>
      <c r="L20" s="6"/>
      <c r="M20" s="6"/>
      <c r="N20" s="6"/>
      <c r="O20" s="6"/>
      <c r="X20" s="6"/>
      <c r="Y20" s="6"/>
      <c r="Z20" s="6"/>
    </row>
    <row r="21" spans="1:26" x14ac:dyDescent="0.3">
      <c r="A21" s="6"/>
      <c r="B21" s="6"/>
      <c r="C21" s="6"/>
      <c r="D21" s="6"/>
      <c r="E21" s="6"/>
      <c r="F21" s="6"/>
      <c r="G21" s="6"/>
      <c r="H21" s="6"/>
      <c r="I21" s="6"/>
      <c r="J21" s="6"/>
      <c r="K21" s="6"/>
      <c r="L21" s="6"/>
      <c r="M21" s="6"/>
      <c r="N21" s="6"/>
      <c r="O21" s="6"/>
      <c r="X21" s="6"/>
      <c r="Y21" s="6"/>
      <c r="Z21" s="6"/>
    </row>
    <row r="22" spans="1:26" x14ac:dyDescent="0.3">
      <c r="A22" s="6"/>
      <c r="B22" s="6"/>
      <c r="C22" s="6"/>
      <c r="D22" s="6"/>
      <c r="E22" s="6"/>
      <c r="F22" s="6"/>
      <c r="G22" s="6"/>
      <c r="H22" s="6"/>
      <c r="I22" s="6"/>
      <c r="J22" s="6"/>
      <c r="K22" s="6"/>
      <c r="L22" s="6"/>
      <c r="M22" s="6"/>
      <c r="N22" s="6"/>
      <c r="O22" s="6"/>
      <c r="X22" s="6"/>
      <c r="Y22" s="6"/>
      <c r="Z22" s="6"/>
    </row>
    <row r="23" spans="1:26" x14ac:dyDescent="0.3">
      <c r="A23" s="6"/>
      <c r="B23" s="6"/>
      <c r="C23" s="6"/>
      <c r="D23" s="6"/>
      <c r="E23" s="6"/>
      <c r="F23" s="6"/>
      <c r="G23" s="6"/>
      <c r="H23" s="6"/>
      <c r="I23" s="6"/>
      <c r="J23" s="6"/>
      <c r="K23" s="6"/>
      <c r="L23" s="6"/>
      <c r="M23" s="6"/>
      <c r="N23" s="6"/>
      <c r="O23" s="6"/>
      <c r="X23" s="6"/>
      <c r="Y23" s="6"/>
      <c r="Z23" s="6"/>
    </row>
    <row r="24" spans="1:26" x14ac:dyDescent="0.3">
      <c r="A24" s="6"/>
      <c r="B24" s="6"/>
      <c r="C24" s="6"/>
      <c r="D24" s="6"/>
      <c r="E24" s="6"/>
      <c r="F24" s="6"/>
      <c r="G24" s="6"/>
      <c r="H24" s="6"/>
      <c r="I24" s="6"/>
      <c r="J24" s="6"/>
      <c r="K24" s="6"/>
      <c r="L24" s="6"/>
      <c r="M24" s="6"/>
      <c r="N24" s="6"/>
      <c r="O24" s="6"/>
      <c r="X24" s="6"/>
      <c r="Y24" s="6"/>
      <c r="Z24" s="6"/>
    </row>
    <row r="25" spans="1:26" x14ac:dyDescent="0.3">
      <c r="A25" s="6"/>
      <c r="B25" s="6"/>
      <c r="C25" s="6"/>
      <c r="D25" s="6"/>
      <c r="E25" s="6"/>
      <c r="F25" s="6"/>
      <c r="G25" s="6"/>
      <c r="H25" s="6"/>
      <c r="I25" s="6"/>
      <c r="J25" s="6"/>
      <c r="K25" s="6"/>
      <c r="L25" s="6"/>
      <c r="M25" s="6"/>
      <c r="N25" s="6"/>
      <c r="O25" s="6"/>
      <c r="X25" s="6"/>
      <c r="Y25" s="6"/>
      <c r="Z25" s="6"/>
    </row>
    <row r="26" spans="1:26" x14ac:dyDescent="0.3">
      <c r="A26" s="6"/>
      <c r="B26" s="6"/>
      <c r="C26" s="6"/>
      <c r="D26" s="6"/>
      <c r="E26" s="6"/>
      <c r="F26" s="6"/>
      <c r="G26" s="6"/>
      <c r="H26" s="6"/>
      <c r="I26" s="6"/>
      <c r="J26" s="6"/>
      <c r="K26" s="6"/>
      <c r="L26" s="6"/>
      <c r="M26" s="6"/>
      <c r="N26" s="6"/>
      <c r="O26" s="6"/>
      <c r="X26" s="6"/>
      <c r="Y26" s="6"/>
      <c r="Z26" s="6"/>
    </row>
    <row r="27" spans="1:26" x14ac:dyDescent="0.3">
      <c r="A27" s="6"/>
      <c r="B27" s="6"/>
      <c r="C27" s="6"/>
      <c r="D27" s="6"/>
      <c r="E27" s="6"/>
      <c r="F27" s="6"/>
      <c r="G27" s="6"/>
      <c r="H27" s="6"/>
      <c r="I27" s="6"/>
      <c r="J27" s="6"/>
      <c r="K27" s="6"/>
      <c r="L27" s="6"/>
      <c r="M27" s="6"/>
      <c r="N27" s="6"/>
      <c r="O27" s="6"/>
      <c r="X27" s="6"/>
      <c r="Y27" s="6"/>
      <c r="Z27" s="6"/>
    </row>
    <row r="28" spans="1:26" x14ac:dyDescent="0.3">
      <c r="A28" s="6"/>
      <c r="B28" s="6"/>
      <c r="C28" s="6"/>
      <c r="D28" s="6"/>
      <c r="E28" s="6"/>
      <c r="F28" s="6"/>
      <c r="G28" s="6"/>
      <c r="H28" s="6"/>
      <c r="I28" s="6"/>
      <c r="J28" s="6"/>
      <c r="K28" s="6"/>
      <c r="L28" s="6"/>
      <c r="M28" s="6"/>
      <c r="N28" s="6"/>
      <c r="O28" s="6"/>
      <c r="X28" s="6"/>
      <c r="Y28" s="6"/>
      <c r="Z28" s="6"/>
    </row>
    <row r="29" spans="1:26" x14ac:dyDescent="0.3">
      <c r="A29" s="6"/>
      <c r="B29" s="6"/>
      <c r="C29" s="6"/>
      <c r="D29" s="6"/>
      <c r="E29" s="6"/>
      <c r="F29" s="6"/>
      <c r="G29" s="6"/>
      <c r="H29" s="6"/>
      <c r="I29" s="6"/>
      <c r="J29" s="6"/>
      <c r="K29" s="6"/>
      <c r="L29" s="6"/>
      <c r="M29" s="6"/>
      <c r="N29" s="6"/>
      <c r="O29" s="6"/>
      <c r="X29" s="6"/>
      <c r="Y29" s="6"/>
      <c r="Z29" s="6"/>
    </row>
    <row r="30" spans="1:26" x14ac:dyDescent="0.3">
      <c r="A30" s="6"/>
      <c r="B30" s="6"/>
      <c r="C30" s="6"/>
      <c r="D30" s="6"/>
      <c r="E30" s="6"/>
      <c r="F30" s="6"/>
      <c r="G30" s="6"/>
      <c r="H30" s="6"/>
      <c r="I30" s="6"/>
      <c r="J30" s="6"/>
      <c r="K30" s="6"/>
      <c r="L30" s="6"/>
      <c r="M30" s="6"/>
      <c r="N30" s="6"/>
      <c r="O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76" t="s">
        <v>312</v>
      </c>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77" t="s">
        <v>42</v>
      </c>
      <c r="C51" s="77" t="s">
        <v>43</v>
      </c>
      <c r="D51" s="77" t="s">
        <v>44</v>
      </c>
      <c r="E51" s="77" t="s">
        <v>45</v>
      </c>
      <c r="F51" s="77" t="s">
        <v>219</v>
      </c>
      <c r="G51" s="78" t="s">
        <v>46</v>
      </c>
      <c r="H51" s="79"/>
      <c r="I51" s="79"/>
      <c r="J51" s="79"/>
      <c r="K51" s="79"/>
      <c r="L51" s="79"/>
      <c r="M51" s="79"/>
      <c r="N51" s="6"/>
      <c r="O51" s="6"/>
      <c r="P51" s="6"/>
      <c r="Q51" s="6"/>
      <c r="R51" s="6"/>
      <c r="S51" s="6"/>
      <c r="T51" s="6"/>
      <c r="U51" s="6"/>
      <c r="V51" s="6"/>
      <c r="W51" s="6"/>
      <c r="X51" s="6"/>
      <c r="Y51" s="6"/>
      <c r="Z51" s="6"/>
    </row>
    <row r="52" spans="1:26" ht="19.05" customHeight="1" x14ac:dyDescent="0.3">
      <c r="A52" s="6"/>
      <c r="B52" s="80">
        <f>'15 Chart data'!$B26</f>
        <v>46083</v>
      </c>
      <c r="C52" s="81" t="str">
        <f>'15 Chart data'!$G26</f>
        <v>Workable</v>
      </c>
      <c r="D52" s="82">
        <f>IF('15 Chart data'!$D26="","",'15 Chart data'!$D26)</f>
        <v>26</v>
      </c>
      <c r="E52" s="82">
        <f>IFERROR(IF('15 Chart data'!$E26="","",'15 Chart data'!$E26),"")</f>
        <v>0</v>
      </c>
      <c r="F52" s="82">
        <f>'15 Chart data'!$H26</f>
        <v>0</v>
      </c>
      <c r="G52" s="83" t="str">
        <f>IF('15 Chart data'!$G26="","no report",'15 Chart data'!$I26)</f>
        <v>Piling P15 and P16</v>
      </c>
      <c r="H52" s="84"/>
      <c r="I52" s="84"/>
      <c r="J52" s="84"/>
      <c r="K52" s="84"/>
      <c r="L52" s="84"/>
      <c r="M52" s="84"/>
      <c r="N52" s="6"/>
      <c r="O52" s="6"/>
      <c r="P52" s="6"/>
      <c r="Q52" s="6"/>
      <c r="R52" s="6"/>
      <c r="S52" s="6"/>
      <c r="T52" s="6"/>
      <c r="U52" s="6"/>
      <c r="V52" s="6"/>
      <c r="W52" s="6"/>
      <c r="X52" s="6"/>
      <c r="Y52" s="6"/>
      <c r="Z52" s="6"/>
    </row>
    <row r="53" spans="1:26" ht="19.05" customHeight="1" x14ac:dyDescent="0.3">
      <c r="A53" s="6"/>
      <c r="B53" s="80">
        <f>'15 Chart data'!$B27</f>
        <v>46084</v>
      </c>
      <c r="C53" s="81" t="str">
        <f>'15 Chart data'!$G27</f>
        <v>Part lost</v>
      </c>
      <c r="D53" s="82">
        <f>IF('15 Chart data'!$D27="","",'15 Chart data'!$D27)</f>
        <v>28</v>
      </c>
      <c r="E53" s="82">
        <f>IFERROR(IF('15 Chart data'!$E27="","",'15 Chart data'!$E27),"")</f>
        <v>1</v>
      </c>
      <c r="F53" s="82">
        <f>'15 Chart data'!$H27</f>
        <v>2</v>
      </c>
      <c r="G53" s="85" t="str">
        <f>IF('15 Chart data'!$G27="","no report",'15 Chart data'!$I27)</f>
        <v>Piling rig: penetration rate changed at P17 and P18, consistent with rock. Driller’s log kept.</v>
      </c>
      <c r="H53" s="86"/>
      <c r="I53" s="86"/>
      <c r="J53" s="86"/>
      <c r="K53" s="86"/>
      <c r="L53" s="86"/>
      <c r="M53" s="86"/>
      <c r="N53" s="6"/>
      <c r="O53" s="6"/>
      <c r="P53" s="6"/>
      <c r="Q53" s="6"/>
      <c r="R53" s="6"/>
      <c r="S53" s="6"/>
      <c r="T53" s="6"/>
      <c r="U53" s="6"/>
      <c r="V53" s="6"/>
      <c r="W53" s="6"/>
      <c r="X53" s="6"/>
      <c r="Y53" s="6"/>
      <c r="Z53" s="6"/>
    </row>
    <row r="54" spans="1:26" ht="19.05" customHeight="1" x14ac:dyDescent="0.3">
      <c r="A54" s="6"/>
      <c r="B54" s="80">
        <f>'15 Chart data'!$B28</f>
        <v>46085</v>
      </c>
      <c r="C54" s="81" t="str">
        <f>'15 Chart data'!$G28</f>
        <v>Part lost</v>
      </c>
      <c r="D54" s="82">
        <f>IF('15 Chart data'!$D28="","",'15 Chart data'!$D28)</f>
        <v>22</v>
      </c>
      <c r="E54" s="82">
        <f>IFERROR(IF('15 Chart data'!$E28="","",'15 Chart data'!$E28),"")</f>
        <v>0</v>
      </c>
      <c r="F54" s="82">
        <f>'15 Chart data'!$H28</f>
        <v>0</v>
      </c>
      <c r="G54" s="85" t="str">
        <f>IF('15 Chart data'!$G28="","no report",'15 Chart data'!$I28)</f>
        <v>Bar schedule revision for bay 2 requested</v>
      </c>
      <c r="H54" s="86"/>
      <c r="I54" s="86"/>
      <c r="J54" s="86"/>
      <c r="K54" s="86"/>
      <c r="L54" s="86"/>
      <c r="M54" s="86"/>
      <c r="N54" s="6"/>
      <c r="O54" s="6"/>
      <c r="P54" s="6"/>
      <c r="Q54" s="6"/>
      <c r="R54" s="6"/>
      <c r="S54" s="6"/>
      <c r="T54" s="6"/>
      <c r="U54" s="6"/>
      <c r="V54" s="6"/>
      <c r="W54" s="6"/>
      <c r="X54" s="6"/>
      <c r="Y54" s="6"/>
      <c r="Z54" s="6"/>
    </row>
    <row r="55" spans="1:26" ht="19.05" customHeight="1" x14ac:dyDescent="0.3">
      <c r="A55" s="6"/>
      <c r="B55" s="80">
        <f>'15 Chart data'!$B29</f>
        <v>46086</v>
      </c>
      <c r="C55" s="81" t="str">
        <f>'15 Chart data'!$G29</f>
        <v>Lost</v>
      </c>
      <c r="D55" s="82">
        <f>IF('15 Chart data'!$D29="","",'15 Chart data'!$D29)</f>
        <v>10</v>
      </c>
      <c r="E55" s="82">
        <f>IFERROR(IF('15 Chart data'!$E29="","",'15 Chart data'!$E29),"")</f>
        <v>2</v>
      </c>
      <c r="F55" s="82">
        <f>'15 Chart data'!$H29</f>
        <v>0</v>
      </c>
      <c r="G55" s="85" t="str">
        <f>IF('15 Chart data'!$G29="","no report",'15 Chart data'!$I29)</f>
        <v>No pours: heavy rain</v>
      </c>
      <c r="H55" s="86"/>
      <c r="I55" s="86"/>
      <c r="J55" s="86"/>
      <c r="K55" s="86"/>
      <c r="L55" s="86"/>
      <c r="M55" s="86"/>
      <c r="N55" s="6"/>
      <c r="O55" s="6"/>
      <c r="P55" s="6"/>
      <c r="Q55" s="6"/>
      <c r="R55" s="6"/>
      <c r="S55" s="6"/>
      <c r="T55" s="6"/>
      <c r="U55" s="6"/>
      <c r="V55" s="6"/>
      <c r="W55" s="6"/>
      <c r="X55" s="6"/>
      <c r="Y55" s="6"/>
      <c r="Z55" s="6"/>
    </row>
    <row r="56" spans="1:26" ht="19.05" customHeight="1" x14ac:dyDescent="0.3">
      <c r="A56" s="6"/>
      <c r="B56" s="80">
        <f>'15 Chart data'!$B30</f>
        <v>46087</v>
      </c>
      <c r="C56" s="81" t="str">
        <f>'15 Chart data'!$G30</f>
        <v>Workable</v>
      </c>
      <c r="D56" s="82">
        <f>IF('15 Chart data'!$D30="","",'15 Chart data'!$D30)</f>
        <v>27</v>
      </c>
      <c r="E56" s="82">
        <f>IFERROR(IF('15 Chart data'!$E30="","",'15 Chart data'!$E30),"")</f>
        <v>0</v>
      </c>
      <c r="F56" s="82">
        <f>'15 Chart data'!$H30</f>
        <v>0</v>
      </c>
      <c r="G56" s="85" t="str">
        <f>IF('15 Chart data'!$G30="","no report",'15 Chart data'!$I30)</f>
        <v>Crane booked for 17 March</v>
      </c>
      <c r="H56" s="86"/>
      <c r="I56" s="86"/>
      <c r="J56" s="86"/>
      <c r="K56" s="86"/>
      <c r="L56" s="86"/>
      <c r="M56" s="86"/>
      <c r="N56" s="6"/>
      <c r="O56" s="6"/>
      <c r="P56" s="6"/>
      <c r="Q56" s="6"/>
      <c r="R56" s="6"/>
      <c r="S56" s="6"/>
      <c r="T56" s="6"/>
      <c r="U56" s="6"/>
      <c r="V56" s="6"/>
      <c r="W56" s="6"/>
      <c r="X56" s="6"/>
      <c r="Y56" s="6"/>
      <c r="Z56" s="6"/>
    </row>
    <row r="57" spans="1:26" ht="19.05" customHeight="1" x14ac:dyDescent="0.3">
      <c r="A57" s="6"/>
      <c r="B57" s="80">
        <f>'15 Chart data'!$B31</f>
        <v>46088</v>
      </c>
      <c r="C57" s="81" t="str">
        <f>'15 Chart data'!$G31</f>
        <v/>
      </c>
      <c r="D57" s="82" t="str">
        <f>IF('15 Chart data'!$D31="","",'15 Chart data'!$D31)</f>
        <v/>
      </c>
      <c r="E57" s="82" t="str">
        <f>IFERROR(IF('15 Chart data'!$E31="","",'15 Chart data'!$E31),"")</f>
        <v/>
      </c>
      <c r="F57" s="82" t="str">
        <f>'15 Chart data'!$H31</f>
        <v/>
      </c>
      <c r="G57" s="85" t="str">
        <f>IF('15 Chart data'!$G31="","no report",'15 Chart data'!$I31)</f>
        <v>no report</v>
      </c>
      <c r="H57" s="86"/>
      <c r="I57" s="86"/>
      <c r="J57" s="86"/>
      <c r="K57" s="86"/>
      <c r="L57" s="86"/>
      <c r="M57" s="86"/>
      <c r="N57" s="6"/>
      <c r="O57" s="6"/>
      <c r="P57" s="6"/>
      <c r="Q57" s="6"/>
      <c r="R57" s="6"/>
      <c r="S57" s="6"/>
      <c r="T57" s="6"/>
      <c r="U57" s="6"/>
      <c r="V57" s="6"/>
      <c r="W57" s="6"/>
      <c r="X57" s="6"/>
      <c r="Y57" s="6"/>
      <c r="Z57" s="6"/>
    </row>
    <row r="58" spans="1:26" ht="19.05" customHeight="1" x14ac:dyDescent="0.3">
      <c r="A58" s="6"/>
      <c r="B58" s="80">
        <f>'15 Chart data'!$B32</f>
        <v>46089</v>
      </c>
      <c r="C58" s="81" t="str">
        <f>'15 Chart data'!$G32</f>
        <v/>
      </c>
      <c r="D58" s="82" t="str">
        <f>IF('15 Chart data'!$D32="","",'15 Chart data'!$D32)</f>
        <v/>
      </c>
      <c r="E58" s="82" t="str">
        <f>IFERROR(IF('15 Chart data'!$E32="","",'15 Chart data'!$E32),"")</f>
        <v/>
      </c>
      <c r="F58" s="82" t="str">
        <f>'15 Chart data'!$H32</f>
        <v/>
      </c>
      <c r="G58" s="85" t="str">
        <f>IF('15 Chart data'!$G32="","no report",'15 Chart data'!$I32)</f>
        <v>no report</v>
      </c>
      <c r="H58" s="86"/>
      <c r="I58" s="86"/>
      <c r="J58" s="86"/>
      <c r="K58" s="86"/>
      <c r="L58" s="86"/>
      <c r="M58" s="8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55" customHeight="1" x14ac:dyDescent="0.3">
      <c r="A61" s="6"/>
      <c r="B61" s="76" t="s">
        <v>313</v>
      </c>
      <c r="C61" s="6"/>
      <c r="D61" s="6"/>
      <c r="E61" s="6"/>
      <c r="F61" s="6"/>
      <c r="G61" s="6"/>
      <c r="H61" s="6"/>
      <c r="I61" s="6"/>
      <c r="J61" s="6"/>
      <c r="K61" s="6"/>
      <c r="L61" s="6"/>
      <c r="M61" s="6"/>
      <c r="N61" s="6"/>
      <c r="O61" s="6"/>
      <c r="P61" s="6"/>
      <c r="Q61" s="6"/>
      <c r="R61" s="6"/>
      <c r="S61" s="6"/>
      <c r="T61" s="6"/>
      <c r="U61" s="6"/>
      <c r="V61" s="6"/>
      <c r="W61" s="6"/>
      <c r="X61" s="6"/>
      <c r="Y61" s="6"/>
      <c r="Z61" s="6"/>
    </row>
    <row r="62" spans="1:26" ht="14.55" customHeight="1" x14ac:dyDescent="0.3">
      <c r="A62" s="6"/>
      <c r="B62" s="87" t="s">
        <v>314</v>
      </c>
      <c r="C62" s="78" t="s">
        <v>100</v>
      </c>
      <c r="D62" s="78"/>
      <c r="E62" s="87" t="s">
        <v>103</v>
      </c>
      <c r="F62" s="88">
        <f>WeekStart</f>
        <v>46083</v>
      </c>
      <c r="G62" s="88">
        <f>IF(F62="","",F62+1)</f>
        <v>46084</v>
      </c>
      <c r="H62" s="88">
        <f>IF(G62="","",G62+1)</f>
        <v>46085</v>
      </c>
      <c r="I62" s="88">
        <f>IF(H62="","",H62+1)</f>
        <v>46086</v>
      </c>
      <c r="J62" s="88">
        <f>IF(I62="","",I62+1)</f>
        <v>46087</v>
      </c>
      <c r="K62" s="88">
        <f>IF(J62="","",J62+1)</f>
        <v>46088</v>
      </c>
      <c r="L62" s="88">
        <f>IF(K62="","",K62+1)</f>
        <v>46089</v>
      </c>
      <c r="M62" s="89" t="s">
        <v>315</v>
      </c>
      <c r="N62" s="6"/>
      <c r="O62" s="6"/>
      <c r="P62" s="6"/>
      <c r="Q62" s="6"/>
      <c r="R62" s="6"/>
      <c r="S62" s="6"/>
      <c r="T62" s="6"/>
      <c r="U62" s="6"/>
      <c r="V62" s="6"/>
      <c r="W62" s="6"/>
      <c r="X62" s="6"/>
      <c r="Y62" s="6"/>
      <c r="Z62" s="6"/>
    </row>
    <row r="63" spans="1:26" ht="19.05" customHeight="1" x14ac:dyDescent="0.3">
      <c r="A63" s="6"/>
      <c r="B63" s="90" t="str" cm="1">
        <f t="array" ref="B63">IFERROR(INDEX(_xlfn._xlws.SORT(_xlfn.UNIQUE(_xlfn._xlws.FILTER('05 Work done log'!$B$7:$B$506,('05 Work done log'!$A$7:$A$506&gt;=WeekStart)*('05 Work done log'!$A$7:$A$506&lt;=WeekEnd)*('05 Work done log'!$B$7:$B$506&lt;&gt;"")))),ROWS($B$63:B63)),"")</f>
        <v>A1000</v>
      </c>
      <c r="C63" s="91" t="str">
        <f>IF($B63="","",IFERROR(INDEX('12 P6 activities'!$B$7:$B$206,MATCH($B63,'12 P6 activities'!$A$7:$A$206,0)),"ID not in P6 list"))</f>
        <v>Bored piles, north</v>
      </c>
      <c r="D63" s="91"/>
      <c r="E63" s="90" t="str">
        <f>IF($B63="","",IFERROR(INDEX('12 P6 activities'!$E$7:$E$206,MATCH($B63,'12 P6 activities'!$A$7:$A$206,0)),""))</f>
        <v>no.</v>
      </c>
      <c r="F63" s="92">
        <f>IF($B63="","",SUMIFS('05 Work done log'!$F$7:$F$506,'05 Work done log'!$B$7:$B$506,$B63,'05 Work done log'!$A$7:$A$506,F$62))</f>
        <v>0</v>
      </c>
      <c r="G63" s="92">
        <f>IF($B63="","",SUMIFS('05 Work done log'!$F$7:$F$506,'05 Work done log'!$B$7:$B$506,$B63,'05 Work done log'!$A$7:$A$506,G$62))</f>
        <v>2</v>
      </c>
      <c r="H63" s="92">
        <f>IF($B63="","",SUMIFS('05 Work done log'!$F$7:$F$506,'05 Work done log'!$B$7:$B$506,$B63,'05 Work done log'!$A$7:$A$506,H$62))</f>
        <v>0</v>
      </c>
      <c r="I63" s="92">
        <f>IF($B63="","",SUMIFS('05 Work done log'!$F$7:$F$506,'05 Work done log'!$B$7:$B$506,$B63,'05 Work done log'!$A$7:$A$506,I$62))</f>
        <v>0</v>
      </c>
      <c r="J63" s="92">
        <f>IF($B63="","",SUMIFS('05 Work done log'!$F$7:$F$506,'05 Work done log'!$B$7:$B$506,$B63,'05 Work done log'!$A$7:$A$506,J$62))</f>
        <v>0</v>
      </c>
      <c r="K63" s="92">
        <f>IF($B63="","",SUMIFS('05 Work done log'!$F$7:$F$506,'05 Work done log'!$B$7:$B$506,$B63,'05 Work done log'!$A$7:$A$506,K$62))</f>
        <v>0</v>
      </c>
      <c r="L63" s="92">
        <f>IF($B63="","",SUMIFS('05 Work done log'!$F$7:$F$506,'05 Work done log'!$B$7:$B$506,$B63,'05 Work done log'!$A$7:$A$506,L$62))</f>
        <v>0</v>
      </c>
      <c r="M63" s="93">
        <f>IF($B63="","",SUM(F63:L63))</f>
        <v>2</v>
      </c>
      <c r="N63" s="6"/>
      <c r="O63" s="6"/>
      <c r="P63" s="6"/>
      <c r="Q63" s="6"/>
      <c r="R63" s="6"/>
      <c r="S63" s="6"/>
      <c r="T63" s="6"/>
      <c r="U63" s="6"/>
      <c r="V63" s="6"/>
      <c r="W63" s="6"/>
      <c r="X63" s="6"/>
      <c r="Y63" s="6"/>
      <c r="Z63" s="6"/>
    </row>
    <row r="64" spans="1:26" ht="19.05" customHeight="1" x14ac:dyDescent="0.3">
      <c r="A64" s="6"/>
      <c r="B64" s="90" t="str" cm="1">
        <f t="array" ref="B64">IFERROR(INDEX(_xlfn._xlws.SORT(_xlfn.UNIQUE(_xlfn._xlws.FILTER('05 Work done log'!$B$7:$B$506,('05 Work done log'!$A$7:$A$506&gt;=WeekStart)*('05 Work done log'!$A$7:$A$506&lt;=WeekEnd)*('05 Work done log'!$B$7:$B$506&lt;&gt;"")))),ROWS($B$63:B64)),"")</f>
        <v>A1100</v>
      </c>
      <c r="C64" s="94" t="str">
        <f>IF($B64="","",IFERROR(INDEX('12 P6 activities'!$B$7:$B$206,MATCH($B64,'12 P6 activities'!$A$7:$A$206,0)),"ID not in P6 list"))</f>
        <v>Raft reinforcement, bay 1</v>
      </c>
      <c r="D64" s="94"/>
      <c r="E64" s="90" t="str">
        <f>IF($B64="","",IFERROR(INDEX('12 P6 activities'!$E$7:$E$206,MATCH($B64,'12 P6 activities'!$A$7:$A$206,0)),""))</f>
        <v>t</v>
      </c>
      <c r="F64" s="92">
        <f>IF($B64="","",SUMIFS('05 Work done log'!$F$7:$F$506,'05 Work done log'!$B$7:$B$506,$B64,'05 Work done log'!$A$7:$A$506,F$62))</f>
        <v>0</v>
      </c>
      <c r="G64" s="92">
        <f>IF($B64="","",SUMIFS('05 Work done log'!$F$7:$F$506,'05 Work done log'!$B$7:$B$506,$B64,'05 Work done log'!$A$7:$A$506,G$62))</f>
        <v>3.5</v>
      </c>
      <c r="H64" s="92">
        <f>IF($B64="","",SUMIFS('05 Work done log'!$F$7:$F$506,'05 Work done log'!$B$7:$B$506,$B64,'05 Work done log'!$A$7:$A$506,H$62))</f>
        <v>0</v>
      </c>
      <c r="I64" s="92">
        <f>IF($B64="","",SUMIFS('05 Work done log'!$F$7:$F$506,'05 Work done log'!$B$7:$B$506,$B64,'05 Work done log'!$A$7:$A$506,I$62))</f>
        <v>0</v>
      </c>
      <c r="J64" s="92">
        <f>IF($B64="","",SUMIFS('05 Work done log'!$F$7:$F$506,'05 Work done log'!$B$7:$B$506,$B64,'05 Work done log'!$A$7:$A$506,J$62))</f>
        <v>0</v>
      </c>
      <c r="K64" s="92">
        <f>IF($B64="","",SUMIFS('05 Work done log'!$F$7:$F$506,'05 Work done log'!$B$7:$B$506,$B64,'05 Work done log'!$A$7:$A$506,K$62))</f>
        <v>0</v>
      </c>
      <c r="L64" s="92">
        <f>IF($B64="","",SUMIFS('05 Work done log'!$F$7:$F$506,'05 Work done log'!$B$7:$B$506,$B64,'05 Work done log'!$A$7:$A$506,L$62))</f>
        <v>0</v>
      </c>
      <c r="M64" s="93">
        <f>IF($B64="","",SUM(F64:L64))</f>
        <v>3.5</v>
      </c>
      <c r="N64" s="6"/>
      <c r="O64" s="6"/>
      <c r="P64" s="6"/>
      <c r="Q64" s="6"/>
      <c r="R64" s="6"/>
      <c r="S64" s="6"/>
      <c r="T64" s="6"/>
      <c r="U64" s="6"/>
      <c r="V64" s="6"/>
      <c r="W64" s="6"/>
      <c r="X64" s="6"/>
      <c r="Y64" s="6"/>
      <c r="Z64" s="6"/>
    </row>
    <row r="65" spans="1:26" ht="19.05" customHeight="1" x14ac:dyDescent="0.3">
      <c r="A65" s="6"/>
      <c r="B65" s="90" t="str" cm="1">
        <f t="array" ref="B65">IFERROR(INDEX(_xlfn._xlws.SORT(_xlfn.UNIQUE(_xlfn._xlws.FILTER('05 Work done log'!$B$7:$B$506,('05 Work done log'!$A$7:$A$506&gt;=WeekStart)*('05 Work done log'!$A$7:$A$506&lt;=WeekEnd)*('05 Work done log'!$B$7:$B$506&lt;&gt;"")))),ROWS($B$63:B65)),"")</f>
        <v>A1200</v>
      </c>
      <c r="C65" s="94" t="str">
        <f>IF($B65="","",IFERROR(INDEX('12 P6 activities'!$B$7:$B$206,MATCH($B65,'12 P6 activities'!$A$7:$A$206,0)),"ID not in P6 list"))</f>
        <v>Blinding, substation slab</v>
      </c>
      <c r="D65" s="94"/>
      <c r="E65" s="90" t="str">
        <f>IF($B65="","",IFERROR(INDEX('12 P6 activities'!$E$7:$E$206,MATCH($B65,'12 P6 activities'!$A$7:$A$206,0)),""))</f>
        <v>m²</v>
      </c>
      <c r="F65" s="92">
        <f>IF($B65="","",SUMIFS('05 Work done log'!$F$7:$F$506,'05 Work done log'!$B$7:$B$506,$B65,'05 Work done log'!$A$7:$A$506,F$62))</f>
        <v>0</v>
      </c>
      <c r="G65" s="92">
        <f>IF($B65="","",SUMIFS('05 Work done log'!$F$7:$F$506,'05 Work done log'!$B$7:$B$506,$B65,'05 Work done log'!$A$7:$A$506,G$62))</f>
        <v>38</v>
      </c>
      <c r="H65" s="92">
        <f>IF($B65="","",SUMIFS('05 Work done log'!$F$7:$F$506,'05 Work done log'!$B$7:$B$506,$B65,'05 Work done log'!$A$7:$A$506,H$62))</f>
        <v>0</v>
      </c>
      <c r="I65" s="92">
        <f>IF($B65="","",SUMIFS('05 Work done log'!$F$7:$F$506,'05 Work done log'!$B$7:$B$506,$B65,'05 Work done log'!$A$7:$A$506,I$62))</f>
        <v>0</v>
      </c>
      <c r="J65" s="92">
        <f>IF($B65="","",SUMIFS('05 Work done log'!$F$7:$F$506,'05 Work done log'!$B$7:$B$506,$B65,'05 Work done log'!$A$7:$A$506,J$62))</f>
        <v>0</v>
      </c>
      <c r="K65" s="92">
        <f>IF($B65="","",SUMIFS('05 Work done log'!$F$7:$F$506,'05 Work done log'!$B$7:$B$506,$B65,'05 Work done log'!$A$7:$A$506,K$62))</f>
        <v>0</v>
      </c>
      <c r="L65" s="92">
        <f>IF($B65="","",SUMIFS('05 Work done log'!$F$7:$F$506,'05 Work done log'!$B$7:$B$506,$B65,'05 Work done log'!$A$7:$A$506,L$62))</f>
        <v>0</v>
      </c>
      <c r="M65" s="93">
        <f>IF($B65="","",SUM(F65:L65))</f>
        <v>38</v>
      </c>
      <c r="N65" s="6"/>
      <c r="O65" s="6"/>
      <c r="P65" s="6"/>
      <c r="Q65" s="6"/>
      <c r="R65" s="6"/>
      <c r="S65" s="6"/>
      <c r="T65" s="6"/>
      <c r="U65" s="6"/>
      <c r="V65" s="6"/>
      <c r="W65" s="6"/>
      <c r="X65" s="6"/>
      <c r="Y65" s="6"/>
      <c r="Z65" s="6"/>
    </row>
    <row r="66" spans="1:26" ht="19.05" customHeight="1" x14ac:dyDescent="0.3">
      <c r="A66" s="6"/>
      <c r="B66" s="90" t="str" cm="1">
        <f t="array" ref="B66">IFERROR(INDEX(_xlfn._xlws.SORT(_xlfn.UNIQUE(_xlfn._xlws.FILTER('05 Work done log'!$B$7:$B$506,('05 Work done log'!$A$7:$A$506&gt;=WeekStart)*('05 Work done log'!$A$7:$A$506&lt;=WeekEnd)*('05 Work done log'!$B$7:$B$506&lt;&gt;"")))),ROWS($B$63:B66)),"")</f>
        <v>A1300</v>
      </c>
      <c r="C66" s="94" t="str">
        <f>IF($B66="","",IFERROR(INDEX('12 P6 activities'!$B$7:$B$206,MATCH($B66,'12 P6 activities'!$A$7:$A$206,0)),"ID not in P6 list"))</f>
        <v>Drainage run D2</v>
      </c>
      <c r="D66" s="94"/>
      <c r="E66" s="90" t="str">
        <f>IF($B66="","",IFERROR(INDEX('12 P6 activities'!$E$7:$E$206,MATCH($B66,'12 P6 activities'!$A$7:$A$206,0)),""))</f>
        <v>m</v>
      </c>
      <c r="F66" s="92">
        <f>IF($B66="","",SUMIFS('05 Work done log'!$F$7:$F$506,'05 Work done log'!$B$7:$B$506,$B66,'05 Work done log'!$A$7:$A$506,F$62))</f>
        <v>0</v>
      </c>
      <c r="G66" s="92">
        <f>IF($B66="","",SUMIFS('05 Work done log'!$F$7:$F$506,'05 Work done log'!$B$7:$B$506,$B66,'05 Work done log'!$A$7:$A$506,G$62))</f>
        <v>24</v>
      </c>
      <c r="H66" s="92">
        <f>IF($B66="","",SUMIFS('05 Work done log'!$F$7:$F$506,'05 Work done log'!$B$7:$B$506,$B66,'05 Work done log'!$A$7:$A$506,H$62))</f>
        <v>0</v>
      </c>
      <c r="I66" s="92">
        <f>IF($B66="","",SUMIFS('05 Work done log'!$F$7:$F$506,'05 Work done log'!$B$7:$B$506,$B66,'05 Work done log'!$A$7:$A$506,I$62))</f>
        <v>0</v>
      </c>
      <c r="J66" s="92">
        <f>IF($B66="","",SUMIFS('05 Work done log'!$F$7:$F$506,'05 Work done log'!$B$7:$B$506,$B66,'05 Work done log'!$A$7:$A$506,J$62))</f>
        <v>0</v>
      </c>
      <c r="K66" s="92">
        <f>IF($B66="","",SUMIFS('05 Work done log'!$F$7:$F$506,'05 Work done log'!$B$7:$B$506,$B66,'05 Work done log'!$A$7:$A$506,K$62))</f>
        <v>0</v>
      </c>
      <c r="L66" s="92">
        <f>IF($B66="","",SUMIFS('05 Work done log'!$F$7:$F$506,'05 Work done log'!$B$7:$B$506,$B66,'05 Work done log'!$A$7:$A$506,L$62))</f>
        <v>0</v>
      </c>
      <c r="M66" s="93">
        <f>IF($B66="","",SUM(F66:L66))</f>
        <v>24</v>
      </c>
      <c r="N66" s="6"/>
      <c r="O66" s="6"/>
      <c r="P66" s="6"/>
      <c r="Q66" s="6"/>
      <c r="R66" s="6"/>
      <c r="S66" s="6"/>
      <c r="T66" s="6"/>
      <c r="U66" s="6"/>
      <c r="V66" s="6"/>
      <c r="W66" s="6"/>
      <c r="X66" s="6"/>
      <c r="Y66" s="6"/>
      <c r="Z66" s="6"/>
    </row>
    <row r="67" spans="1:26" ht="19.05" customHeight="1" x14ac:dyDescent="0.3">
      <c r="A67" s="6"/>
      <c r="B67" s="90" t="str" cm="1">
        <f t="array" ref="B67">IFERROR(INDEX(_xlfn._xlws.SORT(_xlfn.UNIQUE(_xlfn._xlws.FILTER('05 Work done log'!$B$7:$B$506,('05 Work done log'!$A$7:$A$506&gt;=WeekStart)*('05 Work done log'!$A$7:$A$506&lt;=WeekEnd)*('05 Work done log'!$B$7:$B$506&lt;&gt;"")))),ROWS($B$63:B67)),"")</f>
        <v/>
      </c>
      <c r="C67" s="94" t="str">
        <f>IF($B67="","",IFERROR(INDEX('12 P6 activities'!$B$7:$B$206,MATCH($B67,'12 P6 activities'!$A$7:$A$206,0)),"ID not in P6 list"))</f>
        <v/>
      </c>
      <c r="D67" s="94"/>
      <c r="E67" s="90" t="str">
        <f>IF($B67="","",IFERROR(INDEX('12 P6 activities'!$E$7:$E$206,MATCH($B67,'12 P6 activities'!$A$7:$A$206,0)),""))</f>
        <v/>
      </c>
      <c r="F67" s="92" t="str">
        <f>IF($B67="","",SUMIFS('05 Work done log'!$F$7:$F$506,'05 Work done log'!$B$7:$B$506,$B67,'05 Work done log'!$A$7:$A$506,F$62))</f>
        <v/>
      </c>
      <c r="G67" s="92" t="str">
        <f>IF($B67="","",SUMIFS('05 Work done log'!$F$7:$F$506,'05 Work done log'!$B$7:$B$506,$B67,'05 Work done log'!$A$7:$A$506,G$62))</f>
        <v/>
      </c>
      <c r="H67" s="92" t="str">
        <f>IF($B67="","",SUMIFS('05 Work done log'!$F$7:$F$506,'05 Work done log'!$B$7:$B$506,$B67,'05 Work done log'!$A$7:$A$506,H$62))</f>
        <v/>
      </c>
      <c r="I67" s="92" t="str">
        <f>IF($B67="","",SUMIFS('05 Work done log'!$F$7:$F$506,'05 Work done log'!$B$7:$B$506,$B67,'05 Work done log'!$A$7:$A$506,I$62))</f>
        <v/>
      </c>
      <c r="J67" s="92" t="str">
        <f>IF($B67="","",SUMIFS('05 Work done log'!$F$7:$F$506,'05 Work done log'!$B$7:$B$506,$B67,'05 Work done log'!$A$7:$A$506,J$62))</f>
        <v/>
      </c>
      <c r="K67" s="92" t="str">
        <f>IF($B67="","",SUMIFS('05 Work done log'!$F$7:$F$506,'05 Work done log'!$B$7:$B$506,$B67,'05 Work done log'!$A$7:$A$506,K$62))</f>
        <v/>
      </c>
      <c r="L67" s="92" t="str">
        <f>IF($B67="","",SUMIFS('05 Work done log'!$F$7:$F$506,'05 Work done log'!$B$7:$B$506,$B67,'05 Work done log'!$A$7:$A$506,L$62))</f>
        <v/>
      </c>
      <c r="M67" s="93" t="str">
        <f>IF($B67="","",SUM(F67:L67))</f>
        <v/>
      </c>
      <c r="N67" s="6"/>
      <c r="O67" s="6"/>
      <c r="P67" s="6"/>
      <c r="Q67" s="6"/>
      <c r="R67" s="6"/>
      <c r="S67" s="6"/>
      <c r="T67" s="6"/>
      <c r="U67" s="6"/>
      <c r="V67" s="6"/>
      <c r="W67" s="6"/>
      <c r="X67" s="6"/>
      <c r="Y67" s="6"/>
      <c r="Z67" s="6"/>
    </row>
    <row r="68" spans="1:26" ht="19.05" customHeight="1" x14ac:dyDescent="0.3">
      <c r="A68" s="6"/>
      <c r="B68" s="90" t="str" cm="1">
        <f t="array" ref="B68">IFERROR(INDEX(_xlfn._xlws.SORT(_xlfn.UNIQUE(_xlfn._xlws.FILTER('05 Work done log'!$B$7:$B$506,('05 Work done log'!$A$7:$A$506&gt;=WeekStart)*('05 Work done log'!$A$7:$A$506&lt;=WeekEnd)*('05 Work done log'!$B$7:$B$506&lt;&gt;"")))),ROWS($B$63:B68)),"")</f>
        <v/>
      </c>
      <c r="C68" s="94" t="str">
        <f>IF($B68="","",IFERROR(INDEX('12 P6 activities'!$B$7:$B$206,MATCH($B68,'12 P6 activities'!$A$7:$A$206,0)),"ID not in P6 list"))</f>
        <v/>
      </c>
      <c r="D68" s="94"/>
      <c r="E68" s="90" t="str">
        <f>IF($B68="","",IFERROR(INDEX('12 P6 activities'!$E$7:$E$206,MATCH($B68,'12 P6 activities'!$A$7:$A$206,0)),""))</f>
        <v/>
      </c>
      <c r="F68" s="92" t="str">
        <f>IF($B68="","",SUMIFS('05 Work done log'!$F$7:$F$506,'05 Work done log'!$B$7:$B$506,$B68,'05 Work done log'!$A$7:$A$506,F$62))</f>
        <v/>
      </c>
      <c r="G68" s="92" t="str">
        <f>IF($B68="","",SUMIFS('05 Work done log'!$F$7:$F$506,'05 Work done log'!$B$7:$B$506,$B68,'05 Work done log'!$A$7:$A$506,G$62))</f>
        <v/>
      </c>
      <c r="H68" s="92" t="str">
        <f>IF($B68="","",SUMIFS('05 Work done log'!$F$7:$F$506,'05 Work done log'!$B$7:$B$506,$B68,'05 Work done log'!$A$7:$A$506,H$62))</f>
        <v/>
      </c>
      <c r="I68" s="92" t="str">
        <f>IF($B68="","",SUMIFS('05 Work done log'!$F$7:$F$506,'05 Work done log'!$B$7:$B$506,$B68,'05 Work done log'!$A$7:$A$506,I$62))</f>
        <v/>
      </c>
      <c r="J68" s="92" t="str">
        <f>IF($B68="","",SUMIFS('05 Work done log'!$F$7:$F$506,'05 Work done log'!$B$7:$B$506,$B68,'05 Work done log'!$A$7:$A$506,J$62))</f>
        <v/>
      </c>
      <c r="K68" s="92" t="str">
        <f>IF($B68="","",SUMIFS('05 Work done log'!$F$7:$F$506,'05 Work done log'!$B$7:$B$506,$B68,'05 Work done log'!$A$7:$A$506,K$62))</f>
        <v/>
      </c>
      <c r="L68" s="92" t="str">
        <f>IF($B68="","",SUMIFS('05 Work done log'!$F$7:$F$506,'05 Work done log'!$B$7:$B$506,$B68,'05 Work done log'!$A$7:$A$506,L$62))</f>
        <v/>
      </c>
      <c r="M68" s="93" t="str">
        <f>IF($B68="","",SUM(F68:L68))</f>
        <v/>
      </c>
      <c r="N68" s="6"/>
      <c r="O68" s="6"/>
      <c r="P68" s="6"/>
      <c r="Q68" s="6"/>
      <c r="R68" s="6"/>
      <c r="S68" s="6"/>
      <c r="T68" s="6"/>
      <c r="U68" s="6"/>
      <c r="V68" s="6"/>
      <c r="W68" s="6"/>
      <c r="X68" s="6"/>
      <c r="Y68" s="6"/>
      <c r="Z68" s="6"/>
    </row>
    <row r="69" spans="1:26" ht="19.05" customHeight="1" x14ac:dyDescent="0.3">
      <c r="A69" s="6"/>
      <c r="B69" s="90" t="str" cm="1">
        <f t="array" ref="B69">IFERROR(INDEX(_xlfn._xlws.SORT(_xlfn.UNIQUE(_xlfn._xlws.FILTER('05 Work done log'!$B$7:$B$506,('05 Work done log'!$A$7:$A$506&gt;=WeekStart)*('05 Work done log'!$A$7:$A$506&lt;=WeekEnd)*('05 Work done log'!$B$7:$B$506&lt;&gt;"")))),ROWS($B$63:B69)),"")</f>
        <v/>
      </c>
      <c r="C69" s="94" t="str">
        <f>IF($B69="","",IFERROR(INDEX('12 P6 activities'!$B$7:$B$206,MATCH($B69,'12 P6 activities'!$A$7:$A$206,0)),"ID not in P6 list"))</f>
        <v/>
      </c>
      <c r="D69" s="94"/>
      <c r="E69" s="90" t="str">
        <f>IF($B69="","",IFERROR(INDEX('12 P6 activities'!$E$7:$E$206,MATCH($B69,'12 P6 activities'!$A$7:$A$206,0)),""))</f>
        <v/>
      </c>
      <c r="F69" s="92" t="str">
        <f>IF($B69="","",SUMIFS('05 Work done log'!$F$7:$F$506,'05 Work done log'!$B$7:$B$506,$B69,'05 Work done log'!$A$7:$A$506,F$62))</f>
        <v/>
      </c>
      <c r="G69" s="92" t="str">
        <f>IF($B69="","",SUMIFS('05 Work done log'!$F$7:$F$506,'05 Work done log'!$B$7:$B$506,$B69,'05 Work done log'!$A$7:$A$506,G$62))</f>
        <v/>
      </c>
      <c r="H69" s="92" t="str">
        <f>IF($B69="","",SUMIFS('05 Work done log'!$F$7:$F$506,'05 Work done log'!$B$7:$B$506,$B69,'05 Work done log'!$A$7:$A$506,H$62))</f>
        <v/>
      </c>
      <c r="I69" s="92" t="str">
        <f>IF($B69="","",SUMIFS('05 Work done log'!$F$7:$F$506,'05 Work done log'!$B$7:$B$506,$B69,'05 Work done log'!$A$7:$A$506,I$62))</f>
        <v/>
      </c>
      <c r="J69" s="92" t="str">
        <f>IF($B69="","",SUMIFS('05 Work done log'!$F$7:$F$506,'05 Work done log'!$B$7:$B$506,$B69,'05 Work done log'!$A$7:$A$506,J$62))</f>
        <v/>
      </c>
      <c r="K69" s="92" t="str">
        <f>IF($B69="","",SUMIFS('05 Work done log'!$F$7:$F$506,'05 Work done log'!$B$7:$B$506,$B69,'05 Work done log'!$A$7:$A$506,K$62))</f>
        <v/>
      </c>
      <c r="L69" s="92" t="str">
        <f>IF($B69="","",SUMIFS('05 Work done log'!$F$7:$F$506,'05 Work done log'!$B$7:$B$506,$B69,'05 Work done log'!$A$7:$A$506,L$62))</f>
        <v/>
      </c>
      <c r="M69" s="93" t="str">
        <f>IF($B69="","",SUM(F69:L69))</f>
        <v/>
      </c>
      <c r="N69" s="6"/>
      <c r="O69" s="6"/>
      <c r="P69" s="6"/>
      <c r="Q69" s="6"/>
      <c r="R69" s="6"/>
      <c r="S69" s="6"/>
      <c r="T69" s="6"/>
      <c r="U69" s="6"/>
      <c r="V69" s="6"/>
      <c r="W69" s="6"/>
      <c r="X69" s="6"/>
      <c r="Y69" s="6"/>
      <c r="Z69" s="6"/>
    </row>
    <row r="70" spans="1:26" ht="19.05" customHeight="1" x14ac:dyDescent="0.3">
      <c r="A70" s="6"/>
      <c r="B70" s="90" t="str" cm="1">
        <f t="array" ref="B70">IFERROR(INDEX(_xlfn._xlws.SORT(_xlfn.UNIQUE(_xlfn._xlws.FILTER('05 Work done log'!$B$7:$B$506,('05 Work done log'!$A$7:$A$506&gt;=WeekStart)*('05 Work done log'!$A$7:$A$506&lt;=WeekEnd)*('05 Work done log'!$B$7:$B$506&lt;&gt;"")))),ROWS($B$63:B70)),"")</f>
        <v/>
      </c>
      <c r="C70" s="94" t="str">
        <f>IF($B70="","",IFERROR(INDEX('12 P6 activities'!$B$7:$B$206,MATCH($B70,'12 P6 activities'!$A$7:$A$206,0)),"ID not in P6 list"))</f>
        <v/>
      </c>
      <c r="D70" s="94"/>
      <c r="E70" s="90" t="str">
        <f>IF($B70="","",IFERROR(INDEX('12 P6 activities'!$E$7:$E$206,MATCH($B70,'12 P6 activities'!$A$7:$A$206,0)),""))</f>
        <v/>
      </c>
      <c r="F70" s="92" t="str">
        <f>IF($B70="","",SUMIFS('05 Work done log'!$F$7:$F$506,'05 Work done log'!$B$7:$B$506,$B70,'05 Work done log'!$A$7:$A$506,F$62))</f>
        <v/>
      </c>
      <c r="G70" s="92" t="str">
        <f>IF($B70="","",SUMIFS('05 Work done log'!$F$7:$F$506,'05 Work done log'!$B$7:$B$506,$B70,'05 Work done log'!$A$7:$A$506,G$62))</f>
        <v/>
      </c>
      <c r="H70" s="92" t="str">
        <f>IF($B70="","",SUMIFS('05 Work done log'!$F$7:$F$506,'05 Work done log'!$B$7:$B$506,$B70,'05 Work done log'!$A$7:$A$506,H$62))</f>
        <v/>
      </c>
      <c r="I70" s="92" t="str">
        <f>IF($B70="","",SUMIFS('05 Work done log'!$F$7:$F$506,'05 Work done log'!$B$7:$B$506,$B70,'05 Work done log'!$A$7:$A$506,I$62))</f>
        <v/>
      </c>
      <c r="J70" s="92" t="str">
        <f>IF($B70="","",SUMIFS('05 Work done log'!$F$7:$F$506,'05 Work done log'!$B$7:$B$506,$B70,'05 Work done log'!$A$7:$A$506,J$62))</f>
        <v/>
      </c>
      <c r="K70" s="92" t="str">
        <f>IF($B70="","",SUMIFS('05 Work done log'!$F$7:$F$506,'05 Work done log'!$B$7:$B$506,$B70,'05 Work done log'!$A$7:$A$506,K$62))</f>
        <v/>
      </c>
      <c r="L70" s="92" t="str">
        <f>IF($B70="","",SUMIFS('05 Work done log'!$F$7:$F$506,'05 Work done log'!$B$7:$B$506,$B70,'05 Work done log'!$A$7:$A$506,L$62))</f>
        <v/>
      </c>
      <c r="M70" s="93" t="str">
        <f>IF($B70="","",SUM(F70:L70))</f>
        <v/>
      </c>
      <c r="N70" s="6"/>
      <c r="O70" s="6"/>
      <c r="P70" s="6"/>
      <c r="Q70" s="6"/>
      <c r="R70" s="6"/>
      <c r="S70" s="6"/>
      <c r="T70" s="6"/>
      <c r="U70" s="6"/>
      <c r="V70" s="6"/>
      <c r="W70" s="6"/>
      <c r="X70" s="6"/>
      <c r="Y70" s="6"/>
      <c r="Z70" s="6"/>
    </row>
    <row r="71" spans="1:26" ht="19.05" customHeight="1" x14ac:dyDescent="0.3">
      <c r="A71" s="6"/>
      <c r="B71" s="90" t="str" cm="1">
        <f t="array" ref="B71">IFERROR(INDEX(_xlfn._xlws.SORT(_xlfn.UNIQUE(_xlfn._xlws.FILTER('05 Work done log'!$B$7:$B$506,('05 Work done log'!$A$7:$A$506&gt;=WeekStart)*('05 Work done log'!$A$7:$A$506&lt;=WeekEnd)*('05 Work done log'!$B$7:$B$506&lt;&gt;"")))),ROWS($B$63:B71)),"")</f>
        <v/>
      </c>
      <c r="C71" s="94" t="str">
        <f>IF($B71="","",IFERROR(INDEX('12 P6 activities'!$B$7:$B$206,MATCH($B71,'12 P6 activities'!$A$7:$A$206,0)),"ID not in P6 list"))</f>
        <v/>
      </c>
      <c r="D71" s="94"/>
      <c r="E71" s="90" t="str">
        <f>IF($B71="","",IFERROR(INDEX('12 P6 activities'!$E$7:$E$206,MATCH($B71,'12 P6 activities'!$A$7:$A$206,0)),""))</f>
        <v/>
      </c>
      <c r="F71" s="92" t="str">
        <f>IF($B71="","",SUMIFS('05 Work done log'!$F$7:$F$506,'05 Work done log'!$B$7:$B$506,$B71,'05 Work done log'!$A$7:$A$506,F$62))</f>
        <v/>
      </c>
      <c r="G71" s="92" t="str">
        <f>IF($B71="","",SUMIFS('05 Work done log'!$F$7:$F$506,'05 Work done log'!$B$7:$B$506,$B71,'05 Work done log'!$A$7:$A$506,G$62))</f>
        <v/>
      </c>
      <c r="H71" s="92" t="str">
        <f>IF($B71="","",SUMIFS('05 Work done log'!$F$7:$F$506,'05 Work done log'!$B$7:$B$506,$B71,'05 Work done log'!$A$7:$A$506,H$62))</f>
        <v/>
      </c>
      <c r="I71" s="92" t="str">
        <f>IF($B71="","",SUMIFS('05 Work done log'!$F$7:$F$506,'05 Work done log'!$B$7:$B$506,$B71,'05 Work done log'!$A$7:$A$506,I$62))</f>
        <v/>
      </c>
      <c r="J71" s="92" t="str">
        <f>IF($B71="","",SUMIFS('05 Work done log'!$F$7:$F$506,'05 Work done log'!$B$7:$B$506,$B71,'05 Work done log'!$A$7:$A$506,J$62))</f>
        <v/>
      </c>
      <c r="K71" s="92" t="str">
        <f>IF($B71="","",SUMIFS('05 Work done log'!$F$7:$F$506,'05 Work done log'!$B$7:$B$506,$B71,'05 Work done log'!$A$7:$A$506,K$62))</f>
        <v/>
      </c>
      <c r="L71" s="92" t="str">
        <f>IF($B71="","",SUMIFS('05 Work done log'!$F$7:$F$506,'05 Work done log'!$B$7:$B$506,$B71,'05 Work done log'!$A$7:$A$506,L$62))</f>
        <v/>
      </c>
      <c r="M71" s="93" t="str">
        <f>IF($B71="","",SUM(F71:L71))</f>
        <v/>
      </c>
      <c r="N71" s="6"/>
      <c r="O71" s="6"/>
      <c r="P71" s="6"/>
      <c r="Q71" s="6"/>
      <c r="R71" s="6"/>
      <c r="S71" s="6"/>
      <c r="T71" s="6"/>
      <c r="U71" s="6"/>
      <c r="V71" s="6"/>
      <c r="W71" s="6"/>
      <c r="X71" s="6"/>
      <c r="Y71" s="6"/>
      <c r="Z71" s="6"/>
    </row>
    <row r="72" spans="1:26" ht="19.05" customHeight="1" x14ac:dyDescent="0.3">
      <c r="A72" s="6"/>
      <c r="B72" s="90" t="str" cm="1">
        <f t="array" ref="B72">IFERROR(INDEX(_xlfn._xlws.SORT(_xlfn.UNIQUE(_xlfn._xlws.FILTER('05 Work done log'!$B$7:$B$506,('05 Work done log'!$A$7:$A$506&gt;=WeekStart)*('05 Work done log'!$A$7:$A$506&lt;=WeekEnd)*('05 Work done log'!$B$7:$B$506&lt;&gt;"")))),ROWS($B$63:B72)),"")</f>
        <v/>
      </c>
      <c r="C72" s="94" t="str">
        <f>IF($B72="","",IFERROR(INDEX('12 P6 activities'!$B$7:$B$206,MATCH($B72,'12 P6 activities'!$A$7:$A$206,0)),"ID not in P6 list"))</f>
        <v/>
      </c>
      <c r="D72" s="94"/>
      <c r="E72" s="90" t="str">
        <f>IF($B72="","",IFERROR(INDEX('12 P6 activities'!$E$7:$E$206,MATCH($B72,'12 P6 activities'!$A$7:$A$206,0)),""))</f>
        <v/>
      </c>
      <c r="F72" s="92" t="str">
        <f>IF($B72="","",SUMIFS('05 Work done log'!$F$7:$F$506,'05 Work done log'!$B$7:$B$506,$B72,'05 Work done log'!$A$7:$A$506,F$62))</f>
        <v/>
      </c>
      <c r="G72" s="92" t="str">
        <f>IF($B72="","",SUMIFS('05 Work done log'!$F$7:$F$506,'05 Work done log'!$B$7:$B$506,$B72,'05 Work done log'!$A$7:$A$506,G$62))</f>
        <v/>
      </c>
      <c r="H72" s="92" t="str">
        <f>IF($B72="","",SUMIFS('05 Work done log'!$F$7:$F$506,'05 Work done log'!$B$7:$B$506,$B72,'05 Work done log'!$A$7:$A$506,H$62))</f>
        <v/>
      </c>
      <c r="I72" s="92" t="str">
        <f>IF($B72="","",SUMIFS('05 Work done log'!$F$7:$F$506,'05 Work done log'!$B$7:$B$506,$B72,'05 Work done log'!$A$7:$A$506,I$62))</f>
        <v/>
      </c>
      <c r="J72" s="92" t="str">
        <f>IF($B72="","",SUMIFS('05 Work done log'!$F$7:$F$506,'05 Work done log'!$B$7:$B$506,$B72,'05 Work done log'!$A$7:$A$506,J$62))</f>
        <v/>
      </c>
      <c r="K72" s="92" t="str">
        <f>IF($B72="","",SUMIFS('05 Work done log'!$F$7:$F$506,'05 Work done log'!$B$7:$B$506,$B72,'05 Work done log'!$A$7:$A$506,K$62))</f>
        <v/>
      </c>
      <c r="L72" s="92" t="str">
        <f>IF($B72="","",SUMIFS('05 Work done log'!$F$7:$F$506,'05 Work done log'!$B$7:$B$506,$B72,'05 Work done log'!$A$7:$A$506,L$62))</f>
        <v/>
      </c>
      <c r="M72" s="93" t="str">
        <f>IF($B72="","",SUM(F72:L72))</f>
        <v/>
      </c>
      <c r="N72" s="6"/>
      <c r="O72" s="6"/>
      <c r="P72" s="6"/>
      <c r="Q72" s="6"/>
      <c r="R72" s="6"/>
      <c r="S72" s="6"/>
      <c r="T72" s="6"/>
      <c r="U72" s="6"/>
      <c r="V72" s="6"/>
      <c r="W72" s="6"/>
      <c r="X72" s="6"/>
      <c r="Y72" s="6"/>
      <c r="Z72" s="6"/>
    </row>
    <row r="73" spans="1:26" ht="19.05" customHeight="1" x14ac:dyDescent="0.3">
      <c r="A73" s="6"/>
      <c r="B73" s="90" t="str" cm="1">
        <f t="array" ref="B73">IFERROR(INDEX(_xlfn._xlws.SORT(_xlfn.UNIQUE(_xlfn._xlws.FILTER('05 Work done log'!$B$7:$B$506,('05 Work done log'!$A$7:$A$506&gt;=WeekStart)*('05 Work done log'!$A$7:$A$506&lt;=WeekEnd)*('05 Work done log'!$B$7:$B$506&lt;&gt;"")))),ROWS($B$63:B73)),"")</f>
        <v/>
      </c>
      <c r="C73" s="94" t="str">
        <f>IF($B73="","",IFERROR(INDEX('12 P6 activities'!$B$7:$B$206,MATCH($B73,'12 P6 activities'!$A$7:$A$206,0)),"ID not in P6 list"))</f>
        <v/>
      </c>
      <c r="D73" s="94"/>
      <c r="E73" s="90" t="str">
        <f>IF($B73="","",IFERROR(INDEX('12 P6 activities'!$E$7:$E$206,MATCH($B73,'12 P6 activities'!$A$7:$A$206,0)),""))</f>
        <v/>
      </c>
      <c r="F73" s="92" t="str">
        <f>IF($B73="","",SUMIFS('05 Work done log'!$F$7:$F$506,'05 Work done log'!$B$7:$B$506,$B73,'05 Work done log'!$A$7:$A$506,F$62))</f>
        <v/>
      </c>
      <c r="G73" s="92" t="str">
        <f>IF($B73="","",SUMIFS('05 Work done log'!$F$7:$F$506,'05 Work done log'!$B$7:$B$506,$B73,'05 Work done log'!$A$7:$A$506,G$62))</f>
        <v/>
      </c>
      <c r="H73" s="92" t="str">
        <f>IF($B73="","",SUMIFS('05 Work done log'!$F$7:$F$506,'05 Work done log'!$B$7:$B$506,$B73,'05 Work done log'!$A$7:$A$506,H$62))</f>
        <v/>
      </c>
      <c r="I73" s="92" t="str">
        <f>IF($B73="","",SUMIFS('05 Work done log'!$F$7:$F$506,'05 Work done log'!$B$7:$B$506,$B73,'05 Work done log'!$A$7:$A$506,I$62))</f>
        <v/>
      </c>
      <c r="J73" s="92" t="str">
        <f>IF($B73="","",SUMIFS('05 Work done log'!$F$7:$F$506,'05 Work done log'!$B$7:$B$506,$B73,'05 Work done log'!$A$7:$A$506,J$62))</f>
        <v/>
      </c>
      <c r="K73" s="92" t="str">
        <f>IF($B73="","",SUMIFS('05 Work done log'!$F$7:$F$506,'05 Work done log'!$B$7:$B$506,$B73,'05 Work done log'!$A$7:$A$506,K$62))</f>
        <v/>
      </c>
      <c r="L73" s="92" t="str">
        <f>IF($B73="","",SUMIFS('05 Work done log'!$F$7:$F$506,'05 Work done log'!$B$7:$B$506,$B73,'05 Work done log'!$A$7:$A$506,L$62))</f>
        <v/>
      </c>
      <c r="M73" s="93" t="str">
        <f>IF($B73="","",SUM(F73:L73))</f>
        <v/>
      </c>
      <c r="N73" s="6"/>
      <c r="O73" s="6"/>
      <c r="P73" s="6"/>
      <c r="Q73" s="6"/>
      <c r="R73" s="6"/>
      <c r="S73" s="6"/>
      <c r="T73" s="6"/>
      <c r="U73" s="6"/>
      <c r="V73" s="6"/>
      <c r="W73" s="6"/>
      <c r="X73" s="6"/>
      <c r="Y73" s="6"/>
      <c r="Z73" s="6"/>
    </row>
    <row r="74" spans="1:26" ht="19.05" customHeight="1" x14ac:dyDescent="0.3">
      <c r="A74" s="6"/>
      <c r="B74" s="90" t="str" cm="1">
        <f t="array" ref="B74">IFERROR(INDEX(_xlfn._xlws.SORT(_xlfn.UNIQUE(_xlfn._xlws.FILTER('05 Work done log'!$B$7:$B$506,('05 Work done log'!$A$7:$A$506&gt;=WeekStart)*('05 Work done log'!$A$7:$A$506&lt;=WeekEnd)*('05 Work done log'!$B$7:$B$506&lt;&gt;"")))),ROWS($B$63:B74)),"")</f>
        <v/>
      </c>
      <c r="C74" s="94" t="str">
        <f>IF($B74="","",IFERROR(INDEX('12 P6 activities'!$B$7:$B$206,MATCH($B74,'12 P6 activities'!$A$7:$A$206,0)),"ID not in P6 list"))</f>
        <v/>
      </c>
      <c r="D74" s="94"/>
      <c r="E74" s="90" t="str">
        <f>IF($B74="","",IFERROR(INDEX('12 P6 activities'!$E$7:$E$206,MATCH($B74,'12 P6 activities'!$A$7:$A$206,0)),""))</f>
        <v/>
      </c>
      <c r="F74" s="92" t="str">
        <f>IF($B74="","",SUMIFS('05 Work done log'!$F$7:$F$506,'05 Work done log'!$B$7:$B$506,$B74,'05 Work done log'!$A$7:$A$506,F$62))</f>
        <v/>
      </c>
      <c r="G74" s="92" t="str">
        <f>IF($B74="","",SUMIFS('05 Work done log'!$F$7:$F$506,'05 Work done log'!$B$7:$B$506,$B74,'05 Work done log'!$A$7:$A$506,G$62))</f>
        <v/>
      </c>
      <c r="H74" s="92" t="str">
        <f>IF($B74="","",SUMIFS('05 Work done log'!$F$7:$F$506,'05 Work done log'!$B$7:$B$506,$B74,'05 Work done log'!$A$7:$A$506,H$62))</f>
        <v/>
      </c>
      <c r="I74" s="92" t="str">
        <f>IF($B74="","",SUMIFS('05 Work done log'!$F$7:$F$506,'05 Work done log'!$B$7:$B$506,$B74,'05 Work done log'!$A$7:$A$506,I$62))</f>
        <v/>
      </c>
      <c r="J74" s="92" t="str">
        <f>IF($B74="","",SUMIFS('05 Work done log'!$F$7:$F$506,'05 Work done log'!$B$7:$B$506,$B74,'05 Work done log'!$A$7:$A$506,J$62))</f>
        <v/>
      </c>
      <c r="K74" s="92" t="str">
        <f>IF($B74="","",SUMIFS('05 Work done log'!$F$7:$F$506,'05 Work done log'!$B$7:$B$506,$B74,'05 Work done log'!$A$7:$A$506,K$62))</f>
        <v/>
      </c>
      <c r="L74" s="92" t="str">
        <f>IF($B74="","",SUMIFS('05 Work done log'!$F$7:$F$506,'05 Work done log'!$B$7:$B$506,$B74,'05 Work done log'!$A$7:$A$506,L$62))</f>
        <v/>
      </c>
      <c r="M74" s="93" t="str">
        <f>IF($B74="","",SUM(F74:L74))</f>
        <v/>
      </c>
      <c r="N74" s="6"/>
      <c r="O74" s="6"/>
      <c r="P74" s="6"/>
      <c r="Q74" s="6"/>
      <c r="R74" s="6"/>
      <c r="S74" s="6"/>
      <c r="T74" s="6"/>
      <c r="U74" s="6"/>
      <c r="V74" s="6"/>
      <c r="W74" s="6"/>
      <c r="X74" s="6"/>
      <c r="Y74" s="6"/>
      <c r="Z74" s="6"/>
    </row>
    <row r="75" spans="1:26" x14ac:dyDescent="0.3">
      <c r="A75" s="6"/>
      <c r="B75" s="95" t="str">
        <f>IF(COUNTIF($B$63:$B$74,"?*")=0,"No work booked against a P6 activity this week. Paste each day's lines into the Work done log.","")</f>
        <v/>
      </c>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55" customHeight="1" x14ac:dyDescent="0.3">
      <c r="A77" s="6"/>
      <c r="B77" s="76" t="str">
        <f>"PRODUCTIVITY THIS WEEK · earned ÷ actual man-hours against the Contract hours norms"&amp;IF(N($J$91)=0,"","   ·   overall "&amp;TEXT($J$91,"0.00")&amp;"x")</f>
        <v>PRODUCTIVITY THIS WEEK · earned ÷ actual man-hours against the Contract hours norms   ·   overall 1.01x</v>
      </c>
      <c r="C77" s="6"/>
      <c r="D77" s="6"/>
      <c r="E77" s="6"/>
      <c r="F77" s="6"/>
      <c r="G77" s="6"/>
      <c r="H77" s="6"/>
      <c r="I77" s="6"/>
      <c r="J77" s="6"/>
      <c r="K77" s="6"/>
      <c r="L77" s="6"/>
      <c r="M77" s="6"/>
      <c r="N77" s="6"/>
      <c r="O77" s="6"/>
      <c r="P77" s="6"/>
      <c r="Q77" s="6"/>
      <c r="R77" s="6"/>
      <c r="S77" s="6"/>
      <c r="T77" s="6"/>
      <c r="U77" s="6"/>
      <c r="V77" s="6"/>
      <c r="W77" s="6"/>
      <c r="X77" s="6"/>
      <c r="Y77" s="6"/>
      <c r="Z77" s="6"/>
    </row>
    <row r="78" spans="1:26" s="1" customFormat="1" ht="31.95" customHeight="1" x14ac:dyDescent="0.3">
      <c r="A78" s="96"/>
      <c r="B78" s="97" t="s">
        <v>314</v>
      </c>
      <c r="C78" s="98" t="s">
        <v>100</v>
      </c>
      <c r="D78" s="98"/>
      <c r="E78" s="97" t="s">
        <v>103</v>
      </c>
      <c r="F78" s="99" t="s">
        <v>340</v>
      </c>
      <c r="G78" s="99" t="s">
        <v>341</v>
      </c>
      <c r="H78" s="99" t="s">
        <v>342</v>
      </c>
      <c r="I78" s="99" t="s">
        <v>343</v>
      </c>
      <c r="J78" s="99" t="s">
        <v>344</v>
      </c>
      <c r="K78" s="99" t="s">
        <v>332</v>
      </c>
      <c r="L78" s="99" t="s">
        <v>337</v>
      </c>
      <c r="M78" s="100" t="s">
        <v>338</v>
      </c>
      <c r="N78" s="96"/>
      <c r="O78" s="96"/>
      <c r="P78" s="96"/>
      <c r="Q78" s="96"/>
      <c r="R78" s="96"/>
      <c r="S78" s="96"/>
      <c r="T78" s="96"/>
      <c r="U78" s="96"/>
      <c r="V78" s="96"/>
      <c r="W78" s="96"/>
      <c r="X78" s="96"/>
      <c r="Y78" s="96"/>
      <c r="Z78" s="96"/>
    </row>
    <row r="79" spans="1:26" ht="19.05" customHeight="1" x14ac:dyDescent="0.3">
      <c r="A79" s="6"/>
      <c r="B79" s="90" t="str" cm="1">
        <f t="array" ref="B79">IFERROR(INDEX(_xlfn._xlws.SORT(_xlfn.UNIQUE(_xlfn._xlws.FILTER('04 Resource log'!$B$7:$B$506,('04 Resource log'!$A$7:$A$506&gt;=WeekStart)*('04 Resource log'!$A$7:$A$506&lt;=WeekEnd)*('04 Resource log'!$E$7:$E$506="Labour")*('04 Resource log'!$B$7:$B$506&lt;&gt;"")*('04 Resource log'!$B$7:$B$506&lt;&gt;"INDIRECT")))),ROWS($B$79:B79)),"")</f>
        <v>A1000</v>
      </c>
      <c r="C79" s="91" t="str">
        <f>IF($B79="","",IFERROR(INDEX('13 Contract hours'!$B$7:$B$206,MATCH($B79,'13 Contract hours'!$A$7:$A$206,0)),""))</f>
        <v>Bored piles, north</v>
      </c>
      <c r="D79" s="91"/>
      <c r="E79" s="90" t="str">
        <f>IF($B79="","",IFERROR(INDEX('13 Contract hours'!$D$7:$D$206,MATCH($B79,'13 Contract hours'!$A$7:$A$206,0)),""))</f>
        <v>no.</v>
      </c>
      <c r="F79" s="92">
        <f>IF($B79="","",SUMIFS('05 Work done log'!$F$7:$F$506,'05 Work done log'!$B$7:$B$506,$B79,'05 Work done log'!$A$7:$A$506,"&gt;="&amp;WeekStart,'05 Work done log'!$A$7:$A$506,"&lt;="&amp;WeekEnd))</f>
        <v>2</v>
      </c>
      <c r="G79" s="101">
        <f>IF($B79="","",IFERROR(INDEX('13 Contract hours'!$G$7:$G$206,MATCH($B79,'13 Contract hours'!$A$7:$A$206,0)),""))</f>
        <v>25</v>
      </c>
      <c r="H79" s="102">
        <f>IF(OR($B79="",$G79=""),"",$F79*$G79)</f>
        <v>50</v>
      </c>
      <c r="I79" s="102">
        <f>IF($B79="","",SUMIFS('04 Resource log'!$J$7:$J$506,'04 Resource log'!$B$7:$B$506,$B79,'04 Resource log'!$E$7:$E$506,"Labour",'04 Resource log'!$A$7:$A$506,"&gt;="&amp;WeekStart,'04 Resource log'!$A$7:$A$506,"&lt;="&amp;WeekEnd))</f>
        <v>54</v>
      </c>
      <c r="J79" s="103">
        <f>IF(OR($H79="",N($I79)=0),"",$H79/$I79)</f>
        <v>0.92592592592592593</v>
      </c>
      <c r="K79" s="102">
        <f>IF($B79="","",IFERROR(INDEX('13 Contract hours'!$F$7:$F$206,MATCH($B79,'13 Contract hours'!$A$7:$A$206,0)),""))</f>
        <v>1000</v>
      </c>
      <c r="L79" s="104">
        <f>IF($B79="","",IFERROR(INDEX('13 Contract hours'!$K$7:$K$206,MATCH($B79,'13 Contract hours'!$A$7:$A$206,0)),""))</f>
        <v>0.05</v>
      </c>
      <c r="M79" s="105">
        <f>IF($B79="","",IFERROR(INDEX('13 Contract hours'!$L$7:$L$206,MATCH($B79,'13 Contract hours'!$A$7:$A$206,0)),""))</f>
        <v>0.92592592592592593</v>
      </c>
      <c r="N79" s="6"/>
      <c r="O79" s="6"/>
      <c r="P79" s="6"/>
      <c r="Q79" s="6"/>
      <c r="R79" s="6"/>
      <c r="S79" s="6"/>
      <c r="T79" s="6"/>
      <c r="U79" s="6"/>
      <c r="V79" s="6"/>
      <c r="W79" s="6"/>
      <c r="X79" s="6"/>
      <c r="Y79" s="6"/>
      <c r="Z79" s="6"/>
    </row>
    <row r="80" spans="1:26" ht="19.05" customHeight="1" x14ac:dyDescent="0.3">
      <c r="A80" s="6"/>
      <c r="B80" s="90" t="str" cm="1">
        <f t="array" ref="B80">IFERROR(INDEX(_xlfn._xlws.SORT(_xlfn.UNIQUE(_xlfn._xlws.FILTER('04 Resource log'!$B$7:$B$506,('04 Resource log'!$A$7:$A$506&gt;=WeekStart)*('04 Resource log'!$A$7:$A$506&lt;=WeekEnd)*('04 Resource log'!$E$7:$E$506="Labour")*('04 Resource log'!$B$7:$B$506&lt;&gt;"")*('04 Resource log'!$B$7:$B$506&lt;&gt;"INDIRECT")))),ROWS($B$79:B80)),"")</f>
        <v>A1100</v>
      </c>
      <c r="C80" s="94" t="str">
        <f>IF($B80="","",IFERROR(INDEX('13 Contract hours'!$B$7:$B$206,MATCH($B80,'13 Contract hours'!$A$7:$A$206,0)),""))</f>
        <v>Raft reinforcement, bay 1</v>
      </c>
      <c r="D80" s="94"/>
      <c r="E80" s="90" t="str">
        <f>IF($B80="","",IFERROR(INDEX('13 Contract hours'!$D$7:$D$206,MATCH($B80,'13 Contract hours'!$A$7:$A$206,0)),""))</f>
        <v>t</v>
      </c>
      <c r="F80" s="92">
        <f>IF($B80="","",SUMIFS('05 Work done log'!$F$7:$F$506,'05 Work done log'!$B$7:$B$506,$B80,'05 Work done log'!$A$7:$A$506,"&gt;="&amp;WeekStart,'05 Work done log'!$A$7:$A$506,"&lt;="&amp;WeekEnd))</f>
        <v>3.5</v>
      </c>
      <c r="G80" s="101">
        <f>IF($B80="","",IFERROR(INDEX('13 Contract hours'!$G$7:$G$206,MATCH($B80,'13 Contract hours'!$A$7:$A$206,0)),""))</f>
        <v>15</v>
      </c>
      <c r="H80" s="102">
        <f>IF(OR($B80="",$G80=""),"",$F80*$G80)</f>
        <v>52.5</v>
      </c>
      <c r="I80" s="102">
        <f>IF($B80="","",SUMIFS('04 Resource log'!$J$7:$J$506,'04 Resource log'!$B$7:$B$506,$B80,'04 Resource log'!$E$7:$E$506,"Labour",'04 Resource log'!$A$7:$A$506,"&gt;="&amp;WeekStart,'04 Resource log'!$A$7:$A$506,"&lt;="&amp;WeekEnd))</f>
        <v>72</v>
      </c>
      <c r="J80" s="103">
        <f>IF(OR($H80="",N($I80)=0),"",$H80/$I80)</f>
        <v>0.72916666666666663</v>
      </c>
      <c r="K80" s="102">
        <f>IF($B80="","",IFERROR(INDEX('13 Contract hours'!$F$7:$F$206,MATCH($B80,'13 Contract hours'!$A$7:$A$206,0)),""))</f>
        <v>900</v>
      </c>
      <c r="L80" s="104">
        <f>IF($B80="","",IFERROR(INDEX('13 Contract hours'!$K$7:$K$206,MATCH($B80,'13 Contract hours'!$A$7:$A$206,0)),""))</f>
        <v>5.8333333333333334E-2</v>
      </c>
      <c r="M80" s="105">
        <f>IF($B80="","",IFERROR(INDEX('13 Contract hours'!$L$7:$L$206,MATCH($B80,'13 Contract hours'!$A$7:$A$206,0)),""))</f>
        <v>0.72916666666666663</v>
      </c>
      <c r="N80" s="6"/>
      <c r="O80" s="6"/>
      <c r="P80" s="6"/>
      <c r="Q80" s="6"/>
      <c r="R80" s="6"/>
      <c r="S80" s="6"/>
      <c r="T80" s="6"/>
      <c r="U80" s="6"/>
      <c r="V80" s="6"/>
      <c r="W80" s="6"/>
      <c r="X80" s="6"/>
      <c r="Y80" s="6"/>
      <c r="Z80" s="6"/>
    </row>
    <row r="81" spans="1:26" ht="19.05" customHeight="1" x14ac:dyDescent="0.3">
      <c r="A81" s="6"/>
      <c r="B81" s="90" t="str" cm="1">
        <f t="array" ref="B81">IFERROR(INDEX(_xlfn._xlws.SORT(_xlfn.UNIQUE(_xlfn._xlws.FILTER('04 Resource log'!$B$7:$B$506,('04 Resource log'!$A$7:$A$506&gt;=WeekStart)*('04 Resource log'!$A$7:$A$506&lt;=WeekEnd)*('04 Resource log'!$E$7:$E$506="Labour")*('04 Resource log'!$B$7:$B$506&lt;&gt;"")*('04 Resource log'!$B$7:$B$506&lt;&gt;"INDIRECT")))),ROWS($B$79:B81)),"")</f>
        <v>A1200</v>
      </c>
      <c r="C81" s="94" t="str">
        <f>IF($B81="","",IFERROR(INDEX('13 Contract hours'!$B$7:$B$206,MATCH($B81,'13 Contract hours'!$A$7:$A$206,0)),""))</f>
        <v>Blinding, substation slab</v>
      </c>
      <c r="D81" s="94"/>
      <c r="E81" s="90" t="str">
        <f>IF($B81="","",IFERROR(INDEX('13 Contract hours'!$D$7:$D$206,MATCH($B81,'13 Contract hours'!$A$7:$A$206,0)),""))</f>
        <v>m²</v>
      </c>
      <c r="F81" s="92">
        <f>IF($B81="","",SUMIFS('05 Work done log'!$F$7:$F$506,'05 Work done log'!$B$7:$B$506,$B81,'05 Work done log'!$A$7:$A$506,"&gt;="&amp;WeekStart,'05 Work done log'!$A$7:$A$506,"&lt;="&amp;WeekEnd))</f>
        <v>38</v>
      </c>
      <c r="G81" s="101">
        <f>IF($B81="","",IFERROR(INDEX('13 Contract hours'!$G$7:$G$206,MATCH($B81,'13 Contract hours'!$A$7:$A$206,0)),""))</f>
        <v>2</v>
      </c>
      <c r="H81" s="102">
        <f>IF(OR($B81="",$G81=""),"",$F81*$G81)</f>
        <v>76</v>
      </c>
      <c r="I81" s="102">
        <f>IF($B81="","",SUMIFS('04 Resource log'!$J$7:$J$506,'04 Resource log'!$B$7:$B$506,$B81,'04 Resource log'!$E$7:$E$506,"Labour",'04 Resource log'!$A$7:$A$506,"&gt;="&amp;WeekStart,'04 Resource log'!$A$7:$A$506,"&lt;="&amp;WeekEnd))</f>
        <v>54</v>
      </c>
      <c r="J81" s="103">
        <f>IF(OR($H81="",N($I81)=0),"",$H81/$I81)</f>
        <v>1.4074074074074074</v>
      </c>
      <c r="K81" s="102">
        <f>IF($B81="","",IFERROR(INDEX('13 Contract hours'!$F$7:$F$206,MATCH($B81,'13 Contract hours'!$A$7:$A$206,0)),""))</f>
        <v>300</v>
      </c>
      <c r="L81" s="104">
        <f>IF($B81="","",IFERROR(INDEX('13 Contract hours'!$K$7:$K$206,MATCH($B81,'13 Contract hours'!$A$7:$A$206,0)),""))</f>
        <v>0.25333333333333335</v>
      </c>
      <c r="M81" s="105">
        <f>IF($B81="","",IFERROR(INDEX('13 Contract hours'!$L$7:$L$206,MATCH($B81,'13 Contract hours'!$A$7:$A$206,0)),""))</f>
        <v>1.4074074074074074</v>
      </c>
      <c r="N81" s="6"/>
      <c r="O81" s="6"/>
      <c r="P81" s="6"/>
      <c r="Q81" s="6"/>
      <c r="R81" s="6"/>
      <c r="S81" s="6"/>
      <c r="T81" s="6"/>
      <c r="U81" s="6"/>
      <c r="V81" s="6"/>
      <c r="W81" s="6"/>
      <c r="X81" s="6"/>
      <c r="Y81" s="6"/>
      <c r="Z81" s="6"/>
    </row>
    <row r="82" spans="1:26" ht="19.05" customHeight="1" x14ac:dyDescent="0.3">
      <c r="A82" s="6"/>
      <c r="B82" s="90" t="str" cm="1">
        <f t="array" ref="B82">IFERROR(INDEX(_xlfn._xlws.SORT(_xlfn.UNIQUE(_xlfn._xlws.FILTER('04 Resource log'!$B$7:$B$506,('04 Resource log'!$A$7:$A$506&gt;=WeekStart)*('04 Resource log'!$A$7:$A$506&lt;=WeekEnd)*('04 Resource log'!$E$7:$E$506="Labour")*('04 Resource log'!$B$7:$B$506&lt;&gt;"")*('04 Resource log'!$B$7:$B$506&lt;&gt;"INDIRECT")))),ROWS($B$79:B82)),"")</f>
        <v>A1300</v>
      </c>
      <c r="C82" s="94" t="str">
        <f>IF($B82="","",IFERROR(INDEX('13 Contract hours'!$B$7:$B$206,MATCH($B82,'13 Contract hours'!$A$7:$A$206,0)),""))</f>
        <v>Drainage run D2</v>
      </c>
      <c r="D82" s="94"/>
      <c r="E82" s="90" t="str">
        <f>IF($B82="","",IFERROR(INDEX('13 Contract hours'!$D$7:$D$206,MATCH($B82,'13 Contract hours'!$A$7:$A$206,0)),""))</f>
        <v>m</v>
      </c>
      <c r="F82" s="92">
        <f>IF($B82="","",SUMIFS('05 Work done log'!$F$7:$F$506,'05 Work done log'!$B$7:$B$506,$B82,'05 Work done log'!$A$7:$A$506,"&gt;="&amp;WeekStart,'05 Work done log'!$A$7:$A$506,"&lt;="&amp;WeekEnd))</f>
        <v>24</v>
      </c>
      <c r="G82" s="101">
        <f>IF($B82="","",IFERROR(INDEX('13 Contract hours'!$G$7:$G$206,MATCH($B82,'13 Contract hours'!$A$7:$A$206,0)),""))</f>
        <v>2</v>
      </c>
      <c r="H82" s="102">
        <f>IF(OR($B82="",$G82=""),"",$F82*$G82)</f>
        <v>48</v>
      </c>
      <c r="I82" s="102">
        <f>IF($B82="","",SUMIFS('04 Resource log'!$J$7:$J$506,'04 Resource log'!$B$7:$B$506,$B82,'04 Resource log'!$E$7:$E$506,"Labour",'04 Resource log'!$A$7:$A$506,"&gt;="&amp;WeekStart,'04 Resource log'!$A$7:$A$506,"&lt;="&amp;WeekEnd))</f>
        <v>45</v>
      </c>
      <c r="J82" s="103">
        <f>IF(OR($H82="",N($I82)=0),"",$H82/$I82)</f>
        <v>1.0666666666666667</v>
      </c>
      <c r="K82" s="102">
        <f>IF($B82="","",IFERROR(INDEX('13 Contract hours'!$F$7:$F$206,MATCH($B82,'13 Contract hours'!$A$7:$A$206,0)),""))</f>
        <v>240</v>
      </c>
      <c r="L82" s="104">
        <f>IF($B82="","",IFERROR(INDEX('13 Contract hours'!$K$7:$K$206,MATCH($B82,'13 Contract hours'!$A$7:$A$206,0)),""))</f>
        <v>0.2</v>
      </c>
      <c r="M82" s="105">
        <f>IF($B82="","",IFERROR(INDEX('13 Contract hours'!$L$7:$L$206,MATCH($B82,'13 Contract hours'!$A$7:$A$206,0)),""))</f>
        <v>1.0666666666666667</v>
      </c>
      <c r="N82" s="6"/>
      <c r="O82" s="6"/>
      <c r="P82" s="6"/>
      <c r="Q82" s="6"/>
      <c r="R82" s="6"/>
      <c r="S82" s="6"/>
      <c r="T82" s="6"/>
      <c r="U82" s="6"/>
      <c r="V82" s="6"/>
      <c r="W82" s="6"/>
      <c r="X82" s="6"/>
      <c r="Y82" s="6"/>
      <c r="Z82" s="6"/>
    </row>
    <row r="83" spans="1:26" ht="19.05" customHeight="1" x14ac:dyDescent="0.3">
      <c r="A83" s="6"/>
      <c r="B83" s="90" t="str" cm="1">
        <f t="array" ref="B83">IFERROR(INDEX(_xlfn._xlws.SORT(_xlfn.UNIQUE(_xlfn._xlws.FILTER('04 Resource log'!$B$7:$B$506,('04 Resource log'!$A$7:$A$506&gt;=WeekStart)*('04 Resource log'!$A$7:$A$506&lt;=WeekEnd)*('04 Resource log'!$E$7:$E$506="Labour")*('04 Resource log'!$B$7:$B$506&lt;&gt;"")*('04 Resource log'!$B$7:$B$506&lt;&gt;"INDIRECT")))),ROWS($B$79:B83)),"")</f>
        <v/>
      </c>
      <c r="C83" s="94" t="str">
        <f>IF($B83="","",IFERROR(INDEX('13 Contract hours'!$B$7:$B$206,MATCH($B83,'13 Contract hours'!$A$7:$A$206,0)),""))</f>
        <v/>
      </c>
      <c r="D83" s="94"/>
      <c r="E83" s="90" t="str">
        <f>IF($B83="","",IFERROR(INDEX('13 Contract hours'!$D$7:$D$206,MATCH($B83,'13 Contract hours'!$A$7:$A$206,0)),""))</f>
        <v/>
      </c>
      <c r="F83" s="92" t="str">
        <f>IF($B83="","",SUMIFS('05 Work done log'!$F$7:$F$506,'05 Work done log'!$B$7:$B$506,$B83,'05 Work done log'!$A$7:$A$506,"&gt;="&amp;WeekStart,'05 Work done log'!$A$7:$A$506,"&lt;="&amp;WeekEnd))</f>
        <v/>
      </c>
      <c r="G83" s="101" t="str">
        <f>IF($B83="","",IFERROR(INDEX('13 Contract hours'!$G$7:$G$206,MATCH($B83,'13 Contract hours'!$A$7:$A$206,0)),""))</f>
        <v/>
      </c>
      <c r="H83" s="102" t="str">
        <f>IF(OR($B83="",$G83=""),"",$F83*$G83)</f>
        <v/>
      </c>
      <c r="I83" s="102" t="str">
        <f>IF($B83="","",SUMIFS('04 Resource log'!$J$7:$J$506,'04 Resource log'!$B$7:$B$506,$B83,'04 Resource log'!$E$7:$E$506,"Labour",'04 Resource log'!$A$7:$A$506,"&gt;="&amp;WeekStart,'04 Resource log'!$A$7:$A$506,"&lt;="&amp;WeekEnd))</f>
        <v/>
      </c>
      <c r="J83" s="103" t="str">
        <f>IF(OR($H83="",N($I83)=0),"",$H83/$I83)</f>
        <v/>
      </c>
      <c r="K83" s="102" t="str">
        <f>IF($B83="","",IFERROR(INDEX('13 Contract hours'!$F$7:$F$206,MATCH($B83,'13 Contract hours'!$A$7:$A$206,0)),""))</f>
        <v/>
      </c>
      <c r="L83" s="104" t="str">
        <f>IF($B83="","",IFERROR(INDEX('13 Contract hours'!$K$7:$K$206,MATCH($B83,'13 Contract hours'!$A$7:$A$206,0)),""))</f>
        <v/>
      </c>
      <c r="M83" s="105" t="str">
        <f>IF($B83="","",IFERROR(INDEX('13 Contract hours'!$L$7:$L$206,MATCH($B83,'13 Contract hours'!$A$7:$A$206,0)),""))</f>
        <v/>
      </c>
      <c r="N83" s="6"/>
      <c r="O83" s="6"/>
      <c r="P83" s="6"/>
      <c r="Q83" s="6"/>
      <c r="R83" s="6"/>
      <c r="S83" s="6"/>
      <c r="T83" s="6"/>
      <c r="U83" s="6"/>
      <c r="V83" s="6"/>
      <c r="W83" s="6"/>
      <c r="X83" s="6"/>
      <c r="Y83" s="6"/>
      <c r="Z83" s="6"/>
    </row>
    <row r="84" spans="1:26" ht="19.05" customHeight="1" x14ac:dyDescent="0.3">
      <c r="A84" s="6"/>
      <c r="B84" s="90" t="str" cm="1">
        <f t="array" ref="B84">IFERROR(INDEX(_xlfn._xlws.SORT(_xlfn.UNIQUE(_xlfn._xlws.FILTER('04 Resource log'!$B$7:$B$506,('04 Resource log'!$A$7:$A$506&gt;=WeekStart)*('04 Resource log'!$A$7:$A$506&lt;=WeekEnd)*('04 Resource log'!$E$7:$E$506="Labour")*('04 Resource log'!$B$7:$B$506&lt;&gt;"")*('04 Resource log'!$B$7:$B$506&lt;&gt;"INDIRECT")))),ROWS($B$79:B84)),"")</f>
        <v/>
      </c>
      <c r="C84" s="94" t="str">
        <f>IF($B84="","",IFERROR(INDEX('13 Contract hours'!$B$7:$B$206,MATCH($B84,'13 Contract hours'!$A$7:$A$206,0)),""))</f>
        <v/>
      </c>
      <c r="D84" s="94"/>
      <c r="E84" s="90" t="str">
        <f>IF($B84="","",IFERROR(INDEX('13 Contract hours'!$D$7:$D$206,MATCH($B84,'13 Contract hours'!$A$7:$A$206,0)),""))</f>
        <v/>
      </c>
      <c r="F84" s="92" t="str">
        <f>IF($B84="","",SUMIFS('05 Work done log'!$F$7:$F$506,'05 Work done log'!$B$7:$B$506,$B84,'05 Work done log'!$A$7:$A$506,"&gt;="&amp;WeekStart,'05 Work done log'!$A$7:$A$506,"&lt;="&amp;WeekEnd))</f>
        <v/>
      </c>
      <c r="G84" s="101" t="str">
        <f>IF($B84="","",IFERROR(INDEX('13 Contract hours'!$G$7:$G$206,MATCH($B84,'13 Contract hours'!$A$7:$A$206,0)),""))</f>
        <v/>
      </c>
      <c r="H84" s="102" t="str">
        <f>IF(OR($B84="",$G84=""),"",$F84*$G84)</f>
        <v/>
      </c>
      <c r="I84" s="102" t="str">
        <f>IF($B84="","",SUMIFS('04 Resource log'!$J$7:$J$506,'04 Resource log'!$B$7:$B$506,$B84,'04 Resource log'!$E$7:$E$506,"Labour",'04 Resource log'!$A$7:$A$506,"&gt;="&amp;WeekStart,'04 Resource log'!$A$7:$A$506,"&lt;="&amp;WeekEnd))</f>
        <v/>
      </c>
      <c r="J84" s="103" t="str">
        <f>IF(OR($H84="",N($I84)=0),"",$H84/$I84)</f>
        <v/>
      </c>
      <c r="K84" s="102" t="str">
        <f>IF($B84="","",IFERROR(INDEX('13 Contract hours'!$F$7:$F$206,MATCH($B84,'13 Contract hours'!$A$7:$A$206,0)),""))</f>
        <v/>
      </c>
      <c r="L84" s="104" t="str">
        <f>IF($B84="","",IFERROR(INDEX('13 Contract hours'!$K$7:$K$206,MATCH($B84,'13 Contract hours'!$A$7:$A$206,0)),""))</f>
        <v/>
      </c>
      <c r="M84" s="105" t="str">
        <f>IF($B84="","",IFERROR(INDEX('13 Contract hours'!$L$7:$L$206,MATCH($B84,'13 Contract hours'!$A$7:$A$206,0)),""))</f>
        <v/>
      </c>
      <c r="N84" s="6"/>
      <c r="O84" s="6"/>
      <c r="P84" s="6"/>
      <c r="Q84" s="6"/>
      <c r="R84" s="6"/>
      <c r="S84" s="6"/>
      <c r="T84" s="6"/>
      <c r="U84" s="6"/>
      <c r="V84" s="6"/>
      <c r="W84" s="6"/>
      <c r="X84" s="6"/>
      <c r="Y84" s="6"/>
      <c r="Z84" s="6"/>
    </row>
    <row r="85" spans="1:26" ht="19.05" customHeight="1" x14ac:dyDescent="0.3">
      <c r="A85" s="6"/>
      <c r="B85" s="90" t="str" cm="1">
        <f t="array" ref="B85">IFERROR(INDEX(_xlfn._xlws.SORT(_xlfn.UNIQUE(_xlfn._xlws.FILTER('04 Resource log'!$B$7:$B$506,('04 Resource log'!$A$7:$A$506&gt;=WeekStart)*('04 Resource log'!$A$7:$A$506&lt;=WeekEnd)*('04 Resource log'!$E$7:$E$506="Labour")*('04 Resource log'!$B$7:$B$506&lt;&gt;"")*('04 Resource log'!$B$7:$B$506&lt;&gt;"INDIRECT")))),ROWS($B$79:B85)),"")</f>
        <v/>
      </c>
      <c r="C85" s="94" t="str">
        <f>IF($B85="","",IFERROR(INDEX('13 Contract hours'!$B$7:$B$206,MATCH($B85,'13 Contract hours'!$A$7:$A$206,0)),""))</f>
        <v/>
      </c>
      <c r="D85" s="94"/>
      <c r="E85" s="90" t="str">
        <f>IF($B85="","",IFERROR(INDEX('13 Contract hours'!$D$7:$D$206,MATCH($B85,'13 Contract hours'!$A$7:$A$206,0)),""))</f>
        <v/>
      </c>
      <c r="F85" s="92" t="str">
        <f>IF($B85="","",SUMIFS('05 Work done log'!$F$7:$F$506,'05 Work done log'!$B$7:$B$506,$B85,'05 Work done log'!$A$7:$A$506,"&gt;="&amp;WeekStart,'05 Work done log'!$A$7:$A$506,"&lt;="&amp;WeekEnd))</f>
        <v/>
      </c>
      <c r="G85" s="101" t="str">
        <f>IF($B85="","",IFERROR(INDEX('13 Contract hours'!$G$7:$G$206,MATCH($B85,'13 Contract hours'!$A$7:$A$206,0)),""))</f>
        <v/>
      </c>
      <c r="H85" s="102" t="str">
        <f>IF(OR($B85="",$G85=""),"",$F85*$G85)</f>
        <v/>
      </c>
      <c r="I85" s="102" t="str">
        <f>IF($B85="","",SUMIFS('04 Resource log'!$J$7:$J$506,'04 Resource log'!$B$7:$B$506,$B85,'04 Resource log'!$E$7:$E$506,"Labour",'04 Resource log'!$A$7:$A$506,"&gt;="&amp;WeekStart,'04 Resource log'!$A$7:$A$506,"&lt;="&amp;WeekEnd))</f>
        <v/>
      </c>
      <c r="J85" s="103" t="str">
        <f>IF(OR($H85="",N($I85)=0),"",$H85/$I85)</f>
        <v/>
      </c>
      <c r="K85" s="102" t="str">
        <f>IF($B85="","",IFERROR(INDEX('13 Contract hours'!$F$7:$F$206,MATCH($B85,'13 Contract hours'!$A$7:$A$206,0)),""))</f>
        <v/>
      </c>
      <c r="L85" s="104" t="str">
        <f>IF($B85="","",IFERROR(INDEX('13 Contract hours'!$K$7:$K$206,MATCH($B85,'13 Contract hours'!$A$7:$A$206,0)),""))</f>
        <v/>
      </c>
      <c r="M85" s="105" t="str">
        <f>IF($B85="","",IFERROR(INDEX('13 Contract hours'!$L$7:$L$206,MATCH($B85,'13 Contract hours'!$A$7:$A$206,0)),""))</f>
        <v/>
      </c>
      <c r="N85" s="6"/>
      <c r="O85" s="6"/>
      <c r="P85" s="6"/>
      <c r="Q85" s="6"/>
      <c r="R85" s="6"/>
      <c r="S85" s="6"/>
      <c r="T85" s="6"/>
      <c r="U85" s="6"/>
      <c r="V85" s="6"/>
      <c r="W85" s="6"/>
      <c r="X85" s="6"/>
      <c r="Y85" s="6"/>
      <c r="Z85" s="6"/>
    </row>
    <row r="86" spans="1:26" ht="19.05" customHeight="1" x14ac:dyDescent="0.3">
      <c r="A86" s="6"/>
      <c r="B86" s="90" t="str" cm="1">
        <f t="array" ref="B86">IFERROR(INDEX(_xlfn._xlws.SORT(_xlfn.UNIQUE(_xlfn._xlws.FILTER('04 Resource log'!$B$7:$B$506,('04 Resource log'!$A$7:$A$506&gt;=WeekStart)*('04 Resource log'!$A$7:$A$506&lt;=WeekEnd)*('04 Resource log'!$E$7:$E$506="Labour")*('04 Resource log'!$B$7:$B$506&lt;&gt;"")*('04 Resource log'!$B$7:$B$506&lt;&gt;"INDIRECT")))),ROWS($B$79:B86)),"")</f>
        <v/>
      </c>
      <c r="C86" s="94" t="str">
        <f>IF($B86="","",IFERROR(INDEX('13 Contract hours'!$B$7:$B$206,MATCH($B86,'13 Contract hours'!$A$7:$A$206,0)),""))</f>
        <v/>
      </c>
      <c r="D86" s="94"/>
      <c r="E86" s="90" t="str">
        <f>IF($B86="","",IFERROR(INDEX('13 Contract hours'!$D$7:$D$206,MATCH($B86,'13 Contract hours'!$A$7:$A$206,0)),""))</f>
        <v/>
      </c>
      <c r="F86" s="92" t="str">
        <f>IF($B86="","",SUMIFS('05 Work done log'!$F$7:$F$506,'05 Work done log'!$B$7:$B$506,$B86,'05 Work done log'!$A$7:$A$506,"&gt;="&amp;WeekStart,'05 Work done log'!$A$7:$A$506,"&lt;="&amp;WeekEnd))</f>
        <v/>
      </c>
      <c r="G86" s="101" t="str">
        <f>IF($B86="","",IFERROR(INDEX('13 Contract hours'!$G$7:$G$206,MATCH($B86,'13 Contract hours'!$A$7:$A$206,0)),""))</f>
        <v/>
      </c>
      <c r="H86" s="102" t="str">
        <f>IF(OR($B86="",$G86=""),"",$F86*$G86)</f>
        <v/>
      </c>
      <c r="I86" s="102" t="str">
        <f>IF($B86="","",SUMIFS('04 Resource log'!$J$7:$J$506,'04 Resource log'!$B$7:$B$506,$B86,'04 Resource log'!$E$7:$E$506,"Labour",'04 Resource log'!$A$7:$A$506,"&gt;="&amp;WeekStart,'04 Resource log'!$A$7:$A$506,"&lt;="&amp;WeekEnd))</f>
        <v/>
      </c>
      <c r="J86" s="103" t="str">
        <f>IF(OR($H86="",N($I86)=0),"",$H86/$I86)</f>
        <v/>
      </c>
      <c r="K86" s="102" t="str">
        <f>IF($B86="","",IFERROR(INDEX('13 Contract hours'!$F$7:$F$206,MATCH($B86,'13 Contract hours'!$A$7:$A$206,0)),""))</f>
        <v/>
      </c>
      <c r="L86" s="104" t="str">
        <f>IF($B86="","",IFERROR(INDEX('13 Contract hours'!$K$7:$K$206,MATCH($B86,'13 Contract hours'!$A$7:$A$206,0)),""))</f>
        <v/>
      </c>
      <c r="M86" s="105" t="str">
        <f>IF($B86="","",IFERROR(INDEX('13 Contract hours'!$L$7:$L$206,MATCH($B86,'13 Contract hours'!$A$7:$A$206,0)),""))</f>
        <v/>
      </c>
      <c r="N86" s="6"/>
      <c r="O86" s="6"/>
      <c r="P86" s="6"/>
      <c r="Q86" s="6"/>
      <c r="R86" s="6"/>
      <c r="S86" s="6"/>
      <c r="T86" s="6"/>
      <c r="U86" s="6"/>
      <c r="V86" s="6"/>
      <c r="W86" s="6"/>
      <c r="X86" s="6"/>
      <c r="Y86" s="6"/>
      <c r="Z86" s="6"/>
    </row>
    <row r="87" spans="1:26" ht="19.05" customHeight="1" x14ac:dyDescent="0.3">
      <c r="A87" s="6"/>
      <c r="B87" s="90" t="str" cm="1">
        <f t="array" ref="B87">IFERROR(INDEX(_xlfn._xlws.SORT(_xlfn.UNIQUE(_xlfn._xlws.FILTER('04 Resource log'!$B$7:$B$506,('04 Resource log'!$A$7:$A$506&gt;=WeekStart)*('04 Resource log'!$A$7:$A$506&lt;=WeekEnd)*('04 Resource log'!$E$7:$E$506="Labour")*('04 Resource log'!$B$7:$B$506&lt;&gt;"")*('04 Resource log'!$B$7:$B$506&lt;&gt;"INDIRECT")))),ROWS($B$79:B87)),"")</f>
        <v/>
      </c>
      <c r="C87" s="94" t="str">
        <f>IF($B87="","",IFERROR(INDEX('13 Contract hours'!$B$7:$B$206,MATCH($B87,'13 Contract hours'!$A$7:$A$206,0)),""))</f>
        <v/>
      </c>
      <c r="D87" s="94"/>
      <c r="E87" s="90" t="str">
        <f>IF($B87="","",IFERROR(INDEX('13 Contract hours'!$D$7:$D$206,MATCH($B87,'13 Contract hours'!$A$7:$A$206,0)),""))</f>
        <v/>
      </c>
      <c r="F87" s="92" t="str">
        <f>IF($B87="","",SUMIFS('05 Work done log'!$F$7:$F$506,'05 Work done log'!$B$7:$B$506,$B87,'05 Work done log'!$A$7:$A$506,"&gt;="&amp;WeekStart,'05 Work done log'!$A$7:$A$506,"&lt;="&amp;WeekEnd))</f>
        <v/>
      </c>
      <c r="G87" s="101" t="str">
        <f>IF($B87="","",IFERROR(INDEX('13 Contract hours'!$G$7:$G$206,MATCH($B87,'13 Contract hours'!$A$7:$A$206,0)),""))</f>
        <v/>
      </c>
      <c r="H87" s="102" t="str">
        <f>IF(OR($B87="",$G87=""),"",$F87*$G87)</f>
        <v/>
      </c>
      <c r="I87" s="102" t="str">
        <f>IF($B87="","",SUMIFS('04 Resource log'!$J$7:$J$506,'04 Resource log'!$B$7:$B$506,$B87,'04 Resource log'!$E$7:$E$506,"Labour",'04 Resource log'!$A$7:$A$506,"&gt;="&amp;WeekStart,'04 Resource log'!$A$7:$A$506,"&lt;="&amp;WeekEnd))</f>
        <v/>
      </c>
      <c r="J87" s="103" t="str">
        <f>IF(OR($H87="",N($I87)=0),"",$H87/$I87)</f>
        <v/>
      </c>
      <c r="K87" s="102" t="str">
        <f>IF($B87="","",IFERROR(INDEX('13 Contract hours'!$F$7:$F$206,MATCH($B87,'13 Contract hours'!$A$7:$A$206,0)),""))</f>
        <v/>
      </c>
      <c r="L87" s="104" t="str">
        <f>IF($B87="","",IFERROR(INDEX('13 Contract hours'!$K$7:$K$206,MATCH($B87,'13 Contract hours'!$A$7:$A$206,0)),""))</f>
        <v/>
      </c>
      <c r="M87" s="105" t="str">
        <f>IF($B87="","",IFERROR(INDEX('13 Contract hours'!$L$7:$L$206,MATCH($B87,'13 Contract hours'!$A$7:$A$206,0)),""))</f>
        <v/>
      </c>
      <c r="N87" s="6"/>
      <c r="O87" s="6"/>
      <c r="P87" s="6"/>
      <c r="Q87" s="6"/>
      <c r="R87" s="6"/>
      <c r="S87" s="6"/>
      <c r="T87" s="6"/>
      <c r="U87" s="6"/>
      <c r="V87" s="6"/>
      <c r="W87" s="6"/>
      <c r="X87" s="6"/>
      <c r="Y87" s="6"/>
      <c r="Z87" s="6"/>
    </row>
    <row r="88" spans="1:26" ht="19.05" customHeight="1" x14ac:dyDescent="0.3">
      <c r="A88" s="6"/>
      <c r="B88" s="90" t="str" cm="1">
        <f t="array" ref="B88">IFERROR(INDEX(_xlfn._xlws.SORT(_xlfn.UNIQUE(_xlfn._xlws.FILTER('04 Resource log'!$B$7:$B$506,('04 Resource log'!$A$7:$A$506&gt;=WeekStart)*('04 Resource log'!$A$7:$A$506&lt;=WeekEnd)*('04 Resource log'!$E$7:$E$506="Labour")*('04 Resource log'!$B$7:$B$506&lt;&gt;"")*('04 Resource log'!$B$7:$B$506&lt;&gt;"INDIRECT")))),ROWS($B$79:B88)),"")</f>
        <v/>
      </c>
      <c r="C88" s="94" t="str">
        <f>IF($B88="","",IFERROR(INDEX('13 Contract hours'!$B$7:$B$206,MATCH($B88,'13 Contract hours'!$A$7:$A$206,0)),""))</f>
        <v/>
      </c>
      <c r="D88" s="94"/>
      <c r="E88" s="90" t="str">
        <f>IF($B88="","",IFERROR(INDEX('13 Contract hours'!$D$7:$D$206,MATCH($B88,'13 Contract hours'!$A$7:$A$206,0)),""))</f>
        <v/>
      </c>
      <c r="F88" s="92" t="str">
        <f>IF($B88="","",SUMIFS('05 Work done log'!$F$7:$F$506,'05 Work done log'!$B$7:$B$506,$B88,'05 Work done log'!$A$7:$A$506,"&gt;="&amp;WeekStart,'05 Work done log'!$A$7:$A$506,"&lt;="&amp;WeekEnd))</f>
        <v/>
      </c>
      <c r="G88" s="101" t="str">
        <f>IF($B88="","",IFERROR(INDEX('13 Contract hours'!$G$7:$G$206,MATCH($B88,'13 Contract hours'!$A$7:$A$206,0)),""))</f>
        <v/>
      </c>
      <c r="H88" s="102" t="str">
        <f>IF(OR($B88="",$G88=""),"",$F88*$G88)</f>
        <v/>
      </c>
      <c r="I88" s="102" t="str">
        <f>IF($B88="","",SUMIFS('04 Resource log'!$J$7:$J$506,'04 Resource log'!$B$7:$B$506,$B88,'04 Resource log'!$E$7:$E$506,"Labour",'04 Resource log'!$A$7:$A$506,"&gt;="&amp;WeekStart,'04 Resource log'!$A$7:$A$506,"&lt;="&amp;WeekEnd))</f>
        <v/>
      </c>
      <c r="J88" s="103" t="str">
        <f>IF(OR($H88="",N($I88)=0),"",$H88/$I88)</f>
        <v/>
      </c>
      <c r="K88" s="102" t="str">
        <f>IF($B88="","",IFERROR(INDEX('13 Contract hours'!$F$7:$F$206,MATCH($B88,'13 Contract hours'!$A$7:$A$206,0)),""))</f>
        <v/>
      </c>
      <c r="L88" s="104" t="str">
        <f>IF($B88="","",IFERROR(INDEX('13 Contract hours'!$K$7:$K$206,MATCH($B88,'13 Contract hours'!$A$7:$A$206,0)),""))</f>
        <v/>
      </c>
      <c r="M88" s="105" t="str">
        <f>IF($B88="","",IFERROR(INDEX('13 Contract hours'!$L$7:$L$206,MATCH($B88,'13 Contract hours'!$A$7:$A$206,0)),""))</f>
        <v/>
      </c>
      <c r="N88" s="6"/>
      <c r="O88" s="6"/>
      <c r="P88" s="6"/>
      <c r="Q88" s="6"/>
      <c r="R88" s="6"/>
      <c r="S88" s="6"/>
      <c r="T88" s="6"/>
      <c r="U88" s="6"/>
      <c r="V88" s="6"/>
      <c r="W88" s="6"/>
      <c r="X88" s="6"/>
      <c r="Y88" s="6"/>
      <c r="Z88" s="6"/>
    </row>
    <row r="89" spans="1:26" ht="19.05" customHeight="1" x14ac:dyDescent="0.3">
      <c r="A89" s="6"/>
      <c r="B89" s="90" t="str" cm="1">
        <f t="array" ref="B89">IFERROR(INDEX(_xlfn._xlws.SORT(_xlfn.UNIQUE(_xlfn._xlws.FILTER('04 Resource log'!$B$7:$B$506,('04 Resource log'!$A$7:$A$506&gt;=WeekStart)*('04 Resource log'!$A$7:$A$506&lt;=WeekEnd)*('04 Resource log'!$E$7:$E$506="Labour")*('04 Resource log'!$B$7:$B$506&lt;&gt;"")*('04 Resource log'!$B$7:$B$506&lt;&gt;"INDIRECT")))),ROWS($B$79:B89)),"")</f>
        <v/>
      </c>
      <c r="C89" s="94" t="str">
        <f>IF($B89="","",IFERROR(INDEX('13 Contract hours'!$B$7:$B$206,MATCH($B89,'13 Contract hours'!$A$7:$A$206,0)),""))</f>
        <v/>
      </c>
      <c r="D89" s="94"/>
      <c r="E89" s="90" t="str">
        <f>IF($B89="","",IFERROR(INDEX('13 Contract hours'!$D$7:$D$206,MATCH($B89,'13 Contract hours'!$A$7:$A$206,0)),""))</f>
        <v/>
      </c>
      <c r="F89" s="92" t="str">
        <f>IF($B89="","",SUMIFS('05 Work done log'!$F$7:$F$506,'05 Work done log'!$B$7:$B$506,$B89,'05 Work done log'!$A$7:$A$506,"&gt;="&amp;WeekStart,'05 Work done log'!$A$7:$A$506,"&lt;="&amp;WeekEnd))</f>
        <v/>
      </c>
      <c r="G89" s="101" t="str">
        <f>IF($B89="","",IFERROR(INDEX('13 Contract hours'!$G$7:$G$206,MATCH($B89,'13 Contract hours'!$A$7:$A$206,0)),""))</f>
        <v/>
      </c>
      <c r="H89" s="102" t="str">
        <f>IF(OR($B89="",$G89=""),"",$F89*$G89)</f>
        <v/>
      </c>
      <c r="I89" s="102" t="str">
        <f>IF($B89="","",SUMIFS('04 Resource log'!$J$7:$J$506,'04 Resource log'!$B$7:$B$506,$B89,'04 Resource log'!$E$7:$E$506,"Labour",'04 Resource log'!$A$7:$A$506,"&gt;="&amp;WeekStart,'04 Resource log'!$A$7:$A$506,"&lt;="&amp;WeekEnd))</f>
        <v/>
      </c>
      <c r="J89" s="103" t="str">
        <f>IF(OR($H89="",N($I89)=0),"",$H89/$I89)</f>
        <v/>
      </c>
      <c r="K89" s="102" t="str">
        <f>IF($B89="","",IFERROR(INDEX('13 Contract hours'!$F$7:$F$206,MATCH($B89,'13 Contract hours'!$A$7:$A$206,0)),""))</f>
        <v/>
      </c>
      <c r="L89" s="104" t="str">
        <f>IF($B89="","",IFERROR(INDEX('13 Contract hours'!$K$7:$K$206,MATCH($B89,'13 Contract hours'!$A$7:$A$206,0)),""))</f>
        <v/>
      </c>
      <c r="M89" s="105" t="str">
        <f>IF($B89="","",IFERROR(INDEX('13 Contract hours'!$L$7:$L$206,MATCH($B89,'13 Contract hours'!$A$7:$A$206,0)),""))</f>
        <v/>
      </c>
      <c r="N89" s="6"/>
      <c r="O89" s="6"/>
      <c r="P89" s="6"/>
      <c r="Q89" s="6"/>
      <c r="R89" s="6"/>
      <c r="S89" s="6"/>
      <c r="T89" s="6"/>
      <c r="U89" s="6"/>
      <c r="V89" s="6"/>
      <c r="W89" s="6"/>
      <c r="X89" s="6"/>
      <c r="Y89" s="6"/>
      <c r="Z89" s="6"/>
    </row>
    <row r="90" spans="1:26" ht="19.05" customHeight="1" x14ac:dyDescent="0.3">
      <c r="A90" s="6"/>
      <c r="B90" s="90" t="str" cm="1">
        <f t="array" ref="B90">IFERROR(INDEX(_xlfn._xlws.SORT(_xlfn.UNIQUE(_xlfn._xlws.FILTER('04 Resource log'!$B$7:$B$506,('04 Resource log'!$A$7:$A$506&gt;=WeekStart)*('04 Resource log'!$A$7:$A$506&lt;=WeekEnd)*('04 Resource log'!$E$7:$E$506="Labour")*('04 Resource log'!$B$7:$B$506&lt;&gt;"")*('04 Resource log'!$B$7:$B$506&lt;&gt;"INDIRECT")))),ROWS($B$79:B90)),"")</f>
        <v/>
      </c>
      <c r="C90" s="94" t="str">
        <f>IF($B90="","",IFERROR(INDEX('13 Contract hours'!$B$7:$B$206,MATCH($B90,'13 Contract hours'!$A$7:$A$206,0)),""))</f>
        <v/>
      </c>
      <c r="D90" s="94"/>
      <c r="E90" s="90" t="str">
        <f>IF($B90="","",IFERROR(INDEX('13 Contract hours'!$D$7:$D$206,MATCH($B90,'13 Contract hours'!$A$7:$A$206,0)),""))</f>
        <v/>
      </c>
      <c r="F90" s="92" t="str">
        <f>IF($B90="","",SUMIFS('05 Work done log'!$F$7:$F$506,'05 Work done log'!$B$7:$B$506,$B90,'05 Work done log'!$A$7:$A$506,"&gt;="&amp;WeekStart,'05 Work done log'!$A$7:$A$506,"&lt;="&amp;WeekEnd))</f>
        <v/>
      </c>
      <c r="G90" s="101" t="str">
        <f>IF($B90="","",IFERROR(INDEX('13 Contract hours'!$G$7:$G$206,MATCH($B90,'13 Contract hours'!$A$7:$A$206,0)),""))</f>
        <v/>
      </c>
      <c r="H90" s="102" t="str">
        <f>IF(OR($B90="",$G90=""),"",$F90*$G90)</f>
        <v/>
      </c>
      <c r="I90" s="102" t="str">
        <f>IF($B90="","",SUMIFS('04 Resource log'!$J$7:$J$506,'04 Resource log'!$B$7:$B$506,$B90,'04 Resource log'!$E$7:$E$506,"Labour",'04 Resource log'!$A$7:$A$506,"&gt;="&amp;WeekStart,'04 Resource log'!$A$7:$A$506,"&lt;="&amp;WeekEnd))</f>
        <v/>
      </c>
      <c r="J90" s="103" t="str">
        <f>IF(OR($H90="",N($I90)=0),"",$H90/$I90)</f>
        <v/>
      </c>
      <c r="K90" s="102" t="str">
        <f>IF($B90="","",IFERROR(INDEX('13 Contract hours'!$F$7:$F$206,MATCH($B90,'13 Contract hours'!$A$7:$A$206,0)),""))</f>
        <v/>
      </c>
      <c r="L90" s="104" t="str">
        <f>IF($B90="","",IFERROR(INDEX('13 Contract hours'!$K$7:$K$206,MATCH($B90,'13 Contract hours'!$A$7:$A$206,0)),""))</f>
        <v/>
      </c>
      <c r="M90" s="105" t="str">
        <f>IF($B90="","",IFERROR(INDEX('13 Contract hours'!$L$7:$L$206,MATCH($B90,'13 Contract hours'!$A$7:$A$206,0)),""))</f>
        <v/>
      </c>
      <c r="N90" s="6"/>
      <c r="O90" s="6"/>
      <c r="P90" s="6"/>
      <c r="Q90" s="6"/>
      <c r="R90" s="6"/>
      <c r="S90" s="6"/>
      <c r="T90" s="6"/>
      <c r="U90" s="6"/>
      <c r="V90" s="6"/>
      <c r="W90" s="6"/>
      <c r="X90" s="6"/>
      <c r="Y90" s="6"/>
      <c r="Z90" s="6"/>
    </row>
    <row r="91" spans="1:26" ht="14.55" customHeight="1" x14ac:dyDescent="0.3">
      <c r="A91" s="6"/>
      <c r="B91" s="87" t="s">
        <v>345</v>
      </c>
      <c r="C91" s="106" t="str">
        <f>"indirect man-hours (not in productivity): "&amp;TEXT(SUMIFS('04 Resource log'!$J$7:$J$506,'04 Resource log'!$B$7:$B$506,"INDIRECT",'04 Resource log'!$A$7:$A$506,"&gt;="&amp;WeekStart,'04 Resource log'!$A$7:$A$506,"&lt;="&amp;WeekEnd),"#,##0")</f>
        <v>indirect man-hours (not in productivity): 30</v>
      </c>
      <c r="D91" s="107"/>
      <c r="E91" s="107"/>
      <c r="F91" s="107"/>
      <c r="G91" s="107"/>
      <c r="H91" s="108">
        <f>SUM(H79:H90)</f>
        <v>226.5</v>
      </c>
      <c r="I91" s="108">
        <f>SUM(I79:I90)</f>
        <v>225</v>
      </c>
      <c r="J91" s="109">
        <f>IF(N(I91)=0,"",H91/I91)</f>
        <v>1.0066666666666666</v>
      </c>
      <c r="K91" s="108"/>
      <c r="L91" s="110"/>
      <c r="M91" s="109"/>
      <c r="N91" s="6"/>
      <c r="O91" s="6"/>
      <c r="P91" s="6"/>
      <c r="Q91" s="6"/>
      <c r="R91" s="6"/>
      <c r="S91" s="6"/>
      <c r="T91" s="6"/>
      <c r="U91" s="6"/>
      <c r="V91" s="6"/>
      <c r="W91" s="6"/>
      <c r="X91" s="6"/>
      <c r="Y91" s="6"/>
      <c r="Z91" s="6"/>
    </row>
    <row r="92" spans="1:26" x14ac:dyDescent="0.3">
      <c r="A92" s="6"/>
      <c r="B92" s="95" t="str">
        <f>IF(COUNTIF($B$79:$B$90,"?*")=0,"No labour booked against a P6 activity this week. Paste each day's lines into the Resource log.","Above 1.00x the gang beat the contract norm; below 1.00x it spent more hours than the job was priced for.")</f>
        <v>Above 1.00x the gang beat the contract norm; below 1.00x it spent more hours than the job was priced for.</v>
      </c>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111" t="s">
        <v>47</v>
      </c>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mergeCells count="55">
    <mergeCell ref="C87:D87"/>
    <mergeCell ref="C88:D88"/>
    <mergeCell ref="C89:D89"/>
    <mergeCell ref="C90:D90"/>
    <mergeCell ref="C91:G91"/>
    <mergeCell ref="C82:D82"/>
    <mergeCell ref="C83:D83"/>
    <mergeCell ref="C84:D84"/>
    <mergeCell ref="C85:D85"/>
    <mergeCell ref="C86:D86"/>
    <mergeCell ref="C74:D74"/>
    <mergeCell ref="C78:D78"/>
    <mergeCell ref="C79:D79"/>
    <mergeCell ref="C80:D80"/>
    <mergeCell ref="C81:D81"/>
    <mergeCell ref="C62:D62"/>
    <mergeCell ref="C63:D63"/>
    <mergeCell ref="C64:D64"/>
    <mergeCell ref="C65:D65"/>
    <mergeCell ref="C66:D66"/>
    <mergeCell ref="C67:D67"/>
    <mergeCell ref="C68:D68"/>
    <mergeCell ref="C69:D69"/>
    <mergeCell ref="C70:D70"/>
    <mergeCell ref="C71:D71"/>
    <mergeCell ref="C72:D72"/>
    <mergeCell ref="C73:D73"/>
    <mergeCell ref="G51:M51"/>
    <mergeCell ref="G52:M52"/>
    <mergeCell ref="G53:M53"/>
    <mergeCell ref="G54:M54"/>
    <mergeCell ref="G55:M55"/>
    <mergeCell ref="G56:M56"/>
    <mergeCell ref="G57:M57"/>
    <mergeCell ref="G58:M58"/>
    <mergeCell ref="B12:M13"/>
    <mergeCell ref="D7:E8"/>
    <mergeCell ref="F7:G8"/>
    <mergeCell ref="D9:E9"/>
    <mergeCell ref="H7:I8"/>
    <mergeCell ref="J7:K8"/>
    <mergeCell ref="H9:I9"/>
    <mergeCell ref="J9:K9"/>
    <mergeCell ref="L7:M8"/>
    <mergeCell ref="F6:G6"/>
    <mergeCell ref="L6:M6"/>
    <mergeCell ref="L9:M9"/>
    <mergeCell ref="F9:G9"/>
    <mergeCell ref="H6:I6"/>
    <mergeCell ref="J6:K6"/>
    <mergeCell ref="B7:C8"/>
    <mergeCell ref="K2:M2"/>
    <mergeCell ref="B9:C9"/>
    <mergeCell ref="B6:C6"/>
    <mergeCell ref="D6:E6"/>
  </mergeCells>
  <conditionalFormatting sqref="C52:C58">
    <cfRule type="cellIs" dxfId="46" priority="6" operator="equal">
      <formula>"Lost"</formula>
    </cfRule>
    <cfRule type="cellIs" dxfId="45" priority="7" operator="equal">
      <formula>"Part lost"</formula>
    </cfRule>
  </conditionalFormatting>
  <conditionalFormatting sqref="D7">
    <cfRule type="expression" dxfId="44" priority="4">
      <formula>AND(ISNUMBER(D7),D7&lt;0.8)</formula>
    </cfRule>
  </conditionalFormatting>
  <conditionalFormatting sqref="E52:E58">
    <cfRule type="cellIs" dxfId="43" priority="8" operator="greaterThan">
      <formula>0</formula>
    </cfRule>
  </conditionalFormatting>
  <conditionalFormatting sqref="J7">
    <cfRule type="cellIs" dxfId="42" priority="5" operator="greaterThan">
      <formula>0</formula>
    </cfRule>
  </conditionalFormatting>
  <conditionalFormatting sqref="F52:F58">
    <cfRule type="cellIs" dxfId="41" priority="3" operator="greaterThan">
      <formula>0</formula>
    </cfRule>
  </conditionalFormatting>
  <conditionalFormatting sqref="J79:J90">
    <cfRule type="expression" dxfId="36" priority="9">
      <formula>AND(ISNUMBER(J79),J79&lt;1)</formula>
    </cfRule>
  </conditionalFormatting>
  <conditionalFormatting sqref="J79:J90">
    <cfRule type="expression" dxfId="35" priority="10">
      <formula>AND(ISNUMBER(J79),J79&gt;=1)</formula>
    </cfRule>
  </conditionalFormatting>
  <printOptions horizontalCentered="1"/>
  <pageMargins left="0.4" right="0.4" top="0.5" bottom="0.5" header="0.5" footer="0.5"/>
  <pageSetup paperSize="9" scale="48" orientation="portrait" r:id="rId1"/>
  <headerFooter>
    <oddHeader>&amp;R&amp;BThe Project Control Hub</oddHeader>
    <oddFooter>&amp;L&amp;8The Project Control Hub · &amp;A&amp;R&amp;8Page &amp;P of &amp;N</oddFooter>
  </headerFooter>
  <drawing r:id="rId2"/>
  <extLst>
    <ext xmlns:x14="http://schemas.microsoft.com/office/spreadsheetml/2009/9/main" uri="{CCE6A557-97BC-4b89-ADB6-D9C93CAAB3DF}">
      <x14:dataValidations xmlns:xm="http://schemas.microsoft.com/office/excel/2006/main" count="1">
        <x14:dataValidation type="whole" allowBlank="1" showInputMessage="1" showErrorMessage="1" errorTitle="Week" error="Pick a week that is in the Day log." xr:uid="{8BB204CC-8283-4BD8-B038-D51456D8DE14}">
          <x14:formula1>
            <xm:f>1</xm:f>
          </x14:formula1>
          <x14:formula2>
            <xm:f>'15 Chart data'!$C$20</xm:f>
          </x14:formula2>
          <xm:sqref>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5803D"/>
    <pageSetUpPr fitToPage="1"/>
  </sheetPr>
  <dimension ref="A1:Z1000"/>
  <sheetViews>
    <sheetView showGridLines="0" zoomScale="80" zoomScaleNormal="80" workbookViewId="0">
      <pane xSplit="1" ySplit="7" topLeftCell="B8" activePane="bottomRight" state="frozen"/>
      <selection pane="topRight"/>
      <selection pane="bottomLeft"/>
      <selection pane="bottomRight" activeCell="Q8" sqref="Q8"/>
    </sheetView>
  </sheetViews>
  <sheetFormatPr defaultRowHeight="14.4" x14ac:dyDescent="0.3"/>
  <cols>
    <col min="1" max="1" width="12" customWidth="1"/>
    <col min="2" max="2" width="12.109375" customWidth="1"/>
    <col min="3" max="3" width="10.6640625" customWidth="1"/>
    <col min="4" max="4" width="11" customWidth="1"/>
    <col min="5" max="5" width="11.21875" customWidth="1"/>
    <col min="6" max="6" width="18" customWidth="1"/>
    <col min="7" max="7" width="14" customWidth="1"/>
    <col min="8" max="8" width="15.5546875" customWidth="1"/>
    <col min="9" max="9" width="15.109375" customWidth="1"/>
    <col min="10" max="10" width="17.109375" customWidth="1"/>
    <col min="11" max="11" width="16.5546875" customWidth="1"/>
    <col min="12" max="12" width="40" customWidth="1"/>
    <col min="13" max="14" width="17.5546875" customWidth="1"/>
    <col min="15" max="15" width="13" customWidth="1"/>
    <col min="16" max="16" width="11.109375" customWidth="1"/>
    <col min="17" max="18" width="18.5546875" customWidth="1"/>
  </cols>
  <sheetData>
    <row r="1" spans="1:26" ht="28.05" customHeight="1" x14ac:dyDescent="0.4">
      <c r="A1" s="112" t="s">
        <v>23</v>
      </c>
      <c r="B1" s="6"/>
      <c r="C1" s="6"/>
      <c r="D1" s="6"/>
      <c r="E1" s="6"/>
      <c r="F1" s="6"/>
      <c r="G1" s="6"/>
      <c r="H1" s="6"/>
      <c r="I1" s="6"/>
      <c r="J1" s="6"/>
      <c r="K1" s="6"/>
      <c r="L1" s="113"/>
      <c r="M1" s="6"/>
      <c r="N1" s="6"/>
      <c r="O1" s="6"/>
      <c r="P1" s="6"/>
      <c r="Q1" s="6"/>
      <c r="R1" s="176" t="s">
        <v>32</v>
      </c>
      <c r="S1" s="6"/>
      <c r="T1" s="6"/>
      <c r="U1" s="6"/>
      <c r="V1" s="6"/>
      <c r="W1" s="6"/>
      <c r="X1" s="6"/>
      <c r="Y1" s="6"/>
      <c r="Z1" s="6"/>
    </row>
    <row r="2" spans="1:26" x14ac:dyDescent="0.3">
      <c r="A2" s="114" t="s">
        <v>148</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357</v>
      </c>
      <c r="B3" s="6"/>
      <c r="C3" s="6"/>
      <c r="D3" s="6"/>
      <c r="E3" s="6"/>
      <c r="F3" s="6"/>
      <c r="G3" s="6"/>
      <c r="H3" s="6"/>
      <c r="I3" s="6"/>
      <c r="J3" s="6"/>
      <c r="K3" s="6"/>
      <c r="L3" s="6"/>
      <c r="M3" s="6"/>
      <c r="N3" s="6"/>
      <c r="O3" s="6"/>
      <c r="P3" s="6"/>
      <c r="Q3" s="6"/>
      <c r="R3" s="6"/>
      <c r="S3" s="6"/>
      <c r="T3" s="6"/>
      <c r="U3" s="6"/>
      <c r="V3" s="6"/>
      <c r="W3" s="6"/>
      <c r="X3" s="6"/>
      <c r="Y3" s="6"/>
      <c r="Z3" s="6"/>
    </row>
    <row r="4" spans="1:26" x14ac:dyDescent="0.3">
      <c r="A4" s="116"/>
      <c r="B4" s="116"/>
      <c r="C4" s="116"/>
      <c r="D4" s="116"/>
      <c r="E4" s="116"/>
      <c r="F4" s="116"/>
      <c r="G4" s="116"/>
      <c r="H4" s="116"/>
      <c r="I4" s="116"/>
      <c r="J4" s="116"/>
      <c r="K4" s="116"/>
      <c r="L4" s="11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ht="31.95" customHeight="1" x14ac:dyDescent="0.3">
      <c r="A7" s="117" t="s">
        <v>42</v>
      </c>
      <c r="B7" s="118" t="s">
        <v>74</v>
      </c>
      <c r="C7" s="118" t="s">
        <v>76</v>
      </c>
      <c r="D7" s="119" t="s">
        <v>77</v>
      </c>
      <c r="E7" s="118" t="s">
        <v>45</v>
      </c>
      <c r="F7" s="119" t="s">
        <v>149</v>
      </c>
      <c r="G7" s="118" t="s">
        <v>43</v>
      </c>
      <c r="H7" s="118" t="s">
        <v>142</v>
      </c>
      <c r="I7" s="118" t="s">
        <v>143</v>
      </c>
      <c r="J7" s="118" t="s">
        <v>9</v>
      </c>
      <c r="K7" s="118" t="s">
        <v>150</v>
      </c>
      <c r="L7" s="120" t="s">
        <v>46</v>
      </c>
      <c r="M7" s="121" t="s">
        <v>78</v>
      </c>
      <c r="N7" s="121" t="s">
        <v>80</v>
      </c>
      <c r="O7" s="121" t="s">
        <v>199</v>
      </c>
      <c r="P7" s="121" t="s">
        <v>293</v>
      </c>
      <c r="Q7" s="121" t="s">
        <v>54</v>
      </c>
      <c r="R7" s="121" t="s">
        <v>198</v>
      </c>
      <c r="S7" s="6"/>
      <c r="T7" s="6"/>
      <c r="U7" s="6"/>
      <c r="V7" s="6"/>
      <c r="W7" s="6"/>
      <c r="X7" s="6"/>
      <c r="Y7" s="6"/>
      <c r="Z7" s="6"/>
    </row>
    <row r="8" spans="1:26" x14ac:dyDescent="0.3">
      <c r="A8" s="122">
        <v>46083</v>
      </c>
      <c r="B8" s="123">
        <v>40</v>
      </c>
      <c r="C8" s="124">
        <v>0.56944444444444442</v>
      </c>
      <c r="D8" s="125" t="str">
        <f>IF(OR(A8="",C8=""),"",IF(C8&lt;='14 Setup'!$B$7,"Y","N"))</f>
        <v>Y</v>
      </c>
      <c r="E8" s="126">
        <f>IF(A8="","",COUNTIF('10 Revision log'!$A$7:$A$56,A8))</f>
        <v>0</v>
      </c>
      <c r="F8" s="127" t="str">
        <f>IF(M8="","",IF(OR(N8="",N8=M8),M8,M8&amp;" / "&amp;N8))</f>
        <v>Dry</v>
      </c>
      <c r="G8" s="128" t="s">
        <v>39</v>
      </c>
      <c r="H8" s="129">
        <f>IF(A8="","",SUMIFS('04 Resource log'!$H$7:$H$506,'04 Resource log'!$A$7:$A$506,A8,'04 Resource log'!$E$7:$E$506,"Labour"))</f>
        <v>26</v>
      </c>
      <c r="I8" s="129">
        <f>IF(A8="","",SUMIFS('04 Resource log'!$H$7:$H$506,'04 Resource log'!$A$7:$A$506,A8,'04 Resource log'!$E$7:$E$506,"Plant"))</f>
        <v>4</v>
      </c>
      <c r="J8" s="129">
        <f>IF(A8="","",COUNTIF('09 Not yet reported'!$A$7:$A$46,A8))</f>
        <v>0</v>
      </c>
      <c r="K8" s="129">
        <f>IF(A8="","",COUNTIFS('06 Event log'!$A$7:$A$506,A8,'06 Event log'!$H$7:$H$506,"Y"))</f>
        <v>0</v>
      </c>
      <c r="L8" s="130" t="str">
        <f>IF(A8="","",IFERROR(INDEX('06 Event log'!$C$7:$C$506,MATCH(A8,'06 Event log'!$A$7:$A$506,0)),""))</f>
        <v>Piling P15 and P16</v>
      </c>
      <c r="M8" s="131" t="s">
        <v>151</v>
      </c>
      <c r="N8" s="131" t="s">
        <v>151</v>
      </c>
      <c r="O8" s="131"/>
      <c r="P8" s="131"/>
      <c r="Q8" s="131" t="s">
        <v>79</v>
      </c>
      <c r="R8" s="131"/>
      <c r="S8" s="6"/>
      <c r="T8" s="6"/>
      <c r="U8" s="6"/>
      <c r="V8" s="6"/>
      <c r="W8" s="6"/>
      <c r="X8" s="6"/>
      <c r="Y8" s="6"/>
      <c r="Z8" s="6"/>
    </row>
    <row r="9" spans="1:26" ht="26.4" x14ac:dyDescent="0.3">
      <c r="A9" s="122">
        <v>46084</v>
      </c>
      <c r="B9" s="123">
        <v>41</v>
      </c>
      <c r="C9" s="124">
        <v>0.58333333333333337</v>
      </c>
      <c r="D9" s="125" t="str">
        <f>IF(OR(A9="",C9=""),"",IF(C9&lt;='14 Setup'!$B$7,"Y","N"))</f>
        <v>Y</v>
      </c>
      <c r="E9" s="126">
        <f>IF(A9="","",COUNTIF('10 Revision log'!$A$7:$A$56,A9))</f>
        <v>1</v>
      </c>
      <c r="F9" s="127" t="str">
        <f>IF(M9="","",IF(OR(N9="",N9=M9),M9,M9&amp;" / "&amp;N9))</f>
        <v>Dry / Rain</v>
      </c>
      <c r="G9" s="128" t="s">
        <v>40</v>
      </c>
      <c r="H9" s="129">
        <f>IF(A9="","",SUMIFS('04 Resource log'!$H$7:$H$506,'04 Resource log'!$A$7:$A$506,A9,'04 Resource log'!$E$7:$E$506,"Labour"))</f>
        <v>28</v>
      </c>
      <c r="I9" s="129">
        <f>IF(A9="","",SUMIFS('04 Resource log'!$H$7:$H$506,'04 Resource log'!$A$7:$A$506,A9,'04 Resource log'!$E$7:$E$506,"Plant"))</f>
        <v>3</v>
      </c>
      <c r="J9" s="129">
        <f>IF(A9="","",COUNTIF('09 Not yet reported'!$A$7:$A$46,A9))</f>
        <v>2</v>
      </c>
      <c r="K9" s="129">
        <f>IF(A9="","",COUNTIFS('06 Event log'!$A$7:$A$506,A9,'06 Event log'!$H$7:$H$506,"Y"))</f>
        <v>2</v>
      </c>
      <c r="L9" s="130" t="str">
        <f>IF(A9="","",IFERROR(INDEX('06 Event log'!$C$7:$C$506,MATCH(A9,'06 Event log'!$A$7:$A$506,0)),""))</f>
        <v>Piling rig: penetration rate changed at P17 and P18, consistent with rock. Driller’s log kept.</v>
      </c>
      <c r="M9" s="123" t="s">
        <v>151</v>
      </c>
      <c r="N9" s="123" t="s">
        <v>153</v>
      </c>
      <c r="O9" s="123"/>
      <c r="P9" s="123">
        <v>6</v>
      </c>
      <c r="Q9" s="123" t="s">
        <v>79</v>
      </c>
      <c r="R9" s="123"/>
      <c r="S9" s="6"/>
      <c r="T9" s="6"/>
      <c r="U9" s="6"/>
      <c r="V9" s="6"/>
      <c r="W9" s="6"/>
      <c r="X9" s="6"/>
      <c r="Y9" s="6"/>
      <c r="Z9" s="6"/>
    </row>
    <row r="10" spans="1:26" x14ac:dyDescent="0.3">
      <c r="A10" s="122">
        <v>46085</v>
      </c>
      <c r="B10" s="123">
        <v>42</v>
      </c>
      <c r="C10" s="124">
        <v>0.63194444444444442</v>
      </c>
      <c r="D10" s="125" t="str">
        <f>IF(OR(A10="",C10=""),"",IF(C10&lt;='14 Setup'!$B$7,"Y","N"))</f>
        <v>N</v>
      </c>
      <c r="E10" s="126">
        <f>IF(A10="","",COUNTIF('10 Revision log'!$A$7:$A$56,A10))</f>
        <v>0</v>
      </c>
      <c r="F10" s="127" t="str">
        <f>IF(M10="","",IF(OR(N10="",N10=M10),M10,M10&amp;" / "&amp;N10))</f>
        <v>Rain</v>
      </c>
      <c r="G10" s="128" t="s">
        <v>40</v>
      </c>
      <c r="H10" s="129">
        <f>IF(A10="","",SUMIFS('04 Resource log'!$H$7:$H$506,'04 Resource log'!$A$7:$A$506,A10,'04 Resource log'!$E$7:$E$506,"Labour"))</f>
        <v>22</v>
      </c>
      <c r="I10" s="129">
        <f>IF(A10="","",SUMIFS('04 Resource log'!$H$7:$H$506,'04 Resource log'!$A$7:$A$506,A10,'04 Resource log'!$E$7:$E$506,"Plant"))</f>
        <v>3</v>
      </c>
      <c r="J10" s="129">
        <f>IF(A10="","",COUNTIF('09 Not yet reported'!$A$7:$A$46,A10))</f>
        <v>0</v>
      </c>
      <c r="K10" s="129">
        <f>IF(A10="","",COUNTIFS('06 Event log'!$A$7:$A$506,A10,'06 Event log'!$H$7:$H$506,"Y"))</f>
        <v>0</v>
      </c>
      <c r="L10" s="130" t="str">
        <f>IF(A10="","",IFERROR(INDEX('06 Event log'!$C$7:$C$506,MATCH(A10,'06 Event log'!$A$7:$A$506,0)),""))</f>
        <v>Bar schedule revision for bay 2 requested</v>
      </c>
      <c r="M10" s="123" t="s">
        <v>153</v>
      </c>
      <c r="N10" s="123" t="s">
        <v>153</v>
      </c>
      <c r="O10" s="123"/>
      <c r="P10" s="123"/>
      <c r="Q10" s="123" t="s">
        <v>79</v>
      </c>
      <c r="R10" s="123"/>
      <c r="S10" s="6"/>
      <c r="T10" s="6"/>
      <c r="U10" s="6"/>
      <c r="V10" s="6"/>
      <c r="W10" s="6"/>
      <c r="X10" s="6"/>
      <c r="Y10" s="6"/>
      <c r="Z10" s="6"/>
    </row>
    <row r="11" spans="1:26" x14ac:dyDescent="0.3">
      <c r="A11" s="122">
        <v>46086</v>
      </c>
      <c r="B11" s="123">
        <v>43</v>
      </c>
      <c r="C11" s="124">
        <v>0.57638888888888884</v>
      </c>
      <c r="D11" s="125" t="str">
        <f>IF(OR(A11="",C11=""),"",IF(C11&lt;='14 Setup'!$B$7,"Y","N"))</f>
        <v>Y</v>
      </c>
      <c r="E11" s="126">
        <f>IF(A11="","",COUNTIF('10 Revision log'!$A$7:$A$56,A11))</f>
        <v>2</v>
      </c>
      <c r="F11" s="127" t="str">
        <f>IF(M11="","",IF(OR(N11="",N11=M11),M11,M11&amp;" / "&amp;N11))</f>
        <v>Heavy rain</v>
      </c>
      <c r="G11" s="128" t="s">
        <v>41</v>
      </c>
      <c r="H11" s="129">
        <f>IF(A11="","",SUMIFS('04 Resource log'!$H$7:$H$506,'04 Resource log'!$A$7:$A$506,A11,'04 Resource log'!$E$7:$E$506,"Labour"))</f>
        <v>10</v>
      </c>
      <c r="I11" s="129">
        <f>IF(A11="","",SUMIFS('04 Resource log'!$H$7:$H$506,'04 Resource log'!$A$7:$A$506,A11,'04 Resource log'!$E$7:$E$506,"Plant"))</f>
        <v>1</v>
      </c>
      <c r="J11" s="129">
        <f>IF(A11="","",COUNTIF('09 Not yet reported'!$A$7:$A$46,A11))</f>
        <v>2</v>
      </c>
      <c r="K11" s="129">
        <f>IF(A11="","",COUNTIFS('06 Event log'!$A$7:$A$506,A11,'06 Event log'!$H$7:$H$506,"Y"))</f>
        <v>0</v>
      </c>
      <c r="L11" s="130" t="str">
        <f>IF(A11="","",IFERROR(INDEX('06 Event log'!$C$7:$C$506,MATCH(A11,'06 Event log'!$A$7:$A$506,0)),""))</f>
        <v>No pours: heavy rain</v>
      </c>
      <c r="M11" s="123" t="s">
        <v>155</v>
      </c>
      <c r="N11" s="123" t="s">
        <v>155</v>
      </c>
      <c r="O11" s="123"/>
      <c r="P11" s="123"/>
      <c r="Q11" s="123" t="s">
        <v>79</v>
      </c>
      <c r="R11" s="123"/>
      <c r="S11" s="6"/>
      <c r="T11" s="6"/>
      <c r="U11" s="6"/>
      <c r="V11" s="6"/>
      <c r="W11" s="6"/>
      <c r="X11" s="6"/>
      <c r="Y11" s="6"/>
      <c r="Z11" s="6"/>
    </row>
    <row r="12" spans="1:26" x14ac:dyDescent="0.3">
      <c r="A12" s="122">
        <v>46087</v>
      </c>
      <c r="B12" s="123">
        <v>44</v>
      </c>
      <c r="C12" s="124">
        <v>0.5625</v>
      </c>
      <c r="D12" s="125" t="str">
        <f>IF(OR(A12="",C12=""),"",IF(C12&lt;='14 Setup'!$B$7,"Y","N"))</f>
        <v>Y</v>
      </c>
      <c r="E12" s="126">
        <f>IF(A12="","",COUNTIF('10 Revision log'!$A$7:$A$56,A12))</f>
        <v>0</v>
      </c>
      <c r="F12" s="127" t="str">
        <f>IF(M12="","",IF(OR(N12="",N12=M12),M12,M12&amp;" / "&amp;N12))</f>
        <v>Dry</v>
      </c>
      <c r="G12" s="128" t="s">
        <v>39</v>
      </c>
      <c r="H12" s="129">
        <f>IF(A12="","",SUMIFS('04 Resource log'!$H$7:$H$506,'04 Resource log'!$A$7:$A$506,A12,'04 Resource log'!$E$7:$E$506,"Labour"))</f>
        <v>27</v>
      </c>
      <c r="I12" s="129">
        <f>IF(A12="","",SUMIFS('04 Resource log'!$H$7:$H$506,'04 Resource log'!$A$7:$A$506,A12,'04 Resource log'!$E$7:$E$506,"Plant"))</f>
        <v>4</v>
      </c>
      <c r="J12" s="129">
        <f>IF(A12="","",COUNTIF('09 Not yet reported'!$A$7:$A$46,A12))</f>
        <v>0</v>
      </c>
      <c r="K12" s="129">
        <f>IF(A12="","",COUNTIFS('06 Event log'!$A$7:$A$506,A12,'06 Event log'!$H$7:$H$506,"Y"))</f>
        <v>0</v>
      </c>
      <c r="L12" s="130" t="str">
        <f>IF(A12="","",IFERROR(INDEX('06 Event log'!$C$7:$C$506,MATCH(A12,'06 Event log'!$A$7:$A$506,0)),""))</f>
        <v>Crane booked for 17 March</v>
      </c>
      <c r="M12" s="123" t="s">
        <v>151</v>
      </c>
      <c r="N12" s="123" t="s">
        <v>151</v>
      </c>
      <c r="O12" s="123"/>
      <c r="P12" s="123"/>
      <c r="Q12" s="123" t="s">
        <v>79</v>
      </c>
      <c r="R12" s="123"/>
      <c r="S12" s="6"/>
      <c r="T12" s="6"/>
      <c r="U12" s="6"/>
      <c r="V12" s="6"/>
      <c r="W12" s="6"/>
      <c r="X12" s="6"/>
      <c r="Y12" s="6"/>
      <c r="Z12" s="6"/>
    </row>
    <row r="13" spans="1:26" x14ac:dyDescent="0.3">
      <c r="A13" s="122">
        <v>46090</v>
      </c>
      <c r="B13" s="123">
        <v>45</v>
      </c>
      <c r="C13" s="124">
        <v>0.59722222222222221</v>
      </c>
      <c r="D13" s="125" t="str">
        <f>IF(OR(A13="",C13=""),"",IF(C13&lt;='14 Setup'!$B$7,"Y","N"))</f>
        <v>N</v>
      </c>
      <c r="E13" s="126">
        <f>IF(A13="","",COUNTIF('10 Revision log'!$A$7:$A$56,A13))</f>
        <v>0</v>
      </c>
      <c r="F13" s="127" t="str">
        <f>IF(M13="","",IF(OR(N13="",N13=M13),M13,M13&amp;" / "&amp;N13))</f>
        <v>Dry</v>
      </c>
      <c r="G13" s="128" t="s">
        <v>39</v>
      </c>
      <c r="H13" s="129">
        <f>IF(A13="","",SUMIFS('04 Resource log'!$H$7:$H$506,'04 Resource log'!$A$7:$A$506,A13,'04 Resource log'!$E$7:$E$506,"Labour"))</f>
        <v>29</v>
      </c>
      <c r="I13" s="129">
        <f>IF(A13="","",SUMIFS('04 Resource log'!$H$7:$H$506,'04 Resource log'!$A$7:$A$506,A13,'04 Resource log'!$E$7:$E$506,"Plant"))</f>
        <v>4</v>
      </c>
      <c r="J13" s="129">
        <f>IF(A13="","",COUNTIF('09 Not yet reported'!$A$7:$A$46,A13))</f>
        <v>0</v>
      </c>
      <c r="K13" s="129">
        <f>IF(A13="","",COUNTIFS('06 Event log'!$A$7:$A$506,A13,'06 Event log'!$H$7:$H$506,"Y"))</f>
        <v>0</v>
      </c>
      <c r="L13" s="130" t="str">
        <f>IF(A13="","",IFERROR(INDEX('06 Event log'!$C$7:$C$506,MATCH(A13,'06 Event log'!$A$7:$A$506,0)),""))</f>
        <v>Rig back in service</v>
      </c>
      <c r="M13" s="123" t="s">
        <v>151</v>
      </c>
      <c r="N13" s="123" t="s">
        <v>151</v>
      </c>
      <c r="O13" s="123"/>
      <c r="P13" s="123"/>
      <c r="Q13" s="123" t="s">
        <v>79</v>
      </c>
      <c r="R13" s="123"/>
      <c r="S13" s="6"/>
      <c r="T13" s="6"/>
      <c r="U13" s="6"/>
      <c r="V13" s="6"/>
      <c r="W13" s="6"/>
      <c r="X13" s="6"/>
      <c r="Y13" s="6"/>
      <c r="Z13" s="6"/>
    </row>
    <row r="14" spans="1:26" x14ac:dyDescent="0.3">
      <c r="A14" s="122">
        <v>46091</v>
      </c>
      <c r="B14" s="123">
        <v>46</v>
      </c>
      <c r="C14" s="124">
        <v>0.57291666666666663</v>
      </c>
      <c r="D14" s="125" t="str">
        <f>IF(OR(A14="",C14=""),"",IF(C14&lt;='14 Setup'!$B$7,"Y","N"))</f>
        <v>Y</v>
      </c>
      <c r="E14" s="126">
        <f>IF(A14="","",COUNTIF('10 Revision log'!$A$7:$A$56,A14))</f>
        <v>1</v>
      </c>
      <c r="F14" s="127" t="str">
        <f>IF(M14="","",IF(OR(N14="",N14=M14),M14,M14&amp;" / "&amp;N14))</f>
        <v>Dry</v>
      </c>
      <c r="G14" s="128" t="s">
        <v>39</v>
      </c>
      <c r="H14" s="129">
        <f>IF(A14="","",SUMIFS('04 Resource log'!$H$7:$H$506,'04 Resource log'!$A$7:$A$506,A14,'04 Resource log'!$E$7:$E$506,"Labour"))</f>
        <v>30</v>
      </c>
      <c r="I14" s="129">
        <f>IF(A14="","",SUMIFS('04 Resource log'!$H$7:$H$506,'04 Resource log'!$A$7:$A$506,A14,'04 Resource log'!$E$7:$E$506,"Plant"))</f>
        <v>4</v>
      </c>
      <c r="J14" s="129">
        <f>IF(A14="","",COUNTIF('09 Not yet reported'!$A$7:$A$46,A14))</f>
        <v>1</v>
      </c>
      <c r="K14" s="129">
        <f>IF(A14="","",COUNTIFS('06 Event log'!$A$7:$A$506,A14,'06 Event log'!$H$7:$H$506,"Y"))</f>
        <v>0</v>
      </c>
      <c r="L14" s="130" t="str">
        <f>IF(A14="","",IFERROR(INDEX('06 Event log'!$C$7:$C$506,MATCH(A14,'06 Event log'!$A$7:$A$506,0)),""))</f>
        <v>Ground beams GB1 to GB3 poured</v>
      </c>
      <c r="M14" s="123" t="s">
        <v>151</v>
      </c>
      <c r="N14" s="123" t="s">
        <v>151</v>
      </c>
      <c r="O14" s="123"/>
      <c r="P14" s="123"/>
      <c r="Q14" s="123" t="s">
        <v>79</v>
      </c>
      <c r="R14" s="123"/>
      <c r="S14" s="6"/>
      <c r="T14" s="6"/>
      <c r="U14" s="6"/>
      <c r="V14" s="6"/>
      <c r="W14" s="6"/>
      <c r="X14" s="6"/>
      <c r="Y14" s="6"/>
      <c r="Z14" s="6"/>
    </row>
    <row r="15" spans="1:26" x14ac:dyDescent="0.3">
      <c r="A15" s="122">
        <v>46092</v>
      </c>
      <c r="B15" s="123">
        <v>47</v>
      </c>
      <c r="C15" s="124">
        <v>0.57986111111111116</v>
      </c>
      <c r="D15" s="125" t="str">
        <f>IF(OR(A15="",C15=""),"",IF(C15&lt;='14 Setup'!$B$7,"Y","N"))</f>
        <v>Y</v>
      </c>
      <c r="E15" s="126">
        <f>IF(A15="","",COUNTIF('10 Revision log'!$A$7:$A$56,A15))</f>
        <v>0</v>
      </c>
      <c r="F15" s="127" t="str">
        <f>IF(M15="","",IF(OR(N15="",N15=M15),M15,M15&amp;" / "&amp;N15))</f>
        <v>Showers</v>
      </c>
      <c r="G15" s="128" t="s">
        <v>40</v>
      </c>
      <c r="H15" s="129">
        <f>IF(A15="","",SUMIFS('04 Resource log'!$H$7:$H$506,'04 Resource log'!$A$7:$A$506,A15,'04 Resource log'!$E$7:$E$506,"Labour"))</f>
        <v>25</v>
      </c>
      <c r="I15" s="129">
        <f>IF(A15="","",SUMIFS('04 Resource log'!$H$7:$H$506,'04 Resource log'!$A$7:$A$506,A15,'04 Resource log'!$E$7:$E$506,"Plant"))</f>
        <v>3</v>
      </c>
      <c r="J15" s="129">
        <f>IF(A15="","",COUNTIF('09 Not yet reported'!$A$7:$A$46,A15))</f>
        <v>0</v>
      </c>
      <c r="K15" s="129">
        <f>IF(A15="","",COUNTIFS('06 Event log'!$A$7:$A$506,A15,'06 Event log'!$H$7:$H$506,"Y"))</f>
        <v>0</v>
      </c>
      <c r="L15" s="130" t="str">
        <f>IF(A15="","",IFERROR(INDEX('06 Event log'!$C$7:$C$506,MATCH(A15,'06 Event log'!$A$7:$A$506,0)),""))</f>
        <v>Membrane delivery not confirmed</v>
      </c>
      <c r="M15" s="123" t="s">
        <v>160</v>
      </c>
      <c r="N15" s="123" t="s">
        <v>160</v>
      </c>
      <c r="O15" s="123"/>
      <c r="P15" s="123"/>
      <c r="Q15" s="123" t="s">
        <v>79</v>
      </c>
      <c r="R15" s="123"/>
      <c r="S15" s="6"/>
      <c r="T15" s="6"/>
      <c r="U15" s="6"/>
      <c r="V15" s="6"/>
      <c r="W15" s="6"/>
      <c r="X15" s="6"/>
      <c r="Y15" s="6"/>
      <c r="Z15" s="6"/>
    </row>
    <row r="16" spans="1:26" x14ac:dyDescent="0.3">
      <c r="A16" s="122">
        <v>46093</v>
      </c>
      <c r="B16" s="123">
        <v>48</v>
      </c>
      <c r="C16" s="124">
        <v>0.56944444444444442</v>
      </c>
      <c r="D16" s="125" t="str">
        <f>IF(OR(A16="",C16=""),"",IF(C16&lt;='14 Setup'!$B$7,"Y","N"))</f>
        <v>Y</v>
      </c>
      <c r="E16" s="126">
        <f>IF(A16="","",COUNTIF('10 Revision log'!$A$7:$A$56,A16))</f>
        <v>0</v>
      </c>
      <c r="F16" s="127" t="str">
        <f>IF(M16="","",IF(OR(N16="",N16=M16),M16,M16&amp;" / "&amp;N16))</f>
        <v>Dry</v>
      </c>
      <c r="G16" s="128" t="s">
        <v>39</v>
      </c>
      <c r="H16" s="129">
        <f>IF(A16="","",SUMIFS('04 Resource log'!$H$7:$H$506,'04 Resource log'!$A$7:$A$506,A16,'04 Resource log'!$E$7:$E$506,"Labour"))</f>
        <v>28</v>
      </c>
      <c r="I16" s="129">
        <f>IF(A16="","",SUMIFS('04 Resource log'!$H$7:$H$506,'04 Resource log'!$A$7:$A$506,A16,'04 Resource log'!$E$7:$E$506,"Plant"))</f>
        <v>4</v>
      </c>
      <c r="J16" s="129">
        <f>IF(A16="","",COUNTIF('09 Not yet reported'!$A$7:$A$46,A16))</f>
        <v>0</v>
      </c>
      <c r="K16" s="129">
        <f>IF(A16="","",COUNTIFS('06 Event log'!$A$7:$A$506,A16,'06 Event log'!$H$7:$H$506,"Y"))</f>
        <v>0</v>
      </c>
      <c r="L16" s="130" t="str">
        <f>IF(A16="","",IFERROR(INDEX('06 Event log'!$C$7:$C$506,MATCH(A16,'06 Event log'!$A$7:$A$506,0)),""))</f>
        <v>Raft rebar bay 1 continues</v>
      </c>
      <c r="M16" s="123" t="s">
        <v>151</v>
      </c>
      <c r="N16" s="123" t="s">
        <v>151</v>
      </c>
      <c r="O16" s="123"/>
      <c r="P16" s="123"/>
      <c r="Q16" s="123" t="s">
        <v>79</v>
      </c>
      <c r="R16" s="123"/>
      <c r="S16" s="6"/>
      <c r="T16" s="6"/>
      <c r="U16" s="6"/>
      <c r="V16" s="6"/>
      <c r="W16" s="6"/>
      <c r="X16" s="6"/>
      <c r="Y16" s="6"/>
      <c r="Z16" s="6"/>
    </row>
    <row r="17" spans="1:26" x14ac:dyDescent="0.3">
      <c r="A17" s="132">
        <v>46094</v>
      </c>
      <c r="B17" s="133">
        <v>49</v>
      </c>
      <c r="C17" s="134">
        <v>0.56597222222222221</v>
      </c>
      <c r="D17" s="135" t="str">
        <f>IF(OR(A17="",C17=""),"",IF(C17&lt;='14 Setup'!$B$7,"Y","N"))</f>
        <v>Y</v>
      </c>
      <c r="E17" s="136">
        <f>IF(A17="","",COUNTIF('10 Revision log'!$A$7:$A$56,A17))</f>
        <v>0</v>
      </c>
      <c r="F17" s="137" t="str">
        <f>IF(M17="","",IF(OR(N17="",N17=M17),M17,M17&amp;" / "&amp;N17))</f>
        <v>Dry</v>
      </c>
      <c r="G17" s="138" t="s">
        <v>39</v>
      </c>
      <c r="H17" s="139">
        <f>IF(A17="","",SUMIFS('04 Resource log'!$H$7:$H$506,'04 Resource log'!$A$7:$A$506,A17,'04 Resource log'!$E$7:$E$506,"Labour"))</f>
        <v>27</v>
      </c>
      <c r="I17" s="139">
        <f>IF(A17="","",SUMIFS('04 Resource log'!$H$7:$H$506,'04 Resource log'!$A$7:$A$506,A17,'04 Resource log'!$E$7:$E$506,"Plant"))</f>
        <v>4</v>
      </c>
      <c r="J17" s="139">
        <f>IF(A17="","",COUNTIF('09 Not yet reported'!$A$7:$A$46,A17))</f>
        <v>0</v>
      </c>
      <c r="K17" s="139">
        <f>IF(A17="","",COUNTIFS('06 Event log'!$A$7:$A$506,A17,'06 Event log'!$H$7:$H$506,"Y"))</f>
        <v>0</v>
      </c>
      <c r="L17" s="140" t="str">
        <f>IF(A17="","",IFERROR(INDEX('06 Event log'!$C$7:$C$506,MATCH(A17,'06 Event log'!$A$7:$A$506,0)),""))</f>
        <v>Weekly meeting</v>
      </c>
      <c r="M17" s="133" t="s">
        <v>151</v>
      </c>
      <c r="N17" s="133" t="s">
        <v>151</v>
      </c>
      <c r="O17" s="133"/>
      <c r="P17" s="133"/>
      <c r="Q17" s="133" t="s">
        <v>79</v>
      </c>
      <c r="R17" s="133"/>
      <c r="S17" s="6"/>
      <c r="T17" s="6"/>
      <c r="U17" s="6"/>
      <c r="V17" s="6"/>
      <c r="W17" s="6"/>
      <c r="X17" s="6"/>
      <c r="Y17" s="6"/>
      <c r="Z17" s="6"/>
    </row>
    <row r="18" spans="1:26" x14ac:dyDescent="0.3">
      <c r="A18" s="132"/>
      <c r="B18" s="133"/>
      <c r="C18" s="134"/>
      <c r="D18" s="135" t="str">
        <f>IF(OR(A18="",C18=""),"",IF(C18&lt;='14 Setup'!$B$7,"Y","N"))</f>
        <v/>
      </c>
      <c r="E18" s="136" t="str">
        <f>IF(A18="","",COUNTIF('10 Revision log'!$A$7:$A$56,A18))</f>
        <v/>
      </c>
      <c r="F18" s="137" t="str">
        <f t="shared" ref="F18:F38" si="0">IF(M18="","",IF(OR(N18="",N18=M18),M18,M18&amp;" / "&amp;N18))</f>
        <v/>
      </c>
      <c r="G18" s="138"/>
      <c r="H18" s="139" t="str">
        <f>IF(A18="","",SUMIFS('04 Resource log'!$H$7:$H$506,'04 Resource log'!$A$7:$A$506,A18,'04 Resource log'!$E$7:$E$506,"Labour"))</f>
        <v/>
      </c>
      <c r="I18" s="139" t="str">
        <f>IF(A18="","",SUMIFS('04 Resource log'!$H$7:$H$506,'04 Resource log'!$A$7:$A$506,A18,'04 Resource log'!$E$7:$E$506,"Plant"))</f>
        <v/>
      </c>
      <c r="J18" s="139" t="str">
        <f>IF(A18="","",COUNTIF('09 Not yet reported'!$A$7:$A$46,A18))</f>
        <v/>
      </c>
      <c r="K18" s="139" t="str">
        <f>IF(A18="","",COUNTIFS('06 Event log'!$A$7:$A$506,A18,'06 Event log'!$H$7:$H$506,"Y"))</f>
        <v/>
      </c>
      <c r="L18" s="140" t="str">
        <f>IF(A18="","",IFERROR(INDEX('06 Event log'!$C$7:$C$506,MATCH(A18,'06 Event log'!$A$7:$A$506,0)),""))</f>
        <v/>
      </c>
      <c r="M18" s="133"/>
      <c r="N18" s="133"/>
      <c r="O18" s="133"/>
      <c r="P18" s="133"/>
      <c r="Q18" s="133"/>
      <c r="R18" s="133"/>
      <c r="S18" s="6"/>
      <c r="T18" s="6"/>
      <c r="U18" s="6"/>
      <c r="V18" s="6"/>
      <c r="W18" s="6"/>
      <c r="X18" s="6"/>
      <c r="Y18" s="6"/>
      <c r="Z18" s="6"/>
    </row>
    <row r="19" spans="1:26" x14ac:dyDescent="0.3">
      <c r="A19" s="132"/>
      <c r="B19" s="133"/>
      <c r="C19" s="134"/>
      <c r="D19" s="135" t="str">
        <f>IF(OR(A19="",C19=""),"",IF(C19&lt;='14 Setup'!$B$7,"Y","N"))</f>
        <v/>
      </c>
      <c r="E19" s="136" t="str">
        <f>IF(A19="","",COUNTIF('10 Revision log'!$A$7:$A$56,A19))</f>
        <v/>
      </c>
      <c r="F19" s="137" t="str">
        <f t="shared" si="0"/>
        <v/>
      </c>
      <c r="G19" s="138"/>
      <c r="H19" s="139" t="str">
        <f>IF(A19="","",SUMIFS('04 Resource log'!$H$7:$H$506,'04 Resource log'!$A$7:$A$506,A19,'04 Resource log'!$E$7:$E$506,"Labour"))</f>
        <v/>
      </c>
      <c r="I19" s="139" t="str">
        <f>IF(A19="","",SUMIFS('04 Resource log'!$H$7:$H$506,'04 Resource log'!$A$7:$A$506,A19,'04 Resource log'!$E$7:$E$506,"Plant"))</f>
        <v/>
      </c>
      <c r="J19" s="139" t="str">
        <f>IF(A19="","",COUNTIF('09 Not yet reported'!$A$7:$A$46,A19))</f>
        <v/>
      </c>
      <c r="K19" s="139" t="str">
        <f>IF(A19="","",COUNTIFS('06 Event log'!$A$7:$A$506,A19,'06 Event log'!$H$7:$H$506,"Y"))</f>
        <v/>
      </c>
      <c r="L19" s="140" t="str">
        <f>IF(A19="","",IFERROR(INDEX('06 Event log'!$C$7:$C$506,MATCH(A19,'06 Event log'!$A$7:$A$506,0)),""))</f>
        <v/>
      </c>
      <c r="M19" s="133"/>
      <c r="N19" s="133"/>
      <c r="O19" s="133"/>
      <c r="P19" s="133"/>
      <c r="Q19" s="133"/>
      <c r="R19" s="133"/>
      <c r="S19" s="6"/>
      <c r="T19" s="6"/>
      <c r="U19" s="6"/>
      <c r="V19" s="6"/>
      <c r="W19" s="6"/>
      <c r="X19" s="6"/>
      <c r="Y19" s="6"/>
      <c r="Z19" s="6"/>
    </row>
    <row r="20" spans="1:26" x14ac:dyDescent="0.3">
      <c r="A20" s="132"/>
      <c r="B20" s="133"/>
      <c r="C20" s="134"/>
      <c r="D20" s="135" t="str">
        <f>IF(OR(A20="",C20=""),"",IF(C20&lt;='14 Setup'!$B$7,"Y","N"))</f>
        <v/>
      </c>
      <c r="E20" s="136" t="str">
        <f>IF(A20="","",COUNTIF('10 Revision log'!$A$7:$A$56,A20))</f>
        <v/>
      </c>
      <c r="F20" s="137" t="str">
        <f t="shared" si="0"/>
        <v/>
      </c>
      <c r="G20" s="138"/>
      <c r="H20" s="139" t="str">
        <f>IF(A20="","",SUMIFS('04 Resource log'!$H$7:$H$506,'04 Resource log'!$A$7:$A$506,A20,'04 Resource log'!$E$7:$E$506,"Labour"))</f>
        <v/>
      </c>
      <c r="I20" s="139" t="str">
        <f>IF(A20="","",SUMIFS('04 Resource log'!$H$7:$H$506,'04 Resource log'!$A$7:$A$506,A20,'04 Resource log'!$E$7:$E$506,"Plant"))</f>
        <v/>
      </c>
      <c r="J20" s="139" t="str">
        <f>IF(A20="","",COUNTIF('09 Not yet reported'!$A$7:$A$46,A20))</f>
        <v/>
      </c>
      <c r="K20" s="139" t="str">
        <f>IF(A20="","",COUNTIFS('06 Event log'!$A$7:$A$506,A20,'06 Event log'!$H$7:$H$506,"Y"))</f>
        <v/>
      </c>
      <c r="L20" s="140" t="str">
        <f>IF(A20="","",IFERROR(INDEX('06 Event log'!$C$7:$C$506,MATCH(A20,'06 Event log'!$A$7:$A$506,0)),""))</f>
        <v/>
      </c>
      <c r="M20" s="133"/>
      <c r="N20" s="133"/>
      <c r="O20" s="133"/>
      <c r="P20" s="133"/>
      <c r="Q20" s="133"/>
      <c r="R20" s="133"/>
      <c r="S20" s="6"/>
      <c r="T20" s="6"/>
      <c r="U20" s="6"/>
      <c r="V20" s="6"/>
      <c r="W20" s="6"/>
      <c r="X20" s="6"/>
      <c r="Y20" s="6"/>
      <c r="Z20" s="6"/>
    </row>
    <row r="21" spans="1:26" x14ac:dyDescent="0.3">
      <c r="A21" s="132"/>
      <c r="B21" s="133"/>
      <c r="C21" s="134"/>
      <c r="D21" s="135" t="str">
        <f>IF(OR(A21="",C21=""),"",IF(C21&lt;='14 Setup'!$B$7,"Y","N"))</f>
        <v/>
      </c>
      <c r="E21" s="136" t="str">
        <f>IF(A21="","",COUNTIF('10 Revision log'!$A$7:$A$56,A21))</f>
        <v/>
      </c>
      <c r="F21" s="137" t="str">
        <f t="shared" si="0"/>
        <v/>
      </c>
      <c r="G21" s="138"/>
      <c r="H21" s="139" t="str">
        <f>IF(A21="","",SUMIFS('04 Resource log'!$H$7:$H$506,'04 Resource log'!$A$7:$A$506,A21,'04 Resource log'!$E$7:$E$506,"Labour"))</f>
        <v/>
      </c>
      <c r="I21" s="139" t="str">
        <f>IF(A21="","",SUMIFS('04 Resource log'!$H$7:$H$506,'04 Resource log'!$A$7:$A$506,A21,'04 Resource log'!$E$7:$E$506,"Plant"))</f>
        <v/>
      </c>
      <c r="J21" s="139" t="str">
        <f>IF(A21="","",COUNTIF('09 Not yet reported'!$A$7:$A$46,A21))</f>
        <v/>
      </c>
      <c r="K21" s="139" t="str">
        <f>IF(A21="","",COUNTIFS('06 Event log'!$A$7:$A$506,A21,'06 Event log'!$H$7:$H$506,"Y"))</f>
        <v/>
      </c>
      <c r="L21" s="140" t="str">
        <f>IF(A21="","",IFERROR(INDEX('06 Event log'!$C$7:$C$506,MATCH(A21,'06 Event log'!$A$7:$A$506,0)),""))</f>
        <v/>
      </c>
      <c r="M21" s="133"/>
      <c r="N21" s="133"/>
      <c r="O21" s="133"/>
      <c r="P21" s="133"/>
      <c r="Q21" s="133"/>
      <c r="R21" s="133"/>
      <c r="S21" s="6"/>
      <c r="T21" s="6"/>
      <c r="U21" s="6"/>
      <c r="V21" s="6"/>
      <c r="W21" s="6"/>
      <c r="X21" s="6"/>
      <c r="Y21" s="6"/>
      <c r="Z21" s="6"/>
    </row>
    <row r="22" spans="1:26" x14ac:dyDescent="0.3">
      <c r="A22" s="132"/>
      <c r="B22" s="133"/>
      <c r="C22" s="134"/>
      <c r="D22" s="135" t="str">
        <f>IF(OR(A22="",C22=""),"",IF(C22&lt;='14 Setup'!$B$7,"Y","N"))</f>
        <v/>
      </c>
      <c r="E22" s="136" t="str">
        <f>IF(A22="","",COUNTIF('10 Revision log'!$A$7:$A$56,A22))</f>
        <v/>
      </c>
      <c r="F22" s="137" t="str">
        <f t="shared" si="0"/>
        <v/>
      </c>
      <c r="G22" s="138"/>
      <c r="H22" s="139" t="str">
        <f>IF(A22="","",SUMIFS('04 Resource log'!$H$7:$H$506,'04 Resource log'!$A$7:$A$506,A22,'04 Resource log'!$E$7:$E$506,"Labour"))</f>
        <v/>
      </c>
      <c r="I22" s="139" t="str">
        <f>IF(A22="","",SUMIFS('04 Resource log'!$H$7:$H$506,'04 Resource log'!$A$7:$A$506,A22,'04 Resource log'!$E$7:$E$506,"Plant"))</f>
        <v/>
      </c>
      <c r="J22" s="139" t="str">
        <f>IF(A22="","",COUNTIF('09 Not yet reported'!$A$7:$A$46,A22))</f>
        <v/>
      </c>
      <c r="K22" s="139" t="str">
        <f>IF(A22="","",COUNTIFS('06 Event log'!$A$7:$A$506,A22,'06 Event log'!$H$7:$H$506,"Y"))</f>
        <v/>
      </c>
      <c r="L22" s="140" t="str">
        <f>IF(A22="","",IFERROR(INDEX('06 Event log'!$C$7:$C$506,MATCH(A22,'06 Event log'!$A$7:$A$506,0)),""))</f>
        <v/>
      </c>
      <c r="M22" s="133"/>
      <c r="N22" s="133"/>
      <c r="O22" s="133"/>
      <c r="P22" s="133"/>
      <c r="Q22" s="133"/>
      <c r="R22" s="133"/>
      <c r="S22" s="6"/>
      <c r="T22" s="6"/>
      <c r="U22" s="6"/>
      <c r="V22" s="6"/>
      <c r="W22" s="6"/>
      <c r="X22" s="6"/>
      <c r="Y22" s="6"/>
      <c r="Z22" s="6"/>
    </row>
    <row r="23" spans="1:26" x14ac:dyDescent="0.3">
      <c r="A23" s="132"/>
      <c r="B23" s="133"/>
      <c r="C23" s="134"/>
      <c r="D23" s="135" t="str">
        <f>IF(OR(A23="",C23=""),"",IF(C23&lt;='14 Setup'!$B$7,"Y","N"))</f>
        <v/>
      </c>
      <c r="E23" s="136" t="str">
        <f>IF(A23="","",COUNTIF('10 Revision log'!$A$7:$A$56,A23))</f>
        <v/>
      </c>
      <c r="F23" s="137" t="str">
        <f t="shared" si="0"/>
        <v/>
      </c>
      <c r="G23" s="138"/>
      <c r="H23" s="139" t="str">
        <f>IF(A23="","",SUMIFS('04 Resource log'!$H$7:$H$506,'04 Resource log'!$A$7:$A$506,A23,'04 Resource log'!$E$7:$E$506,"Labour"))</f>
        <v/>
      </c>
      <c r="I23" s="139" t="str">
        <f>IF(A23="","",SUMIFS('04 Resource log'!$H$7:$H$506,'04 Resource log'!$A$7:$A$506,A23,'04 Resource log'!$E$7:$E$506,"Plant"))</f>
        <v/>
      </c>
      <c r="J23" s="139" t="str">
        <f>IF(A23="","",COUNTIF('09 Not yet reported'!$A$7:$A$46,A23))</f>
        <v/>
      </c>
      <c r="K23" s="139" t="str">
        <f>IF(A23="","",COUNTIFS('06 Event log'!$A$7:$A$506,A23,'06 Event log'!$H$7:$H$506,"Y"))</f>
        <v/>
      </c>
      <c r="L23" s="140" t="str">
        <f>IF(A23="","",IFERROR(INDEX('06 Event log'!$C$7:$C$506,MATCH(A23,'06 Event log'!$A$7:$A$506,0)),""))</f>
        <v/>
      </c>
      <c r="M23" s="133"/>
      <c r="N23" s="133"/>
      <c r="O23" s="133"/>
      <c r="P23" s="133"/>
      <c r="Q23" s="133"/>
      <c r="R23" s="133"/>
      <c r="S23" s="6"/>
      <c r="T23" s="6"/>
      <c r="U23" s="6"/>
      <c r="V23" s="6"/>
      <c r="W23" s="6"/>
      <c r="X23" s="6"/>
      <c r="Y23" s="6"/>
      <c r="Z23" s="6"/>
    </row>
    <row r="24" spans="1:26" x14ac:dyDescent="0.3">
      <c r="A24" s="132"/>
      <c r="B24" s="133"/>
      <c r="C24" s="134"/>
      <c r="D24" s="135" t="str">
        <f>IF(OR(A24="",C24=""),"",IF(C24&lt;='14 Setup'!$B$7,"Y","N"))</f>
        <v/>
      </c>
      <c r="E24" s="136" t="str">
        <f>IF(A24="","",COUNTIF('10 Revision log'!$A$7:$A$56,A24))</f>
        <v/>
      </c>
      <c r="F24" s="137" t="str">
        <f t="shared" si="0"/>
        <v/>
      </c>
      <c r="G24" s="138"/>
      <c r="H24" s="139" t="str">
        <f>IF(A24="","",SUMIFS('04 Resource log'!$H$7:$H$506,'04 Resource log'!$A$7:$A$506,A24,'04 Resource log'!$E$7:$E$506,"Labour"))</f>
        <v/>
      </c>
      <c r="I24" s="139" t="str">
        <f>IF(A24="","",SUMIFS('04 Resource log'!$H$7:$H$506,'04 Resource log'!$A$7:$A$506,A24,'04 Resource log'!$E$7:$E$506,"Plant"))</f>
        <v/>
      </c>
      <c r="J24" s="139" t="str">
        <f>IF(A24="","",COUNTIF('09 Not yet reported'!$A$7:$A$46,A24))</f>
        <v/>
      </c>
      <c r="K24" s="139" t="str">
        <f>IF(A24="","",COUNTIFS('06 Event log'!$A$7:$A$506,A24,'06 Event log'!$H$7:$H$506,"Y"))</f>
        <v/>
      </c>
      <c r="L24" s="140" t="str">
        <f>IF(A24="","",IFERROR(INDEX('06 Event log'!$C$7:$C$506,MATCH(A24,'06 Event log'!$A$7:$A$506,0)),""))</f>
        <v/>
      </c>
      <c r="M24" s="133"/>
      <c r="N24" s="133"/>
      <c r="O24" s="133"/>
      <c r="P24" s="133"/>
      <c r="Q24" s="133"/>
      <c r="R24" s="133"/>
      <c r="S24" s="6"/>
      <c r="T24" s="6"/>
      <c r="U24" s="6"/>
      <c r="V24" s="6"/>
      <c r="W24" s="6"/>
      <c r="X24" s="6"/>
      <c r="Y24" s="6"/>
      <c r="Z24" s="6"/>
    </row>
    <row r="25" spans="1:26" x14ac:dyDescent="0.3">
      <c r="A25" s="132"/>
      <c r="B25" s="133"/>
      <c r="C25" s="134"/>
      <c r="D25" s="135" t="str">
        <f>IF(OR(A25="",C25=""),"",IF(C25&lt;='14 Setup'!$B$7,"Y","N"))</f>
        <v/>
      </c>
      <c r="E25" s="136" t="str">
        <f>IF(A25="","",COUNTIF('10 Revision log'!$A$7:$A$56,A25))</f>
        <v/>
      </c>
      <c r="F25" s="137" t="str">
        <f t="shared" si="0"/>
        <v/>
      </c>
      <c r="G25" s="138"/>
      <c r="H25" s="139" t="str">
        <f>IF(A25="","",SUMIFS('04 Resource log'!$H$7:$H$506,'04 Resource log'!$A$7:$A$506,A25,'04 Resource log'!$E$7:$E$506,"Labour"))</f>
        <v/>
      </c>
      <c r="I25" s="139" t="str">
        <f>IF(A25="","",SUMIFS('04 Resource log'!$H$7:$H$506,'04 Resource log'!$A$7:$A$506,A25,'04 Resource log'!$E$7:$E$506,"Plant"))</f>
        <v/>
      </c>
      <c r="J25" s="139" t="str">
        <f>IF(A25="","",COUNTIF('09 Not yet reported'!$A$7:$A$46,A25))</f>
        <v/>
      </c>
      <c r="K25" s="139" t="str">
        <f>IF(A25="","",COUNTIFS('06 Event log'!$A$7:$A$506,A25,'06 Event log'!$H$7:$H$506,"Y"))</f>
        <v/>
      </c>
      <c r="L25" s="140" t="str">
        <f>IF(A25="","",IFERROR(INDEX('06 Event log'!$C$7:$C$506,MATCH(A25,'06 Event log'!$A$7:$A$506,0)),""))</f>
        <v/>
      </c>
      <c r="M25" s="133"/>
      <c r="N25" s="133"/>
      <c r="O25" s="133"/>
      <c r="P25" s="133"/>
      <c r="Q25" s="133"/>
      <c r="R25" s="133"/>
      <c r="S25" s="6"/>
      <c r="T25" s="6"/>
      <c r="U25" s="6"/>
      <c r="V25" s="6"/>
      <c r="W25" s="6"/>
      <c r="X25" s="6"/>
      <c r="Y25" s="6"/>
      <c r="Z25" s="6"/>
    </row>
    <row r="26" spans="1:26" x14ac:dyDescent="0.3">
      <c r="A26" s="132"/>
      <c r="B26" s="133"/>
      <c r="C26" s="134"/>
      <c r="D26" s="135" t="str">
        <f>IF(OR(A26="",C26=""),"",IF(C26&lt;='14 Setup'!$B$7,"Y","N"))</f>
        <v/>
      </c>
      <c r="E26" s="136" t="str">
        <f>IF(A26="","",COUNTIF('10 Revision log'!$A$7:$A$56,A26))</f>
        <v/>
      </c>
      <c r="F26" s="137" t="str">
        <f t="shared" si="0"/>
        <v/>
      </c>
      <c r="G26" s="138"/>
      <c r="H26" s="139" t="str">
        <f>IF(A26="","",SUMIFS('04 Resource log'!$H$7:$H$506,'04 Resource log'!$A$7:$A$506,A26,'04 Resource log'!$E$7:$E$506,"Labour"))</f>
        <v/>
      </c>
      <c r="I26" s="139" t="str">
        <f>IF(A26="","",SUMIFS('04 Resource log'!$H$7:$H$506,'04 Resource log'!$A$7:$A$506,A26,'04 Resource log'!$E$7:$E$506,"Plant"))</f>
        <v/>
      </c>
      <c r="J26" s="139" t="str">
        <f>IF(A26="","",COUNTIF('09 Not yet reported'!$A$7:$A$46,A26))</f>
        <v/>
      </c>
      <c r="K26" s="139" t="str">
        <f>IF(A26="","",COUNTIFS('06 Event log'!$A$7:$A$506,A26,'06 Event log'!$H$7:$H$506,"Y"))</f>
        <v/>
      </c>
      <c r="L26" s="140" t="str">
        <f>IF(A26="","",IFERROR(INDEX('06 Event log'!$C$7:$C$506,MATCH(A26,'06 Event log'!$A$7:$A$506,0)),""))</f>
        <v/>
      </c>
      <c r="M26" s="133"/>
      <c r="N26" s="133"/>
      <c r="O26" s="133"/>
      <c r="P26" s="133"/>
      <c r="Q26" s="133"/>
      <c r="R26" s="133"/>
      <c r="S26" s="6"/>
      <c r="T26" s="6"/>
      <c r="U26" s="6"/>
      <c r="V26" s="6"/>
      <c r="W26" s="6"/>
      <c r="X26" s="6"/>
      <c r="Y26" s="6"/>
      <c r="Z26" s="6"/>
    </row>
    <row r="27" spans="1:26" x14ac:dyDescent="0.3">
      <c r="A27" s="132"/>
      <c r="B27" s="133"/>
      <c r="C27" s="134"/>
      <c r="D27" s="135" t="str">
        <f>IF(OR(A27="",C27=""),"",IF(C27&lt;='14 Setup'!$B$7,"Y","N"))</f>
        <v/>
      </c>
      <c r="E27" s="136" t="str">
        <f>IF(A27="","",COUNTIF('10 Revision log'!$A$7:$A$56,A27))</f>
        <v/>
      </c>
      <c r="F27" s="137" t="str">
        <f t="shared" si="0"/>
        <v/>
      </c>
      <c r="G27" s="138"/>
      <c r="H27" s="139" t="str">
        <f>IF(A27="","",SUMIFS('04 Resource log'!$H$7:$H$506,'04 Resource log'!$A$7:$A$506,A27,'04 Resource log'!$E$7:$E$506,"Labour"))</f>
        <v/>
      </c>
      <c r="I27" s="139" t="str">
        <f>IF(A27="","",SUMIFS('04 Resource log'!$H$7:$H$506,'04 Resource log'!$A$7:$A$506,A27,'04 Resource log'!$E$7:$E$506,"Plant"))</f>
        <v/>
      </c>
      <c r="J27" s="139" t="str">
        <f>IF(A27="","",COUNTIF('09 Not yet reported'!$A$7:$A$46,A27))</f>
        <v/>
      </c>
      <c r="K27" s="139" t="str">
        <f>IF(A27="","",COUNTIFS('06 Event log'!$A$7:$A$506,A27,'06 Event log'!$H$7:$H$506,"Y"))</f>
        <v/>
      </c>
      <c r="L27" s="140" t="str">
        <f>IF(A27="","",IFERROR(INDEX('06 Event log'!$C$7:$C$506,MATCH(A27,'06 Event log'!$A$7:$A$506,0)),""))</f>
        <v/>
      </c>
      <c r="M27" s="133"/>
      <c r="N27" s="133"/>
      <c r="O27" s="133"/>
      <c r="P27" s="133"/>
      <c r="Q27" s="133"/>
      <c r="R27" s="133"/>
      <c r="S27" s="6"/>
      <c r="T27" s="6"/>
      <c r="U27" s="6"/>
      <c r="V27" s="6"/>
      <c r="W27" s="6"/>
      <c r="X27" s="6"/>
      <c r="Y27" s="6"/>
      <c r="Z27" s="6"/>
    </row>
    <row r="28" spans="1:26" x14ac:dyDescent="0.3">
      <c r="A28" s="132"/>
      <c r="B28" s="133"/>
      <c r="C28" s="134"/>
      <c r="D28" s="135" t="str">
        <f>IF(OR(A28="",C28=""),"",IF(C28&lt;='14 Setup'!$B$7,"Y","N"))</f>
        <v/>
      </c>
      <c r="E28" s="136" t="str">
        <f>IF(A28="","",COUNTIF('10 Revision log'!$A$7:$A$56,A28))</f>
        <v/>
      </c>
      <c r="F28" s="137" t="str">
        <f t="shared" si="0"/>
        <v/>
      </c>
      <c r="G28" s="138"/>
      <c r="H28" s="139" t="str">
        <f>IF(A28="","",SUMIFS('04 Resource log'!$H$7:$H$506,'04 Resource log'!$A$7:$A$506,A28,'04 Resource log'!$E$7:$E$506,"Labour"))</f>
        <v/>
      </c>
      <c r="I28" s="139" t="str">
        <f>IF(A28="","",SUMIFS('04 Resource log'!$H$7:$H$506,'04 Resource log'!$A$7:$A$506,A28,'04 Resource log'!$E$7:$E$506,"Plant"))</f>
        <v/>
      </c>
      <c r="J28" s="139" t="str">
        <f>IF(A28="","",COUNTIF('09 Not yet reported'!$A$7:$A$46,A28))</f>
        <v/>
      </c>
      <c r="K28" s="139" t="str">
        <f>IF(A28="","",COUNTIFS('06 Event log'!$A$7:$A$506,A28,'06 Event log'!$H$7:$H$506,"Y"))</f>
        <v/>
      </c>
      <c r="L28" s="140" t="str">
        <f>IF(A28="","",IFERROR(INDEX('06 Event log'!$C$7:$C$506,MATCH(A28,'06 Event log'!$A$7:$A$506,0)),""))</f>
        <v/>
      </c>
      <c r="M28" s="133"/>
      <c r="N28" s="133"/>
      <c r="O28" s="133"/>
      <c r="P28" s="133"/>
      <c r="Q28" s="133"/>
      <c r="R28" s="133"/>
      <c r="S28" s="6"/>
      <c r="T28" s="6"/>
      <c r="U28" s="6"/>
      <c r="V28" s="6"/>
      <c r="W28" s="6"/>
      <c r="X28" s="6"/>
      <c r="Y28" s="6"/>
      <c r="Z28" s="6"/>
    </row>
    <row r="29" spans="1:26" x14ac:dyDescent="0.3">
      <c r="A29" s="132"/>
      <c r="B29" s="133"/>
      <c r="C29" s="134"/>
      <c r="D29" s="135" t="str">
        <f>IF(OR(A29="",C29=""),"",IF(C29&lt;='14 Setup'!$B$7,"Y","N"))</f>
        <v/>
      </c>
      <c r="E29" s="136" t="str">
        <f>IF(A29="","",COUNTIF('10 Revision log'!$A$7:$A$56,A29))</f>
        <v/>
      </c>
      <c r="F29" s="137" t="str">
        <f t="shared" si="0"/>
        <v/>
      </c>
      <c r="G29" s="138"/>
      <c r="H29" s="139" t="str">
        <f>IF(A29="","",SUMIFS('04 Resource log'!$H$7:$H$506,'04 Resource log'!$A$7:$A$506,A29,'04 Resource log'!$E$7:$E$506,"Labour"))</f>
        <v/>
      </c>
      <c r="I29" s="139" t="str">
        <f>IF(A29="","",SUMIFS('04 Resource log'!$H$7:$H$506,'04 Resource log'!$A$7:$A$506,A29,'04 Resource log'!$E$7:$E$506,"Plant"))</f>
        <v/>
      </c>
      <c r="J29" s="139" t="str">
        <f>IF(A29="","",COUNTIF('09 Not yet reported'!$A$7:$A$46,A29))</f>
        <v/>
      </c>
      <c r="K29" s="139" t="str">
        <f>IF(A29="","",COUNTIFS('06 Event log'!$A$7:$A$506,A29,'06 Event log'!$H$7:$H$506,"Y"))</f>
        <v/>
      </c>
      <c r="L29" s="140" t="str">
        <f>IF(A29="","",IFERROR(INDEX('06 Event log'!$C$7:$C$506,MATCH(A29,'06 Event log'!$A$7:$A$506,0)),""))</f>
        <v/>
      </c>
      <c r="M29" s="133"/>
      <c r="N29" s="133"/>
      <c r="O29" s="133"/>
      <c r="P29" s="133"/>
      <c r="Q29" s="133"/>
      <c r="R29" s="133"/>
      <c r="S29" s="6"/>
      <c r="T29" s="6"/>
      <c r="U29" s="6"/>
      <c r="V29" s="6"/>
      <c r="W29" s="6"/>
      <c r="X29" s="6"/>
      <c r="Y29" s="6"/>
      <c r="Z29" s="6"/>
    </row>
    <row r="30" spans="1:26" x14ac:dyDescent="0.3">
      <c r="A30" s="132"/>
      <c r="B30" s="133"/>
      <c r="C30" s="134"/>
      <c r="D30" s="135" t="str">
        <f>IF(OR(A30="",C30=""),"",IF(C30&lt;='14 Setup'!$B$7,"Y","N"))</f>
        <v/>
      </c>
      <c r="E30" s="136" t="str">
        <f>IF(A30="","",COUNTIF('10 Revision log'!$A$7:$A$56,A30))</f>
        <v/>
      </c>
      <c r="F30" s="137" t="str">
        <f t="shared" si="0"/>
        <v/>
      </c>
      <c r="G30" s="138"/>
      <c r="H30" s="139" t="str">
        <f>IF(A30="","",SUMIFS('04 Resource log'!$H$7:$H$506,'04 Resource log'!$A$7:$A$506,A30,'04 Resource log'!$E$7:$E$506,"Labour"))</f>
        <v/>
      </c>
      <c r="I30" s="139" t="str">
        <f>IF(A30="","",SUMIFS('04 Resource log'!$H$7:$H$506,'04 Resource log'!$A$7:$A$506,A30,'04 Resource log'!$E$7:$E$506,"Plant"))</f>
        <v/>
      </c>
      <c r="J30" s="139" t="str">
        <f>IF(A30="","",COUNTIF('09 Not yet reported'!$A$7:$A$46,A30))</f>
        <v/>
      </c>
      <c r="K30" s="139" t="str">
        <f>IF(A30="","",COUNTIFS('06 Event log'!$A$7:$A$506,A30,'06 Event log'!$H$7:$H$506,"Y"))</f>
        <v/>
      </c>
      <c r="L30" s="140" t="str">
        <f>IF(A30="","",IFERROR(INDEX('06 Event log'!$C$7:$C$506,MATCH(A30,'06 Event log'!$A$7:$A$506,0)),""))</f>
        <v/>
      </c>
      <c r="M30" s="133"/>
      <c r="N30" s="133"/>
      <c r="O30" s="133"/>
      <c r="P30" s="133"/>
      <c r="Q30" s="133"/>
      <c r="R30" s="133"/>
      <c r="S30" s="6"/>
      <c r="T30" s="6"/>
      <c r="U30" s="6"/>
      <c r="V30" s="6"/>
      <c r="W30" s="6"/>
      <c r="X30" s="6"/>
      <c r="Y30" s="6"/>
      <c r="Z30" s="6"/>
    </row>
    <row r="31" spans="1:26" x14ac:dyDescent="0.3">
      <c r="A31" s="132"/>
      <c r="B31" s="133"/>
      <c r="C31" s="134"/>
      <c r="D31" s="135" t="str">
        <f>IF(OR(A31="",C31=""),"",IF(C31&lt;='14 Setup'!$B$7,"Y","N"))</f>
        <v/>
      </c>
      <c r="E31" s="136" t="str">
        <f>IF(A31="","",COUNTIF('10 Revision log'!$A$7:$A$56,A31))</f>
        <v/>
      </c>
      <c r="F31" s="137" t="str">
        <f t="shared" si="0"/>
        <v/>
      </c>
      <c r="G31" s="138"/>
      <c r="H31" s="139" t="str">
        <f>IF(A31="","",SUMIFS('04 Resource log'!$H$7:$H$506,'04 Resource log'!$A$7:$A$506,A31,'04 Resource log'!$E$7:$E$506,"Labour"))</f>
        <v/>
      </c>
      <c r="I31" s="139" t="str">
        <f>IF(A31="","",SUMIFS('04 Resource log'!$H$7:$H$506,'04 Resource log'!$A$7:$A$506,A31,'04 Resource log'!$E$7:$E$506,"Plant"))</f>
        <v/>
      </c>
      <c r="J31" s="139" t="str">
        <f>IF(A31="","",COUNTIF('09 Not yet reported'!$A$7:$A$46,A31))</f>
        <v/>
      </c>
      <c r="K31" s="139" t="str">
        <f>IF(A31="","",COUNTIFS('06 Event log'!$A$7:$A$506,A31,'06 Event log'!$H$7:$H$506,"Y"))</f>
        <v/>
      </c>
      <c r="L31" s="140" t="str">
        <f>IF(A31="","",IFERROR(INDEX('06 Event log'!$C$7:$C$506,MATCH(A31,'06 Event log'!$A$7:$A$506,0)),""))</f>
        <v/>
      </c>
      <c r="M31" s="133"/>
      <c r="N31" s="133"/>
      <c r="O31" s="133"/>
      <c r="P31" s="133"/>
      <c r="Q31" s="133"/>
      <c r="R31" s="133"/>
      <c r="S31" s="6"/>
      <c r="T31" s="6"/>
      <c r="U31" s="6"/>
      <c r="V31" s="6"/>
      <c r="W31" s="6"/>
      <c r="X31" s="6"/>
      <c r="Y31" s="6"/>
      <c r="Z31" s="6"/>
    </row>
    <row r="32" spans="1:26" x14ac:dyDescent="0.3">
      <c r="A32" s="132"/>
      <c r="B32" s="133"/>
      <c r="C32" s="134"/>
      <c r="D32" s="135" t="str">
        <f>IF(OR(A32="",C32=""),"",IF(C32&lt;='14 Setup'!$B$7,"Y","N"))</f>
        <v/>
      </c>
      <c r="E32" s="136" t="str">
        <f>IF(A32="","",COUNTIF('10 Revision log'!$A$7:$A$56,A32))</f>
        <v/>
      </c>
      <c r="F32" s="137" t="str">
        <f t="shared" si="0"/>
        <v/>
      </c>
      <c r="G32" s="138"/>
      <c r="H32" s="139" t="str">
        <f>IF(A32="","",SUMIFS('04 Resource log'!$H$7:$H$506,'04 Resource log'!$A$7:$A$506,A32,'04 Resource log'!$E$7:$E$506,"Labour"))</f>
        <v/>
      </c>
      <c r="I32" s="139" t="str">
        <f>IF(A32="","",SUMIFS('04 Resource log'!$H$7:$H$506,'04 Resource log'!$A$7:$A$506,A32,'04 Resource log'!$E$7:$E$506,"Plant"))</f>
        <v/>
      </c>
      <c r="J32" s="139" t="str">
        <f>IF(A32="","",COUNTIF('09 Not yet reported'!$A$7:$A$46,A32))</f>
        <v/>
      </c>
      <c r="K32" s="139" t="str">
        <f>IF(A32="","",COUNTIFS('06 Event log'!$A$7:$A$506,A32,'06 Event log'!$H$7:$H$506,"Y"))</f>
        <v/>
      </c>
      <c r="L32" s="140" t="str">
        <f>IF(A32="","",IFERROR(INDEX('06 Event log'!$C$7:$C$506,MATCH(A32,'06 Event log'!$A$7:$A$506,0)),""))</f>
        <v/>
      </c>
      <c r="M32" s="133"/>
      <c r="N32" s="133"/>
      <c r="O32" s="133"/>
      <c r="P32" s="133"/>
      <c r="Q32" s="133"/>
      <c r="R32" s="133"/>
      <c r="S32" s="6"/>
      <c r="T32" s="6"/>
      <c r="U32" s="6"/>
      <c r="V32" s="6"/>
      <c r="W32" s="6"/>
      <c r="X32" s="6"/>
      <c r="Y32" s="6"/>
      <c r="Z32" s="6"/>
    </row>
    <row r="33" spans="1:26" x14ac:dyDescent="0.3">
      <c r="A33" s="132"/>
      <c r="B33" s="133"/>
      <c r="C33" s="134"/>
      <c r="D33" s="135" t="str">
        <f>IF(OR(A33="",C33=""),"",IF(C33&lt;='14 Setup'!$B$7,"Y","N"))</f>
        <v/>
      </c>
      <c r="E33" s="136" t="str">
        <f>IF(A33="","",COUNTIF('10 Revision log'!$A$7:$A$56,A33))</f>
        <v/>
      </c>
      <c r="F33" s="137" t="str">
        <f t="shared" si="0"/>
        <v/>
      </c>
      <c r="G33" s="138"/>
      <c r="H33" s="139" t="str">
        <f>IF(A33="","",SUMIFS('04 Resource log'!$H$7:$H$506,'04 Resource log'!$A$7:$A$506,A33,'04 Resource log'!$E$7:$E$506,"Labour"))</f>
        <v/>
      </c>
      <c r="I33" s="139" t="str">
        <f>IF(A33="","",SUMIFS('04 Resource log'!$H$7:$H$506,'04 Resource log'!$A$7:$A$506,A33,'04 Resource log'!$E$7:$E$506,"Plant"))</f>
        <v/>
      </c>
      <c r="J33" s="139" t="str">
        <f>IF(A33="","",COUNTIF('09 Not yet reported'!$A$7:$A$46,A33))</f>
        <v/>
      </c>
      <c r="K33" s="139" t="str">
        <f>IF(A33="","",COUNTIFS('06 Event log'!$A$7:$A$506,A33,'06 Event log'!$H$7:$H$506,"Y"))</f>
        <v/>
      </c>
      <c r="L33" s="140" t="str">
        <f>IF(A33="","",IFERROR(INDEX('06 Event log'!$C$7:$C$506,MATCH(A33,'06 Event log'!$A$7:$A$506,0)),""))</f>
        <v/>
      </c>
      <c r="M33" s="133"/>
      <c r="N33" s="133"/>
      <c r="O33" s="133"/>
      <c r="P33" s="133"/>
      <c r="Q33" s="133"/>
      <c r="R33" s="133"/>
      <c r="S33" s="6"/>
      <c r="T33" s="6"/>
      <c r="U33" s="6"/>
      <c r="V33" s="6"/>
      <c r="W33" s="6"/>
      <c r="X33" s="6"/>
      <c r="Y33" s="6"/>
      <c r="Z33" s="6"/>
    </row>
    <row r="34" spans="1:26" x14ac:dyDescent="0.3">
      <c r="A34" s="132"/>
      <c r="B34" s="133"/>
      <c r="C34" s="134"/>
      <c r="D34" s="135" t="str">
        <f>IF(OR(A34="",C34=""),"",IF(C34&lt;='14 Setup'!$B$7,"Y","N"))</f>
        <v/>
      </c>
      <c r="E34" s="136" t="str">
        <f>IF(A34="","",COUNTIF('10 Revision log'!$A$7:$A$56,A34))</f>
        <v/>
      </c>
      <c r="F34" s="137" t="str">
        <f t="shared" si="0"/>
        <v/>
      </c>
      <c r="G34" s="138"/>
      <c r="H34" s="139" t="str">
        <f>IF(A34="","",SUMIFS('04 Resource log'!$H$7:$H$506,'04 Resource log'!$A$7:$A$506,A34,'04 Resource log'!$E$7:$E$506,"Labour"))</f>
        <v/>
      </c>
      <c r="I34" s="139" t="str">
        <f>IF(A34="","",SUMIFS('04 Resource log'!$H$7:$H$506,'04 Resource log'!$A$7:$A$506,A34,'04 Resource log'!$E$7:$E$506,"Plant"))</f>
        <v/>
      </c>
      <c r="J34" s="139" t="str">
        <f>IF(A34="","",COUNTIF('09 Not yet reported'!$A$7:$A$46,A34))</f>
        <v/>
      </c>
      <c r="K34" s="139" t="str">
        <f>IF(A34="","",COUNTIFS('06 Event log'!$A$7:$A$506,A34,'06 Event log'!$H$7:$H$506,"Y"))</f>
        <v/>
      </c>
      <c r="L34" s="140" t="str">
        <f>IF(A34="","",IFERROR(INDEX('06 Event log'!$C$7:$C$506,MATCH(A34,'06 Event log'!$A$7:$A$506,0)),""))</f>
        <v/>
      </c>
      <c r="M34" s="133"/>
      <c r="N34" s="133"/>
      <c r="O34" s="133"/>
      <c r="P34" s="133"/>
      <c r="Q34" s="133"/>
      <c r="R34" s="133"/>
      <c r="S34" s="6"/>
      <c r="T34" s="6"/>
      <c r="U34" s="6"/>
      <c r="V34" s="6"/>
      <c r="W34" s="6"/>
      <c r="X34" s="6"/>
      <c r="Y34" s="6"/>
      <c r="Z34" s="6"/>
    </row>
    <row r="35" spans="1:26" x14ac:dyDescent="0.3">
      <c r="A35" s="132"/>
      <c r="B35" s="133"/>
      <c r="C35" s="134"/>
      <c r="D35" s="135" t="str">
        <f>IF(OR(A35="",C35=""),"",IF(C35&lt;='14 Setup'!$B$7,"Y","N"))</f>
        <v/>
      </c>
      <c r="E35" s="136" t="str">
        <f>IF(A35="","",COUNTIF('10 Revision log'!$A$7:$A$56,A35))</f>
        <v/>
      </c>
      <c r="F35" s="137" t="str">
        <f t="shared" si="0"/>
        <v/>
      </c>
      <c r="G35" s="138"/>
      <c r="H35" s="139" t="str">
        <f>IF(A35="","",SUMIFS('04 Resource log'!$H$7:$H$506,'04 Resource log'!$A$7:$A$506,A35,'04 Resource log'!$E$7:$E$506,"Labour"))</f>
        <v/>
      </c>
      <c r="I35" s="139" t="str">
        <f>IF(A35="","",SUMIFS('04 Resource log'!$H$7:$H$506,'04 Resource log'!$A$7:$A$506,A35,'04 Resource log'!$E$7:$E$506,"Plant"))</f>
        <v/>
      </c>
      <c r="J35" s="139" t="str">
        <f>IF(A35="","",COUNTIF('09 Not yet reported'!$A$7:$A$46,A35))</f>
        <v/>
      </c>
      <c r="K35" s="139" t="str">
        <f>IF(A35="","",COUNTIFS('06 Event log'!$A$7:$A$506,A35,'06 Event log'!$H$7:$H$506,"Y"))</f>
        <v/>
      </c>
      <c r="L35" s="140" t="str">
        <f>IF(A35="","",IFERROR(INDEX('06 Event log'!$C$7:$C$506,MATCH(A35,'06 Event log'!$A$7:$A$506,0)),""))</f>
        <v/>
      </c>
      <c r="M35" s="133"/>
      <c r="N35" s="133"/>
      <c r="O35" s="133"/>
      <c r="P35" s="133"/>
      <c r="Q35" s="133"/>
      <c r="R35" s="133"/>
      <c r="S35" s="6"/>
      <c r="T35" s="6"/>
      <c r="U35" s="6"/>
      <c r="V35" s="6"/>
      <c r="W35" s="6"/>
      <c r="X35" s="6"/>
      <c r="Y35" s="6"/>
      <c r="Z35" s="6"/>
    </row>
    <row r="36" spans="1:26" x14ac:dyDescent="0.3">
      <c r="A36" s="132"/>
      <c r="B36" s="133"/>
      <c r="C36" s="134"/>
      <c r="D36" s="135" t="str">
        <f>IF(OR(A36="",C36=""),"",IF(C36&lt;='14 Setup'!$B$7,"Y","N"))</f>
        <v/>
      </c>
      <c r="E36" s="136" t="str">
        <f>IF(A36="","",COUNTIF('10 Revision log'!$A$7:$A$56,A36))</f>
        <v/>
      </c>
      <c r="F36" s="137" t="str">
        <f t="shared" si="0"/>
        <v/>
      </c>
      <c r="G36" s="138"/>
      <c r="H36" s="139" t="str">
        <f>IF(A36="","",SUMIFS('04 Resource log'!$H$7:$H$506,'04 Resource log'!$A$7:$A$506,A36,'04 Resource log'!$E$7:$E$506,"Labour"))</f>
        <v/>
      </c>
      <c r="I36" s="139" t="str">
        <f>IF(A36="","",SUMIFS('04 Resource log'!$H$7:$H$506,'04 Resource log'!$A$7:$A$506,A36,'04 Resource log'!$E$7:$E$506,"Plant"))</f>
        <v/>
      </c>
      <c r="J36" s="139" t="str">
        <f>IF(A36="","",COUNTIF('09 Not yet reported'!$A$7:$A$46,A36))</f>
        <v/>
      </c>
      <c r="K36" s="139" t="str">
        <f>IF(A36="","",COUNTIFS('06 Event log'!$A$7:$A$506,A36,'06 Event log'!$H$7:$H$506,"Y"))</f>
        <v/>
      </c>
      <c r="L36" s="140" t="str">
        <f>IF(A36="","",IFERROR(INDEX('06 Event log'!$C$7:$C$506,MATCH(A36,'06 Event log'!$A$7:$A$506,0)),""))</f>
        <v/>
      </c>
      <c r="M36" s="133"/>
      <c r="N36" s="133"/>
      <c r="O36" s="133"/>
      <c r="P36" s="133"/>
      <c r="Q36" s="133"/>
      <c r="R36" s="133"/>
      <c r="S36" s="6"/>
      <c r="T36" s="6"/>
      <c r="U36" s="6"/>
      <c r="V36" s="6"/>
      <c r="W36" s="6"/>
      <c r="X36" s="6"/>
      <c r="Y36" s="6"/>
      <c r="Z36" s="6"/>
    </row>
    <row r="37" spans="1:26" x14ac:dyDescent="0.3">
      <c r="A37" s="132"/>
      <c r="B37" s="133"/>
      <c r="C37" s="134"/>
      <c r="D37" s="135" t="str">
        <f>IF(OR(A37="",C37=""),"",IF(C37&lt;='14 Setup'!$B$7,"Y","N"))</f>
        <v/>
      </c>
      <c r="E37" s="136" t="str">
        <f>IF(A37="","",COUNTIF('10 Revision log'!$A$7:$A$56,A37))</f>
        <v/>
      </c>
      <c r="F37" s="137" t="str">
        <f t="shared" si="0"/>
        <v/>
      </c>
      <c r="G37" s="138"/>
      <c r="H37" s="139" t="str">
        <f>IF(A37="","",SUMIFS('04 Resource log'!$H$7:$H$506,'04 Resource log'!$A$7:$A$506,A37,'04 Resource log'!$E$7:$E$506,"Labour"))</f>
        <v/>
      </c>
      <c r="I37" s="139" t="str">
        <f>IF(A37="","",SUMIFS('04 Resource log'!$H$7:$H$506,'04 Resource log'!$A$7:$A$506,A37,'04 Resource log'!$E$7:$E$506,"Plant"))</f>
        <v/>
      </c>
      <c r="J37" s="139" t="str">
        <f>IF(A37="","",COUNTIF('09 Not yet reported'!$A$7:$A$46,A37))</f>
        <v/>
      </c>
      <c r="K37" s="139" t="str">
        <f>IF(A37="","",COUNTIFS('06 Event log'!$A$7:$A$506,A37,'06 Event log'!$H$7:$H$506,"Y"))</f>
        <v/>
      </c>
      <c r="L37" s="140" t="str">
        <f>IF(A37="","",IFERROR(INDEX('06 Event log'!$C$7:$C$506,MATCH(A37,'06 Event log'!$A$7:$A$506,0)),""))</f>
        <v/>
      </c>
      <c r="M37" s="133"/>
      <c r="N37" s="133"/>
      <c r="O37" s="133"/>
      <c r="P37" s="133"/>
      <c r="Q37" s="133"/>
      <c r="R37" s="133"/>
      <c r="S37" s="6"/>
      <c r="T37" s="6"/>
      <c r="U37" s="6"/>
      <c r="V37" s="6"/>
      <c r="W37" s="6"/>
      <c r="X37" s="6"/>
      <c r="Y37" s="6"/>
      <c r="Z37" s="6"/>
    </row>
    <row r="38" spans="1:26" x14ac:dyDescent="0.3">
      <c r="A38" s="132"/>
      <c r="B38" s="133"/>
      <c r="C38" s="134"/>
      <c r="D38" s="135" t="str">
        <f>IF(OR(A38="",C38=""),"",IF(C38&lt;='14 Setup'!$B$7,"Y","N"))</f>
        <v/>
      </c>
      <c r="E38" s="136" t="str">
        <f>IF(A38="","",COUNTIF('10 Revision log'!$A$7:$A$56,A38))</f>
        <v/>
      </c>
      <c r="F38" s="137" t="str">
        <f t="shared" si="0"/>
        <v/>
      </c>
      <c r="G38" s="138"/>
      <c r="H38" s="139" t="str">
        <f>IF(A38="","",SUMIFS('04 Resource log'!$H$7:$H$506,'04 Resource log'!$A$7:$A$506,A38,'04 Resource log'!$E$7:$E$506,"Labour"))</f>
        <v/>
      </c>
      <c r="I38" s="139" t="str">
        <f>IF(A38="","",SUMIFS('04 Resource log'!$H$7:$H$506,'04 Resource log'!$A$7:$A$506,A38,'04 Resource log'!$E$7:$E$506,"Plant"))</f>
        <v/>
      </c>
      <c r="J38" s="139" t="str">
        <f>IF(A38="","",COUNTIF('09 Not yet reported'!$A$7:$A$46,A38))</f>
        <v/>
      </c>
      <c r="K38" s="139" t="str">
        <f>IF(A38="","",COUNTIFS('06 Event log'!$A$7:$A$506,A38,'06 Event log'!$H$7:$H$506,"Y"))</f>
        <v/>
      </c>
      <c r="L38" s="140" t="str">
        <f>IF(A38="","",IFERROR(INDEX('06 Event log'!$C$7:$C$506,MATCH(A38,'06 Event log'!$A$7:$A$506,0)),""))</f>
        <v/>
      </c>
      <c r="M38" s="133"/>
      <c r="N38" s="133"/>
      <c r="O38" s="133"/>
      <c r="P38" s="133"/>
      <c r="Q38" s="133"/>
      <c r="R38" s="133"/>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phoneticPr fontId="43" type="noConversion"/>
  <conditionalFormatting sqref="D8:D38">
    <cfRule type="cellIs" dxfId="34" priority="3" operator="equal">
      <formula>"N"</formula>
    </cfRule>
  </conditionalFormatting>
  <conditionalFormatting sqref="E8:E38">
    <cfRule type="cellIs" dxfId="33" priority="4" operator="greaterThan">
      <formula>0</formula>
    </cfRule>
  </conditionalFormatting>
  <conditionalFormatting sqref="G8:G38">
    <cfRule type="cellIs" dxfId="32" priority="1" operator="equal">
      <formula>"Lost"</formula>
    </cfRule>
    <cfRule type="cellIs" dxfId="31" priority="2" operator="equal">
      <formula>"Part lost"</formula>
    </cfRule>
  </conditionalFormatting>
  <conditionalFormatting sqref="K8:K38">
    <cfRule type="cellIs" dxfId="30" priority="5" operator="greaterThan">
      <formula>0</formula>
    </cfRule>
  </conditionalFormatting>
  <dataValidations count="4">
    <dataValidation type="list" allowBlank="1" sqref="G8:G38" xr:uid="{00000000-0002-0000-0400-000000000000}">
      <formula1>"Workable,Part lost,Lost"</formula1>
    </dataValidation>
    <dataValidation type="decimal" allowBlank="1" showInputMessage="1" showErrorMessage="1" sqref="O8:O38" xr:uid="{3F30210D-8C10-4631-8B5F-FBA89749F250}">
      <formula1>0</formula1>
      <formula2>500</formula2>
    </dataValidation>
    <dataValidation type="decimal" allowBlank="1" showInputMessage="1" showErrorMessage="1" sqref="P8:P38" xr:uid="{E33B17C2-766B-49C9-BD92-E42D1E02F950}">
      <formula1>-30</formula1>
      <formula2>50</formula2>
    </dataValidation>
    <dataValidation type="date" operator="greaterThan" allowBlank="1" showInputMessage="1" showErrorMessage="1" sqref="A8:A38" xr:uid="{F6D03BA6-23EC-4761-9DDE-A91D80435CEC}">
      <formula1>43831</formula1>
    </dataValidation>
  </dataValidations>
  <printOptions horizontalCentered="1"/>
  <pageMargins left="0.4" right="0.4" top="0.5" bottom="0.5" header="0.5" footer="0.5"/>
  <pageSetup paperSize="9" scale="48" orientation="landscape" r:id="rId1"/>
  <headerFooter>
    <oddHeader>&amp;R&amp;BThe Project Control Hub</oddHeader>
    <oddFooter>&amp;L&amp;8The Project Control Hub · &amp;A&amp;R&amp;8Page &amp;P of &amp;N</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861B2C6F-B2BD-40D4-B6CF-694671DA611A}">
          <x14:formula1>
            <xm:f>'14 Setup'!$N$12:$N$26</xm:f>
          </x14:formula1>
          <xm:sqref>M8:N38</xm:sqref>
        </x14:dataValidation>
        <x14:dataValidation type="list" allowBlank="1" showInputMessage="1" showErrorMessage="1" xr:uid="{2B731005-118A-4F41-8DEE-2D61908119DD}">
          <x14:formula1>
            <xm:f>'14 Setup'!$H$12:$H$26</xm:f>
          </x14:formula1>
          <xm:sqref>Q8:R38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A277A-6F19-4790-BB45-51B9DDB3221B}">
  <sheetPr>
    <tabColor rgb="FF15803D"/>
    <pageSetUpPr fitToPage="1"/>
  </sheetPr>
  <dimension ref="A1:Z1000"/>
  <sheetViews>
    <sheetView showGridLines="0" zoomScale="70" zoomScaleNormal="70" workbookViewId="0">
      <pane ySplit="6" topLeftCell="A7" activePane="bottomLeft" state="frozen"/>
      <selection pane="bottomLeft"/>
    </sheetView>
  </sheetViews>
  <sheetFormatPr defaultRowHeight="14.4" x14ac:dyDescent="0.3"/>
  <cols>
    <col min="1" max="1" width="14.77734375" customWidth="1"/>
    <col min="2" max="2" width="16.6640625" customWidth="1"/>
    <col min="3" max="3" width="33.33203125" customWidth="1"/>
    <col min="4" max="4" width="18.5546875" customWidth="1"/>
    <col min="5" max="5" width="35.21875" customWidth="1"/>
    <col min="6" max="6" width="24.109375" customWidth="1"/>
    <col min="7" max="7" width="13" customWidth="1"/>
    <col min="8" max="8" width="8.33203125" customWidth="1"/>
    <col min="9" max="10" width="14.77734375" customWidth="1"/>
    <col min="11" max="11" width="13.88671875" customWidth="1"/>
    <col min="12" max="12" width="22.21875" customWidth="1"/>
    <col min="13" max="13" width="16.6640625" customWidth="1"/>
    <col min="14" max="14" width="35.21875" customWidth="1"/>
    <col min="15" max="15" width="24.109375" customWidth="1"/>
    <col min="16" max="16" width="13" customWidth="1"/>
    <col min="17" max="17" width="8.33203125" customWidth="1"/>
    <col min="18" max="18" width="14.77734375" customWidth="1"/>
    <col min="19" max="19" width="42.5546875" customWidth="1"/>
  </cols>
  <sheetData>
    <row r="1" spans="1:26" ht="28.05" customHeight="1" x14ac:dyDescent="0.4">
      <c r="A1" s="112" t="s">
        <v>317</v>
      </c>
      <c r="B1" s="6"/>
      <c r="C1" s="6"/>
      <c r="D1" s="6"/>
      <c r="E1" s="6"/>
      <c r="F1" s="6"/>
      <c r="G1" s="6"/>
      <c r="H1" s="6"/>
      <c r="I1" s="6"/>
      <c r="J1" s="113"/>
      <c r="K1" s="6"/>
      <c r="L1" s="176" t="s">
        <v>32</v>
      </c>
      <c r="M1" s="6"/>
      <c r="N1" s="6"/>
      <c r="O1" s="6"/>
      <c r="P1" s="6"/>
      <c r="Q1" s="6"/>
      <c r="R1" s="6"/>
      <c r="S1" s="6"/>
      <c r="T1" s="6"/>
      <c r="U1" s="6"/>
      <c r="V1" s="6"/>
      <c r="W1" s="6"/>
      <c r="X1" s="6"/>
      <c r="Y1" s="6"/>
      <c r="Z1" s="6"/>
    </row>
    <row r="2" spans="1:26" x14ac:dyDescent="0.3">
      <c r="A2" s="114" t="s">
        <v>318</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354</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16"/>
      <c r="B4" s="116"/>
      <c r="C4" s="116"/>
      <c r="D4" s="116"/>
      <c r="E4" s="116"/>
      <c r="F4" s="116"/>
      <c r="G4" s="116"/>
      <c r="H4" s="116"/>
      <c r="I4" s="116"/>
      <c r="J4" s="11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42</v>
      </c>
      <c r="B6" s="141" t="s">
        <v>294</v>
      </c>
      <c r="C6" s="141" t="s">
        <v>405</v>
      </c>
      <c r="D6" s="141" t="s">
        <v>406</v>
      </c>
      <c r="E6" s="141" t="s">
        <v>129</v>
      </c>
      <c r="F6" s="141" t="s">
        <v>319</v>
      </c>
      <c r="G6" s="141" t="s">
        <v>83</v>
      </c>
      <c r="H6" s="141" t="s">
        <v>320</v>
      </c>
      <c r="I6" s="141" t="s">
        <v>86</v>
      </c>
      <c r="J6" s="141" t="s">
        <v>321</v>
      </c>
      <c r="K6" s="141" t="s">
        <v>353</v>
      </c>
      <c r="L6" s="141" t="s">
        <v>98</v>
      </c>
      <c r="M6" s="6"/>
      <c r="N6" s="6"/>
      <c r="O6" s="6"/>
      <c r="P6" s="6"/>
      <c r="Q6" s="6"/>
      <c r="R6" s="6"/>
      <c r="S6" s="6"/>
      <c r="T6" s="6"/>
      <c r="U6" s="6"/>
      <c r="V6" s="6"/>
      <c r="W6" s="6"/>
      <c r="X6" s="6"/>
      <c r="Y6" s="6"/>
      <c r="Z6" s="6"/>
    </row>
    <row r="7" spans="1:26" ht="18" customHeight="1" x14ac:dyDescent="0.3">
      <c r="A7" s="142">
        <v>46084</v>
      </c>
      <c r="B7" s="143" t="s">
        <v>275</v>
      </c>
      <c r="C7" s="144" t="str">
        <f>IF(B7="","",IFERROR(INDEX('12 P6 activities'!$B$7:$B$206,MATCH(B7,'12 P6 activities'!$A$7:$A$206,0)),"⚠ not in P6 list"))</f>
        <v>Bored piles, north</v>
      </c>
      <c r="D7" s="144" t="str">
        <f>IF(B7="","",IFERROR(INDEX('12 P6 activities'!$C$7:$C$206,MATCH(B7,'12 P6 activities'!$A$7:$A$206,0)),"⚠ not in P6 list"))</f>
        <v>SITE.FND.PIL</v>
      </c>
      <c r="E7" s="145" t="s">
        <v>322</v>
      </c>
      <c r="F7" s="146" t="s">
        <v>58</v>
      </c>
      <c r="G7" s="147" t="s">
        <v>89</v>
      </c>
      <c r="H7" s="148">
        <v>6</v>
      </c>
      <c r="I7" s="149">
        <v>9</v>
      </c>
      <c r="J7" s="150">
        <f>IF(OR(H7="",I7=""),"",H7*I7)</f>
        <v>54</v>
      </c>
      <c r="K7" s="149"/>
      <c r="L7" s="149"/>
      <c r="M7" s="6"/>
      <c r="N7" s="6"/>
      <c r="O7" s="6"/>
      <c r="P7" s="6"/>
      <c r="Q7" s="6"/>
      <c r="R7" s="6"/>
      <c r="S7" s="6"/>
      <c r="T7" s="6"/>
      <c r="U7" s="6"/>
      <c r="V7" s="6"/>
      <c r="W7" s="6"/>
      <c r="X7" s="6"/>
      <c r="Y7" s="6"/>
      <c r="Z7" s="6"/>
    </row>
    <row r="8" spans="1:26" ht="18" customHeight="1" x14ac:dyDescent="0.3">
      <c r="A8" s="142">
        <v>46084</v>
      </c>
      <c r="B8" s="143" t="s">
        <v>279</v>
      </c>
      <c r="C8" s="144" t="str">
        <f>IF(B8="","",IFERROR(INDEX('12 P6 activities'!$B$7:$B$206,MATCH(B8,'12 P6 activities'!$A$7:$A$206,0)),"⚠ not in P6 list"))</f>
        <v>Raft reinforcement, bay 1</v>
      </c>
      <c r="D8" s="144" t="str">
        <f>IF(B8="","",IFERROR(INDEX('12 P6 activities'!$C$7:$C$206,MATCH(B8,'12 P6 activities'!$A$7:$A$206,0)),"⚠ not in P6 list"))</f>
        <v>SITE.FND.RAF</v>
      </c>
      <c r="E8" s="145" t="s">
        <v>322</v>
      </c>
      <c r="F8" s="146" t="s">
        <v>60</v>
      </c>
      <c r="G8" s="147" t="s">
        <v>90</v>
      </c>
      <c r="H8" s="148">
        <v>8</v>
      </c>
      <c r="I8" s="149">
        <v>9</v>
      </c>
      <c r="J8" s="150">
        <f t="shared" ref="J8:J71" si="0">IF(OR(H8="",I8=""),"",H8*I8)</f>
        <v>72</v>
      </c>
      <c r="K8" s="149"/>
      <c r="L8" s="149"/>
      <c r="M8" s="6"/>
      <c r="N8" s="6"/>
      <c r="O8" s="6"/>
      <c r="P8" s="6"/>
      <c r="Q8" s="6"/>
      <c r="R8" s="6"/>
      <c r="S8" s="6"/>
      <c r="T8" s="6"/>
      <c r="U8" s="6"/>
      <c r="V8" s="6"/>
      <c r="W8" s="6"/>
      <c r="X8" s="6"/>
      <c r="Y8" s="6"/>
      <c r="Z8" s="6"/>
    </row>
    <row r="9" spans="1:26" ht="18" customHeight="1" x14ac:dyDescent="0.3">
      <c r="A9" s="142">
        <v>46084</v>
      </c>
      <c r="B9" s="143" t="s">
        <v>284</v>
      </c>
      <c r="C9" s="144" t="str">
        <f>IF(B9="","",IFERROR(INDEX('12 P6 activities'!$B$7:$B$206,MATCH(B9,'12 P6 activities'!$A$7:$A$206,0)),"⚠ not in P6 list"))</f>
        <v>Blinding, substation slab</v>
      </c>
      <c r="D9" s="144" t="str">
        <f>IF(B9="","",IFERROR(INDEX('12 P6 activities'!$C$7:$C$206,MATCH(B9,'12 P6 activities'!$A$7:$A$206,0)),"⚠ not in P6 list"))</f>
        <v>SITE.SUB.SLB</v>
      </c>
      <c r="E9" s="145" t="s">
        <v>322</v>
      </c>
      <c r="F9" s="146" t="s">
        <v>62</v>
      </c>
      <c r="G9" s="147" t="s">
        <v>91</v>
      </c>
      <c r="H9" s="148">
        <v>6</v>
      </c>
      <c r="I9" s="149">
        <v>9</v>
      </c>
      <c r="J9" s="150">
        <f t="shared" si="0"/>
        <v>54</v>
      </c>
      <c r="K9" s="149"/>
      <c r="L9" s="149"/>
      <c r="M9" s="6"/>
      <c r="N9" s="6"/>
      <c r="O9" s="6"/>
      <c r="P9" s="6"/>
      <c r="Q9" s="6"/>
      <c r="R9" s="6"/>
      <c r="S9" s="6"/>
      <c r="T9" s="6"/>
      <c r="U9" s="6"/>
      <c r="V9" s="6"/>
      <c r="W9" s="6"/>
      <c r="X9" s="6"/>
      <c r="Y9" s="6"/>
      <c r="Z9" s="6"/>
    </row>
    <row r="10" spans="1:26" ht="18" customHeight="1" x14ac:dyDescent="0.3">
      <c r="A10" s="142">
        <v>46084</v>
      </c>
      <c r="B10" s="143" t="s">
        <v>286</v>
      </c>
      <c r="C10" s="144" t="str">
        <f>IF(B10="","",IFERROR(INDEX('12 P6 activities'!$B$7:$B$206,MATCH(B10,'12 P6 activities'!$A$7:$A$206,0)),"⚠ not in P6 list"))</f>
        <v>Drainage run D2</v>
      </c>
      <c r="D10" s="144" t="str">
        <f>IF(B10="","",IFERROR(INDEX('12 P6 activities'!$C$7:$C$206,MATCH(B10,'12 P6 activities'!$A$7:$A$206,0)),"⚠ not in P6 list"))</f>
        <v>SITE.EXT.DRN</v>
      </c>
      <c r="E10" s="145" t="s">
        <v>322</v>
      </c>
      <c r="F10" s="146" t="s">
        <v>64</v>
      </c>
      <c r="G10" s="147" t="s">
        <v>64</v>
      </c>
      <c r="H10" s="148">
        <v>5</v>
      </c>
      <c r="I10" s="149">
        <v>9</v>
      </c>
      <c r="J10" s="150">
        <f t="shared" si="0"/>
        <v>45</v>
      </c>
      <c r="K10" s="149"/>
      <c r="L10" s="149"/>
      <c r="M10" s="6"/>
      <c r="N10" s="6"/>
      <c r="O10" s="6"/>
      <c r="P10" s="6"/>
      <c r="Q10" s="6"/>
      <c r="R10" s="6"/>
      <c r="S10" s="6"/>
      <c r="T10" s="6"/>
      <c r="U10" s="6"/>
      <c r="V10" s="6"/>
      <c r="W10" s="6"/>
      <c r="X10" s="6"/>
      <c r="Y10" s="6"/>
      <c r="Z10" s="6"/>
    </row>
    <row r="11" spans="1:26" ht="18" customHeight="1" x14ac:dyDescent="0.3">
      <c r="A11" s="142">
        <v>46084</v>
      </c>
      <c r="B11" s="143" t="s">
        <v>323</v>
      </c>
      <c r="C11" s="144" t="str">
        <f>IF(B11="","",IFERROR(INDEX('12 P6 activities'!$B$7:$B$206,MATCH(B11,'12 P6 activities'!$A$7:$A$206,0)),"⚠ not in P6 list"))</f>
        <v>Indirect work: supervision, welfare, cleaning</v>
      </c>
      <c r="D11" s="144" t="str">
        <f>IF(B11="","",IFERROR(INDEX('12 P6 activities'!$C$7:$C$206,MATCH(B11,'12 P6 activities'!$A$7:$A$206,0)),"⚠ not in P6 list"))</f>
        <v>SITE.IND</v>
      </c>
      <c r="E11" s="145" t="s">
        <v>322</v>
      </c>
      <c r="F11" s="146" t="s">
        <v>66</v>
      </c>
      <c r="G11" s="147" t="s">
        <v>92</v>
      </c>
      <c r="H11" s="148">
        <v>3</v>
      </c>
      <c r="I11" s="149">
        <v>10</v>
      </c>
      <c r="J11" s="150">
        <f t="shared" si="0"/>
        <v>30</v>
      </c>
      <c r="K11" s="149"/>
      <c r="L11" s="149"/>
      <c r="M11" s="6"/>
      <c r="N11" s="6"/>
      <c r="O11" s="6"/>
      <c r="P11" s="6"/>
      <c r="Q11" s="6"/>
      <c r="R11" s="6"/>
      <c r="S11" s="6"/>
      <c r="T11" s="6"/>
      <c r="U11" s="6"/>
      <c r="V11" s="6"/>
      <c r="W11" s="6"/>
      <c r="X11" s="6"/>
      <c r="Y11" s="6"/>
      <c r="Z11" s="6"/>
    </row>
    <row r="12" spans="1:26" ht="18" customHeight="1" x14ac:dyDescent="0.3">
      <c r="A12" s="142">
        <v>46084</v>
      </c>
      <c r="B12" s="143" t="s">
        <v>275</v>
      </c>
      <c r="C12" s="144" t="str">
        <f>IF(B12="","",IFERROR(INDEX('12 P6 activities'!$B$7:$B$206,MATCH(B12,'12 P6 activities'!$A$7:$A$206,0)),"⚠ not in P6 list"))</f>
        <v>Bored piles, north</v>
      </c>
      <c r="D12" s="144" t="str">
        <f>IF(B12="","",IFERROR(INDEX('12 P6 activities'!$C$7:$C$206,MATCH(B12,'12 P6 activities'!$A$7:$A$206,0)),"⚠ not in P6 list"))</f>
        <v>SITE.FND.PIL</v>
      </c>
      <c r="E12" s="145" t="s">
        <v>57</v>
      </c>
      <c r="F12" s="146" t="s">
        <v>59</v>
      </c>
      <c r="G12" s="147"/>
      <c r="H12" s="148">
        <v>1</v>
      </c>
      <c r="I12" s="149">
        <v>9</v>
      </c>
      <c r="J12" s="150">
        <f t="shared" si="0"/>
        <v>9</v>
      </c>
      <c r="K12" s="149">
        <v>1</v>
      </c>
      <c r="L12" s="149"/>
      <c r="M12" s="6"/>
      <c r="N12" s="6"/>
      <c r="O12" s="6"/>
      <c r="P12" s="6"/>
      <c r="Q12" s="6"/>
      <c r="R12" s="6"/>
      <c r="S12" s="6"/>
      <c r="T12" s="6"/>
      <c r="U12" s="6"/>
      <c r="V12" s="6"/>
      <c r="W12" s="6"/>
      <c r="X12" s="6"/>
      <c r="Y12" s="6"/>
      <c r="Z12" s="6"/>
    </row>
    <row r="13" spans="1:26" ht="18" customHeight="1" x14ac:dyDescent="0.3">
      <c r="A13" s="142">
        <v>46084</v>
      </c>
      <c r="B13" s="143" t="s">
        <v>279</v>
      </c>
      <c r="C13" s="144" t="str">
        <f>IF(B13="","",IFERROR(INDEX('12 P6 activities'!$B$7:$B$206,MATCH(B13,'12 P6 activities'!$A$7:$A$206,0)),"⚠ not in P6 list"))</f>
        <v>Raft reinforcement, bay 1</v>
      </c>
      <c r="D13" s="144" t="str">
        <f>IF(B13="","",IFERROR(INDEX('12 P6 activities'!$C$7:$C$206,MATCH(B13,'12 P6 activities'!$A$7:$A$206,0)),"⚠ not in P6 list"))</f>
        <v>SITE.FND.RAF</v>
      </c>
      <c r="E13" s="145" t="s">
        <v>57</v>
      </c>
      <c r="F13" s="146" t="s">
        <v>61</v>
      </c>
      <c r="G13" s="147"/>
      <c r="H13" s="148">
        <v>1</v>
      </c>
      <c r="I13" s="149">
        <v>9</v>
      </c>
      <c r="J13" s="150">
        <f t="shared" si="0"/>
        <v>9</v>
      </c>
      <c r="K13" s="149">
        <v>1</v>
      </c>
      <c r="L13" s="149"/>
      <c r="M13" s="6"/>
      <c r="N13" s="6"/>
      <c r="O13" s="6"/>
      <c r="P13" s="6"/>
      <c r="Q13" s="6"/>
      <c r="R13" s="6"/>
      <c r="S13" s="6"/>
      <c r="T13" s="6"/>
      <c r="U13" s="6"/>
      <c r="V13" s="6"/>
      <c r="W13" s="6"/>
      <c r="X13" s="6"/>
      <c r="Y13" s="6"/>
      <c r="Z13" s="6"/>
    </row>
    <row r="14" spans="1:26" ht="18" customHeight="1" x14ac:dyDescent="0.3">
      <c r="A14" s="142">
        <v>46084</v>
      </c>
      <c r="B14" s="143" t="s">
        <v>286</v>
      </c>
      <c r="C14" s="144" t="str">
        <f>IF(B14="","",IFERROR(INDEX('12 P6 activities'!$B$7:$B$206,MATCH(B14,'12 P6 activities'!$A$7:$A$206,0)),"⚠ not in P6 list"))</f>
        <v>Drainage run D2</v>
      </c>
      <c r="D14" s="144" t="str">
        <f>IF(B14="","",IFERROR(INDEX('12 P6 activities'!$C$7:$C$206,MATCH(B14,'12 P6 activities'!$A$7:$A$206,0)),"⚠ not in P6 list"))</f>
        <v>SITE.EXT.DRN</v>
      </c>
      <c r="E14" s="145" t="s">
        <v>57</v>
      </c>
      <c r="F14" s="146" t="s">
        <v>63</v>
      </c>
      <c r="G14" s="147"/>
      <c r="H14" s="148">
        <v>1</v>
      </c>
      <c r="I14" s="149">
        <v>9</v>
      </c>
      <c r="J14" s="150">
        <f t="shared" si="0"/>
        <v>9</v>
      </c>
      <c r="K14" s="149">
        <v>2</v>
      </c>
      <c r="L14" s="149" t="s">
        <v>244</v>
      </c>
      <c r="M14" s="6"/>
      <c r="N14" s="6"/>
      <c r="O14" s="6"/>
      <c r="P14" s="6"/>
      <c r="Q14" s="6"/>
      <c r="R14" s="6"/>
      <c r="S14" s="6"/>
      <c r="T14" s="6"/>
      <c r="U14" s="6"/>
      <c r="V14" s="6"/>
      <c r="W14" s="6"/>
      <c r="X14" s="6"/>
      <c r="Y14" s="6"/>
      <c r="Z14" s="6"/>
    </row>
    <row r="15" spans="1:26" ht="18" customHeight="1" x14ac:dyDescent="0.3">
      <c r="A15" s="142">
        <v>46084</v>
      </c>
      <c r="B15" s="143" t="s">
        <v>284</v>
      </c>
      <c r="C15" s="144" t="str">
        <f>IF(B15="","",IFERROR(INDEX('12 P6 activities'!$B$7:$B$206,MATCH(B15,'12 P6 activities'!$A$7:$A$206,0)),"⚠ not in P6 list"))</f>
        <v>Blinding, substation slab</v>
      </c>
      <c r="D15" s="144" t="str">
        <f>IF(B15="","",IFERROR(INDEX('12 P6 activities'!$C$7:$C$206,MATCH(B15,'12 P6 activities'!$A$7:$A$206,0)),"⚠ not in P6 list"))</f>
        <v>SITE.SUB.SLB</v>
      </c>
      <c r="E15" s="145" t="s">
        <v>57</v>
      </c>
      <c r="F15" s="146" t="s">
        <v>65</v>
      </c>
      <c r="G15" s="147"/>
      <c r="H15" s="148">
        <v>0</v>
      </c>
      <c r="I15" s="149">
        <v>0</v>
      </c>
      <c r="J15" s="150">
        <f>IF(OR(H15="",I15=""),"",H15*I15)</f>
        <v>0</v>
      </c>
      <c r="K15" s="149">
        <v>1</v>
      </c>
      <c r="L15" s="149" t="s">
        <v>243</v>
      </c>
      <c r="M15" s="6"/>
      <c r="N15" s="6"/>
      <c r="O15" s="6"/>
      <c r="P15" s="6"/>
      <c r="Q15" s="6"/>
      <c r="R15" s="6"/>
      <c r="S15" s="6"/>
      <c r="T15" s="6"/>
      <c r="U15" s="6"/>
      <c r="V15" s="6"/>
      <c r="W15" s="6"/>
      <c r="X15" s="6"/>
      <c r="Y15" s="6"/>
      <c r="Z15" s="6"/>
    </row>
    <row r="16" spans="1:26" ht="18" customHeight="1" x14ac:dyDescent="0.3">
      <c r="A16" s="142">
        <v>46083</v>
      </c>
      <c r="B16" s="143" t="s">
        <v>323</v>
      </c>
      <c r="C16" s="144" t="str">
        <f>IF(B16="","",IFERROR(INDEX('12 P6 activities'!$B$7:$B$206,MATCH(B16,'12 P6 activities'!$A$7:$A$206,0)),"⚠ not in P6 list"))</f>
        <v>Indirect work: supervision, welfare, cleaning</v>
      </c>
      <c r="D16" s="144" t="str">
        <f>IF(B16="","",IFERROR(INDEX('12 P6 activities'!$C$7:$C$206,MATCH(B16,'12 P6 activities'!$A$7:$A$206,0)),"⚠ not in P6 list"))</f>
        <v>SITE.IND</v>
      </c>
      <c r="E16" s="145" t="s">
        <v>322</v>
      </c>
      <c r="F16" s="146" t="s">
        <v>355</v>
      </c>
      <c r="G16" s="147"/>
      <c r="H16" s="148">
        <v>26</v>
      </c>
      <c r="I16" s="149"/>
      <c r="J16" s="150" t="str">
        <f>IF(OR(H16="",I16=""),"",H16*I16)</f>
        <v/>
      </c>
      <c r="K16" s="149"/>
      <c r="L16" s="149"/>
      <c r="M16" s="6"/>
      <c r="N16" s="6"/>
      <c r="O16" s="6"/>
      <c r="P16" s="6"/>
      <c r="Q16" s="6"/>
      <c r="R16" s="6"/>
      <c r="S16" s="6"/>
      <c r="T16" s="6"/>
      <c r="U16" s="6"/>
      <c r="V16" s="6"/>
      <c r="W16" s="6"/>
      <c r="X16" s="6"/>
      <c r="Y16" s="6"/>
      <c r="Z16" s="6"/>
    </row>
    <row r="17" spans="1:26" ht="18" customHeight="1" x14ac:dyDescent="0.3">
      <c r="A17" s="142">
        <v>46083</v>
      </c>
      <c r="B17" s="143" t="s">
        <v>323</v>
      </c>
      <c r="C17" s="144" t="str">
        <f>IF(B17="","",IFERROR(INDEX('12 P6 activities'!$B$7:$B$206,MATCH(B17,'12 P6 activities'!$A$7:$A$206,0)),"⚠ not in P6 list"))</f>
        <v>Indirect work: supervision, welfare, cleaning</v>
      </c>
      <c r="D17" s="144" t="str">
        <f>IF(B17="","",IFERROR(INDEX('12 P6 activities'!$C$7:$C$206,MATCH(B17,'12 P6 activities'!$A$7:$A$206,0)),"⚠ not in P6 list"))</f>
        <v>SITE.IND</v>
      </c>
      <c r="E17" s="145" t="s">
        <v>57</v>
      </c>
      <c r="F17" s="146" t="s">
        <v>356</v>
      </c>
      <c r="G17" s="147"/>
      <c r="H17" s="148">
        <v>4</v>
      </c>
      <c r="I17" s="149"/>
      <c r="J17" s="150" t="str">
        <f>IF(OR(H17="",I17=""),"",H17*I17)</f>
        <v/>
      </c>
      <c r="K17" s="149">
        <v>4</v>
      </c>
      <c r="L17" s="149"/>
      <c r="M17" s="6"/>
      <c r="N17" s="6"/>
      <c r="O17" s="6"/>
      <c r="P17" s="6"/>
      <c r="Q17" s="6"/>
      <c r="R17" s="6"/>
      <c r="S17" s="6"/>
      <c r="T17" s="6"/>
      <c r="U17" s="6"/>
      <c r="V17" s="6"/>
      <c r="W17" s="6"/>
      <c r="X17" s="6"/>
      <c r="Y17" s="6"/>
      <c r="Z17" s="6"/>
    </row>
    <row r="18" spans="1:26" ht="18" customHeight="1" x14ac:dyDescent="0.3">
      <c r="A18" s="142">
        <v>46085</v>
      </c>
      <c r="B18" s="143" t="s">
        <v>323</v>
      </c>
      <c r="C18" s="144" t="str">
        <f>IF(B18="","",IFERROR(INDEX('12 P6 activities'!$B$7:$B$206,MATCH(B18,'12 P6 activities'!$A$7:$A$206,0)),"⚠ not in P6 list"))</f>
        <v>Indirect work: supervision, welfare, cleaning</v>
      </c>
      <c r="D18" s="144" t="str">
        <f>IF(B18="","",IFERROR(INDEX('12 P6 activities'!$C$7:$C$206,MATCH(B18,'12 P6 activities'!$A$7:$A$206,0)),"⚠ not in P6 list"))</f>
        <v>SITE.IND</v>
      </c>
      <c r="E18" s="145" t="s">
        <v>322</v>
      </c>
      <c r="F18" s="146" t="s">
        <v>355</v>
      </c>
      <c r="G18" s="147"/>
      <c r="H18" s="148">
        <v>22</v>
      </c>
      <c r="I18" s="149"/>
      <c r="J18" s="150" t="str">
        <f>IF(OR(H18="",I18=""),"",H18*I18)</f>
        <v/>
      </c>
      <c r="K18" s="149"/>
      <c r="L18" s="149"/>
      <c r="M18" s="6"/>
      <c r="N18" s="6"/>
      <c r="O18" s="6"/>
      <c r="P18" s="6"/>
      <c r="Q18" s="6"/>
      <c r="R18" s="6"/>
      <c r="S18" s="6"/>
      <c r="T18" s="6"/>
      <c r="U18" s="6"/>
      <c r="V18" s="6"/>
      <c r="W18" s="6"/>
      <c r="X18" s="6"/>
      <c r="Y18" s="6"/>
      <c r="Z18" s="6"/>
    </row>
    <row r="19" spans="1:26" ht="18" customHeight="1" x14ac:dyDescent="0.3">
      <c r="A19" s="142">
        <v>46085</v>
      </c>
      <c r="B19" s="143" t="s">
        <v>323</v>
      </c>
      <c r="C19" s="144" t="str">
        <f>IF(B19="","",IFERROR(INDEX('12 P6 activities'!$B$7:$B$206,MATCH(B19,'12 P6 activities'!$A$7:$A$206,0)),"⚠ not in P6 list"))</f>
        <v>Indirect work: supervision, welfare, cleaning</v>
      </c>
      <c r="D19" s="144" t="str">
        <f>IF(B19="","",IFERROR(INDEX('12 P6 activities'!$C$7:$C$206,MATCH(B19,'12 P6 activities'!$A$7:$A$206,0)),"⚠ not in P6 list"))</f>
        <v>SITE.IND</v>
      </c>
      <c r="E19" s="145" t="s">
        <v>57</v>
      </c>
      <c r="F19" s="146" t="s">
        <v>356</v>
      </c>
      <c r="G19" s="147"/>
      <c r="H19" s="148">
        <v>3</v>
      </c>
      <c r="I19" s="149"/>
      <c r="J19" s="150" t="str">
        <f>IF(OR(H19="",I19=""),"",H19*I19)</f>
        <v/>
      </c>
      <c r="K19" s="149">
        <v>3</v>
      </c>
      <c r="L19" s="149"/>
      <c r="M19" s="6"/>
      <c r="N19" s="6"/>
      <c r="O19" s="6"/>
      <c r="P19" s="6"/>
      <c r="Q19" s="6"/>
      <c r="R19" s="6"/>
      <c r="S19" s="6"/>
      <c r="T19" s="6"/>
      <c r="U19" s="6"/>
      <c r="V19" s="6"/>
      <c r="W19" s="6"/>
      <c r="X19" s="6"/>
      <c r="Y19" s="6"/>
      <c r="Z19" s="6"/>
    </row>
    <row r="20" spans="1:26" ht="18" customHeight="1" x14ac:dyDescent="0.3">
      <c r="A20" s="142">
        <v>46086</v>
      </c>
      <c r="B20" s="143" t="s">
        <v>323</v>
      </c>
      <c r="C20" s="144" t="str">
        <f>IF(B20="","",IFERROR(INDEX('12 P6 activities'!$B$7:$B$206,MATCH(B20,'12 P6 activities'!$A$7:$A$206,0)),"⚠ not in P6 list"))</f>
        <v>Indirect work: supervision, welfare, cleaning</v>
      </c>
      <c r="D20" s="144" t="str">
        <f>IF(B20="","",IFERROR(INDEX('12 P6 activities'!$C$7:$C$206,MATCH(B20,'12 P6 activities'!$A$7:$A$206,0)),"⚠ not in P6 list"))</f>
        <v>SITE.IND</v>
      </c>
      <c r="E20" s="145" t="s">
        <v>322</v>
      </c>
      <c r="F20" s="146" t="s">
        <v>355</v>
      </c>
      <c r="G20" s="147"/>
      <c r="H20" s="148">
        <v>10</v>
      </c>
      <c r="I20" s="149"/>
      <c r="J20" s="150" t="str">
        <f>IF(OR(H20="",I20=""),"",H20*I20)</f>
        <v/>
      </c>
      <c r="K20" s="149"/>
      <c r="L20" s="149"/>
      <c r="M20" s="6"/>
      <c r="N20" s="6"/>
      <c r="O20" s="6"/>
      <c r="P20" s="6"/>
      <c r="Q20" s="6"/>
      <c r="R20" s="6"/>
      <c r="S20" s="6"/>
      <c r="T20" s="6"/>
      <c r="U20" s="6"/>
      <c r="V20" s="6"/>
      <c r="W20" s="6"/>
      <c r="X20" s="6"/>
      <c r="Y20" s="6"/>
      <c r="Z20" s="6"/>
    </row>
    <row r="21" spans="1:26" ht="18" customHeight="1" x14ac:dyDescent="0.3">
      <c r="A21" s="142">
        <v>46086</v>
      </c>
      <c r="B21" s="143" t="s">
        <v>323</v>
      </c>
      <c r="C21" s="144" t="str">
        <f>IF(B21="","",IFERROR(INDEX('12 P6 activities'!$B$7:$B$206,MATCH(B21,'12 P6 activities'!$A$7:$A$206,0)),"⚠ not in P6 list"))</f>
        <v>Indirect work: supervision, welfare, cleaning</v>
      </c>
      <c r="D21" s="144" t="str">
        <f>IF(B21="","",IFERROR(INDEX('12 P6 activities'!$C$7:$C$206,MATCH(B21,'12 P6 activities'!$A$7:$A$206,0)),"⚠ not in P6 list"))</f>
        <v>SITE.IND</v>
      </c>
      <c r="E21" s="145" t="s">
        <v>57</v>
      </c>
      <c r="F21" s="146" t="s">
        <v>356</v>
      </c>
      <c r="G21" s="147"/>
      <c r="H21" s="148">
        <v>1</v>
      </c>
      <c r="I21" s="149"/>
      <c r="J21" s="150" t="str">
        <f>IF(OR(H21="",I21=""),"",H21*I21)</f>
        <v/>
      </c>
      <c r="K21" s="149">
        <v>1</v>
      </c>
      <c r="L21" s="149"/>
      <c r="M21" s="6"/>
      <c r="N21" s="6"/>
      <c r="O21" s="6"/>
      <c r="P21" s="6"/>
      <c r="Q21" s="6"/>
      <c r="R21" s="6"/>
      <c r="S21" s="6"/>
      <c r="T21" s="6"/>
      <c r="U21" s="6"/>
      <c r="V21" s="6"/>
      <c r="W21" s="6"/>
      <c r="X21" s="6"/>
      <c r="Y21" s="6"/>
      <c r="Z21" s="6"/>
    </row>
    <row r="22" spans="1:26" ht="18" customHeight="1" x14ac:dyDescent="0.3">
      <c r="A22" s="142">
        <v>46087</v>
      </c>
      <c r="B22" s="143" t="s">
        <v>323</v>
      </c>
      <c r="C22" s="144" t="str">
        <f>IF(B22="","",IFERROR(INDEX('12 P6 activities'!$B$7:$B$206,MATCH(B22,'12 P6 activities'!$A$7:$A$206,0)),"⚠ not in P6 list"))</f>
        <v>Indirect work: supervision, welfare, cleaning</v>
      </c>
      <c r="D22" s="144" t="str">
        <f>IF(B22="","",IFERROR(INDEX('12 P6 activities'!$C$7:$C$206,MATCH(B22,'12 P6 activities'!$A$7:$A$206,0)),"⚠ not in P6 list"))</f>
        <v>SITE.IND</v>
      </c>
      <c r="E22" s="145" t="s">
        <v>322</v>
      </c>
      <c r="F22" s="146" t="s">
        <v>355</v>
      </c>
      <c r="G22" s="147"/>
      <c r="H22" s="148">
        <v>27</v>
      </c>
      <c r="I22" s="149"/>
      <c r="J22" s="150" t="str">
        <f>IF(OR(H22="",I22=""),"",H22*I22)</f>
        <v/>
      </c>
      <c r="K22" s="149"/>
      <c r="L22" s="149"/>
      <c r="M22" s="6"/>
      <c r="N22" s="6"/>
      <c r="O22" s="6"/>
      <c r="P22" s="6"/>
      <c r="Q22" s="6"/>
      <c r="R22" s="6"/>
      <c r="S22" s="6"/>
      <c r="T22" s="6"/>
      <c r="U22" s="6"/>
      <c r="V22" s="6"/>
      <c r="W22" s="6"/>
      <c r="X22" s="6"/>
      <c r="Y22" s="6"/>
      <c r="Z22" s="6"/>
    </row>
    <row r="23" spans="1:26" ht="18" customHeight="1" x14ac:dyDescent="0.3">
      <c r="A23" s="142">
        <v>46087</v>
      </c>
      <c r="B23" s="143" t="s">
        <v>323</v>
      </c>
      <c r="C23" s="144" t="str">
        <f>IF(B23="","",IFERROR(INDEX('12 P6 activities'!$B$7:$B$206,MATCH(B23,'12 P6 activities'!$A$7:$A$206,0)),"⚠ not in P6 list"))</f>
        <v>Indirect work: supervision, welfare, cleaning</v>
      </c>
      <c r="D23" s="144" t="str">
        <f>IF(B23="","",IFERROR(INDEX('12 P6 activities'!$C$7:$C$206,MATCH(B23,'12 P6 activities'!$A$7:$A$206,0)),"⚠ not in P6 list"))</f>
        <v>SITE.IND</v>
      </c>
      <c r="E23" s="145" t="s">
        <v>57</v>
      </c>
      <c r="F23" s="146" t="s">
        <v>356</v>
      </c>
      <c r="G23" s="147"/>
      <c r="H23" s="148">
        <v>4</v>
      </c>
      <c r="I23" s="149"/>
      <c r="J23" s="150" t="str">
        <f>IF(OR(H23="",I23=""),"",H23*I23)</f>
        <v/>
      </c>
      <c r="K23" s="149">
        <v>4</v>
      </c>
      <c r="L23" s="149"/>
      <c r="M23" s="6"/>
      <c r="N23" s="6"/>
      <c r="O23" s="6"/>
      <c r="P23" s="6"/>
      <c r="Q23" s="6"/>
      <c r="R23" s="6"/>
      <c r="S23" s="6"/>
      <c r="T23" s="6"/>
      <c r="U23" s="6"/>
      <c r="V23" s="6"/>
      <c r="W23" s="6"/>
      <c r="X23" s="6"/>
      <c r="Y23" s="6"/>
      <c r="Z23" s="6"/>
    </row>
    <row r="24" spans="1:26" ht="18" customHeight="1" x14ac:dyDescent="0.3">
      <c r="A24" s="142">
        <v>46090</v>
      </c>
      <c r="B24" s="143" t="s">
        <v>323</v>
      </c>
      <c r="C24" s="144" t="str">
        <f>IF(B24="","",IFERROR(INDEX('12 P6 activities'!$B$7:$B$206,MATCH(B24,'12 P6 activities'!$A$7:$A$206,0)),"⚠ not in P6 list"))</f>
        <v>Indirect work: supervision, welfare, cleaning</v>
      </c>
      <c r="D24" s="144" t="str">
        <f>IF(B24="","",IFERROR(INDEX('12 P6 activities'!$C$7:$C$206,MATCH(B24,'12 P6 activities'!$A$7:$A$206,0)),"⚠ not in P6 list"))</f>
        <v>SITE.IND</v>
      </c>
      <c r="E24" s="145" t="s">
        <v>322</v>
      </c>
      <c r="F24" s="146" t="s">
        <v>355</v>
      </c>
      <c r="G24" s="147"/>
      <c r="H24" s="148">
        <v>29</v>
      </c>
      <c r="I24" s="149"/>
      <c r="J24" s="150" t="str">
        <f>IF(OR(H24="",I24=""),"",H24*I24)</f>
        <v/>
      </c>
      <c r="K24" s="149"/>
      <c r="L24" s="149"/>
      <c r="M24" s="6"/>
      <c r="N24" s="6"/>
      <c r="O24" s="6"/>
      <c r="P24" s="6"/>
      <c r="Q24" s="6"/>
      <c r="R24" s="6"/>
      <c r="S24" s="6"/>
      <c r="T24" s="6"/>
      <c r="U24" s="6"/>
      <c r="V24" s="6"/>
      <c r="W24" s="6"/>
      <c r="X24" s="6"/>
      <c r="Y24" s="6"/>
      <c r="Z24" s="6"/>
    </row>
    <row r="25" spans="1:26" ht="18" customHeight="1" x14ac:dyDescent="0.3">
      <c r="A25" s="142">
        <v>46090</v>
      </c>
      <c r="B25" s="143" t="s">
        <v>323</v>
      </c>
      <c r="C25" s="144" t="str">
        <f>IF(B25="","",IFERROR(INDEX('12 P6 activities'!$B$7:$B$206,MATCH(B25,'12 P6 activities'!$A$7:$A$206,0)),"⚠ not in P6 list"))</f>
        <v>Indirect work: supervision, welfare, cleaning</v>
      </c>
      <c r="D25" s="144" t="str">
        <f>IF(B25="","",IFERROR(INDEX('12 P6 activities'!$C$7:$C$206,MATCH(B25,'12 P6 activities'!$A$7:$A$206,0)),"⚠ not in P6 list"))</f>
        <v>SITE.IND</v>
      </c>
      <c r="E25" s="145" t="s">
        <v>57</v>
      </c>
      <c r="F25" s="146" t="s">
        <v>356</v>
      </c>
      <c r="G25" s="147"/>
      <c r="H25" s="148">
        <v>4</v>
      </c>
      <c r="I25" s="149"/>
      <c r="J25" s="150" t="str">
        <f>IF(OR(H25="",I25=""),"",H25*I25)</f>
        <v/>
      </c>
      <c r="K25" s="149">
        <v>4</v>
      </c>
      <c r="L25" s="149"/>
      <c r="M25" s="6"/>
      <c r="N25" s="6"/>
      <c r="O25" s="6"/>
      <c r="P25" s="6"/>
      <c r="Q25" s="6"/>
      <c r="R25" s="6"/>
      <c r="S25" s="6"/>
      <c r="T25" s="6"/>
      <c r="U25" s="6"/>
      <c r="V25" s="6"/>
      <c r="W25" s="6"/>
      <c r="X25" s="6"/>
      <c r="Y25" s="6"/>
      <c r="Z25" s="6"/>
    </row>
    <row r="26" spans="1:26" ht="18" customHeight="1" x14ac:dyDescent="0.3">
      <c r="A26" s="142">
        <v>46091</v>
      </c>
      <c r="B26" s="143" t="s">
        <v>323</v>
      </c>
      <c r="C26" s="144" t="str">
        <f>IF(B26="","",IFERROR(INDEX('12 P6 activities'!$B$7:$B$206,MATCH(B26,'12 P6 activities'!$A$7:$A$206,0)),"⚠ not in P6 list"))</f>
        <v>Indirect work: supervision, welfare, cleaning</v>
      </c>
      <c r="D26" s="144" t="str">
        <f>IF(B26="","",IFERROR(INDEX('12 P6 activities'!$C$7:$C$206,MATCH(B26,'12 P6 activities'!$A$7:$A$206,0)),"⚠ not in P6 list"))</f>
        <v>SITE.IND</v>
      </c>
      <c r="E26" s="145" t="s">
        <v>322</v>
      </c>
      <c r="F26" s="146" t="s">
        <v>355</v>
      </c>
      <c r="G26" s="147"/>
      <c r="H26" s="148">
        <v>30</v>
      </c>
      <c r="I26" s="149"/>
      <c r="J26" s="150" t="str">
        <f>IF(OR(H26="",I26=""),"",H26*I26)</f>
        <v/>
      </c>
      <c r="K26" s="149"/>
      <c r="L26" s="149"/>
      <c r="M26" s="6"/>
      <c r="N26" s="6"/>
      <c r="O26" s="6"/>
      <c r="P26" s="6"/>
      <c r="Q26" s="6"/>
      <c r="R26" s="6"/>
      <c r="S26" s="6"/>
      <c r="T26" s="6"/>
      <c r="U26" s="6"/>
      <c r="V26" s="6"/>
      <c r="W26" s="6"/>
      <c r="X26" s="6"/>
      <c r="Y26" s="6"/>
      <c r="Z26" s="6"/>
    </row>
    <row r="27" spans="1:26" ht="18" customHeight="1" x14ac:dyDescent="0.3">
      <c r="A27" s="142">
        <v>46091</v>
      </c>
      <c r="B27" s="143" t="s">
        <v>323</v>
      </c>
      <c r="C27" s="144" t="str">
        <f>IF(B27="","",IFERROR(INDEX('12 P6 activities'!$B$7:$B$206,MATCH(B27,'12 P6 activities'!$A$7:$A$206,0)),"⚠ not in P6 list"))</f>
        <v>Indirect work: supervision, welfare, cleaning</v>
      </c>
      <c r="D27" s="144" t="str">
        <f>IF(B27="","",IFERROR(INDEX('12 P6 activities'!$C$7:$C$206,MATCH(B27,'12 P6 activities'!$A$7:$A$206,0)),"⚠ not in P6 list"))</f>
        <v>SITE.IND</v>
      </c>
      <c r="E27" s="145" t="s">
        <v>57</v>
      </c>
      <c r="F27" s="146" t="s">
        <v>356</v>
      </c>
      <c r="G27" s="147"/>
      <c r="H27" s="148">
        <v>4</v>
      </c>
      <c r="I27" s="149"/>
      <c r="J27" s="150" t="str">
        <f>IF(OR(H27="",I27=""),"",H27*I27)</f>
        <v/>
      </c>
      <c r="K27" s="149">
        <v>4</v>
      </c>
      <c r="L27" s="149"/>
      <c r="M27" s="6"/>
      <c r="N27" s="6"/>
      <c r="O27" s="6"/>
      <c r="P27" s="6"/>
      <c r="Q27" s="6"/>
      <c r="R27" s="6"/>
      <c r="S27" s="6"/>
      <c r="T27" s="6"/>
      <c r="U27" s="6"/>
      <c r="V27" s="6"/>
      <c r="W27" s="6"/>
      <c r="X27" s="6"/>
      <c r="Y27" s="6"/>
      <c r="Z27" s="6"/>
    </row>
    <row r="28" spans="1:26" ht="18" customHeight="1" x14ac:dyDescent="0.3">
      <c r="A28" s="142">
        <v>46092</v>
      </c>
      <c r="B28" s="143" t="s">
        <v>323</v>
      </c>
      <c r="C28" s="144" t="str">
        <f>IF(B28="","",IFERROR(INDEX('12 P6 activities'!$B$7:$B$206,MATCH(B28,'12 P6 activities'!$A$7:$A$206,0)),"⚠ not in P6 list"))</f>
        <v>Indirect work: supervision, welfare, cleaning</v>
      </c>
      <c r="D28" s="144" t="str">
        <f>IF(B28="","",IFERROR(INDEX('12 P6 activities'!$C$7:$C$206,MATCH(B28,'12 P6 activities'!$A$7:$A$206,0)),"⚠ not in P6 list"))</f>
        <v>SITE.IND</v>
      </c>
      <c r="E28" s="145" t="s">
        <v>322</v>
      </c>
      <c r="F28" s="146" t="s">
        <v>355</v>
      </c>
      <c r="G28" s="147"/>
      <c r="H28" s="148">
        <v>25</v>
      </c>
      <c r="I28" s="149"/>
      <c r="J28" s="150" t="str">
        <f>IF(OR(H28="",I28=""),"",H28*I28)</f>
        <v/>
      </c>
      <c r="K28" s="149"/>
      <c r="L28" s="149"/>
      <c r="M28" s="6"/>
      <c r="N28" s="6"/>
      <c r="O28" s="6"/>
      <c r="P28" s="6"/>
      <c r="Q28" s="6"/>
      <c r="R28" s="6"/>
      <c r="S28" s="6"/>
      <c r="T28" s="6"/>
      <c r="U28" s="6"/>
      <c r="V28" s="6"/>
      <c r="W28" s="6"/>
      <c r="X28" s="6"/>
      <c r="Y28" s="6"/>
      <c r="Z28" s="6"/>
    </row>
    <row r="29" spans="1:26" ht="18" customHeight="1" x14ac:dyDescent="0.3">
      <c r="A29" s="142">
        <v>46092</v>
      </c>
      <c r="B29" s="143" t="s">
        <v>323</v>
      </c>
      <c r="C29" s="144" t="str">
        <f>IF(B29="","",IFERROR(INDEX('12 P6 activities'!$B$7:$B$206,MATCH(B29,'12 P6 activities'!$A$7:$A$206,0)),"⚠ not in P6 list"))</f>
        <v>Indirect work: supervision, welfare, cleaning</v>
      </c>
      <c r="D29" s="144" t="str">
        <f>IF(B29="","",IFERROR(INDEX('12 P6 activities'!$C$7:$C$206,MATCH(B29,'12 P6 activities'!$A$7:$A$206,0)),"⚠ not in P6 list"))</f>
        <v>SITE.IND</v>
      </c>
      <c r="E29" s="145" t="s">
        <v>57</v>
      </c>
      <c r="F29" s="146" t="s">
        <v>356</v>
      </c>
      <c r="G29" s="147"/>
      <c r="H29" s="148">
        <v>3</v>
      </c>
      <c r="I29" s="149"/>
      <c r="J29" s="150" t="str">
        <f>IF(OR(H29="",I29=""),"",H29*I29)</f>
        <v/>
      </c>
      <c r="K29" s="149">
        <v>3</v>
      </c>
      <c r="L29" s="149"/>
      <c r="M29" s="6"/>
      <c r="N29" s="6"/>
      <c r="O29" s="6"/>
      <c r="P29" s="6"/>
      <c r="Q29" s="6"/>
      <c r="R29" s="6"/>
      <c r="S29" s="6"/>
      <c r="T29" s="6"/>
      <c r="U29" s="6"/>
      <c r="V29" s="6"/>
      <c r="W29" s="6"/>
      <c r="X29" s="6"/>
      <c r="Y29" s="6"/>
      <c r="Z29" s="6"/>
    </row>
    <row r="30" spans="1:26" ht="18" customHeight="1" x14ac:dyDescent="0.3">
      <c r="A30" s="142">
        <v>46093</v>
      </c>
      <c r="B30" s="143" t="s">
        <v>323</v>
      </c>
      <c r="C30" s="144" t="str">
        <f>IF(B30="","",IFERROR(INDEX('12 P6 activities'!$B$7:$B$206,MATCH(B30,'12 P6 activities'!$A$7:$A$206,0)),"⚠ not in P6 list"))</f>
        <v>Indirect work: supervision, welfare, cleaning</v>
      </c>
      <c r="D30" s="144" t="str">
        <f>IF(B30="","",IFERROR(INDEX('12 P6 activities'!$C$7:$C$206,MATCH(B30,'12 P6 activities'!$A$7:$A$206,0)),"⚠ not in P6 list"))</f>
        <v>SITE.IND</v>
      </c>
      <c r="E30" s="145" t="s">
        <v>322</v>
      </c>
      <c r="F30" s="146" t="s">
        <v>355</v>
      </c>
      <c r="G30" s="147"/>
      <c r="H30" s="148">
        <v>28</v>
      </c>
      <c r="I30" s="149"/>
      <c r="J30" s="150" t="str">
        <f>IF(OR(H30="",I30=""),"",H30*I30)</f>
        <v/>
      </c>
      <c r="K30" s="149"/>
      <c r="L30" s="149"/>
      <c r="M30" s="6"/>
      <c r="N30" s="6"/>
      <c r="O30" s="6"/>
      <c r="P30" s="6"/>
      <c r="Q30" s="6"/>
      <c r="R30" s="6"/>
      <c r="S30" s="6"/>
      <c r="T30" s="6"/>
      <c r="U30" s="6"/>
      <c r="V30" s="6"/>
      <c r="W30" s="6"/>
      <c r="X30" s="6"/>
      <c r="Y30" s="6"/>
      <c r="Z30" s="6"/>
    </row>
    <row r="31" spans="1:26" ht="18" customHeight="1" x14ac:dyDescent="0.3">
      <c r="A31" s="142">
        <v>46093</v>
      </c>
      <c r="B31" s="143" t="s">
        <v>323</v>
      </c>
      <c r="C31" s="144" t="str">
        <f>IF(B31="","",IFERROR(INDEX('12 P6 activities'!$B$7:$B$206,MATCH(B31,'12 P6 activities'!$A$7:$A$206,0)),"⚠ not in P6 list"))</f>
        <v>Indirect work: supervision, welfare, cleaning</v>
      </c>
      <c r="D31" s="144" t="str">
        <f>IF(B31="","",IFERROR(INDEX('12 P6 activities'!$C$7:$C$206,MATCH(B31,'12 P6 activities'!$A$7:$A$206,0)),"⚠ not in P6 list"))</f>
        <v>SITE.IND</v>
      </c>
      <c r="E31" s="145" t="s">
        <v>57</v>
      </c>
      <c r="F31" s="146" t="s">
        <v>356</v>
      </c>
      <c r="G31" s="147"/>
      <c r="H31" s="148">
        <v>4</v>
      </c>
      <c r="I31" s="149"/>
      <c r="J31" s="150" t="str">
        <f>IF(OR(H31="",I31=""),"",H31*I31)</f>
        <v/>
      </c>
      <c r="K31" s="149">
        <v>4</v>
      </c>
      <c r="L31" s="149"/>
      <c r="M31" s="6"/>
      <c r="N31" s="6"/>
      <c r="O31" s="6"/>
      <c r="P31" s="6"/>
      <c r="Q31" s="6"/>
      <c r="R31" s="6"/>
      <c r="S31" s="6"/>
      <c r="T31" s="6"/>
      <c r="U31" s="6"/>
      <c r="V31" s="6"/>
      <c r="W31" s="6"/>
      <c r="X31" s="6"/>
      <c r="Y31" s="6"/>
      <c r="Z31" s="6"/>
    </row>
    <row r="32" spans="1:26" ht="18" customHeight="1" x14ac:dyDescent="0.3">
      <c r="A32" s="142">
        <v>46094</v>
      </c>
      <c r="B32" s="143" t="s">
        <v>323</v>
      </c>
      <c r="C32" s="144" t="str">
        <f>IF(B32="","",IFERROR(INDEX('12 P6 activities'!$B$7:$B$206,MATCH(B32,'12 P6 activities'!$A$7:$A$206,0)),"⚠ not in P6 list"))</f>
        <v>Indirect work: supervision, welfare, cleaning</v>
      </c>
      <c r="D32" s="144" t="str">
        <f>IF(B32="","",IFERROR(INDEX('12 P6 activities'!$C$7:$C$206,MATCH(B32,'12 P6 activities'!$A$7:$A$206,0)),"⚠ not in P6 list"))</f>
        <v>SITE.IND</v>
      </c>
      <c r="E32" s="145" t="s">
        <v>322</v>
      </c>
      <c r="F32" s="146" t="s">
        <v>355</v>
      </c>
      <c r="G32" s="147"/>
      <c r="H32" s="148">
        <v>27</v>
      </c>
      <c r="I32" s="149"/>
      <c r="J32" s="150" t="str">
        <f>IF(OR(H32="",I32=""),"",H32*I32)</f>
        <v/>
      </c>
      <c r="K32" s="149"/>
      <c r="L32" s="149"/>
      <c r="M32" s="6"/>
      <c r="N32" s="6"/>
      <c r="O32" s="6"/>
      <c r="P32" s="6"/>
      <c r="Q32" s="6"/>
      <c r="R32" s="6"/>
      <c r="S32" s="6"/>
      <c r="T32" s="6"/>
      <c r="U32" s="6"/>
      <c r="V32" s="6"/>
      <c r="W32" s="6"/>
      <c r="X32" s="6"/>
      <c r="Y32" s="6"/>
      <c r="Z32" s="6"/>
    </row>
    <row r="33" spans="1:26" ht="18" customHeight="1" x14ac:dyDescent="0.3">
      <c r="A33" s="142">
        <v>46094</v>
      </c>
      <c r="B33" s="143" t="s">
        <v>323</v>
      </c>
      <c r="C33" s="144" t="str">
        <f>IF(B33="","",IFERROR(INDEX('12 P6 activities'!$B$7:$B$206,MATCH(B33,'12 P6 activities'!$A$7:$A$206,0)),"⚠ not in P6 list"))</f>
        <v>Indirect work: supervision, welfare, cleaning</v>
      </c>
      <c r="D33" s="144" t="str">
        <f>IF(B33="","",IFERROR(INDEX('12 P6 activities'!$C$7:$C$206,MATCH(B33,'12 P6 activities'!$A$7:$A$206,0)),"⚠ not in P6 list"))</f>
        <v>SITE.IND</v>
      </c>
      <c r="E33" s="145" t="s">
        <v>57</v>
      </c>
      <c r="F33" s="146" t="s">
        <v>356</v>
      </c>
      <c r="G33" s="147"/>
      <c r="H33" s="148">
        <v>4</v>
      </c>
      <c r="I33" s="149"/>
      <c r="J33" s="150" t="str">
        <f>IF(OR(H33="",I33=""),"",H33*I33)</f>
        <v/>
      </c>
      <c r="K33" s="149">
        <v>4</v>
      </c>
      <c r="L33" s="149"/>
      <c r="M33" s="6"/>
      <c r="N33" s="6"/>
      <c r="O33" s="6"/>
      <c r="P33" s="6"/>
      <c r="Q33" s="6"/>
      <c r="R33" s="6"/>
      <c r="S33" s="6"/>
      <c r="T33" s="6"/>
      <c r="U33" s="6"/>
      <c r="V33" s="6"/>
      <c r="W33" s="6"/>
      <c r="X33" s="6"/>
      <c r="Y33" s="6"/>
      <c r="Z33" s="6"/>
    </row>
    <row r="34" spans="1:26" ht="18" customHeight="1" x14ac:dyDescent="0.3">
      <c r="A34" s="142"/>
      <c r="B34" s="143"/>
      <c r="C34" s="144" t="str">
        <f>IF(B34="","",IFERROR(INDEX('12 P6 activities'!$B$7:$B$206,MATCH(B34,'12 P6 activities'!$A$7:$A$206,0)),"⚠ not in P6 list"))</f>
        <v/>
      </c>
      <c r="D34" s="144" t="str">
        <f>IF(B34="","",IFERROR(INDEX('12 P6 activities'!$C$7:$C$206,MATCH(B34,'12 P6 activities'!$A$7:$A$206,0)),"⚠ not in P6 list"))</f>
        <v/>
      </c>
      <c r="E34" s="145"/>
      <c r="F34" s="146"/>
      <c r="G34" s="147"/>
      <c r="H34" s="148"/>
      <c r="I34" s="149"/>
      <c r="J34" s="150" t="str">
        <f t="shared" si="0"/>
        <v/>
      </c>
      <c r="K34" s="149"/>
      <c r="L34" s="149"/>
      <c r="M34" s="6"/>
      <c r="N34" s="6"/>
      <c r="O34" s="6"/>
      <c r="P34" s="6"/>
      <c r="Q34" s="6"/>
      <c r="R34" s="6"/>
      <c r="S34" s="6"/>
      <c r="T34" s="6"/>
      <c r="U34" s="6"/>
      <c r="V34" s="6"/>
      <c r="W34" s="6"/>
      <c r="X34" s="6"/>
      <c r="Y34" s="6"/>
      <c r="Z34" s="6"/>
    </row>
    <row r="35" spans="1:26" ht="18" customHeight="1" x14ac:dyDescent="0.3">
      <c r="A35" s="142"/>
      <c r="B35" s="143"/>
      <c r="C35" s="144" t="str">
        <f>IF(B35="","",IFERROR(INDEX('12 P6 activities'!$B$7:$B$206,MATCH(B35,'12 P6 activities'!$A$7:$A$206,0)),"⚠ not in P6 list"))</f>
        <v/>
      </c>
      <c r="D35" s="144" t="str">
        <f>IF(B35="","",IFERROR(INDEX('12 P6 activities'!$C$7:$C$206,MATCH(B35,'12 P6 activities'!$A$7:$A$206,0)),"⚠ not in P6 list"))</f>
        <v/>
      </c>
      <c r="E35" s="145"/>
      <c r="F35" s="146"/>
      <c r="G35" s="147"/>
      <c r="H35" s="148"/>
      <c r="I35" s="149"/>
      <c r="J35" s="150" t="str">
        <f t="shared" si="0"/>
        <v/>
      </c>
      <c r="K35" s="149"/>
      <c r="L35" s="149"/>
      <c r="M35" s="6"/>
      <c r="N35" s="6"/>
      <c r="O35" s="6"/>
      <c r="P35" s="6"/>
      <c r="Q35" s="6"/>
      <c r="R35" s="6"/>
      <c r="S35" s="6"/>
      <c r="T35" s="6"/>
      <c r="U35" s="6"/>
      <c r="V35" s="6"/>
      <c r="W35" s="6"/>
      <c r="X35" s="6"/>
      <c r="Y35" s="6"/>
      <c r="Z35" s="6"/>
    </row>
    <row r="36" spans="1:26" ht="18" customHeight="1" x14ac:dyDescent="0.3">
      <c r="A36" s="142"/>
      <c r="B36" s="143"/>
      <c r="C36" s="144" t="str">
        <f>IF(B36="","",IFERROR(INDEX('12 P6 activities'!$B$7:$B$206,MATCH(B36,'12 P6 activities'!$A$7:$A$206,0)),"⚠ not in P6 list"))</f>
        <v/>
      </c>
      <c r="D36" s="144" t="str">
        <f>IF(B36="","",IFERROR(INDEX('12 P6 activities'!$C$7:$C$206,MATCH(B36,'12 P6 activities'!$A$7:$A$206,0)),"⚠ not in P6 list"))</f>
        <v/>
      </c>
      <c r="E36" s="145"/>
      <c r="F36" s="146"/>
      <c r="G36" s="147"/>
      <c r="H36" s="148"/>
      <c r="I36" s="149"/>
      <c r="J36" s="150" t="str">
        <f t="shared" si="0"/>
        <v/>
      </c>
      <c r="K36" s="149"/>
      <c r="L36" s="149"/>
      <c r="M36" s="6"/>
      <c r="N36" s="6"/>
      <c r="O36" s="6"/>
      <c r="P36" s="6"/>
      <c r="Q36" s="6"/>
      <c r="R36" s="6"/>
      <c r="S36" s="6"/>
      <c r="T36" s="6"/>
      <c r="U36" s="6"/>
      <c r="V36" s="6"/>
      <c r="W36" s="6"/>
      <c r="X36" s="6"/>
      <c r="Y36" s="6"/>
      <c r="Z36" s="6"/>
    </row>
    <row r="37" spans="1:26" ht="18" customHeight="1" x14ac:dyDescent="0.3">
      <c r="A37" s="142"/>
      <c r="B37" s="143"/>
      <c r="C37" s="144" t="str">
        <f>IF(B37="","",IFERROR(INDEX('12 P6 activities'!$B$7:$B$206,MATCH(B37,'12 P6 activities'!$A$7:$A$206,0)),"⚠ not in P6 list"))</f>
        <v/>
      </c>
      <c r="D37" s="144" t="str">
        <f>IF(B37="","",IFERROR(INDEX('12 P6 activities'!$C$7:$C$206,MATCH(B37,'12 P6 activities'!$A$7:$A$206,0)),"⚠ not in P6 list"))</f>
        <v/>
      </c>
      <c r="E37" s="145"/>
      <c r="F37" s="146"/>
      <c r="G37" s="147"/>
      <c r="H37" s="148"/>
      <c r="I37" s="149"/>
      <c r="J37" s="150" t="str">
        <f t="shared" si="0"/>
        <v/>
      </c>
      <c r="K37" s="149"/>
      <c r="L37" s="149"/>
      <c r="M37" s="6"/>
      <c r="N37" s="6"/>
      <c r="O37" s="6"/>
      <c r="P37" s="6"/>
      <c r="Q37" s="6"/>
      <c r="R37" s="6"/>
      <c r="S37" s="6"/>
      <c r="T37" s="6"/>
      <c r="U37" s="6"/>
      <c r="V37" s="6"/>
      <c r="W37" s="6"/>
      <c r="X37" s="6"/>
      <c r="Y37" s="6"/>
      <c r="Z37" s="6"/>
    </row>
    <row r="38" spans="1:26" ht="18" customHeight="1" x14ac:dyDescent="0.3">
      <c r="A38" s="142"/>
      <c r="B38" s="143"/>
      <c r="C38" s="144" t="str">
        <f>IF(B38="","",IFERROR(INDEX('12 P6 activities'!$B$7:$B$206,MATCH(B38,'12 P6 activities'!$A$7:$A$206,0)),"⚠ not in P6 list"))</f>
        <v/>
      </c>
      <c r="D38" s="144" t="str">
        <f>IF(B38="","",IFERROR(INDEX('12 P6 activities'!$C$7:$C$206,MATCH(B38,'12 P6 activities'!$A$7:$A$206,0)),"⚠ not in P6 list"))</f>
        <v/>
      </c>
      <c r="E38" s="145"/>
      <c r="F38" s="146"/>
      <c r="G38" s="147"/>
      <c r="H38" s="148"/>
      <c r="I38" s="149"/>
      <c r="J38" s="150" t="str">
        <f t="shared" si="0"/>
        <v/>
      </c>
      <c r="K38" s="149"/>
      <c r="L38" s="149"/>
      <c r="M38" s="6"/>
      <c r="N38" s="6"/>
      <c r="O38" s="6"/>
      <c r="P38" s="6"/>
      <c r="Q38" s="6"/>
      <c r="R38" s="6"/>
      <c r="S38" s="6"/>
      <c r="T38" s="6"/>
      <c r="U38" s="6"/>
      <c r="V38" s="6"/>
      <c r="W38" s="6"/>
      <c r="X38" s="6"/>
      <c r="Y38" s="6"/>
      <c r="Z38" s="6"/>
    </row>
    <row r="39" spans="1:26" ht="18" customHeight="1" x14ac:dyDescent="0.3">
      <c r="A39" s="142"/>
      <c r="B39" s="143"/>
      <c r="C39" s="144" t="str">
        <f>IF(B39="","",IFERROR(INDEX('12 P6 activities'!$B$7:$B$206,MATCH(B39,'12 P6 activities'!$A$7:$A$206,0)),"⚠ not in P6 list"))</f>
        <v/>
      </c>
      <c r="D39" s="144" t="str">
        <f>IF(B39="","",IFERROR(INDEX('12 P6 activities'!$C$7:$C$206,MATCH(B39,'12 P6 activities'!$A$7:$A$206,0)),"⚠ not in P6 list"))</f>
        <v/>
      </c>
      <c r="E39" s="145"/>
      <c r="F39" s="146"/>
      <c r="G39" s="147"/>
      <c r="H39" s="148"/>
      <c r="I39" s="149"/>
      <c r="J39" s="150" t="str">
        <f t="shared" si="0"/>
        <v/>
      </c>
      <c r="K39" s="149"/>
      <c r="L39" s="149"/>
      <c r="M39" s="6"/>
      <c r="N39" s="6"/>
      <c r="O39" s="6"/>
      <c r="P39" s="6"/>
      <c r="Q39" s="6"/>
      <c r="R39" s="6"/>
      <c r="S39" s="6"/>
      <c r="T39" s="6"/>
      <c r="U39" s="6"/>
      <c r="V39" s="6"/>
      <c r="W39" s="6"/>
      <c r="X39" s="6"/>
      <c r="Y39" s="6"/>
      <c r="Z39" s="6"/>
    </row>
    <row r="40" spans="1:26" ht="18" customHeight="1" x14ac:dyDescent="0.3">
      <c r="A40" s="142"/>
      <c r="B40" s="143"/>
      <c r="C40" s="144" t="str">
        <f>IF(B40="","",IFERROR(INDEX('12 P6 activities'!$B$7:$B$206,MATCH(B40,'12 P6 activities'!$A$7:$A$206,0)),"⚠ not in P6 list"))</f>
        <v/>
      </c>
      <c r="D40" s="144" t="str">
        <f>IF(B40="","",IFERROR(INDEX('12 P6 activities'!$C$7:$C$206,MATCH(B40,'12 P6 activities'!$A$7:$A$206,0)),"⚠ not in P6 list"))</f>
        <v/>
      </c>
      <c r="E40" s="145"/>
      <c r="F40" s="146"/>
      <c r="G40" s="147"/>
      <c r="H40" s="148"/>
      <c r="I40" s="149"/>
      <c r="J40" s="150" t="str">
        <f t="shared" si="0"/>
        <v/>
      </c>
      <c r="K40" s="149"/>
      <c r="L40" s="149"/>
      <c r="M40" s="6"/>
      <c r="N40" s="6"/>
      <c r="O40" s="6"/>
      <c r="P40" s="6"/>
      <c r="Q40" s="6"/>
      <c r="R40" s="6"/>
      <c r="S40" s="6"/>
      <c r="T40" s="6"/>
      <c r="U40" s="6"/>
      <c r="V40" s="6"/>
      <c r="W40" s="6"/>
      <c r="X40" s="6"/>
      <c r="Y40" s="6"/>
      <c r="Z40" s="6"/>
    </row>
    <row r="41" spans="1:26" ht="18" customHeight="1" x14ac:dyDescent="0.3">
      <c r="A41" s="142"/>
      <c r="B41" s="143"/>
      <c r="C41" s="144" t="str">
        <f>IF(B41="","",IFERROR(INDEX('12 P6 activities'!$B$7:$B$206,MATCH(B41,'12 P6 activities'!$A$7:$A$206,0)),"⚠ not in P6 list"))</f>
        <v/>
      </c>
      <c r="D41" s="144" t="str">
        <f>IF(B41="","",IFERROR(INDEX('12 P6 activities'!$C$7:$C$206,MATCH(B41,'12 P6 activities'!$A$7:$A$206,0)),"⚠ not in P6 list"))</f>
        <v/>
      </c>
      <c r="E41" s="145"/>
      <c r="F41" s="146"/>
      <c r="G41" s="147"/>
      <c r="H41" s="148"/>
      <c r="I41" s="149"/>
      <c r="J41" s="150" t="str">
        <f t="shared" si="0"/>
        <v/>
      </c>
      <c r="K41" s="149"/>
      <c r="L41" s="149"/>
      <c r="M41" s="6"/>
      <c r="N41" s="6"/>
      <c r="O41" s="6"/>
      <c r="P41" s="6"/>
      <c r="Q41" s="6"/>
      <c r="R41" s="6"/>
      <c r="S41" s="6"/>
      <c r="T41" s="6"/>
      <c r="U41" s="6"/>
      <c r="V41" s="6"/>
      <c r="W41" s="6"/>
      <c r="X41" s="6"/>
      <c r="Y41" s="6"/>
      <c r="Z41" s="6"/>
    </row>
    <row r="42" spans="1:26" ht="18" customHeight="1" x14ac:dyDescent="0.3">
      <c r="A42" s="142"/>
      <c r="B42" s="143"/>
      <c r="C42" s="144" t="str">
        <f>IF(B42="","",IFERROR(INDEX('12 P6 activities'!$B$7:$B$206,MATCH(B42,'12 P6 activities'!$A$7:$A$206,0)),"⚠ not in P6 list"))</f>
        <v/>
      </c>
      <c r="D42" s="144" t="str">
        <f>IF(B42="","",IFERROR(INDEX('12 P6 activities'!$C$7:$C$206,MATCH(B42,'12 P6 activities'!$A$7:$A$206,0)),"⚠ not in P6 list"))</f>
        <v/>
      </c>
      <c r="E42" s="145"/>
      <c r="F42" s="146"/>
      <c r="G42" s="147"/>
      <c r="H42" s="148"/>
      <c r="I42" s="149"/>
      <c r="J42" s="150" t="str">
        <f t="shared" si="0"/>
        <v/>
      </c>
      <c r="K42" s="149"/>
      <c r="L42" s="149"/>
      <c r="M42" s="6"/>
      <c r="N42" s="6"/>
      <c r="O42" s="6"/>
      <c r="P42" s="6"/>
      <c r="Q42" s="6"/>
      <c r="R42" s="6"/>
      <c r="S42" s="6"/>
      <c r="T42" s="6"/>
      <c r="U42" s="6"/>
      <c r="V42" s="6"/>
      <c r="W42" s="6"/>
      <c r="X42" s="6"/>
      <c r="Y42" s="6"/>
      <c r="Z42" s="6"/>
    </row>
    <row r="43" spans="1:26" ht="18" customHeight="1" x14ac:dyDescent="0.3">
      <c r="A43" s="142"/>
      <c r="B43" s="143"/>
      <c r="C43" s="144" t="str">
        <f>IF(B43="","",IFERROR(INDEX('12 P6 activities'!$B$7:$B$206,MATCH(B43,'12 P6 activities'!$A$7:$A$206,0)),"⚠ not in P6 list"))</f>
        <v/>
      </c>
      <c r="D43" s="144" t="str">
        <f>IF(B43="","",IFERROR(INDEX('12 P6 activities'!$C$7:$C$206,MATCH(B43,'12 P6 activities'!$A$7:$A$206,0)),"⚠ not in P6 list"))</f>
        <v/>
      </c>
      <c r="E43" s="145"/>
      <c r="F43" s="146"/>
      <c r="G43" s="147"/>
      <c r="H43" s="148"/>
      <c r="I43" s="149"/>
      <c r="J43" s="150" t="str">
        <f t="shared" si="0"/>
        <v/>
      </c>
      <c r="K43" s="149"/>
      <c r="L43" s="149"/>
      <c r="M43" s="6"/>
      <c r="N43" s="6"/>
      <c r="O43" s="6"/>
      <c r="P43" s="6"/>
      <c r="Q43" s="6"/>
      <c r="R43" s="6"/>
      <c r="S43" s="6"/>
      <c r="T43" s="6"/>
      <c r="U43" s="6"/>
      <c r="V43" s="6"/>
      <c r="W43" s="6"/>
      <c r="X43" s="6"/>
      <c r="Y43" s="6"/>
      <c r="Z43" s="6"/>
    </row>
    <row r="44" spans="1:26" ht="18" customHeight="1" x14ac:dyDescent="0.3">
      <c r="A44" s="142"/>
      <c r="B44" s="143"/>
      <c r="C44" s="144" t="str">
        <f>IF(B44="","",IFERROR(INDEX('12 P6 activities'!$B$7:$B$206,MATCH(B44,'12 P6 activities'!$A$7:$A$206,0)),"⚠ not in P6 list"))</f>
        <v/>
      </c>
      <c r="D44" s="144" t="str">
        <f>IF(B44="","",IFERROR(INDEX('12 P6 activities'!$C$7:$C$206,MATCH(B44,'12 P6 activities'!$A$7:$A$206,0)),"⚠ not in P6 list"))</f>
        <v/>
      </c>
      <c r="E44" s="145"/>
      <c r="F44" s="146"/>
      <c r="G44" s="147"/>
      <c r="H44" s="148"/>
      <c r="I44" s="149"/>
      <c r="J44" s="150" t="str">
        <f t="shared" si="0"/>
        <v/>
      </c>
      <c r="K44" s="149"/>
      <c r="L44" s="149"/>
      <c r="M44" s="6"/>
      <c r="N44" s="6"/>
      <c r="O44" s="6"/>
      <c r="P44" s="6"/>
      <c r="Q44" s="6"/>
      <c r="R44" s="6"/>
      <c r="S44" s="6"/>
      <c r="T44" s="6"/>
      <c r="U44" s="6"/>
      <c r="V44" s="6"/>
      <c r="W44" s="6"/>
      <c r="X44" s="6"/>
      <c r="Y44" s="6"/>
      <c r="Z44" s="6"/>
    </row>
    <row r="45" spans="1:26" ht="18" customHeight="1" x14ac:dyDescent="0.3">
      <c r="A45" s="142"/>
      <c r="B45" s="143"/>
      <c r="C45" s="144" t="str">
        <f>IF(B45="","",IFERROR(INDEX('12 P6 activities'!$B$7:$B$206,MATCH(B45,'12 P6 activities'!$A$7:$A$206,0)),"⚠ not in P6 list"))</f>
        <v/>
      </c>
      <c r="D45" s="144" t="str">
        <f>IF(B45="","",IFERROR(INDEX('12 P6 activities'!$C$7:$C$206,MATCH(B45,'12 P6 activities'!$A$7:$A$206,0)),"⚠ not in P6 list"))</f>
        <v/>
      </c>
      <c r="E45" s="145"/>
      <c r="F45" s="146"/>
      <c r="G45" s="147"/>
      <c r="H45" s="148"/>
      <c r="I45" s="149"/>
      <c r="J45" s="150" t="str">
        <f t="shared" si="0"/>
        <v/>
      </c>
      <c r="K45" s="149"/>
      <c r="L45" s="149"/>
      <c r="M45" s="6"/>
      <c r="N45" s="6"/>
      <c r="O45" s="6"/>
      <c r="P45" s="6"/>
      <c r="Q45" s="6"/>
      <c r="R45" s="6"/>
      <c r="S45" s="6"/>
      <c r="T45" s="6"/>
      <c r="U45" s="6"/>
      <c r="V45" s="6"/>
      <c r="W45" s="6"/>
      <c r="X45" s="6"/>
      <c r="Y45" s="6"/>
      <c r="Z45" s="6"/>
    </row>
    <row r="46" spans="1:26" ht="18" customHeight="1" x14ac:dyDescent="0.3">
      <c r="A46" s="142"/>
      <c r="B46" s="143"/>
      <c r="C46" s="144" t="str">
        <f>IF(B46="","",IFERROR(INDEX('12 P6 activities'!$B$7:$B$206,MATCH(B46,'12 P6 activities'!$A$7:$A$206,0)),"⚠ not in P6 list"))</f>
        <v/>
      </c>
      <c r="D46" s="144" t="str">
        <f>IF(B46="","",IFERROR(INDEX('12 P6 activities'!$C$7:$C$206,MATCH(B46,'12 P6 activities'!$A$7:$A$206,0)),"⚠ not in P6 list"))</f>
        <v/>
      </c>
      <c r="E46" s="145"/>
      <c r="F46" s="146"/>
      <c r="G46" s="147"/>
      <c r="H46" s="148"/>
      <c r="I46" s="149"/>
      <c r="J46" s="150" t="str">
        <f t="shared" si="0"/>
        <v/>
      </c>
      <c r="K46" s="149"/>
      <c r="L46" s="149"/>
      <c r="M46" s="6"/>
      <c r="N46" s="6"/>
      <c r="O46" s="6"/>
      <c r="P46" s="6"/>
      <c r="Q46" s="6"/>
      <c r="R46" s="6"/>
      <c r="S46" s="6"/>
      <c r="T46" s="6"/>
      <c r="U46" s="6"/>
      <c r="V46" s="6"/>
      <c r="W46" s="6"/>
      <c r="X46" s="6"/>
      <c r="Y46" s="6"/>
      <c r="Z46" s="6"/>
    </row>
    <row r="47" spans="1:26" ht="18" customHeight="1" x14ac:dyDescent="0.3">
      <c r="A47" s="142"/>
      <c r="B47" s="143"/>
      <c r="C47" s="144" t="str">
        <f>IF(B47="","",IFERROR(INDEX('12 P6 activities'!$B$7:$B$206,MATCH(B47,'12 P6 activities'!$A$7:$A$206,0)),"⚠ not in P6 list"))</f>
        <v/>
      </c>
      <c r="D47" s="144" t="str">
        <f>IF(B47="","",IFERROR(INDEX('12 P6 activities'!$C$7:$C$206,MATCH(B47,'12 P6 activities'!$A$7:$A$206,0)),"⚠ not in P6 list"))</f>
        <v/>
      </c>
      <c r="E47" s="145"/>
      <c r="F47" s="146"/>
      <c r="G47" s="147"/>
      <c r="H47" s="148"/>
      <c r="I47" s="149"/>
      <c r="J47" s="150" t="str">
        <f t="shared" si="0"/>
        <v/>
      </c>
      <c r="K47" s="149"/>
      <c r="L47" s="149"/>
      <c r="M47" s="6"/>
      <c r="N47" s="6"/>
      <c r="O47" s="6"/>
      <c r="P47" s="6"/>
      <c r="Q47" s="6"/>
      <c r="R47" s="6"/>
      <c r="S47" s="6"/>
      <c r="T47" s="6"/>
      <c r="U47" s="6"/>
      <c r="V47" s="6"/>
      <c r="W47" s="6"/>
      <c r="X47" s="6"/>
      <c r="Y47" s="6"/>
      <c r="Z47" s="6"/>
    </row>
    <row r="48" spans="1:26" ht="18" customHeight="1" x14ac:dyDescent="0.3">
      <c r="A48" s="142"/>
      <c r="B48" s="143"/>
      <c r="C48" s="144" t="str">
        <f>IF(B48="","",IFERROR(INDEX('12 P6 activities'!$B$7:$B$206,MATCH(B48,'12 P6 activities'!$A$7:$A$206,0)),"⚠ not in P6 list"))</f>
        <v/>
      </c>
      <c r="D48" s="144" t="str">
        <f>IF(B48="","",IFERROR(INDEX('12 P6 activities'!$C$7:$C$206,MATCH(B48,'12 P6 activities'!$A$7:$A$206,0)),"⚠ not in P6 list"))</f>
        <v/>
      </c>
      <c r="E48" s="145"/>
      <c r="F48" s="146"/>
      <c r="G48" s="147"/>
      <c r="H48" s="148"/>
      <c r="I48" s="149"/>
      <c r="J48" s="150" t="str">
        <f t="shared" si="0"/>
        <v/>
      </c>
      <c r="K48" s="149"/>
      <c r="L48" s="149"/>
      <c r="M48" s="6"/>
      <c r="N48" s="6"/>
      <c r="O48" s="6"/>
      <c r="P48" s="6"/>
      <c r="Q48" s="6"/>
      <c r="R48" s="6"/>
      <c r="S48" s="6"/>
      <c r="T48" s="6"/>
      <c r="U48" s="6"/>
      <c r="V48" s="6"/>
      <c r="W48" s="6"/>
      <c r="X48" s="6"/>
      <c r="Y48" s="6"/>
      <c r="Z48" s="6"/>
    </row>
    <row r="49" spans="1:26" ht="18" customHeight="1" x14ac:dyDescent="0.3">
      <c r="A49" s="142"/>
      <c r="B49" s="143"/>
      <c r="C49" s="144" t="str">
        <f>IF(B49="","",IFERROR(INDEX('12 P6 activities'!$B$7:$B$206,MATCH(B49,'12 P6 activities'!$A$7:$A$206,0)),"⚠ not in P6 list"))</f>
        <v/>
      </c>
      <c r="D49" s="144" t="str">
        <f>IF(B49="","",IFERROR(INDEX('12 P6 activities'!$C$7:$C$206,MATCH(B49,'12 P6 activities'!$A$7:$A$206,0)),"⚠ not in P6 list"))</f>
        <v/>
      </c>
      <c r="E49" s="145"/>
      <c r="F49" s="146"/>
      <c r="G49" s="147"/>
      <c r="H49" s="148"/>
      <c r="I49" s="149"/>
      <c r="J49" s="150" t="str">
        <f t="shared" si="0"/>
        <v/>
      </c>
      <c r="K49" s="149"/>
      <c r="L49" s="149"/>
      <c r="M49" s="6"/>
      <c r="N49" s="6"/>
      <c r="O49" s="6"/>
      <c r="P49" s="6"/>
      <c r="Q49" s="6"/>
      <c r="R49" s="6"/>
      <c r="S49" s="6"/>
      <c r="T49" s="6"/>
      <c r="U49" s="6"/>
      <c r="V49" s="6"/>
      <c r="W49" s="6"/>
      <c r="X49" s="6"/>
      <c r="Y49" s="6"/>
      <c r="Z49" s="6"/>
    </row>
    <row r="50" spans="1:26" ht="18" customHeight="1" x14ac:dyDescent="0.3">
      <c r="A50" s="142"/>
      <c r="B50" s="143"/>
      <c r="C50" s="144" t="str">
        <f>IF(B50="","",IFERROR(INDEX('12 P6 activities'!$B$7:$B$206,MATCH(B50,'12 P6 activities'!$A$7:$A$206,0)),"⚠ not in P6 list"))</f>
        <v/>
      </c>
      <c r="D50" s="144" t="str">
        <f>IF(B50="","",IFERROR(INDEX('12 P6 activities'!$C$7:$C$206,MATCH(B50,'12 P6 activities'!$A$7:$A$206,0)),"⚠ not in P6 list"))</f>
        <v/>
      </c>
      <c r="E50" s="145"/>
      <c r="F50" s="146"/>
      <c r="G50" s="147"/>
      <c r="H50" s="148"/>
      <c r="I50" s="149"/>
      <c r="J50" s="150" t="str">
        <f t="shared" si="0"/>
        <v/>
      </c>
      <c r="K50" s="149"/>
      <c r="L50" s="149"/>
      <c r="M50" s="6"/>
      <c r="N50" s="6"/>
      <c r="O50" s="6"/>
      <c r="P50" s="6"/>
      <c r="Q50" s="6"/>
      <c r="R50" s="6"/>
      <c r="S50" s="6"/>
      <c r="T50" s="6"/>
      <c r="U50" s="6"/>
      <c r="V50" s="6"/>
      <c r="W50" s="6"/>
      <c r="X50" s="6"/>
      <c r="Y50" s="6"/>
      <c r="Z50" s="6"/>
    </row>
    <row r="51" spans="1:26" ht="18" customHeight="1" x14ac:dyDescent="0.3">
      <c r="A51" s="142"/>
      <c r="B51" s="143"/>
      <c r="C51" s="144" t="str">
        <f>IF(B51="","",IFERROR(INDEX('12 P6 activities'!$B$7:$B$206,MATCH(B51,'12 P6 activities'!$A$7:$A$206,0)),"⚠ not in P6 list"))</f>
        <v/>
      </c>
      <c r="D51" s="144" t="str">
        <f>IF(B51="","",IFERROR(INDEX('12 P6 activities'!$C$7:$C$206,MATCH(B51,'12 P6 activities'!$A$7:$A$206,0)),"⚠ not in P6 list"))</f>
        <v/>
      </c>
      <c r="E51" s="145"/>
      <c r="F51" s="146"/>
      <c r="G51" s="147"/>
      <c r="H51" s="148"/>
      <c r="I51" s="149"/>
      <c r="J51" s="150" t="str">
        <f t="shared" si="0"/>
        <v/>
      </c>
      <c r="K51" s="149"/>
      <c r="L51" s="149"/>
      <c r="M51" s="6"/>
      <c r="N51" s="6"/>
      <c r="O51" s="6"/>
      <c r="P51" s="6"/>
      <c r="Q51" s="6"/>
      <c r="R51" s="6"/>
      <c r="S51" s="6"/>
      <c r="T51" s="6"/>
      <c r="U51" s="6"/>
      <c r="V51" s="6"/>
      <c r="W51" s="6"/>
      <c r="X51" s="6"/>
      <c r="Y51" s="6"/>
      <c r="Z51" s="6"/>
    </row>
    <row r="52" spans="1:26" ht="18" customHeight="1" x14ac:dyDescent="0.3">
      <c r="A52" s="142"/>
      <c r="B52" s="143"/>
      <c r="C52" s="144" t="str">
        <f>IF(B52="","",IFERROR(INDEX('12 P6 activities'!$B$7:$B$206,MATCH(B52,'12 P6 activities'!$A$7:$A$206,0)),"⚠ not in P6 list"))</f>
        <v/>
      </c>
      <c r="D52" s="144" t="str">
        <f>IF(B52="","",IFERROR(INDEX('12 P6 activities'!$C$7:$C$206,MATCH(B52,'12 P6 activities'!$A$7:$A$206,0)),"⚠ not in P6 list"))</f>
        <v/>
      </c>
      <c r="E52" s="145"/>
      <c r="F52" s="146"/>
      <c r="G52" s="147"/>
      <c r="H52" s="148"/>
      <c r="I52" s="149"/>
      <c r="J52" s="150" t="str">
        <f t="shared" si="0"/>
        <v/>
      </c>
      <c r="K52" s="149"/>
      <c r="L52" s="149"/>
      <c r="M52" s="6"/>
      <c r="N52" s="6"/>
      <c r="O52" s="6"/>
      <c r="P52" s="6"/>
      <c r="Q52" s="6"/>
      <c r="R52" s="6"/>
      <c r="S52" s="6"/>
      <c r="T52" s="6"/>
      <c r="U52" s="6"/>
      <c r="V52" s="6"/>
      <c r="W52" s="6"/>
      <c r="X52" s="6"/>
      <c r="Y52" s="6"/>
      <c r="Z52" s="6"/>
    </row>
    <row r="53" spans="1:26" ht="18" customHeight="1" x14ac:dyDescent="0.3">
      <c r="A53" s="142"/>
      <c r="B53" s="143"/>
      <c r="C53" s="144" t="str">
        <f>IF(B53="","",IFERROR(INDEX('12 P6 activities'!$B$7:$B$206,MATCH(B53,'12 P6 activities'!$A$7:$A$206,0)),"⚠ not in P6 list"))</f>
        <v/>
      </c>
      <c r="D53" s="144" t="str">
        <f>IF(B53="","",IFERROR(INDEX('12 P6 activities'!$C$7:$C$206,MATCH(B53,'12 P6 activities'!$A$7:$A$206,0)),"⚠ not in P6 list"))</f>
        <v/>
      </c>
      <c r="E53" s="145"/>
      <c r="F53" s="146"/>
      <c r="G53" s="147"/>
      <c r="H53" s="148"/>
      <c r="I53" s="149"/>
      <c r="J53" s="150" t="str">
        <f t="shared" si="0"/>
        <v/>
      </c>
      <c r="K53" s="149"/>
      <c r="L53" s="149"/>
      <c r="M53" s="6"/>
      <c r="N53" s="6"/>
      <c r="O53" s="6"/>
      <c r="P53" s="6"/>
      <c r="Q53" s="6"/>
      <c r="R53" s="6"/>
      <c r="S53" s="6"/>
      <c r="T53" s="6"/>
      <c r="U53" s="6"/>
      <c r="V53" s="6"/>
      <c r="W53" s="6"/>
      <c r="X53" s="6"/>
      <c r="Y53" s="6"/>
      <c r="Z53" s="6"/>
    </row>
    <row r="54" spans="1:26" ht="18" customHeight="1" x14ac:dyDescent="0.3">
      <c r="A54" s="142"/>
      <c r="B54" s="143"/>
      <c r="C54" s="144" t="str">
        <f>IF(B54="","",IFERROR(INDEX('12 P6 activities'!$B$7:$B$206,MATCH(B54,'12 P6 activities'!$A$7:$A$206,0)),"⚠ not in P6 list"))</f>
        <v/>
      </c>
      <c r="D54" s="144" t="str">
        <f>IF(B54="","",IFERROR(INDEX('12 P6 activities'!$C$7:$C$206,MATCH(B54,'12 P6 activities'!$A$7:$A$206,0)),"⚠ not in P6 list"))</f>
        <v/>
      </c>
      <c r="E54" s="145"/>
      <c r="F54" s="146"/>
      <c r="G54" s="147"/>
      <c r="H54" s="148"/>
      <c r="I54" s="149"/>
      <c r="J54" s="150" t="str">
        <f t="shared" si="0"/>
        <v/>
      </c>
      <c r="K54" s="149"/>
      <c r="L54" s="149"/>
      <c r="M54" s="6"/>
      <c r="N54" s="6"/>
      <c r="O54" s="6"/>
      <c r="P54" s="6"/>
      <c r="Q54" s="6"/>
      <c r="R54" s="6"/>
      <c r="S54" s="6"/>
      <c r="T54" s="6"/>
      <c r="U54" s="6"/>
      <c r="V54" s="6"/>
      <c r="W54" s="6"/>
      <c r="X54" s="6"/>
      <c r="Y54" s="6"/>
      <c r="Z54" s="6"/>
    </row>
    <row r="55" spans="1:26" ht="18" customHeight="1" x14ac:dyDescent="0.3">
      <c r="A55" s="142"/>
      <c r="B55" s="143"/>
      <c r="C55" s="144" t="str">
        <f>IF(B55="","",IFERROR(INDEX('12 P6 activities'!$B$7:$B$206,MATCH(B55,'12 P6 activities'!$A$7:$A$206,0)),"⚠ not in P6 list"))</f>
        <v/>
      </c>
      <c r="D55" s="144" t="str">
        <f>IF(B55="","",IFERROR(INDEX('12 P6 activities'!$C$7:$C$206,MATCH(B55,'12 P6 activities'!$A$7:$A$206,0)),"⚠ not in P6 list"))</f>
        <v/>
      </c>
      <c r="E55" s="145"/>
      <c r="F55" s="146"/>
      <c r="G55" s="147"/>
      <c r="H55" s="148"/>
      <c r="I55" s="149"/>
      <c r="J55" s="150" t="str">
        <f t="shared" si="0"/>
        <v/>
      </c>
      <c r="K55" s="149"/>
      <c r="L55" s="149"/>
      <c r="M55" s="6"/>
      <c r="N55" s="6"/>
      <c r="O55" s="6"/>
      <c r="P55" s="6"/>
      <c r="Q55" s="6"/>
      <c r="R55" s="6"/>
      <c r="S55" s="6"/>
      <c r="T55" s="6"/>
      <c r="U55" s="6"/>
      <c r="V55" s="6"/>
      <c r="W55" s="6"/>
      <c r="X55" s="6"/>
      <c r="Y55" s="6"/>
      <c r="Z55" s="6"/>
    </row>
    <row r="56" spans="1:26" ht="18" customHeight="1" x14ac:dyDescent="0.3">
      <c r="A56" s="142"/>
      <c r="B56" s="143"/>
      <c r="C56" s="144" t="str">
        <f>IF(B56="","",IFERROR(INDEX('12 P6 activities'!$B$7:$B$206,MATCH(B56,'12 P6 activities'!$A$7:$A$206,0)),"⚠ not in P6 list"))</f>
        <v/>
      </c>
      <c r="D56" s="144" t="str">
        <f>IF(B56="","",IFERROR(INDEX('12 P6 activities'!$C$7:$C$206,MATCH(B56,'12 P6 activities'!$A$7:$A$206,0)),"⚠ not in P6 list"))</f>
        <v/>
      </c>
      <c r="E56" s="145"/>
      <c r="F56" s="146"/>
      <c r="G56" s="147"/>
      <c r="H56" s="148"/>
      <c r="I56" s="149"/>
      <c r="J56" s="150" t="str">
        <f t="shared" si="0"/>
        <v/>
      </c>
      <c r="K56" s="149"/>
      <c r="L56" s="149"/>
      <c r="M56" s="6"/>
      <c r="N56" s="6"/>
      <c r="O56" s="6"/>
      <c r="P56" s="6"/>
      <c r="Q56" s="6"/>
      <c r="R56" s="6"/>
      <c r="S56" s="6"/>
      <c r="T56" s="6"/>
      <c r="U56" s="6"/>
      <c r="V56" s="6"/>
      <c r="W56" s="6"/>
      <c r="X56" s="6"/>
      <c r="Y56" s="6"/>
      <c r="Z56" s="6"/>
    </row>
    <row r="57" spans="1:26" ht="18" customHeight="1" x14ac:dyDescent="0.3">
      <c r="A57" s="142"/>
      <c r="B57" s="143"/>
      <c r="C57" s="144" t="str">
        <f>IF(B57="","",IFERROR(INDEX('12 P6 activities'!$B$7:$B$206,MATCH(B57,'12 P6 activities'!$A$7:$A$206,0)),"⚠ not in P6 list"))</f>
        <v/>
      </c>
      <c r="D57" s="144" t="str">
        <f>IF(B57="","",IFERROR(INDEX('12 P6 activities'!$C$7:$C$206,MATCH(B57,'12 P6 activities'!$A$7:$A$206,0)),"⚠ not in P6 list"))</f>
        <v/>
      </c>
      <c r="E57" s="145"/>
      <c r="F57" s="146"/>
      <c r="G57" s="147"/>
      <c r="H57" s="148"/>
      <c r="I57" s="149"/>
      <c r="J57" s="150" t="str">
        <f t="shared" si="0"/>
        <v/>
      </c>
      <c r="K57" s="149"/>
      <c r="L57" s="149"/>
      <c r="M57" s="6"/>
      <c r="N57" s="6"/>
      <c r="O57" s="6"/>
      <c r="P57" s="6"/>
      <c r="Q57" s="6"/>
      <c r="R57" s="6"/>
      <c r="S57" s="6"/>
      <c r="T57" s="6"/>
      <c r="U57" s="6"/>
      <c r="V57" s="6"/>
      <c r="W57" s="6"/>
      <c r="X57" s="6"/>
      <c r="Y57" s="6"/>
      <c r="Z57" s="6"/>
    </row>
    <row r="58" spans="1:26" ht="18" customHeight="1" x14ac:dyDescent="0.3">
      <c r="A58" s="142"/>
      <c r="B58" s="143"/>
      <c r="C58" s="144" t="str">
        <f>IF(B58="","",IFERROR(INDEX('12 P6 activities'!$B$7:$B$206,MATCH(B58,'12 P6 activities'!$A$7:$A$206,0)),"⚠ not in P6 list"))</f>
        <v/>
      </c>
      <c r="D58" s="144" t="str">
        <f>IF(B58="","",IFERROR(INDEX('12 P6 activities'!$C$7:$C$206,MATCH(B58,'12 P6 activities'!$A$7:$A$206,0)),"⚠ not in P6 list"))</f>
        <v/>
      </c>
      <c r="E58" s="145"/>
      <c r="F58" s="146"/>
      <c r="G58" s="147"/>
      <c r="H58" s="148"/>
      <c r="I58" s="149"/>
      <c r="J58" s="150" t="str">
        <f t="shared" si="0"/>
        <v/>
      </c>
      <c r="K58" s="149"/>
      <c r="L58" s="149"/>
      <c r="M58" s="6"/>
      <c r="N58" s="6"/>
      <c r="O58" s="6"/>
      <c r="P58" s="6"/>
      <c r="Q58" s="6"/>
      <c r="R58" s="6"/>
      <c r="S58" s="6"/>
      <c r="T58" s="6"/>
      <c r="U58" s="6"/>
      <c r="V58" s="6"/>
      <c r="W58" s="6"/>
      <c r="X58" s="6"/>
      <c r="Y58" s="6"/>
      <c r="Z58" s="6"/>
    </row>
    <row r="59" spans="1:26" ht="18" customHeight="1" x14ac:dyDescent="0.3">
      <c r="A59" s="142"/>
      <c r="B59" s="143"/>
      <c r="C59" s="144" t="str">
        <f>IF(B59="","",IFERROR(INDEX('12 P6 activities'!$B$7:$B$206,MATCH(B59,'12 P6 activities'!$A$7:$A$206,0)),"⚠ not in P6 list"))</f>
        <v/>
      </c>
      <c r="D59" s="144" t="str">
        <f>IF(B59="","",IFERROR(INDEX('12 P6 activities'!$C$7:$C$206,MATCH(B59,'12 P6 activities'!$A$7:$A$206,0)),"⚠ not in P6 list"))</f>
        <v/>
      </c>
      <c r="E59" s="145"/>
      <c r="F59" s="146"/>
      <c r="G59" s="147"/>
      <c r="H59" s="148"/>
      <c r="I59" s="149"/>
      <c r="J59" s="150" t="str">
        <f t="shared" si="0"/>
        <v/>
      </c>
      <c r="K59" s="149"/>
      <c r="L59" s="149"/>
      <c r="M59" s="6"/>
      <c r="N59" s="6"/>
      <c r="O59" s="6"/>
      <c r="P59" s="6"/>
      <c r="Q59" s="6"/>
      <c r="R59" s="6"/>
      <c r="S59" s="6"/>
      <c r="T59" s="6"/>
      <c r="U59" s="6"/>
      <c r="V59" s="6"/>
      <c r="W59" s="6"/>
      <c r="X59" s="6"/>
      <c r="Y59" s="6"/>
      <c r="Z59" s="6"/>
    </row>
    <row r="60" spans="1:26" ht="18" customHeight="1" x14ac:dyDescent="0.3">
      <c r="A60" s="142"/>
      <c r="B60" s="143"/>
      <c r="C60" s="144" t="str">
        <f>IF(B60="","",IFERROR(INDEX('12 P6 activities'!$B$7:$B$206,MATCH(B60,'12 P6 activities'!$A$7:$A$206,0)),"⚠ not in P6 list"))</f>
        <v/>
      </c>
      <c r="D60" s="144" t="str">
        <f>IF(B60="","",IFERROR(INDEX('12 P6 activities'!$C$7:$C$206,MATCH(B60,'12 P6 activities'!$A$7:$A$206,0)),"⚠ not in P6 list"))</f>
        <v/>
      </c>
      <c r="E60" s="145"/>
      <c r="F60" s="146"/>
      <c r="G60" s="147"/>
      <c r="H60" s="148"/>
      <c r="I60" s="149"/>
      <c r="J60" s="150" t="str">
        <f t="shared" si="0"/>
        <v/>
      </c>
      <c r="K60" s="149"/>
      <c r="L60" s="149"/>
      <c r="M60" s="6"/>
      <c r="N60" s="6"/>
      <c r="O60" s="6"/>
      <c r="P60" s="6"/>
      <c r="Q60" s="6"/>
      <c r="R60" s="6"/>
      <c r="S60" s="6"/>
      <c r="T60" s="6"/>
      <c r="U60" s="6"/>
      <c r="V60" s="6"/>
      <c r="W60" s="6"/>
      <c r="X60" s="6"/>
      <c r="Y60" s="6"/>
      <c r="Z60" s="6"/>
    </row>
    <row r="61" spans="1:26" ht="18" customHeight="1" x14ac:dyDescent="0.3">
      <c r="A61" s="142"/>
      <c r="B61" s="143"/>
      <c r="C61" s="144" t="str">
        <f>IF(B61="","",IFERROR(INDEX('12 P6 activities'!$B$7:$B$206,MATCH(B61,'12 P6 activities'!$A$7:$A$206,0)),"⚠ not in P6 list"))</f>
        <v/>
      </c>
      <c r="D61" s="144" t="str">
        <f>IF(B61="","",IFERROR(INDEX('12 P6 activities'!$C$7:$C$206,MATCH(B61,'12 P6 activities'!$A$7:$A$206,0)),"⚠ not in P6 list"))</f>
        <v/>
      </c>
      <c r="E61" s="145"/>
      <c r="F61" s="146"/>
      <c r="G61" s="147"/>
      <c r="H61" s="148"/>
      <c r="I61" s="149"/>
      <c r="J61" s="150" t="str">
        <f t="shared" si="0"/>
        <v/>
      </c>
      <c r="K61" s="149"/>
      <c r="L61" s="149"/>
      <c r="M61" s="6"/>
      <c r="N61" s="6"/>
      <c r="O61" s="6"/>
      <c r="P61" s="6"/>
      <c r="Q61" s="6"/>
      <c r="R61" s="6"/>
      <c r="S61" s="6"/>
      <c r="T61" s="6"/>
      <c r="U61" s="6"/>
      <c r="V61" s="6"/>
      <c r="W61" s="6"/>
      <c r="X61" s="6"/>
      <c r="Y61" s="6"/>
      <c r="Z61" s="6"/>
    </row>
    <row r="62" spans="1:26" ht="18" customHeight="1" x14ac:dyDescent="0.3">
      <c r="A62" s="142"/>
      <c r="B62" s="143"/>
      <c r="C62" s="144" t="str">
        <f>IF(B62="","",IFERROR(INDEX('12 P6 activities'!$B$7:$B$206,MATCH(B62,'12 P6 activities'!$A$7:$A$206,0)),"⚠ not in P6 list"))</f>
        <v/>
      </c>
      <c r="D62" s="144" t="str">
        <f>IF(B62="","",IFERROR(INDEX('12 P6 activities'!$C$7:$C$206,MATCH(B62,'12 P6 activities'!$A$7:$A$206,0)),"⚠ not in P6 list"))</f>
        <v/>
      </c>
      <c r="E62" s="145"/>
      <c r="F62" s="146"/>
      <c r="G62" s="147"/>
      <c r="H62" s="148"/>
      <c r="I62" s="149"/>
      <c r="J62" s="150" t="str">
        <f t="shared" si="0"/>
        <v/>
      </c>
      <c r="K62" s="149"/>
      <c r="L62" s="149"/>
      <c r="M62" s="6"/>
      <c r="N62" s="6"/>
      <c r="O62" s="6"/>
      <c r="P62" s="6"/>
      <c r="Q62" s="6"/>
      <c r="R62" s="6"/>
      <c r="S62" s="6"/>
      <c r="T62" s="6"/>
      <c r="U62" s="6"/>
      <c r="V62" s="6"/>
      <c r="W62" s="6"/>
      <c r="X62" s="6"/>
      <c r="Y62" s="6"/>
      <c r="Z62" s="6"/>
    </row>
    <row r="63" spans="1:26" ht="18" customHeight="1" x14ac:dyDescent="0.3">
      <c r="A63" s="142"/>
      <c r="B63" s="143"/>
      <c r="C63" s="144" t="str">
        <f>IF(B63="","",IFERROR(INDEX('12 P6 activities'!$B$7:$B$206,MATCH(B63,'12 P6 activities'!$A$7:$A$206,0)),"⚠ not in P6 list"))</f>
        <v/>
      </c>
      <c r="D63" s="144" t="str">
        <f>IF(B63="","",IFERROR(INDEX('12 P6 activities'!$C$7:$C$206,MATCH(B63,'12 P6 activities'!$A$7:$A$206,0)),"⚠ not in P6 list"))</f>
        <v/>
      </c>
      <c r="E63" s="145"/>
      <c r="F63" s="146"/>
      <c r="G63" s="147"/>
      <c r="H63" s="148"/>
      <c r="I63" s="149"/>
      <c r="J63" s="150" t="str">
        <f t="shared" si="0"/>
        <v/>
      </c>
      <c r="K63" s="149"/>
      <c r="L63" s="149"/>
      <c r="M63" s="6"/>
      <c r="N63" s="6"/>
      <c r="O63" s="6"/>
      <c r="P63" s="6"/>
      <c r="Q63" s="6"/>
      <c r="R63" s="6"/>
      <c r="S63" s="6"/>
      <c r="T63" s="6"/>
      <c r="U63" s="6"/>
      <c r="V63" s="6"/>
      <c r="W63" s="6"/>
      <c r="X63" s="6"/>
      <c r="Y63" s="6"/>
      <c r="Z63" s="6"/>
    </row>
    <row r="64" spans="1:26" ht="18" customHeight="1" x14ac:dyDescent="0.3">
      <c r="A64" s="142"/>
      <c r="B64" s="143"/>
      <c r="C64" s="144" t="str">
        <f>IF(B64="","",IFERROR(INDEX('12 P6 activities'!$B$7:$B$206,MATCH(B64,'12 P6 activities'!$A$7:$A$206,0)),"⚠ not in P6 list"))</f>
        <v/>
      </c>
      <c r="D64" s="144" t="str">
        <f>IF(B64="","",IFERROR(INDEX('12 P6 activities'!$C$7:$C$206,MATCH(B64,'12 P6 activities'!$A$7:$A$206,0)),"⚠ not in P6 list"))</f>
        <v/>
      </c>
      <c r="E64" s="145"/>
      <c r="F64" s="146"/>
      <c r="G64" s="147"/>
      <c r="H64" s="148"/>
      <c r="I64" s="149"/>
      <c r="J64" s="150" t="str">
        <f t="shared" si="0"/>
        <v/>
      </c>
      <c r="K64" s="149"/>
      <c r="L64" s="149"/>
      <c r="M64" s="6"/>
      <c r="N64" s="6"/>
      <c r="O64" s="6"/>
      <c r="P64" s="6"/>
      <c r="Q64" s="6"/>
      <c r="R64" s="6"/>
      <c r="S64" s="6"/>
      <c r="T64" s="6"/>
      <c r="U64" s="6"/>
      <c r="V64" s="6"/>
      <c r="W64" s="6"/>
      <c r="X64" s="6"/>
      <c r="Y64" s="6"/>
      <c r="Z64" s="6"/>
    </row>
    <row r="65" spans="1:26" ht="18" customHeight="1" x14ac:dyDescent="0.3">
      <c r="A65" s="142"/>
      <c r="B65" s="143"/>
      <c r="C65" s="144" t="str">
        <f>IF(B65="","",IFERROR(INDEX('12 P6 activities'!$B$7:$B$206,MATCH(B65,'12 P6 activities'!$A$7:$A$206,0)),"⚠ not in P6 list"))</f>
        <v/>
      </c>
      <c r="D65" s="144" t="str">
        <f>IF(B65="","",IFERROR(INDEX('12 P6 activities'!$C$7:$C$206,MATCH(B65,'12 P6 activities'!$A$7:$A$206,0)),"⚠ not in P6 list"))</f>
        <v/>
      </c>
      <c r="E65" s="145"/>
      <c r="F65" s="146"/>
      <c r="G65" s="147"/>
      <c r="H65" s="148"/>
      <c r="I65" s="149"/>
      <c r="J65" s="150" t="str">
        <f t="shared" si="0"/>
        <v/>
      </c>
      <c r="K65" s="149"/>
      <c r="L65" s="149"/>
      <c r="M65" s="6"/>
      <c r="N65" s="6"/>
      <c r="O65" s="6"/>
      <c r="P65" s="6"/>
      <c r="Q65" s="6"/>
      <c r="R65" s="6"/>
      <c r="S65" s="6"/>
      <c r="T65" s="6"/>
      <c r="U65" s="6"/>
      <c r="V65" s="6"/>
      <c r="W65" s="6"/>
      <c r="X65" s="6"/>
      <c r="Y65" s="6"/>
      <c r="Z65" s="6"/>
    </row>
    <row r="66" spans="1:26" ht="18" customHeight="1" x14ac:dyDescent="0.3">
      <c r="A66" s="142"/>
      <c r="B66" s="143"/>
      <c r="C66" s="144" t="str">
        <f>IF(B66="","",IFERROR(INDEX('12 P6 activities'!$B$7:$B$206,MATCH(B66,'12 P6 activities'!$A$7:$A$206,0)),"⚠ not in P6 list"))</f>
        <v/>
      </c>
      <c r="D66" s="144" t="str">
        <f>IF(B66="","",IFERROR(INDEX('12 P6 activities'!$C$7:$C$206,MATCH(B66,'12 P6 activities'!$A$7:$A$206,0)),"⚠ not in P6 list"))</f>
        <v/>
      </c>
      <c r="E66" s="145"/>
      <c r="F66" s="146"/>
      <c r="G66" s="147"/>
      <c r="H66" s="148"/>
      <c r="I66" s="149"/>
      <c r="J66" s="150" t="str">
        <f t="shared" si="0"/>
        <v/>
      </c>
      <c r="K66" s="149"/>
      <c r="L66" s="149"/>
      <c r="M66" s="6"/>
      <c r="N66" s="6"/>
      <c r="O66" s="6"/>
      <c r="P66" s="6"/>
      <c r="Q66" s="6"/>
      <c r="R66" s="6"/>
      <c r="S66" s="6"/>
      <c r="T66" s="6"/>
      <c r="U66" s="6"/>
      <c r="V66" s="6"/>
      <c r="W66" s="6"/>
      <c r="X66" s="6"/>
      <c r="Y66" s="6"/>
      <c r="Z66" s="6"/>
    </row>
    <row r="67" spans="1:26" ht="18" customHeight="1" x14ac:dyDescent="0.3">
      <c r="A67" s="142"/>
      <c r="B67" s="143"/>
      <c r="C67" s="144" t="str">
        <f>IF(B67="","",IFERROR(INDEX('12 P6 activities'!$B$7:$B$206,MATCH(B67,'12 P6 activities'!$A$7:$A$206,0)),"⚠ not in P6 list"))</f>
        <v/>
      </c>
      <c r="D67" s="144" t="str">
        <f>IF(B67="","",IFERROR(INDEX('12 P6 activities'!$C$7:$C$206,MATCH(B67,'12 P6 activities'!$A$7:$A$206,0)),"⚠ not in P6 list"))</f>
        <v/>
      </c>
      <c r="E67" s="145"/>
      <c r="F67" s="146"/>
      <c r="G67" s="147"/>
      <c r="H67" s="148"/>
      <c r="I67" s="149"/>
      <c r="J67" s="150" t="str">
        <f t="shared" si="0"/>
        <v/>
      </c>
      <c r="K67" s="149"/>
      <c r="L67" s="149"/>
      <c r="M67" s="6"/>
      <c r="N67" s="6"/>
      <c r="O67" s="6"/>
      <c r="P67" s="6"/>
      <c r="Q67" s="6"/>
      <c r="R67" s="6"/>
      <c r="S67" s="6"/>
      <c r="T67" s="6"/>
      <c r="U67" s="6"/>
      <c r="V67" s="6"/>
      <c r="W67" s="6"/>
      <c r="X67" s="6"/>
      <c r="Y67" s="6"/>
      <c r="Z67" s="6"/>
    </row>
    <row r="68" spans="1:26" ht="18" customHeight="1" x14ac:dyDescent="0.3">
      <c r="A68" s="142"/>
      <c r="B68" s="143"/>
      <c r="C68" s="144" t="str">
        <f>IF(B68="","",IFERROR(INDEX('12 P6 activities'!$B$7:$B$206,MATCH(B68,'12 P6 activities'!$A$7:$A$206,0)),"⚠ not in P6 list"))</f>
        <v/>
      </c>
      <c r="D68" s="144" t="str">
        <f>IF(B68="","",IFERROR(INDEX('12 P6 activities'!$C$7:$C$206,MATCH(B68,'12 P6 activities'!$A$7:$A$206,0)),"⚠ not in P6 list"))</f>
        <v/>
      </c>
      <c r="E68" s="145"/>
      <c r="F68" s="146"/>
      <c r="G68" s="147"/>
      <c r="H68" s="148"/>
      <c r="I68" s="149"/>
      <c r="J68" s="150" t="str">
        <f t="shared" si="0"/>
        <v/>
      </c>
      <c r="K68" s="149"/>
      <c r="L68" s="149"/>
      <c r="M68" s="6"/>
      <c r="N68" s="6"/>
      <c r="O68" s="6"/>
      <c r="P68" s="6"/>
      <c r="Q68" s="6"/>
      <c r="R68" s="6"/>
      <c r="S68" s="6"/>
      <c r="T68" s="6"/>
      <c r="U68" s="6"/>
      <c r="V68" s="6"/>
      <c r="W68" s="6"/>
      <c r="X68" s="6"/>
      <c r="Y68" s="6"/>
      <c r="Z68" s="6"/>
    </row>
    <row r="69" spans="1:26" ht="18" customHeight="1" x14ac:dyDescent="0.3">
      <c r="A69" s="142"/>
      <c r="B69" s="143"/>
      <c r="C69" s="144" t="str">
        <f>IF(B69="","",IFERROR(INDEX('12 P6 activities'!$B$7:$B$206,MATCH(B69,'12 P6 activities'!$A$7:$A$206,0)),"⚠ not in P6 list"))</f>
        <v/>
      </c>
      <c r="D69" s="144" t="str">
        <f>IF(B69="","",IFERROR(INDEX('12 P6 activities'!$C$7:$C$206,MATCH(B69,'12 P6 activities'!$A$7:$A$206,0)),"⚠ not in P6 list"))</f>
        <v/>
      </c>
      <c r="E69" s="145"/>
      <c r="F69" s="146"/>
      <c r="G69" s="147"/>
      <c r="H69" s="148"/>
      <c r="I69" s="149"/>
      <c r="J69" s="150" t="str">
        <f t="shared" si="0"/>
        <v/>
      </c>
      <c r="K69" s="149"/>
      <c r="L69" s="149"/>
      <c r="M69" s="6"/>
      <c r="N69" s="6"/>
      <c r="O69" s="6"/>
      <c r="P69" s="6"/>
      <c r="Q69" s="6"/>
      <c r="R69" s="6"/>
      <c r="S69" s="6"/>
      <c r="T69" s="6"/>
      <c r="U69" s="6"/>
      <c r="V69" s="6"/>
      <c r="W69" s="6"/>
      <c r="X69" s="6"/>
      <c r="Y69" s="6"/>
      <c r="Z69" s="6"/>
    </row>
    <row r="70" spans="1:26" ht="18" customHeight="1" x14ac:dyDescent="0.3">
      <c r="A70" s="142"/>
      <c r="B70" s="143"/>
      <c r="C70" s="144" t="str">
        <f>IF(B70="","",IFERROR(INDEX('12 P6 activities'!$B$7:$B$206,MATCH(B70,'12 P6 activities'!$A$7:$A$206,0)),"⚠ not in P6 list"))</f>
        <v/>
      </c>
      <c r="D70" s="144" t="str">
        <f>IF(B70="","",IFERROR(INDEX('12 P6 activities'!$C$7:$C$206,MATCH(B70,'12 P6 activities'!$A$7:$A$206,0)),"⚠ not in P6 list"))</f>
        <v/>
      </c>
      <c r="E70" s="145"/>
      <c r="F70" s="146"/>
      <c r="G70" s="147"/>
      <c r="H70" s="148"/>
      <c r="I70" s="149"/>
      <c r="J70" s="150" t="str">
        <f t="shared" si="0"/>
        <v/>
      </c>
      <c r="K70" s="149"/>
      <c r="L70" s="149"/>
      <c r="M70" s="6"/>
      <c r="N70" s="6"/>
      <c r="O70" s="6"/>
      <c r="P70" s="6"/>
      <c r="Q70" s="6"/>
      <c r="R70" s="6"/>
      <c r="S70" s="6"/>
      <c r="T70" s="6"/>
      <c r="U70" s="6"/>
      <c r="V70" s="6"/>
      <c r="W70" s="6"/>
      <c r="X70" s="6"/>
      <c r="Y70" s="6"/>
      <c r="Z70" s="6"/>
    </row>
    <row r="71" spans="1:26" ht="18" customHeight="1" x14ac:dyDescent="0.3">
      <c r="A71" s="142"/>
      <c r="B71" s="143"/>
      <c r="C71" s="144" t="str">
        <f>IF(B71="","",IFERROR(INDEX('12 P6 activities'!$B$7:$B$206,MATCH(B71,'12 P6 activities'!$A$7:$A$206,0)),"⚠ not in P6 list"))</f>
        <v/>
      </c>
      <c r="D71" s="144" t="str">
        <f>IF(B71="","",IFERROR(INDEX('12 P6 activities'!$C$7:$C$206,MATCH(B71,'12 P6 activities'!$A$7:$A$206,0)),"⚠ not in P6 list"))</f>
        <v/>
      </c>
      <c r="E71" s="145"/>
      <c r="F71" s="146"/>
      <c r="G71" s="147"/>
      <c r="H71" s="148"/>
      <c r="I71" s="149"/>
      <c r="J71" s="150" t="str">
        <f t="shared" si="0"/>
        <v/>
      </c>
      <c r="K71" s="149"/>
      <c r="L71" s="149"/>
      <c r="M71" s="6"/>
      <c r="N71" s="6"/>
      <c r="O71" s="6"/>
      <c r="P71" s="6"/>
      <c r="Q71" s="6"/>
      <c r="R71" s="6"/>
      <c r="S71" s="6"/>
      <c r="T71" s="6"/>
      <c r="U71" s="6"/>
      <c r="V71" s="6"/>
      <c r="W71" s="6"/>
      <c r="X71" s="6"/>
      <c r="Y71" s="6"/>
      <c r="Z71" s="6"/>
    </row>
    <row r="72" spans="1:26" ht="18" customHeight="1" x14ac:dyDescent="0.3">
      <c r="A72" s="142"/>
      <c r="B72" s="143"/>
      <c r="C72" s="144" t="str">
        <f>IF(B72="","",IFERROR(INDEX('12 P6 activities'!$B$7:$B$206,MATCH(B72,'12 P6 activities'!$A$7:$A$206,0)),"⚠ not in P6 list"))</f>
        <v/>
      </c>
      <c r="D72" s="144" t="str">
        <f>IF(B72="","",IFERROR(INDEX('12 P6 activities'!$C$7:$C$206,MATCH(B72,'12 P6 activities'!$A$7:$A$206,0)),"⚠ not in P6 list"))</f>
        <v/>
      </c>
      <c r="E72" s="145"/>
      <c r="F72" s="146"/>
      <c r="G72" s="147"/>
      <c r="H72" s="148"/>
      <c r="I72" s="149"/>
      <c r="J72" s="150" t="str">
        <f t="shared" ref="J72:J135" si="1">IF(OR(H72="",I72=""),"",H72*I72)</f>
        <v/>
      </c>
      <c r="K72" s="149"/>
      <c r="L72" s="149"/>
      <c r="M72" s="6"/>
      <c r="N72" s="6"/>
      <c r="O72" s="6"/>
      <c r="P72" s="6"/>
      <c r="Q72" s="6"/>
      <c r="R72" s="6"/>
      <c r="S72" s="6"/>
      <c r="T72" s="6"/>
      <c r="U72" s="6"/>
      <c r="V72" s="6"/>
      <c r="W72" s="6"/>
      <c r="X72" s="6"/>
      <c r="Y72" s="6"/>
      <c r="Z72" s="6"/>
    </row>
    <row r="73" spans="1:26" ht="18" customHeight="1" x14ac:dyDescent="0.3">
      <c r="A73" s="142"/>
      <c r="B73" s="143"/>
      <c r="C73" s="144" t="str">
        <f>IF(B73="","",IFERROR(INDEX('12 P6 activities'!$B$7:$B$206,MATCH(B73,'12 P6 activities'!$A$7:$A$206,0)),"⚠ not in P6 list"))</f>
        <v/>
      </c>
      <c r="D73" s="144" t="str">
        <f>IF(B73="","",IFERROR(INDEX('12 P6 activities'!$C$7:$C$206,MATCH(B73,'12 P6 activities'!$A$7:$A$206,0)),"⚠ not in P6 list"))</f>
        <v/>
      </c>
      <c r="E73" s="145"/>
      <c r="F73" s="146"/>
      <c r="G73" s="147"/>
      <c r="H73" s="148"/>
      <c r="I73" s="149"/>
      <c r="J73" s="150" t="str">
        <f t="shared" si="1"/>
        <v/>
      </c>
      <c r="K73" s="149"/>
      <c r="L73" s="149"/>
      <c r="M73" s="6"/>
      <c r="N73" s="6"/>
      <c r="O73" s="6"/>
      <c r="P73" s="6"/>
      <c r="Q73" s="6"/>
      <c r="R73" s="6"/>
      <c r="S73" s="6"/>
      <c r="T73" s="6"/>
      <c r="U73" s="6"/>
      <c r="V73" s="6"/>
      <c r="W73" s="6"/>
      <c r="X73" s="6"/>
      <c r="Y73" s="6"/>
      <c r="Z73" s="6"/>
    </row>
    <row r="74" spans="1:26" ht="18" customHeight="1" x14ac:dyDescent="0.3">
      <c r="A74" s="142"/>
      <c r="B74" s="143"/>
      <c r="C74" s="144" t="str">
        <f>IF(B74="","",IFERROR(INDEX('12 P6 activities'!$B$7:$B$206,MATCH(B74,'12 P6 activities'!$A$7:$A$206,0)),"⚠ not in P6 list"))</f>
        <v/>
      </c>
      <c r="D74" s="144" t="str">
        <f>IF(B74="","",IFERROR(INDEX('12 P6 activities'!$C$7:$C$206,MATCH(B74,'12 P6 activities'!$A$7:$A$206,0)),"⚠ not in P6 list"))</f>
        <v/>
      </c>
      <c r="E74" s="145"/>
      <c r="F74" s="146"/>
      <c r="G74" s="147"/>
      <c r="H74" s="148"/>
      <c r="I74" s="149"/>
      <c r="J74" s="150" t="str">
        <f t="shared" si="1"/>
        <v/>
      </c>
      <c r="K74" s="149"/>
      <c r="L74" s="149"/>
      <c r="M74" s="6"/>
      <c r="N74" s="6"/>
      <c r="O74" s="6"/>
      <c r="P74" s="6"/>
      <c r="Q74" s="6"/>
      <c r="R74" s="6"/>
      <c r="S74" s="6"/>
      <c r="T74" s="6"/>
      <c r="U74" s="6"/>
      <c r="V74" s="6"/>
      <c r="W74" s="6"/>
      <c r="X74" s="6"/>
      <c r="Y74" s="6"/>
      <c r="Z74" s="6"/>
    </row>
    <row r="75" spans="1:26" ht="18" customHeight="1" x14ac:dyDescent="0.3">
      <c r="A75" s="142"/>
      <c r="B75" s="143"/>
      <c r="C75" s="144" t="str">
        <f>IF(B75="","",IFERROR(INDEX('12 P6 activities'!$B$7:$B$206,MATCH(B75,'12 P6 activities'!$A$7:$A$206,0)),"⚠ not in P6 list"))</f>
        <v/>
      </c>
      <c r="D75" s="144" t="str">
        <f>IF(B75="","",IFERROR(INDEX('12 P6 activities'!$C$7:$C$206,MATCH(B75,'12 P6 activities'!$A$7:$A$206,0)),"⚠ not in P6 list"))</f>
        <v/>
      </c>
      <c r="E75" s="145"/>
      <c r="F75" s="146"/>
      <c r="G75" s="147"/>
      <c r="H75" s="148"/>
      <c r="I75" s="149"/>
      <c r="J75" s="150" t="str">
        <f t="shared" si="1"/>
        <v/>
      </c>
      <c r="K75" s="149"/>
      <c r="L75" s="149"/>
      <c r="M75" s="6"/>
      <c r="N75" s="6"/>
      <c r="O75" s="6"/>
      <c r="P75" s="6"/>
      <c r="Q75" s="6"/>
      <c r="R75" s="6"/>
      <c r="S75" s="6"/>
      <c r="T75" s="6"/>
      <c r="U75" s="6"/>
      <c r="V75" s="6"/>
      <c r="W75" s="6"/>
      <c r="X75" s="6"/>
      <c r="Y75" s="6"/>
      <c r="Z75" s="6"/>
    </row>
    <row r="76" spans="1:26" ht="18" customHeight="1" x14ac:dyDescent="0.3">
      <c r="A76" s="142"/>
      <c r="B76" s="143"/>
      <c r="C76" s="144" t="str">
        <f>IF(B76="","",IFERROR(INDEX('12 P6 activities'!$B$7:$B$206,MATCH(B76,'12 P6 activities'!$A$7:$A$206,0)),"⚠ not in P6 list"))</f>
        <v/>
      </c>
      <c r="D76" s="144" t="str">
        <f>IF(B76="","",IFERROR(INDEX('12 P6 activities'!$C$7:$C$206,MATCH(B76,'12 P6 activities'!$A$7:$A$206,0)),"⚠ not in P6 list"))</f>
        <v/>
      </c>
      <c r="E76" s="145"/>
      <c r="F76" s="146"/>
      <c r="G76" s="147"/>
      <c r="H76" s="148"/>
      <c r="I76" s="149"/>
      <c r="J76" s="150" t="str">
        <f t="shared" si="1"/>
        <v/>
      </c>
      <c r="K76" s="149"/>
      <c r="L76" s="149"/>
      <c r="M76" s="6"/>
      <c r="N76" s="6"/>
      <c r="O76" s="6"/>
      <c r="P76" s="6"/>
      <c r="Q76" s="6"/>
      <c r="R76" s="6"/>
      <c r="S76" s="6"/>
      <c r="T76" s="6"/>
      <c r="U76" s="6"/>
      <c r="V76" s="6"/>
      <c r="W76" s="6"/>
      <c r="X76" s="6"/>
      <c r="Y76" s="6"/>
      <c r="Z76" s="6"/>
    </row>
    <row r="77" spans="1:26" ht="18" customHeight="1" x14ac:dyDescent="0.3">
      <c r="A77" s="142"/>
      <c r="B77" s="143"/>
      <c r="C77" s="144" t="str">
        <f>IF(B77="","",IFERROR(INDEX('12 P6 activities'!$B$7:$B$206,MATCH(B77,'12 P6 activities'!$A$7:$A$206,0)),"⚠ not in P6 list"))</f>
        <v/>
      </c>
      <c r="D77" s="144" t="str">
        <f>IF(B77="","",IFERROR(INDEX('12 P6 activities'!$C$7:$C$206,MATCH(B77,'12 P6 activities'!$A$7:$A$206,0)),"⚠ not in P6 list"))</f>
        <v/>
      </c>
      <c r="E77" s="145"/>
      <c r="F77" s="146"/>
      <c r="G77" s="147"/>
      <c r="H77" s="148"/>
      <c r="I77" s="149"/>
      <c r="J77" s="150" t="str">
        <f t="shared" si="1"/>
        <v/>
      </c>
      <c r="K77" s="149"/>
      <c r="L77" s="149"/>
      <c r="M77" s="6"/>
      <c r="N77" s="6"/>
      <c r="O77" s="6"/>
      <c r="P77" s="6"/>
      <c r="Q77" s="6"/>
      <c r="R77" s="6"/>
      <c r="S77" s="6"/>
      <c r="T77" s="6"/>
      <c r="U77" s="6"/>
      <c r="V77" s="6"/>
      <c r="W77" s="6"/>
      <c r="X77" s="6"/>
      <c r="Y77" s="6"/>
      <c r="Z77" s="6"/>
    </row>
    <row r="78" spans="1:26" ht="18" customHeight="1" x14ac:dyDescent="0.3">
      <c r="A78" s="142"/>
      <c r="B78" s="143"/>
      <c r="C78" s="144" t="str">
        <f>IF(B78="","",IFERROR(INDEX('12 P6 activities'!$B$7:$B$206,MATCH(B78,'12 P6 activities'!$A$7:$A$206,0)),"⚠ not in P6 list"))</f>
        <v/>
      </c>
      <c r="D78" s="144" t="str">
        <f>IF(B78="","",IFERROR(INDEX('12 P6 activities'!$C$7:$C$206,MATCH(B78,'12 P6 activities'!$A$7:$A$206,0)),"⚠ not in P6 list"))</f>
        <v/>
      </c>
      <c r="E78" s="145"/>
      <c r="F78" s="146"/>
      <c r="G78" s="147"/>
      <c r="H78" s="148"/>
      <c r="I78" s="149"/>
      <c r="J78" s="150" t="str">
        <f t="shared" si="1"/>
        <v/>
      </c>
      <c r="K78" s="149"/>
      <c r="L78" s="149"/>
      <c r="M78" s="6"/>
      <c r="N78" s="6"/>
      <c r="O78" s="6"/>
      <c r="P78" s="6"/>
      <c r="Q78" s="6"/>
      <c r="R78" s="6"/>
      <c r="S78" s="6"/>
      <c r="T78" s="6"/>
      <c r="U78" s="6"/>
      <c r="V78" s="6"/>
      <c r="W78" s="6"/>
      <c r="X78" s="6"/>
      <c r="Y78" s="6"/>
      <c r="Z78" s="6"/>
    </row>
    <row r="79" spans="1:26" ht="18" customHeight="1" x14ac:dyDescent="0.3">
      <c r="A79" s="142"/>
      <c r="B79" s="143"/>
      <c r="C79" s="144" t="str">
        <f>IF(B79="","",IFERROR(INDEX('12 P6 activities'!$B$7:$B$206,MATCH(B79,'12 P6 activities'!$A$7:$A$206,0)),"⚠ not in P6 list"))</f>
        <v/>
      </c>
      <c r="D79" s="144" t="str">
        <f>IF(B79="","",IFERROR(INDEX('12 P6 activities'!$C$7:$C$206,MATCH(B79,'12 P6 activities'!$A$7:$A$206,0)),"⚠ not in P6 list"))</f>
        <v/>
      </c>
      <c r="E79" s="145"/>
      <c r="F79" s="146"/>
      <c r="G79" s="147"/>
      <c r="H79" s="148"/>
      <c r="I79" s="149"/>
      <c r="J79" s="150" t="str">
        <f t="shared" si="1"/>
        <v/>
      </c>
      <c r="K79" s="149"/>
      <c r="L79" s="149"/>
      <c r="M79" s="6"/>
      <c r="N79" s="6"/>
      <c r="O79" s="6"/>
      <c r="P79" s="6"/>
      <c r="Q79" s="6"/>
      <c r="R79" s="6"/>
      <c r="S79" s="6"/>
      <c r="T79" s="6"/>
      <c r="U79" s="6"/>
      <c r="V79" s="6"/>
      <c r="W79" s="6"/>
      <c r="X79" s="6"/>
      <c r="Y79" s="6"/>
      <c r="Z79" s="6"/>
    </row>
    <row r="80" spans="1:26" ht="18" customHeight="1" x14ac:dyDescent="0.3">
      <c r="A80" s="142"/>
      <c r="B80" s="143"/>
      <c r="C80" s="144" t="str">
        <f>IF(B80="","",IFERROR(INDEX('12 P6 activities'!$B$7:$B$206,MATCH(B80,'12 P6 activities'!$A$7:$A$206,0)),"⚠ not in P6 list"))</f>
        <v/>
      </c>
      <c r="D80" s="144" t="str">
        <f>IF(B80="","",IFERROR(INDEX('12 P6 activities'!$C$7:$C$206,MATCH(B80,'12 P6 activities'!$A$7:$A$206,0)),"⚠ not in P6 list"))</f>
        <v/>
      </c>
      <c r="E80" s="145"/>
      <c r="F80" s="146"/>
      <c r="G80" s="147"/>
      <c r="H80" s="148"/>
      <c r="I80" s="149"/>
      <c r="J80" s="150" t="str">
        <f t="shared" si="1"/>
        <v/>
      </c>
      <c r="K80" s="149"/>
      <c r="L80" s="149"/>
      <c r="M80" s="6"/>
      <c r="N80" s="6"/>
      <c r="O80" s="6"/>
      <c r="P80" s="6"/>
      <c r="Q80" s="6"/>
      <c r="R80" s="6"/>
      <c r="S80" s="6"/>
      <c r="T80" s="6"/>
      <c r="U80" s="6"/>
      <c r="V80" s="6"/>
      <c r="W80" s="6"/>
      <c r="X80" s="6"/>
      <c r="Y80" s="6"/>
      <c r="Z80" s="6"/>
    </row>
    <row r="81" spans="1:26" ht="18" customHeight="1" x14ac:dyDescent="0.3">
      <c r="A81" s="142"/>
      <c r="B81" s="143"/>
      <c r="C81" s="144" t="str">
        <f>IF(B81="","",IFERROR(INDEX('12 P6 activities'!$B$7:$B$206,MATCH(B81,'12 P6 activities'!$A$7:$A$206,0)),"⚠ not in P6 list"))</f>
        <v/>
      </c>
      <c r="D81" s="144" t="str">
        <f>IF(B81="","",IFERROR(INDEX('12 P6 activities'!$C$7:$C$206,MATCH(B81,'12 P6 activities'!$A$7:$A$206,0)),"⚠ not in P6 list"))</f>
        <v/>
      </c>
      <c r="E81" s="145"/>
      <c r="F81" s="146"/>
      <c r="G81" s="147"/>
      <c r="H81" s="148"/>
      <c r="I81" s="149"/>
      <c r="J81" s="150" t="str">
        <f t="shared" si="1"/>
        <v/>
      </c>
      <c r="K81" s="149"/>
      <c r="L81" s="149"/>
      <c r="M81" s="6"/>
      <c r="N81" s="6"/>
      <c r="O81" s="6"/>
      <c r="P81" s="6"/>
      <c r="Q81" s="6"/>
      <c r="R81" s="6"/>
      <c r="S81" s="6"/>
      <c r="T81" s="6"/>
      <c r="U81" s="6"/>
      <c r="V81" s="6"/>
      <c r="W81" s="6"/>
      <c r="X81" s="6"/>
      <c r="Y81" s="6"/>
      <c r="Z81" s="6"/>
    </row>
    <row r="82" spans="1:26" ht="18" customHeight="1" x14ac:dyDescent="0.3">
      <c r="A82" s="142"/>
      <c r="B82" s="143"/>
      <c r="C82" s="144" t="str">
        <f>IF(B82="","",IFERROR(INDEX('12 P6 activities'!$B$7:$B$206,MATCH(B82,'12 P6 activities'!$A$7:$A$206,0)),"⚠ not in P6 list"))</f>
        <v/>
      </c>
      <c r="D82" s="144" t="str">
        <f>IF(B82="","",IFERROR(INDEX('12 P6 activities'!$C$7:$C$206,MATCH(B82,'12 P6 activities'!$A$7:$A$206,0)),"⚠ not in P6 list"))</f>
        <v/>
      </c>
      <c r="E82" s="145"/>
      <c r="F82" s="146"/>
      <c r="G82" s="147"/>
      <c r="H82" s="148"/>
      <c r="I82" s="149"/>
      <c r="J82" s="150" t="str">
        <f t="shared" si="1"/>
        <v/>
      </c>
      <c r="K82" s="149"/>
      <c r="L82" s="149"/>
      <c r="M82" s="6"/>
      <c r="N82" s="6"/>
      <c r="O82" s="6"/>
      <c r="P82" s="6"/>
      <c r="Q82" s="6"/>
      <c r="R82" s="6"/>
      <c r="S82" s="6"/>
      <c r="T82" s="6"/>
      <c r="U82" s="6"/>
      <c r="V82" s="6"/>
      <c r="W82" s="6"/>
      <c r="X82" s="6"/>
      <c r="Y82" s="6"/>
      <c r="Z82" s="6"/>
    </row>
    <row r="83" spans="1:26" ht="18" customHeight="1" x14ac:dyDescent="0.3">
      <c r="A83" s="142"/>
      <c r="B83" s="143"/>
      <c r="C83" s="144" t="str">
        <f>IF(B83="","",IFERROR(INDEX('12 P6 activities'!$B$7:$B$206,MATCH(B83,'12 P6 activities'!$A$7:$A$206,0)),"⚠ not in P6 list"))</f>
        <v/>
      </c>
      <c r="D83" s="144" t="str">
        <f>IF(B83="","",IFERROR(INDEX('12 P6 activities'!$C$7:$C$206,MATCH(B83,'12 P6 activities'!$A$7:$A$206,0)),"⚠ not in P6 list"))</f>
        <v/>
      </c>
      <c r="E83" s="145"/>
      <c r="F83" s="146"/>
      <c r="G83" s="147"/>
      <c r="H83" s="148"/>
      <c r="I83" s="149"/>
      <c r="J83" s="150" t="str">
        <f t="shared" si="1"/>
        <v/>
      </c>
      <c r="K83" s="149"/>
      <c r="L83" s="149"/>
      <c r="M83" s="6"/>
      <c r="N83" s="6"/>
      <c r="O83" s="6"/>
      <c r="P83" s="6"/>
      <c r="Q83" s="6"/>
      <c r="R83" s="6"/>
      <c r="S83" s="6"/>
      <c r="T83" s="6"/>
      <c r="U83" s="6"/>
      <c r="V83" s="6"/>
      <c r="W83" s="6"/>
      <c r="X83" s="6"/>
      <c r="Y83" s="6"/>
      <c r="Z83" s="6"/>
    </row>
    <row r="84" spans="1:26" ht="18" customHeight="1" x14ac:dyDescent="0.3">
      <c r="A84" s="142"/>
      <c r="B84" s="143"/>
      <c r="C84" s="144" t="str">
        <f>IF(B84="","",IFERROR(INDEX('12 P6 activities'!$B$7:$B$206,MATCH(B84,'12 P6 activities'!$A$7:$A$206,0)),"⚠ not in P6 list"))</f>
        <v/>
      </c>
      <c r="D84" s="144" t="str">
        <f>IF(B84="","",IFERROR(INDEX('12 P6 activities'!$C$7:$C$206,MATCH(B84,'12 P6 activities'!$A$7:$A$206,0)),"⚠ not in P6 list"))</f>
        <v/>
      </c>
      <c r="E84" s="145"/>
      <c r="F84" s="146"/>
      <c r="G84" s="147"/>
      <c r="H84" s="148"/>
      <c r="I84" s="149"/>
      <c r="J84" s="150" t="str">
        <f t="shared" si="1"/>
        <v/>
      </c>
      <c r="K84" s="149"/>
      <c r="L84" s="149"/>
      <c r="M84" s="6"/>
      <c r="N84" s="6"/>
      <c r="O84" s="6"/>
      <c r="P84" s="6"/>
      <c r="Q84" s="6"/>
      <c r="R84" s="6"/>
      <c r="S84" s="6"/>
      <c r="T84" s="6"/>
      <c r="U84" s="6"/>
      <c r="V84" s="6"/>
      <c r="W84" s="6"/>
      <c r="X84" s="6"/>
      <c r="Y84" s="6"/>
      <c r="Z84" s="6"/>
    </row>
    <row r="85" spans="1:26" ht="18" customHeight="1" x14ac:dyDescent="0.3">
      <c r="A85" s="142"/>
      <c r="B85" s="143"/>
      <c r="C85" s="144" t="str">
        <f>IF(B85="","",IFERROR(INDEX('12 P6 activities'!$B$7:$B$206,MATCH(B85,'12 P6 activities'!$A$7:$A$206,0)),"⚠ not in P6 list"))</f>
        <v/>
      </c>
      <c r="D85" s="144" t="str">
        <f>IF(B85="","",IFERROR(INDEX('12 P6 activities'!$C$7:$C$206,MATCH(B85,'12 P6 activities'!$A$7:$A$206,0)),"⚠ not in P6 list"))</f>
        <v/>
      </c>
      <c r="E85" s="145"/>
      <c r="F85" s="146"/>
      <c r="G85" s="147"/>
      <c r="H85" s="148"/>
      <c r="I85" s="149"/>
      <c r="J85" s="150" t="str">
        <f t="shared" si="1"/>
        <v/>
      </c>
      <c r="K85" s="149"/>
      <c r="L85" s="149"/>
      <c r="M85" s="6"/>
      <c r="N85" s="6"/>
      <c r="O85" s="6"/>
      <c r="P85" s="6"/>
      <c r="Q85" s="6"/>
      <c r="R85" s="6"/>
      <c r="S85" s="6"/>
      <c r="T85" s="6"/>
      <c r="U85" s="6"/>
      <c r="V85" s="6"/>
      <c r="W85" s="6"/>
      <c r="X85" s="6"/>
      <c r="Y85" s="6"/>
      <c r="Z85" s="6"/>
    </row>
    <row r="86" spans="1:26" ht="18" customHeight="1" x14ac:dyDescent="0.3">
      <c r="A86" s="142"/>
      <c r="B86" s="143"/>
      <c r="C86" s="144" t="str">
        <f>IF(B86="","",IFERROR(INDEX('12 P6 activities'!$B$7:$B$206,MATCH(B86,'12 P6 activities'!$A$7:$A$206,0)),"⚠ not in P6 list"))</f>
        <v/>
      </c>
      <c r="D86" s="144" t="str">
        <f>IF(B86="","",IFERROR(INDEX('12 P6 activities'!$C$7:$C$206,MATCH(B86,'12 P6 activities'!$A$7:$A$206,0)),"⚠ not in P6 list"))</f>
        <v/>
      </c>
      <c r="E86" s="145"/>
      <c r="F86" s="146"/>
      <c r="G86" s="147"/>
      <c r="H86" s="148"/>
      <c r="I86" s="149"/>
      <c r="J86" s="150" t="str">
        <f t="shared" si="1"/>
        <v/>
      </c>
      <c r="K86" s="149"/>
      <c r="L86" s="149"/>
      <c r="M86" s="6"/>
      <c r="N86" s="6"/>
      <c r="O86" s="6"/>
      <c r="P86" s="6"/>
      <c r="Q86" s="6"/>
      <c r="R86" s="6"/>
      <c r="S86" s="6"/>
      <c r="T86" s="6"/>
      <c r="U86" s="6"/>
      <c r="V86" s="6"/>
      <c r="W86" s="6"/>
      <c r="X86" s="6"/>
      <c r="Y86" s="6"/>
      <c r="Z86" s="6"/>
    </row>
    <row r="87" spans="1:26" ht="18" customHeight="1" x14ac:dyDescent="0.3">
      <c r="A87" s="142"/>
      <c r="B87" s="143"/>
      <c r="C87" s="144" t="str">
        <f>IF(B87="","",IFERROR(INDEX('12 P6 activities'!$B$7:$B$206,MATCH(B87,'12 P6 activities'!$A$7:$A$206,0)),"⚠ not in P6 list"))</f>
        <v/>
      </c>
      <c r="D87" s="144" t="str">
        <f>IF(B87="","",IFERROR(INDEX('12 P6 activities'!$C$7:$C$206,MATCH(B87,'12 P6 activities'!$A$7:$A$206,0)),"⚠ not in P6 list"))</f>
        <v/>
      </c>
      <c r="E87" s="145"/>
      <c r="F87" s="146"/>
      <c r="G87" s="147"/>
      <c r="H87" s="148"/>
      <c r="I87" s="149"/>
      <c r="J87" s="150" t="str">
        <f t="shared" si="1"/>
        <v/>
      </c>
      <c r="K87" s="149"/>
      <c r="L87" s="149"/>
      <c r="M87" s="6"/>
      <c r="N87" s="6"/>
      <c r="O87" s="6"/>
      <c r="P87" s="6"/>
      <c r="Q87" s="6"/>
      <c r="R87" s="6"/>
      <c r="S87" s="6"/>
      <c r="T87" s="6"/>
      <c r="U87" s="6"/>
      <c r="V87" s="6"/>
      <c r="W87" s="6"/>
      <c r="X87" s="6"/>
      <c r="Y87" s="6"/>
      <c r="Z87" s="6"/>
    </row>
    <row r="88" spans="1:26" ht="18" customHeight="1" x14ac:dyDescent="0.3">
      <c r="A88" s="142"/>
      <c r="B88" s="143"/>
      <c r="C88" s="144" t="str">
        <f>IF(B88="","",IFERROR(INDEX('12 P6 activities'!$B$7:$B$206,MATCH(B88,'12 P6 activities'!$A$7:$A$206,0)),"⚠ not in P6 list"))</f>
        <v/>
      </c>
      <c r="D88" s="144" t="str">
        <f>IF(B88="","",IFERROR(INDEX('12 P6 activities'!$C$7:$C$206,MATCH(B88,'12 P6 activities'!$A$7:$A$206,0)),"⚠ not in P6 list"))</f>
        <v/>
      </c>
      <c r="E88" s="145"/>
      <c r="F88" s="146"/>
      <c r="G88" s="147"/>
      <c r="H88" s="148"/>
      <c r="I88" s="149"/>
      <c r="J88" s="150" t="str">
        <f t="shared" si="1"/>
        <v/>
      </c>
      <c r="K88" s="149"/>
      <c r="L88" s="149"/>
      <c r="M88" s="6"/>
      <c r="N88" s="6"/>
      <c r="O88" s="6"/>
      <c r="P88" s="6"/>
      <c r="Q88" s="6"/>
      <c r="R88" s="6"/>
      <c r="S88" s="6"/>
      <c r="T88" s="6"/>
      <c r="U88" s="6"/>
      <c r="V88" s="6"/>
      <c r="W88" s="6"/>
      <c r="X88" s="6"/>
      <c r="Y88" s="6"/>
      <c r="Z88" s="6"/>
    </row>
    <row r="89" spans="1:26" ht="18" customHeight="1" x14ac:dyDescent="0.3">
      <c r="A89" s="142"/>
      <c r="B89" s="143"/>
      <c r="C89" s="144" t="str">
        <f>IF(B89="","",IFERROR(INDEX('12 P6 activities'!$B$7:$B$206,MATCH(B89,'12 P6 activities'!$A$7:$A$206,0)),"⚠ not in P6 list"))</f>
        <v/>
      </c>
      <c r="D89" s="144" t="str">
        <f>IF(B89="","",IFERROR(INDEX('12 P6 activities'!$C$7:$C$206,MATCH(B89,'12 P6 activities'!$A$7:$A$206,0)),"⚠ not in P6 list"))</f>
        <v/>
      </c>
      <c r="E89" s="145"/>
      <c r="F89" s="146"/>
      <c r="G89" s="147"/>
      <c r="H89" s="148"/>
      <c r="I89" s="149"/>
      <c r="J89" s="150" t="str">
        <f t="shared" si="1"/>
        <v/>
      </c>
      <c r="K89" s="149"/>
      <c r="L89" s="149"/>
      <c r="M89" s="6"/>
      <c r="N89" s="6"/>
      <c r="O89" s="6"/>
      <c r="P89" s="6"/>
      <c r="Q89" s="6"/>
      <c r="R89" s="6"/>
      <c r="S89" s="6"/>
      <c r="T89" s="6"/>
      <c r="U89" s="6"/>
      <c r="V89" s="6"/>
      <c r="W89" s="6"/>
      <c r="X89" s="6"/>
      <c r="Y89" s="6"/>
      <c r="Z89" s="6"/>
    </row>
    <row r="90" spans="1:26" ht="18" customHeight="1" x14ac:dyDescent="0.3">
      <c r="A90" s="142"/>
      <c r="B90" s="143"/>
      <c r="C90" s="144" t="str">
        <f>IF(B90="","",IFERROR(INDEX('12 P6 activities'!$B$7:$B$206,MATCH(B90,'12 P6 activities'!$A$7:$A$206,0)),"⚠ not in P6 list"))</f>
        <v/>
      </c>
      <c r="D90" s="144" t="str">
        <f>IF(B90="","",IFERROR(INDEX('12 P6 activities'!$C$7:$C$206,MATCH(B90,'12 P6 activities'!$A$7:$A$206,0)),"⚠ not in P6 list"))</f>
        <v/>
      </c>
      <c r="E90" s="145"/>
      <c r="F90" s="146"/>
      <c r="G90" s="147"/>
      <c r="H90" s="148"/>
      <c r="I90" s="149"/>
      <c r="J90" s="150" t="str">
        <f t="shared" si="1"/>
        <v/>
      </c>
      <c r="K90" s="149"/>
      <c r="L90" s="149"/>
      <c r="M90" s="6"/>
      <c r="N90" s="6"/>
      <c r="O90" s="6"/>
      <c r="P90" s="6"/>
      <c r="Q90" s="6"/>
      <c r="R90" s="6"/>
      <c r="S90" s="6"/>
      <c r="T90" s="6"/>
      <c r="U90" s="6"/>
      <c r="V90" s="6"/>
      <c r="W90" s="6"/>
      <c r="X90" s="6"/>
      <c r="Y90" s="6"/>
      <c r="Z90" s="6"/>
    </row>
    <row r="91" spans="1:26" ht="18" customHeight="1" x14ac:dyDescent="0.3">
      <c r="A91" s="142"/>
      <c r="B91" s="143"/>
      <c r="C91" s="144" t="str">
        <f>IF(B91="","",IFERROR(INDEX('12 P6 activities'!$B$7:$B$206,MATCH(B91,'12 P6 activities'!$A$7:$A$206,0)),"⚠ not in P6 list"))</f>
        <v/>
      </c>
      <c r="D91" s="144" t="str">
        <f>IF(B91="","",IFERROR(INDEX('12 P6 activities'!$C$7:$C$206,MATCH(B91,'12 P6 activities'!$A$7:$A$206,0)),"⚠ not in P6 list"))</f>
        <v/>
      </c>
      <c r="E91" s="145"/>
      <c r="F91" s="146"/>
      <c r="G91" s="147"/>
      <c r="H91" s="148"/>
      <c r="I91" s="149"/>
      <c r="J91" s="150" t="str">
        <f t="shared" si="1"/>
        <v/>
      </c>
      <c r="K91" s="149"/>
      <c r="L91" s="149"/>
      <c r="M91" s="6"/>
      <c r="N91" s="6"/>
      <c r="O91" s="6"/>
      <c r="P91" s="6"/>
      <c r="Q91" s="6"/>
      <c r="R91" s="6"/>
      <c r="S91" s="6"/>
      <c r="T91" s="6"/>
      <c r="U91" s="6"/>
      <c r="V91" s="6"/>
      <c r="W91" s="6"/>
      <c r="X91" s="6"/>
      <c r="Y91" s="6"/>
      <c r="Z91" s="6"/>
    </row>
    <row r="92" spans="1:26" ht="18" customHeight="1" x14ac:dyDescent="0.3">
      <c r="A92" s="142"/>
      <c r="B92" s="143"/>
      <c r="C92" s="144" t="str">
        <f>IF(B92="","",IFERROR(INDEX('12 P6 activities'!$B$7:$B$206,MATCH(B92,'12 P6 activities'!$A$7:$A$206,0)),"⚠ not in P6 list"))</f>
        <v/>
      </c>
      <c r="D92" s="144" t="str">
        <f>IF(B92="","",IFERROR(INDEX('12 P6 activities'!$C$7:$C$206,MATCH(B92,'12 P6 activities'!$A$7:$A$206,0)),"⚠ not in P6 list"))</f>
        <v/>
      </c>
      <c r="E92" s="145"/>
      <c r="F92" s="146"/>
      <c r="G92" s="147"/>
      <c r="H92" s="148"/>
      <c r="I92" s="149"/>
      <c r="J92" s="150" t="str">
        <f t="shared" si="1"/>
        <v/>
      </c>
      <c r="K92" s="149"/>
      <c r="L92" s="149"/>
      <c r="M92" s="6"/>
      <c r="N92" s="6"/>
      <c r="O92" s="6"/>
      <c r="P92" s="6"/>
      <c r="Q92" s="6"/>
      <c r="R92" s="6"/>
      <c r="S92" s="6"/>
      <c r="T92" s="6"/>
      <c r="U92" s="6"/>
      <c r="V92" s="6"/>
      <c r="W92" s="6"/>
      <c r="X92" s="6"/>
      <c r="Y92" s="6"/>
      <c r="Z92" s="6"/>
    </row>
    <row r="93" spans="1:26" ht="18" customHeight="1" x14ac:dyDescent="0.3">
      <c r="A93" s="142"/>
      <c r="B93" s="143"/>
      <c r="C93" s="144" t="str">
        <f>IF(B93="","",IFERROR(INDEX('12 P6 activities'!$B$7:$B$206,MATCH(B93,'12 P6 activities'!$A$7:$A$206,0)),"⚠ not in P6 list"))</f>
        <v/>
      </c>
      <c r="D93" s="144" t="str">
        <f>IF(B93="","",IFERROR(INDEX('12 P6 activities'!$C$7:$C$206,MATCH(B93,'12 P6 activities'!$A$7:$A$206,0)),"⚠ not in P6 list"))</f>
        <v/>
      </c>
      <c r="E93" s="145"/>
      <c r="F93" s="146"/>
      <c r="G93" s="147"/>
      <c r="H93" s="148"/>
      <c r="I93" s="149"/>
      <c r="J93" s="150" t="str">
        <f t="shared" si="1"/>
        <v/>
      </c>
      <c r="K93" s="149"/>
      <c r="L93" s="149"/>
      <c r="M93" s="6"/>
      <c r="N93" s="6"/>
      <c r="O93" s="6"/>
      <c r="P93" s="6"/>
      <c r="Q93" s="6"/>
      <c r="R93" s="6"/>
      <c r="S93" s="6"/>
      <c r="T93" s="6"/>
      <c r="U93" s="6"/>
      <c r="V93" s="6"/>
      <c r="W93" s="6"/>
      <c r="X93" s="6"/>
      <c r="Y93" s="6"/>
      <c r="Z93" s="6"/>
    </row>
    <row r="94" spans="1:26" ht="18" customHeight="1" x14ac:dyDescent="0.3">
      <c r="A94" s="142"/>
      <c r="B94" s="143"/>
      <c r="C94" s="144" t="str">
        <f>IF(B94="","",IFERROR(INDEX('12 P6 activities'!$B$7:$B$206,MATCH(B94,'12 P6 activities'!$A$7:$A$206,0)),"⚠ not in P6 list"))</f>
        <v/>
      </c>
      <c r="D94" s="144" t="str">
        <f>IF(B94="","",IFERROR(INDEX('12 P6 activities'!$C$7:$C$206,MATCH(B94,'12 P6 activities'!$A$7:$A$206,0)),"⚠ not in P6 list"))</f>
        <v/>
      </c>
      <c r="E94" s="145"/>
      <c r="F94" s="146"/>
      <c r="G94" s="147"/>
      <c r="H94" s="148"/>
      <c r="I94" s="149"/>
      <c r="J94" s="150" t="str">
        <f t="shared" si="1"/>
        <v/>
      </c>
      <c r="K94" s="149"/>
      <c r="L94" s="149"/>
      <c r="M94" s="6"/>
      <c r="N94" s="6"/>
      <c r="O94" s="6"/>
      <c r="P94" s="6"/>
      <c r="Q94" s="6"/>
      <c r="R94" s="6"/>
      <c r="S94" s="6"/>
      <c r="T94" s="6"/>
      <c r="U94" s="6"/>
      <c r="V94" s="6"/>
      <c r="W94" s="6"/>
      <c r="X94" s="6"/>
      <c r="Y94" s="6"/>
      <c r="Z94" s="6"/>
    </row>
    <row r="95" spans="1:26" ht="18" customHeight="1" x14ac:dyDescent="0.3">
      <c r="A95" s="142"/>
      <c r="B95" s="143"/>
      <c r="C95" s="144" t="str">
        <f>IF(B95="","",IFERROR(INDEX('12 P6 activities'!$B$7:$B$206,MATCH(B95,'12 P6 activities'!$A$7:$A$206,0)),"⚠ not in P6 list"))</f>
        <v/>
      </c>
      <c r="D95" s="144" t="str">
        <f>IF(B95="","",IFERROR(INDEX('12 P6 activities'!$C$7:$C$206,MATCH(B95,'12 P6 activities'!$A$7:$A$206,0)),"⚠ not in P6 list"))</f>
        <v/>
      </c>
      <c r="E95" s="145"/>
      <c r="F95" s="146"/>
      <c r="G95" s="147"/>
      <c r="H95" s="148"/>
      <c r="I95" s="149"/>
      <c r="J95" s="150" t="str">
        <f t="shared" si="1"/>
        <v/>
      </c>
      <c r="K95" s="149"/>
      <c r="L95" s="149"/>
      <c r="M95" s="6"/>
      <c r="N95" s="6"/>
      <c r="O95" s="6"/>
      <c r="P95" s="6"/>
      <c r="Q95" s="6"/>
      <c r="R95" s="6"/>
      <c r="S95" s="6"/>
      <c r="T95" s="6"/>
      <c r="U95" s="6"/>
      <c r="V95" s="6"/>
      <c r="W95" s="6"/>
      <c r="X95" s="6"/>
      <c r="Y95" s="6"/>
      <c r="Z95" s="6"/>
    </row>
    <row r="96" spans="1:26" ht="18" customHeight="1" x14ac:dyDescent="0.3">
      <c r="A96" s="142"/>
      <c r="B96" s="143"/>
      <c r="C96" s="144" t="str">
        <f>IF(B96="","",IFERROR(INDEX('12 P6 activities'!$B$7:$B$206,MATCH(B96,'12 P6 activities'!$A$7:$A$206,0)),"⚠ not in P6 list"))</f>
        <v/>
      </c>
      <c r="D96" s="144" t="str">
        <f>IF(B96="","",IFERROR(INDEX('12 P6 activities'!$C$7:$C$206,MATCH(B96,'12 P6 activities'!$A$7:$A$206,0)),"⚠ not in P6 list"))</f>
        <v/>
      </c>
      <c r="E96" s="145"/>
      <c r="F96" s="146"/>
      <c r="G96" s="147"/>
      <c r="H96" s="148"/>
      <c r="I96" s="149"/>
      <c r="J96" s="150" t="str">
        <f t="shared" si="1"/>
        <v/>
      </c>
      <c r="K96" s="149"/>
      <c r="L96" s="149"/>
      <c r="M96" s="6"/>
      <c r="N96" s="6"/>
      <c r="O96" s="6"/>
      <c r="P96" s="6"/>
      <c r="Q96" s="6"/>
      <c r="R96" s="6"/>
      <c r="S96" s="6"/>
      <c r="T96" s="6"/>
      <c r="U96" s="6"/>
      <c r="V96" s="6"/>
      <c r="W96" s="6"/>
      <c r="X96" s="6"/>
      <c r="Y96" s="6"/>
      <c r="Z96" s="6"/>
    </row>
    <row r="97" spans="1:26" ht="18" customHeight="1" x14ac:dyDescent="0.3">
      <c r="A97" s="142"/>
      <c r="B97" s="143"/>
      <c r="C97" s="144" t="str">
        <f>IF(B97="","",IFERROR(INDEX('12 P6 activities'!$B$7:$B$206,MATCH(B97,'12 P6 activities'!$A$7:$A$206,0)),"⚠ not in P6 list"))</f>
        <v/>
      </c>
      <c r="D97" s="144" t="str">
        <f>IF(B97="","",IFERROR(INDEX('12 P6 activities'!$C$7:$C$206,MATCH(B97,'12 P6 activities'!$A$7:$A$206,0)),"⚠ not in P6 list"))</f>
        <v/>
      </c>
      <c r="E97" s="145"/>
      <c r="F97" s="146"/>
      <c r="G97" s="147"/>
      <c r="H97" s="148"/>
      <c r="I97" s="149"/>
      <c r="J97" s="150" t="str">
        <f t="shared" si="1"/>
        <v/>
      </c>
      <c r="K97" s="149"/>
      <c r="L97" s="149"/>
      <c r="M97" s="6"/>
      <c r="N97" s="6"/>
      <c r="O97" s="6"/>
      <c r="P97" s="6"/>
      <c r="Q97" s="6"/>
      <c r="R97" s="6"/>
      <c r="S97" s="6"/>
      <c r="T97" s="6"/>
      <c r="U97" s="6"/>
      <c r="V97" s="6"/>
      <c r="W97" s="6"/>
      <c r="X97" s="6"/>
      <c r="Y97" s="6"/>
      <c r="Z97" s="6"/>
    </row>
    <row r="98" spans="1:26" ht="18" customHeight="1" x14ac:dyDescent="0.3">
      <c r="A98" s="142"/>
      <c r="B98" s="143"/>
      <c r="C98" s="144" t="str">
        <f>IF(B98="","",IFERROR(INDEX('12 P6 activities'!$B$7:$B$206,MATCH(B98,'12 P6 activities'!$A$7:$A$206,0)),"⚠ not in P6 list"))</f>
        <v/>
      </c>
      <c r="D98" s="144" t="str">
        <f>IF(B98="","",IFERROR(INDEX('12 P6 activities'!$C$7:$C$206,MATCH(B98,'12 P6 activities'!$A$7:$A$206,0)),"⚠ not in P6 list"))</f>
        <v/>
      </c>
      <c r="E98" s="145"/>
      <c r="F98" s="146"/>
      <c r="G98" s="147"/>
      <c r="H98" s="148"/>
      <c r="I98" s="149"/>
      <c r="J98" s="150" t="str">
        <f t="shared" si="1"/>
        <v/>
      </c>
      <c r="K98" s="149"/>
      <c r="L98" s="149"/>
      <c r="M98" s="6"/>
      <c r="N98" s="6"/>
      <c r="O98" s="6"/>
      <c r="P98" s="6"/>
      <c r="Q98" s="6"/>
      <c r="R98" s="6"/>
      <c r="S98" s="6"/>
      <c r="T98" s="6"/>
      <c r="U98" s="6"/>
      <c r="V98" s="6"/>
      <c r="W98" s="6"/>
      <c r="X98" s="6"/>
      <c r="Y98" s="6"/>
      <c r="Z98" s="6"/>
    </row>
    <row r="99" spans="1:26" ht="18" customHeight="1" x14ac:dyDescent="0.3">
      <c r="A99" s="142"/>
      <c r="B99" s="143"/>
      <c r="C99" s="144" t="str">
        <f>IF(B99="","",IFERROR(INDEX('12 P6 activities'!$B$7:$B$206,MATCH(B99,'12 P6 activities'!$A$7:$A$206,0)),"⚠ not in P6 list"))</f>
        <v/>
      </c>
      <c r="D99" s="144" t="str">
        <f>IF(B99="","",IFERROR(INDEX('12 P6 activities'!$C$7:$C$206,MATCH(B99,'12 P6 activities'!$A$7:$A$206,0)),"⚠ not in P6 list"))</f>
        <v/>
      </c>
      <c r="E99" s="145"/>
      <c r="F99" s="146"/>
      <c r="G99" s="147"/>
      <c r="H99" s="148"/>
      <c r="I99" s="149"/>
      <c r="J99" s="150" t="str">
        <f t="shared" si="1"/>
        <v/>
      </c>
      <c r="K99" s="149"/>
      <c r="L99" s="149"/>
      <c r="M99" s="6"/>
      <c r="N99" s="6"/>
      <c r="O99" s="6"/>
      <c r="P99" s="6"/>
      <c r="Q99" s="6"/>
      <c r="R99" s="6"/>
      <c r="S99" s="6"/>
      <c r="T99" s="6"/>
      <c r="U99" s="6"/>
      <c r="V99" s="6"/>
      <c r="W99" s="6"/>
      <c r="X99" s="6"/>
      <c r="Y99" s="6"/>
      <c r="Z99" s="6"/>
    </row>
    <row r="100" spans="1:26" ht="18" customHeight="1" x14ac:dyDescent="0.3">
      <c r="A100" s="142"/>
      <c r="B100" s="143"/>
      <c r="C100" s="144" t="str">
        <f>IF(B100="","",IFERROR(INDEX('12 P6 activities'!$B$7:$B$206,MATCH(B100,'12 P6 activities'!$A$7:$A$206,0)),"⚠ not in P6 list"))</f>
        <v/>
      </c>
      <c r="D100" s="144" t="str">
        <f>IF(B100="","",IFERROR(INDEX('12 P6 activities'!$C$7:$C$206,MATCH(B100,'12 P6 activities'!$A$7:$A$206,0)),"⚠ not in P6 list"))</f>
        <v/>
      </c>
      <c r="E100" s="145"/>
      <c r="F100" s="146"/>
      <c r="G100" s="147"/>
      <c r="H100" s="148"/>
      <c r="I100" s="149"/>
      <c r="J100" s="150" t="str">
        <f t="shared" si="1"/>
        <v/>
      </c>
      <c r="K100" s="149"/>
      <c r="L100" s="149"/>
      <c r="M100" s="6"/>
      <c r="N100" s="6"/>
      <c r="O100" s="6"/>
      <c r="P100" s="6"/>
      <c r="Q100" s="6"/>
      <c r="R100" s="6"/>
      <c r="S100" s="6"/>
      <c r="T100" s="6"/>
      <c r="U100" s="6"/>
      <c r="V100" s="6"/>
      <c r="W100" s="6"/>
      <c r="X100" s="6"/>
      <c r="Y100" s="6"/>
      <c r="Z100" s="6"/>
    </row>
    <row r="101" spans="1:26" ht="18" customHeight="1" x14ac:dyDescent="0.3">
      <c r="A101" s="142"/>
      <c r="B101" s="143"/>
      <c r="C101" s="144" t="str">
        <f>IF(B101="","",IFERROR(INDEX('12 P6 activities'!$B$7:$B$206,MATCH(B101,'12 P6 activities'!$A$7:$A$206,0)),"⚠ not in P6 list"))</f>
        <v/>
      </c>
      <c r="D101" s="144" t="str">
        <f>IF(B101="","",IFERROR(INDEX('12 P6 activities'!$C$7:$C$206,MATCH(B101,'12 P6 activities'!$A$7:$A$206,0)),"⚠ not in P6 list"))</f>
        <v/>
      </c>
      <c r="E101" s="145"/>
      <c r="F101" s="146"/>
      <c r="G101" s="147"/>
      <c r="H101" s="148"/>
      <c r="I101" s="149"/>
      <c r="J101" s="150" t="str">
        <f t="shared" si="1"/>
        <v/>
      </c>
      <c r="K101" s="149"/>
      <c r="L101" s="149"/>
      <c r="M101" s="6"/>
      <c r="N101" s="6"/>
      <c r="O101" s="6"/>
      <c r="P101" s="6"/>
      <c r="Q101" s="6"/>
      <c r="R101" s="6"/>
      <c r="S101" s="6"/>
      <c r="T101" s="6"/>
      <c r="U101" s="6"/>
      <c r="V101" s="6"/>
      <c r="W101" s="6"/>
      <c r="X101" s="6"/>
      <c r="Y101" s="6"/>
      <c r="Z101" s="6"/>
    </row>
    <row r="102" spans="1:26" ht="18" customHeight="1" x14ac:dyDescent="0.3">
      <c r="A102" s="142"/>
      <c r="B102" s="143"/>
      <c r="C102" s="144" t="str">
        <f>IF(B102="","",IFERROR(INDEX('12 P6 activities'!$B$7:$B$206,MATCH(B102,'12 P6 activities'!$A$7:$A$206,0)),"⚠ not in P6 list"))</f>
        <v/>
      </c>
      <c r="D102" s="144" t="str">
        <f>IF(B102="","",IFERROR(INDEX('12 P6 activities'!$C$7:$C$206,MATCH(B102,'12 P6 activities'!$A$7:$A$206,0)),"⚠ not in P6 list"))</f>
        <v/>
      </c>
      <c r="E102" s="145"/>
      <c r="F102" s="146"/>
      <c r="G102" s="147"/>
      <c r="H102" s="148"/>
      <c r="I102" s="149"/>
      <c r="J102" s="150" t="str">
        <f t="shared" si="1"/>
        <v/>
      </c>
      <c r="K102" s="149"/>
      <c r="L102" s="149"/>
      <c r="M102" s="6"/>
      <c r="N102" s="6"/>
      <c r="O102" s="6"/>
      <c r="P102" s="6"/>
      <c r="Q102" s="6"/>
      <c r="R102" s="6"/>
      <c r="S102" s="6"/>
      <c r="T102" s="6"/>
      <c r="U102" s="6"/>
      <c r="V102" s="6"/>
      <c r="W102" s="6"/>
      <c r="X102" s="6"/>
      <c r="Y102" s="6"/>
      <c r="Z102" s="6"/>
    </row>
    <row r="103" spans="1:26" ht="18" customHeight="1" x14ac:dyDescent="0.3">
      <c r="A103" s="142"/>
      <c r="B103" s="143"/>
      <c r="C103" s="144" t="str">
        <f>IF(B103="","",IFERROR(INDEX('12 P6 activities'!$B$7:$B$206,MATCH(B103,'12 P6 activities'!$A$7:$A$206,0)),"⚠ not in P6 list"))</f>
        <v/>
      </c>
      <c r="D103" s="144" t="str">
        <f>IF(B103="","",IFERROR(INDEX('12 P6 activities'!$C$7:$C$206,MATCH(B103,'12 P6 activities'!$A$7:$A$206,0)),"⚠ not in P6 list"))</f>
        <v/>
      </c>
      <c r="E103" s="145"/>
      <c r="F103" s="146"/>
      <c r="G103" s="147"/>
      <c r="H103" s="148"/>
      <c r="I103" s="149"/>
      <c r="J103" s="150" t="str">
        <f t="shared" si="1"/>
        <v/>
      </c>
      <c r="K103" s="149"/>
      <c r="L103" s="149"/>
      <c r="M103" s="6"/>
      <c r="N103" s="6"/>
      <c r="O103" s="6"/>
      <c r="P103" s="6"/>
      <c r="Q103" s="6"/>
      <c r="R103" s="6"/>
      <c r="S103" s="6"/>
      <c r="T103" s="6"/>
      <c r="U103" s="6"/>
      <c r="V103" s="6"/>
      <c r="W103" s="6"/>
      <c r="X103" s="6"/>
      <c r="Y103" s="6"/>
      <c r="Z103" s="6"/>
    </row>
    <row r="104" spans="1:26" ht="18" customHeight="1" x14ac:dyDescent="0.3">
      <c r="A104" s="142"/>
      <c r="B104" s="143"/>
      <c r="C104" s="144" t="str">
        <f>IF(B104="","",IFERROR(INDEX('12 P6 activities'!$B$7:$B$206,MATCH(B104,'12 P6 activities'!$A$7:$A$206,0)),"⚠ not in P6 list"))</f>
        <v/>
      </c>
      <c r="D104" s="144" t="str">
        <f>IF(B104="","",IFERROR(INDEX('12 P6 activities'!$C$7:$C$206,MATCH(B104,'12 P6 activities'!$A$7:$A$206,0)),"⚠ not in P6 list"))</f>
        <v/>
      </c>
      <c r="E104" s="145"/>
      <c r="F104" s="146"/>
      <c r="G104" s="147"/>
      <c r="H104" s="148"/>
      <c r="I104" s="149"/>
      <c r="J104" s="150" t="str">
        <f t="shared" si="1"/>
        <v/>
      </c>
      <c r="K104" s="149"/>
      <c r="L104" s="149"/>
      <c r="M104" s="6"/>
      <c r="N104" s="6"/>
      <c r="O104" s="6"/>
      <c r="P104" s="6"/>
      <c r="Q104" s="6"/>
      <c r="R104" s="6"/>
      <c r="S104" s="6"/>
      <c r="T104" s="6"/>
      <c r="U104" s="6"/>
      <c r="V104" s="6"/>
      <c r="W104" s="6"/>
      <c r="X104" s="6"/>
      <c r="Y104" s="6"/>
      <c r="Z104" s="6"/>
    </row>
    <row r="105" spans="1:26" ht="18" customHeight="1" x14ac:dyDescent="0.3">
      <c r="A105" s="142"/>
      <c r="B105" s="143"/>
      <c r="C105" s="144" t="str">
        <f>IF(B105="","",IFERROR(INDEX('12 P6 activities'!$B$7:$B$206,MATCH(B105,'12 P6 activities'!$A$7:$A$206,0)),"⚠ not in P6 list"))</f>
        <v/>
      </c>
      <c r="D105" s="144" t="str">
        <f>IF(B105="","",IFERROR(INDEX('12 P6 activities'!$C$7:$C$206,MATCH(B105,'12 P6 activities'!$A$7:$A$206,0)),"⚠ not in P6 list"))</f>
        <v/>
      </c>
      <c r="E105" s="145"/>
      <c r="F105" s="146"/>
      <c r="G105" s="147"/>
      <c r="H105" s="148"/>
      <c r="I105" s="149"/>
      <c r="J105" s="150" t="str">
        <f t="shared" si="1"/>
        <v/>
      </c>
      <c r="K105" s="149"/>
      <c r="L105" s="149"/>
      <c r="M105" s="6"/>
      <c r="N105" s="6"/>
      <c r="O105" s="6"/>
      <c r="P105" s="6"/>
      <c r="Q105" s="6"/>
      <c r="R105" s="6"/>
      <c r="S105" s="6"/>
      <c r="T105" s="6"/>
      <c r="U105" s="6"/>
      <c r="V105" s="6"/>
      <c r="W105" s="6"/>
      <c r="X105" s="6"/>
      <c r="Y105" s="6"/>
      <c r="Z105" s="6"/>
    </row>
    <row r="106" spans="1:26" ht="18" customHeight="1" x14ac:dyDescent="0.3">
      <c r="A106" s="142"/>
      <c r="B106" s="143"/>
      <c r="C106" s="144" t="str">
        <f>IF(B106="","",IFERROR(INDEX('12 P6 activities'!$B$7:$B$206,MATCH(B106,'12 P6 activities'!$A$7:$A$206,0)),"⚠ not in P6 list"))</f>
        <v/>
      </c>
      <c r="D106" s="144" t="str">
        <f>IF(B106="","",IFERROR(INDEX('12 P6 activities'!$C$7:$C$206,MATCH(B106,'12 P6 activities'!$A$7:$A$206,0)),"⚠ not in P6 list"))</f>
        <v/>
      </c>
      <c r="E106" s="145"/>
      <c r="F106" s="146"/>
      <c r="G106" s="147"/>
      <c r="H106" s="148"/>
      <c r="I106" s="149"/>
      <c r="J106" s="150" t="str">
        <f t="shared" si="1"/>
        <v/>
      </c>
      <c r="K106" s="149"/>
      <c r="L106" s="149"/>
      <c r="M106" s="6"/>
      <c r="N106" s="6"/>
      <c r="O106" s="6"/>
      <c r="P106" s="6"/>
      <c r="Q106" s="6"/>
      <c r="R106" s="6"/>
      <c r="S106" s="6"/>
      <c r="T106" s="6"/>
      <c r="U106" s="6"/>
      <c r="V106" s="6"/>
      <c r="W106" s="6"/>
      <c r="X106" s="6"/>
      <c r="Y106" s="6"/>
      <c r="Z106" s="6"/>
    </row>
    <row r="107" spans="1:26" ht="18" customHeight="1" x14ac:dyDescent="0.3">
      <c r="A107" s="142"/>
      <c r="B107" s="143"/>
      <c r="C107" s="144" t="str">
        <f>IF(B107="","",IFERROR(INDEX('12 P6 activities'!$B$7:$B$206,MATCH(B107,'12 P6 activities'!$A$7:$A$206,0)),"⚠ not in P6 list"))</f>
        <v/>
      </c>
      <c r="D107" s="144" t="str">
        <f>IF(B107="","",IFERROR(INDEX('12 P6 activities'!$C$7:$C$206,MATCH(B107,'12 P6 activities'!$A$7:$A$206,0)),"⚠ not in P6 list"))</f>
        <v/>
      </c>
      <c r="E107" s="145"/>
      <c r="F107" s="146"/>
      <c r="G107" s="147"/>
      <c r="H107" s="148"/>
      <c r="I107" s="149"/>
      <c r="J107" s="150" t="str">
        <f t="shared" si="1"/>
        <v/>
      </c>
      <c r="K107" s="149"/>
      <c r="L107" s="149"/>
      <c r="M107" s="6"/>
      <c r="N107" s="6"/>
      <c r="O107" s="6"/>
      <c r="P107" s="6"/>
      <c r="Q107" s="6"/>
      <c r="R107" s="6"/>
      <c r="S107" s="6"/>
      <c r="T107" s="6"/>
      <c r="U107" s="6"/>
      <c r="V107" s="6"/>
      <c r="W107" s="6"/>
      <c r="X107" s="6"/>
      <c r="Y107" s="6"/>
      <c r="Z107" s="6"/>
    </row>
    <row r="108" spans="1:26" ht="18" customHeight="1" x14ac:dyDescent="0.3">
      <c r="A108" s="142"/>
      <c r="B108" s="143"/>
      <c r="C108" s="144" t="str">
        <f>IF(B108="","",IFERROR(INDEX('12 P6 activities'!$B$7:$B$206,MATCH(B108,'12 P6 activities'!$A$7:$A$206,0)),"⚠ not in P6 list"))</f>
        <v/>
      </c>
      <c r="D108" s="144" t="str">
        <f>IF(B108="","",IFERROR(INDEX('12 P6 activities'!$C$7:$C$206,MATCH(B108,'12 P6 activities'!$A$7:$A$206,0)),"⚠ not in P6 list"))</f>
        <v/>
      </c>
      <c r="E108" s="145"/>
      <c r="F108" s="146"/>
      <c r="G108" s="147"/>
      <c r="H108" s="148"/>
      <c r="I108" s="149"/>
      <c r="J108" s="150" t="str">
        <f t="shared" si="1"/>
        <v/>
      </c>
      <c r="K108" s="149"/>
      <c r="L108" s="149"/>
      <c r="M108" s="6"/>
      <c r="N108" s="6"/>
      <c r="O108" s="6"/>
      <c r="P108" s="6"/>
      <c r="Q108" s="6"/>
      <c r="R108" s="6"/>
      <c r="S108" s="6"/>
      <c r="T108" s="6"/>
      <c r="U108" s="6"/>
      <c r="V108" s="6"/>
      <c r="W108" s="6"/>
      <c r="X108" s="6"/>
      <c r="Y108" s="6"/>
      <c r="Z108" s="6"/>
    </row>
    <row r="109" spans="1:26" ht="18" customHeight="1" x14ac:dyDescent="0.3">
      <c r="A109" s="142"/>
      <c r="B109" s="143"/>
      <c r="C109" s="144" t="str">
        <f>IF(B109="","",IFERROR(INDEX('12 P6 activities'!$B$7:$B$206,MATCH(B109,'12 P6 activities'!$A$7:$A$206,0)),"⚠ not in P6 list"))</f>
        <v/>
      </c>
      <c r="D109" s="144" t="str">
        <f>IF(B109="","",IFERROR(INDEX('12 P6 activities'!$C$7:$C$206,MATCH(B109,'12 P6 activities'!$A$7:$A$206,0)),"⚠ not in P6 list"))</f>
        <v/>
      </c>
      <c r="E109" s="145"/>
      <c r="F109" s="146"/>
      <c r="G109" s="147"/>
      <c r="H109" s="148"/>
      <c r="I109" s="149"/>
      <c r="J109" s="150" t="str">
        <f t="shared" si="1"/>
        <v/>
      </c>
      <c r="K109" s="149"/>
      <c r="L109" s="149"/>
      <c r="M109" s="6"/>
      <c r="N109" s="6"/>
      <c r="O109" s="6"/>
      <c r="P109" s="6"/>
      <c r="Q109" s="6"/>
      <c r="R109" s="6"/>
      <c r="S109" s="6"/>
      <c r="T109" s="6"/>
      <c r="U109" s="6"/>
      <c r="V109" s="6"/>
      <c r="W109" s="6"/>
      <c r="X109" s="6"/>
      <c r="Y109" s="6"/>
      <c r="Z109" s="6"/>
    </row>
    <row r="110" spans="1:26" ht="18" customHeight="1" x14ac:dyDescent="0.3">
      <c r="A110" s="142"/>
      <c r="B110" s="143"/>
      <c r="C110" s="144" t="str">
        <f>IF(B110="","",IFERROR(INDEX('12 P6 activities'!$B$7:$B$206,MATCH(B110,'12 P6 activities'!$A$7:$A$206,0)),"⚠ not in P6 list"))</f>
        <v/>
      </c>
      <c r="D110" s="144" t="str">
        <f>IF(B110="","",IFERROR(INDEX('12 P6 activities'!$C$7:$C$206,MATCH(B110,'12 P6 activities'!$A$7:$A$206,0)),"⚠ not in P6 list"))</f>
        <v/>
      </c>
      <c r="E110" s="145"/>
      <c r="F110" s="146"/>
      <c r="G110" s="147"/>
      <c r="H110" s="148"/>
      <c r="I110" s="149"/>
      <c r="J110" s="150" t="str">
        <f t="shared" si="1"/>
        <v/>
      </c>
      <c r="K110" s="149"/>
      <c r="L110" s="149"/>
      <c r="M110" s="6"/>
      <c r="N110" s="6"/>
      <c r="O110" s="6"/>
      <c r="P110" s="6"/>
      <c r="Q110" s="6"/>
      <c r="R110" s="6"/>
      <c r="S110" s="6"/>
      <c r="T110" s="6"/>
      <c r="U110" s="6"/>
      <c r="V110" s="6"/>
      <c r="W110" s="6"/>
      <c r="X110" s="6"/>
      <c r="Y110" s="6"/>
      <c r="Z110" s="6"/>
    </row>
    <row r="111" spans="1:26" ht="18" customHeight="1" x14ac:dyDescent="0.3">
      <c r="A111" s="142"/>
      <c r="B111" s="143"/>
      <c r="C111" s="144" t="str">
        <f>IF(B111="","",IFERROR(INDEX('12 P6 activities'!$B$7:$B$206,MATCH(B111,'12 P6 activities'!$A$7:$A$206,0)),"⚠ not in P6 list"))</f>
        <v/>
      </c>
      <c r="D111" s="144" t="str">
        <f>IF(B111="","",IFERROR(INDEX('12 P6 activities'!$C$7:$C$206,MATCH(B111,'12 P6 activities'!$A$7:$A$206,0)),"⚠ not in P6 list"))</f>
        <v/>
      </c>
      <c r="E111" s="145"/>
      <c r="F111" s="146"/>
      <c r="G111" s="147"/>
      <c r="H111" s="148"/>
      <c r="I111" s="149"/>
      <c r="J111" s="150" t="str">
        <f t="shared" si="1"/>
        <v/>
      </c>
      <c r="K111" s="149"/>
      <c r="L111" s="149"/>
      <c r="M111" s="6"/>
      <c r="N111" s="6"/>
      <c r="O111" s="6"/>
      <c r="P111" s="6"/>
      <c r="Q111" s="6"/>
      <c r="R111" s="6"/>
      <c r="S111" s="6"/>
      <c r="T111" s="6"/>
      <c r="U111" s="6"/>
      <c r="V111" s="6"/>
      <c r="W111" s="6"/>
      <c r="X111" s="6"/>
      <c r="Y111" s="6"/>
      <c r="Z111" s="6"/>
    </row>
    <row r="112" spans="1:26" ht="18" customHeight="1" x14ac:dyDescent="0.3">
      <c r="A112" s="142"/>
      <c r="B112" s="143"/>
      <c r="C112" s="144" t="str">
        <f>IF(B112="","",IFERROR(INDEX('12 P6 activities'!$B$7:$B$206,MATCH(B112,'12 P6 activities'!$A$7:$A$206,0)),"⚠ not in P6 list"))</f>
        <v/>
      </c>
      <c r="D112" s="144" t="str">
        <f>IF(B112="","",IFERROR(INDEX('12 P6 activities'!$C$7:$C$206,MATCH(B112,'12 P6 activities'!$A$7:$A$206,0)),"⚠ not in P6 list"))</f>
        <v/>
      </c>
      <c r="E112" s="145"/>
      <c r="F112" s="146"/>
      <c r="G112" s="147"/>
      <c r="H112" s="148"/>
      <c r="I112" s="149"/>
      <c r="J112" s="150" t="str">
        <f t="shared" si="1"/>
        <v/>
      </c>
      <c r="K112" s="149"/>
      <c r="L112" s="149"/>
      <c r="M112" s="6"/>
      <c r="N112" s="6"/>
      <c r="O112" s="6"/>
      <c r="P112" s="6"/>
      <c r="Q112" s="6"/>
      <c r="R112" s="6"/>
      <c r="S112" s="6"/>
      <c r="T112" s="6"/>
      <c r="U112" s="6"/>
      <c r="V112" s="6"/>
      <c r="W112" s="6"/>
      <c r="X112" s="6"/>
      <c r="Y112" s="6"/>
      <c r="Z112" s="6"/>
    </row>
    <row r="113" spans="1:26" ht="18" customHeight="1" x14ac:dyDescent="0.3">
      <c r="A113" s="142"/>
      <c r="B113" s="143"/>
      <c r="C113" s="144" t="str">
        <f>IF(B113="","",IFERROR(INDEX('12 P6 activities'!$B$7:$B$206,MATCH(B113,'12 P6 activities'!$A$7:$A$206,0)),"⚠ not in P6 list"))</f>
        <v/>
      </c>
      <c r="D113" s="144" t="str">
        <f>IF(B113="","",IFERROR(INDEX('12 P6 activities'!$C$7:$C$206,MATCH(B113,'12 P6 activities'!$A$7:$A$206,0)),"⚠ not in P6 list"))</f>
        <v/>
      </c>
      <c r="E113" s="145"/>
      <c r="F113" s="146"/>
      <c r="G113" s="147"/>
      <c r="H113" s="148"/>
      <c r="I113" s="149"/>
      <c r="J113" s="150" t="str">
        <f t="shared" si="1"/>
        <v/>
      </c>
      <c r="K113" s="149"/>
      <c r="L113" s="149"/>
      <c r="M113" s="6"/>
      <c r="N113" s="6"/>
      <c r="O113" s="6"/>
      <c r="P113" s="6"/>
      <c r="Q113" s="6"/>
      <c r="R113" s="6"/>
      <c r="S113" s="6"/>
      <c r="T113" s="6"/>
      <c r="U113" s="6"/>
      <c r="V113" s="6"/>
      <c r="W113" s="6"/>
      <c r="X113" s="6"/>
      <c r="Y113" s="6"/>
      <c r="Z113" s="6"/>
    </row>
    <row r="114" spans="1:26" ht="18" customHeight="1" x14ac:dyDescent="0.3">
      <c r="A114" s="142"/>
      <c r="B114" s="143"/>
      <c r="C114" s="144" t="str">
        <f>IF(B114="","",IFERROR(INDEX('12 P6 activities'!$B$7:$B$206,MATCH(B114,'12 P6 activities'!$A$7:$A$206,0)),"⚠ not in P6 list"))</f>
        <v/>
      </c>
      <c r="D114" s="144" t="str">
        <f>IF(B114="","",IFERROR(INDEX('12 P6 activities'!$C$7:$C$206,MATCH(B114,'12 P6 activities'!$A$7:$A$206,0)),"⚠ not in P6 list"))</f>
        <v/>
      </c>
      <c r="E114" s="145"/>
      <c r="F114" s="146"/>
      <c r="G114" s="147"/>
      <c r="H114" s="148"/>
      <c r="I114" s="149"/>
      <c r="J114" s="150" t="str">
        <f t="shared" si="1"/>
        <v/>
      </c>
      <c r="K114" s="149"/>
      <c r="L114" s="149"/>
      <c r="M114" s="6"/>
      <c r="N114" s="6"/>
      <c r="O114" s="6"/>
      <c r="P114" s="6"/>
      <c r="Q114" s="6"/>
      <c r="R114" s="6"/>
      <c r="S114" s="6"/>
      <c r="T114" s="6"/>
      <c r="U114" s="6"/>
      <c r="V114" s="6"/>
      <c r="W114" s="6"/>
      <c r="X114" s="6"/>
      <c r="Y114" s="6"/>
      <c r="Z114" s="6"/>
    </row>
    <row r="115" spans="1:26" ht="18" customHeight="1" x14ac:dyDescent="0.3">
      <c r="A115" s="142"/>
      <c r="B115" s="143"/>
      <c r="C115" s="144" t="str">
        <f>IF(B115="","",IFERROR(INDEX('12 P6 activities'!$B$7:$B$206,MATCH(B115,'12 P6 activities'!$A$7:$A$206,0)),"⚠ not in P6 list"))</f>
        <v/>
      </c>
      <c r="D115" s="144" t="str">
        <f>IF(B115="","",IFERROR(INDEX('12 P6 activities'!$C$7:$C$206,MATCH(B115,'12 P6 activities'!$A$7:$A$206,0)),"⚠ not in P6 list"))</f>
        <v/>
      </c>
      <c r="E115" s="145"/>
      <c r="F115" s="146"/>
      <c r="G115" s="147"/>
      <c r="H115" s="148"/>
      <c r="I115" s="149"/>
      <c r="J115" s="150" t="str">
        <f t="shared" si="1"/>
        <v/>
      </c>
      <c r="K115" s="149"/>
      <c r="L115" s="149"/>
      <c r="M115" s="6"/>
      <c r="N115" s="6"/>
      <c r="O115" s="6"/>
      <c r="P115" s="6"/>
      <c r="Q115" s="6"/>
      <c r="R115" s="6"/>
      <c r="S115" s="6"/>
      <c r="T115" s="6"/>
      <c r="U115" s="6"/>
      <c r="V115" s="6"/>
      <c r="W115" s="6"/>
      <c r="X115" s="6"/>
      <c r="Y115" s="6"/>
      <c r="Z115" s="6"/>
    </row>
    <row r="116" spans="1:26" ht="18" customHeight="1" x14ac:dyDescent="0.3">
      <c r="A116" s="142"/>
      <c r="B116" s="143"/>
      <c r="C116" s="144" t="str">
        <f>IF(B116="","",IFERROR(INDEX('12 P6 activities'!$B$7:$B$206,MATCH(B116,'12 P6 activities'!$A$7:$A$206,0)),"⚠ not in P6 list"))</f>
        <v/>
      </c>
      <c r="D116" s="144" t="str">
        <f>IF(B116="","",IFERROR(INDEX('12 P6 activities'!$C$7:$C$206,MATCH(B116,'12 P6 activities'!$A$7:$A$206,0)),"⚠ not in P6 list"))</f>
        <v/>
      </c>
      <c r="E116" s="145"/>
      <c r="F116" s="146"/>
      <c r="G116" s="147"/>
      <c r="H116" s="148"/>
      <c r="I116" s="149"/>
      <c r="J116" s="150" t="str">
        <f t="shared" si="1"/>
        <v/>
      </c>
      <c r="K116" s="149"/>
      <c r="L116" s="149"/>
      <c r="M116" s="6"/>
      <c r="N116" s="6"/>
      <c r="O116" s="6"/>
      <c r="P116" s="6"/>
      <c r="Q116" s="6"/>
      <c r="R116" s="6"/>
      <c r="S116" s="6"/>
      <c r="T116" s="6"/>
      <c r="U116" s="6"/>
      <c r="V116" s="6"/>
      <c r="W116" s="6"/>
      <c r="X116" s="6"/>
      <c r="Y116" s="6"/>
      <c r="Z116" s="6"/>
    </row>
    <row r="117" spans="1:26" ht="18" customHeight="1" x14ac:dyDescent="0.3">
      <c r="A117" s="142"/>
      <c r="B117" s="143"/>
      <c r="C117" s="144" t="str">
        <f>IF(B117="","",IFERROR(INDEX('12 P6 activities'!$B$7:$B$206,MATCH(B117,'12 P6 activities'!$A$7:$A$206,0)),"⚠ not in P6 list"))</f>
        <v/>
      </c>
      <c r="D117" s="144" t="str">
        <f>IF(B117="","",IFERROR(INDEX('12 P6 activities'!$C$7:$C$206,MATCH(B117,'12 P6 activities'!$A$7:$A$206,0)),"⚠ not in P6 list"))</f>
        <v/>
      </c>
      <c r="E117" s="145"/>
      <c r="F117" s="146"/>
      <c r="G117" s="147"/>
      <c r="H117" s="148"/>
      <c r="I117" s="149"/>
      <c r="J117" s="150" t="str">
        <f t="shared" si="1"/>
        <v/>
      </c>
      <c r="K117" s="149"/>
      <c r="L117" s="149"/>
      <c r="M117" s="6"/>
      <c r="N117" s="6"/>
      <c r="O117" s="6"/>
      <c r="P117" s="6"/>
      <c r="Q117" s="6"/>
      <c r="R117" s="6"/>
      <c r="S117" s="6"/>
      <c r="T117" s="6"/>
      <c r="U117" s="6"/>
      <c r="V117" s="6"/>
      <c r="W117" s="6"/>
      <c r="X117" s="6"/>
      <c r="Y117" s="6"/>
      <c r="Z117" s="6"/>
    </row>
    <row r="118" spans="1:26" ht="18" customHeight="1" x14ac:dyDescent="0.3">
      <c r="A118" s="142"/>
      <c r="B118" s="143"/>
      <c r="C118" s="144" t="str">
        <f>IF(B118="","",IFERROR(INDEX('12 P6 activities'!$B$7:$B$206,MATCH(B118,'12 P6 activities'!$A$7:$A$206,0)),"⚠ not in P6 list"))</f>
        <v/>
      </c>
      <c r="D118" s="144" t="str">
        <f>IF(B118="","",IFERROR(INDEX('12 P6 activities'!$C$7:$C$206,MATCH(B118,'12 P6 activities'!$A$7:$A$206,0)),"⚠ not in P6 list"))</f>
        <v/>
      </c>
      <c r="E118" s="145"/>
      <c r="F118" s="146"/>
      <c r="G118" s="147"/>
      <c r="H118" s="148"/>
      <c r="I118" s="149"/>
      <c r="J118" s="150" t="str">
        <f t="shared" si="1"/>
        <v/>
      </c>
      <c r="K118" s="149"/>
      <c r="L118" s="149"/>
      <c r="M118" s="6"/>
      <c r="N118" s="6"/>
      <c r="O118" s="6"/>
      <c r="P118" s="6"/>
      <c r="Q118" s="6"/>
      <c r="R118" s="6"/>
      <c r="S118" s="6"/>
      <c r="T118" s="6"/>
      <c r="U118" s="6"/>
      <c r="V118" s="6"/>
      <c r="W118" s="6"/>
      <c r="X118" s="6"/>
      <c r="Y118" s="6"/>
      <c r="Z118" s="6"/>
    </row>
    <row r="119" spans="1:26" ht="18" customHeight="1" x14ac:dyDescent="0.3">
      <c r="A119" s="142"/>
      <c r="B119" s="143"/>
      <c r="C119" s="144" t="str">
        <f>IF(B119="","",IFERROR(INDEX('12 P6 activities'!$B$7:$B$206,MATCH(B119,'12 P6 activities'!$A$7:$A$206,0)),"⚠ not in P6 list"))</f>
        <v/>
      </c>
      <c r="D119" s="144" t="str">
        <f>IF(B119="","",IFERROR(INDEX('12 P6 activities'!$C$7:$C$206,MATCH(B119,'12 P6 activities'!$A$7:$A$206,0)),"⚠ not in P6 list"))</f>
        <v/>
      </c>
      <c r="E119" s="145"/>
      <c r="F119" s="146"/>
      <c r="G119" s="147"/>
      <c r="H119" s="148"/>
      <c r="I119" s="149"/>
      <c r="J119" s="150" t="str">
        <f t="shared" si="1"/>
        <v/>
      </c>
      <c r="K119" s="149"/>
      <c r="L119" s="149"/>
      <c r="M119" s="6"/>
      <c r="N119" s="6"/>
      <c r="O119" s="6"/>
      <c r="P119" s="6"/>
      <c r="Q119" s="6"/>
      <c r="R119" s="6"/>
      <c r="S119" s="6"/>
      <c r="T119" s="6"/>
      <c r="U119" s="6"/>
      <c r="V119" s="6"/>
      <c r="W119" s="6"/>
      <c r="X119" s="6"/>
      <c r="Y119" s="6"/>
      <c r="Z119" s="6"/>
    </row>
    <row r="120" spans="1:26" ht="18" customHeight="1" x14ac:dyDescent="0.3">
      <c r="A120" s="142"/>
      <c r="B120" s="143"/>
      <c r="C120" s="144" t="str">
        <f>IF(B120="","",IFERROR(INDEX('12 P6 activities'!$B$7:$B$206,MATCH(B120,'12 P6 activities'!$A$7:$A$206,0)),"⚠ not in P6 list"))</f>
        <v/>
      </c>
      <c r="D120" s="144" t="str">
        <f>IF(B120="","",IFERROR(INDEX('12 P6 activities'!$C$7:$C$206,MATCH(B120,'12 P6 activities'!$A$7:$A$206,0)),"⚠ not in P6 list"))</f>
        <v/>
      </c>
      <c r="E120" s="145"/>
      <c r="F120" s="146"/>
      <c r="G120" s="147"/>
      <c r="H120" s="148"/>
      <c r="I120" s="149"/>
      <c r="J120" s="150" t="str">
        <f t="shared" si="1"/>
        <v/>
      </c>
      <c r="K120" s="149"/>
      <c r="L120" s="149"/>
      <c r="M120" s="6"/>
      <c r="N120" s="6"/>
      <c r="O120" s="6"/>
      <c r="P120" s="6"/>
      <c r="Q120" s="6"/>
      <c r="R120" s="6"/>
      <c r="S120" s="6"/>
      <c r="T120" s="6"/>
      <c r="U120" s="6"/>
      <c r="V120" s="6"/>
      <c r="W120" s="6"/>
      <c r="X120" s="6"/>
      <c r="Y120" s="6"/>
      <c r="Z120" s="6"/>
    </row>
    <row r="121" spans="1:26" ht="18" customHeight="1" x14ac:dyDescent="0.3">
      <c r="A121" s="142"/>
      <c r="B121" s="143"/>
      <c r="C121" s="144" t="str">
        <f>IF(B121="","",IFERROR(INDEX('12 P6 activities'!$B$7:$B$206,MATCH(B121,'12 P6 activities'!$A$7:$A$206,0)),"⚠ not in P6 list"))</f>
        <v/>
      </c>
      <c r="D121" s="144" t="str">
        <f>IF(B121="","",IFERROR(INDEX('12 P6 activities'!$C$7:$C$206,MATCH(B121,'12 P6 activities'!$A$7:$A$206,0)),"⚠ not in P6 list"))</f>
        <v/>
      </c>
      <c r="E121" s="145"/>
      <c r="F121" s="146"/>
      <c r="G121" s="147"/>
      <c r="H121" s="148"/>
      <c r="I121" s="149"/>
      <c r="J121" s="150" t="str">
        <f t="shared" si="1"/>
        <v/>
      </c>
      <c r="K121" s="149"/>
      <c r="L121" s="149"/>
      <c r="M121" s="6"/>
      <c r="N121" s="6"/>
      <c r="O121" s="6"/>
      <c r="P121" s="6"/>
      <c r="Q121" s="6"/>
      <c r="R121" s="6"/>
      <c r="S121" s="6"/>
      <c r="T121" s="6"/>
      <c r="U121" s="6"/>
      <c r="V121" s="6"/>
      <c r="W121" s="6"/>
      <c r="X121" s="6"/>
      <c r="Y121" s="6"/>
      <c r="Z121" s="6"/>
    </row>
    <row r="122" spans="1:26" ht="18" customHeight="1" x14ac:dyDescent="0.3">
      <c r="A122" s="142"/>
      <c r="B122" s="143"/>
      <c r="C122" s="144" t="str">
        <f>IF(B122="","",IFERROR(INDEX('12 P6 activities'!$B$7:$B$206,MATCH(B122,'12 P6 activities'!$A$7:$A$206,0)),"⚠ not in P6 list"))</f>
        <v/>
      </c>
      <c r="D122" s="144" t="str">
        <f>IF(B122="","",IFERROR(INDEX('12 P6 activities'!$C$7:$C$206,MATCH(B122,'12 P6 activities'!$A$7:$A$206,0)),"⚠ not in P6 list"))</f>
        <v/>
      </c>
      <c r="E122" s="145"/>
      <c r="F122" s="146"/>
      <c r="G122" s="147"/>
      <c r="H122" s="148"/>
      <c r="I122" s="149"/>
      <c r="J122" s="150" t="str">
        <f t="shared" si="1"/>
        <v/>
      </c>
      <c r="K122" s="149"/>
      <c r="L122" s="149"/>
      <c r="M122" s="6"/>
      <c r="N122" s="6"/>
      <c r="O122" s="6"/>
      <c r="P122" s="6"/>
      <c r="Q122" s="6"/>
      <c r="R122" s="6"/>
      <c r="S122" s="6"/>
      <c r="T122" s="6"/>
      <c r="U122" s="6"/>
      <c r="V122" s="6"/>
      <c r="W122" s="6"/>
      <c r="X122" s="6"/>
      <c r="Y122" s="6"/>
      <c r="Z122" s="6"/>
    </row>
    <row r="123" spans="1:26" ht="18" customHeight="1" x14ac:dyDescent="0.3">
      <c r="A123" s="142"/>
      <c r="B123" s="143"/>
      <c r="C123" s="144" t="str">
        <f>IF(B123="","",IFERROR(INDEX('12 P6 activities'!$B$7:$B$206,MATCH(B123,'12 P6 activities'!$A$7:$A$206,0)),"⚠ not in P6 list"))</f>
        <v/>
      </c>
      <c r="D123" s="144" t="str">
        <f>IF(B123="","",IFERROR(INDEX('12 P6 activities'!$C$7:$C$206,MATCH(B123,'12 P6 activities'!$A$7:$A$206,0)),"⚠ not in P6 list"))</f>
        <v/>
      </c>
      <c r="E123" s="145"/>
      <c r="F123" s="146"/>
      <c r="G123" s="147"/>
      <c r="H123" s="148"/>
      <c r="I123" s="149"/>
      <c r="J123" s="150" t="str">
        <f t="shared" si="1"/>
        <v/>
      </c>
      <c r="K123" s="149"/>
      <c r="L123" s="149"/>
      <c r="M123" s="6"/>
      <c r="N123" s="6"/>
      <c r="O123" s="6"/>
      <c r="P123" s="6"/>
      <c r="Q123" s="6"/>
      <c r="R123" s="6"/>
      <c r="S123" s="6"/>
      <c r="T123" s="6"/>
      <c r="U123" s="6"/>
      <c r="V123" s="6"/>
      <c r="W123" s="6"/>
      <c r="X123" s="6"/>
      <c r="Y123" s="6"/>
      <c r="Z123" s="6"/>
    </row>
    <row r="124" spans="1:26" ht="18" customHeight="1" x14ac:dyDescent="0.3">
      <c r="A124" s="142"/>
      <c r="B124" s="143"/>
      <c r="C124" s="144" t="str">
        <f>IF(B124="","",IFERROR(INDEX('12 P6 activities'!$B$7:$B$206,MATCH(B124,'12 P6 activities'!$A$7:$A$206,0)),"⚠ not in P6 list"))</f>
        <v/>
      </c>
      <c r="D124" s="144" t="str">
        <f>IF(B124="","",IFERROR(INDEX('12 P6 activities'!$C$7:$C$206,MATCH(B124,'12 P6 activities'!$A$7:$A$206,0)),"⚠ not in P6 list"))</f>
        <v/>
      </c>
      <c r="E124" s="145"/>
      <c r="F124" s="146"/>
      <c r="G124" s="147"/>
      <c r="H124" s="148"/>
      <c r="I124" s="149"/>
      <c r="J124" s="150" t="str">
        <f t="shared" si="1"/>
        <v/>
      </c>
      <c r="K124" s="149"/>
      <c r="L124" s="149"/>
      <c r="M124" s="6"/>
      <c r="N124" s="6"/>
      <c r="O124" s="6"/>
      <c r="P124" s="6"/>
      <c r="Q124" s="6"/>
      <c r="R124" s="6"/>
      <c r="S124" s="6"/>
      <c r="T124" s="6"/>
      <c r="U124" s="6"/>
      <c r="V124" s="6"/>
      <c r="W124" s="6"/>
      <c r="X124" s="6"/>
      <c r="Y124" s="6"/>
      <c r="Z124" s="6"/>
    </row>
    <row r="125" spans="1:26" ht="18" customHeight="1" x14ac:dyDescent="0.3">
      <c r="A125" s="142"/>
      <c r="B125" s="143"/>
      <c r="C125" s="144" t="str">
        <f>IF(B125="","",IFERROR(INDEX('12 P6 activities'!$B$7:$B$206,MATCH(B125,'12 P6 activities'!$A$7:$A$206,0)),"⚠ not in P6 list"))</f>
        <v/>
      </c>
      <c r="D125" s="144" t="str">
        <f>IF(B125="","",IFERROR(INDEX('12 P6 activities'!$C$7:$C$206,MATCH(B125,'12 P6 activities'!$A$7:$A$206,0)),"⚠ not in P6 list"))</f>
        <v/>
      </c>
      <c r="E125" s="145"/>
      <c r="F125" s="146"/>
      <c r="G125" s="147"/>
      <c r="H125" s="148"/>
      <c r="I125" s="149"/>
      <c r="J125" s="150" t="str">
        <f t="shared" si="1"/>
        <v/>
      </c>
      <c r="K125" s="149"/>
      <c r="L125" s="149"/>
      <c r="M125" s="6"/>
      <c r="N125" s="6"/>
      <c r="O125" s="6"/>
      <c r="P125" s="6"/>
      <c r="Q125" s="6"/>
      <c r="R125" s="6"/>
      <c r="S125" s="6"/>
      <c r="T125" s="6"/>
      <c r="U125" s="6"/>
      <c r="V125" s="6"/>
      <c r="W125" s="6"/>
      <c r="X125" s="6"/>
      <c r="Y125" s="6"/>
      <c r="Z125" s="6"/>
    </row>
    <row r="126" spans="1:26" ht="18" customHeight="1" x14ac:dyDescent="0.3">
      <c r="A126" s="142"/>
      <c r="B126" s="143"/>
      <c r="C126" s="144" t="str">
        <f>IF(B126="","",IFERROR(INDEX('12 P6 activities'!$B$7:$B$206,MATCH(B126,'12 P6 activities'!$A$7:$A$206,0)),"⚠ not in P6 list"))</f>
        <v/>
      </c>
      <c r="D126" s="144" t="str">
        <f>IF(B126="","",IFERROR(INDEX('12 P6 activities'!$C$7:$C$206,MATCH(B126,'12 P6 activities'!$A$7:$A$206,0)),"⚠ not in P6 list"))</f>
        <v/>
      </c>
      <c r="E126" s="145"/>
      <c r="F126" s="146"/>
      <c r="G126" s="147"/>
      <c r="H126" s="148"/>
      <c r="I126" s="149"/>
      <c r="J126" s="150" t="str">
        <f t="shared" si="1"/>
        <v/>
      </c>
      <c r="K126" s="149"/>
      <c r="L126" s="149"/>
      <c r="M126" s="6"/>
      <c r="N126" s="6"/>
      <c r="O126" s="6"/>
      <c r="P126" s="6"/>
      <c r="Q126" s="6"/>
      <c r="R126" s="6"/>
      <c r="S126" s="6"/>
      <c r="T126" s="6"/>
      <c r="U126" s="6"/>
      <c r="V126" s="6"/>
      <c r="W126" s="6"/>
      <c r="X126" s="6"/>
      <c r="Y126" s="6"/>
      <c r="Z126" s="6"/>
    </row>
    <row r="127" spans="1:26" ht="18" customHeight="1" x14ac:dyDescent="0.3">
      <c r="A127" s="142"/>
      <c r="B127" s="143"/>
      <c r="C127" s="144" t="str">
        <f>IF(B127="","",IFERROR(INDEX('12 P6 activities'!$B$7:$B$206,MATCH(B127,'12 P6 activities'!$A$7:$A$206,0)),"⚠ not in P6 list"))</f>
        <v/>
      </c>
      <c r="D127" s="144" t="str">
        <f>IF(B127="","",IFERROR(INDEX('12 P6 activities'!$C$7:$C$206,MATCH(B127,'12 P6 activities'!$A$7:$A$206,0)),"⚠ not in P6 list"))</f>
        <v/>
      </c>
      <c r="E127" s="145"/>
      <c r="F127" s="146"/>
      <c r="G127" s="147"/>
      <c r="H127" s="148"/>
      <c r="I127" s="149"/>
      <c r="J127" s="150" t="str">
        <f t="shared" si="1"/>
        <v/>
      </c>
      <c r="K127" s="149"/>
      <c r="L127" s="149"/>
      <c r="M127" s="6"/>
      <c r="N127" s="6"/>
      <c r="O127" s="6"/>
      <c r="P127" s="6"/>
      <c r="Q127" s="6"/>
      <c r="R127" s="6"/>
      <c r="S127" s="6"/>
      <c r="T127" s="6"/>
      <c r="U127" s="6"/>
      <c r="V127" s="6"/>
      <c r="W127" s="6"/>
      <c r="X127" s="6"/>
      <c r="Y127" s="6"/>
      <c r="Z127" s="6"/>
    </row>
    <row r="128" spans="1:26" ht="18" customHeight="1" x14ac:dyDescent="0.3">
      <c r="A128" s="142"/>
      <c r="B128" s="143"/>
      <c r="C128" s="144" t="str">
        <f>IF(B128="","",IFERROR(INDEX('12 P6 activities'!$B$7:$B$206,MATCH(B128,'12 P6 activities'!$A$7:$A$206,0)),"⚠ not in P6 list"))</f>
        <v/>
      </c>
      <c r="D128" s="144" t="str">
        <f>IF(B128="","",IFERROR(INDEX('12 P6 activities'!$C$7:$C$206,MATCH(B128,'12 P6 activities'!$A$7:$A$206,0)),"⚠ not in P6 list"))</f>
        <v/>
      </c>
      <c r="E128" s="145"/>
      <c r="F128" s="146"/>
      <c r="G128" s="147"/>
      <c r="H128" s="148"/>
      <c r="I128" s="149"/>
      <c r="J128" s="150" t="str">
        <f t="shared" si="1"/>
        <v/>
      </c>
      <c r="K128" s="149"/>
      <c r="L128" s="149"/>
      <c r="M128" s="6"/>
      <c r="N128" s="6"/>
      <c r="O128" s="6"/>
      <c r="P128" s="6"/>
      <c r="Q128" s="6"/>
      <c r="R128" s="6"/>
      <c r="S128" s="6"/>
      <c r="T128" s="6"/>
      <c r="U128" s="6"/>
      <c r="V128" s="6"/>
      <c r="W128" s="6"/>
      <c r="X128" s="6"/>
      <c r="Y128" s="6"/>
      <c r="Z128" s="6"/>
    </row>
    <row r="129" spans="1:26" ht="18" customHeight="1" x14ac:dyDescent="0.3">
      <c r="A129" s="142"/>
      <c r="B129" s="143"/>
      <c r="C129" s="144" t="str">
        <f>IF(B129="","",IFERROR(INDEX('12 P6 activities'!$B$7:$B$206,MATCH(B129,'12 P6 activities'!$A$7:$A$206,0)),"⚠ not in P6 list"))</f>
        <v/>
      </c>
      <c r="D129" s="144" t="str">
        <f>IF(B129="","",IFERROR(INDEX('12 P6 activities'!$C$7:$C$206,MATCH(B129,'12 P6 activities'!$A$7:$A$206,0)),"⚠ not in P6 list"))</f>
        <v/>
      </c>
      <c r="E129" s="145"/>
      <c r="F129" s="146"/>
      <c r="G129" s="147"/>
      <c r="H129" s="148"/>
      <c r="I129" s="149"/>
      <c r="J129" s="150" t="str">
        <f t="shared" si="1"/>
        <v/>
      </c>
      <c r="K129" s="149"/>
      <c r="L129" s="149"/>
      <c r="M129" s="6"/>
      <c r="N129" s="6"/>
      <c r="O129" s="6"/>
      <c r="P129" s="6"/>
      <c r="Q129" s="6"/>
      <c r="R129" s="6"/>
      <c r="S129" s="6"/>
      <c r="T129" s="6"/>
      <c r="U129" s="6"/>
      <c r="V129" s="6"/>
      <c r="W129" s="6"/>
      <c r="X129" s="6"/>
      <c r="Y129" s="6"/>
      <c r="Z129" s="6"/>
    </row>
    <row r="130" spans="1:26" ht="18" customHeight="1" x14ac:dyDescent="0.3">
      <c r="A130" s="142"/>
      <c r="B130" s="143"/>
      <c r="C130" s="144" t="str">
        <f>IF(B130="","",IFERROR(INDEX('12 P6 activities'!$B$7:$B$206,MATCH(B130,'12 P6 activities'!$A$7:$A$206,0)),"⚠ not in P6 list"))</f>
        <v/>
      </c>
      <c r="D130" s="144" t="str">
        <f>IF(B130="","",IFERROR(INDEX('12 P6 activities'!$C$7:$C$206,MATCH(B130,'12 P6 activities'!$A$7:$A$206,0)),"⚠ not in P6 list"))</f>
        <v/>
      </c>
      <c r="E130" s="145"/>
      <c r="F130" s="146"/>
      <c r="G130" s="147"/>
      <c r="H130" s="148"/>
      <c r="I130" s="149"/>
      <c r="J130" s="150" t="str">
        <f t="shared" si="1"/>
        <v/>
      </c>
      <c r="K130" s="149"/>
      <c r="L130" s="149"/>
      <c r="M130" s="6"/>
      <c r="N130" s="6"/>
      <c r="O130" s="6"/>
      <c r="P130" s="6"/>
      <c r="Q130" s="6"/>
      <c r="R130" s="6"/>
      <c r="S130" s="6"/>
      <c r="T130" s="6"/>
      <c r="U130" s="6"/>
      <c r="V130" s="6"/>
      <c r="W130" s="6"/>
      <c r="X130" s="6"/>
      <c r="Y130" s="6"/>
      <c r="Z130" s="6"/>
    </row>
    <row r="131" spans="1:26" ht="18" customHeight="1" x14ac:dyDescent="0.3">
      <c r="A131" s="142"/>
      <c r="B131" s="143"/>
      <c r="C131" s="144" t="str">
        <f>IF(B131="","",IFERROR(INDEX('12 P6 activities'!$B$7:$B$206,MATCH(B131,'12 P6 activities'!$A$7:$A$206,0)),"⚠ not in P6 list"))</f>
        <v/>
      </c>
      <c r="D131" s="144" t="str">
        <f>IF(B131="","",IFERROR(INDEX('12 P6 activities'!$C$7:$C$206,MATCH(B131,'12 P6 activities'!$A$7:$A$206,0)),"⚠ not in P6 list"))</f>
        <v/>
      </c>
      <c r="E131" s="145"/>
      <c r="F131" s="146"/>
      <c r="G131" s="147"/>
      <c r="H131" s="148"/>
      <c r="I131" s="149"/>
      <c r="J131" s="150" t="str">
        <f t="shared" si="1"/>
        <v/>
      </c>
      <c r="K131" s="149"/>
      <c r="L131" s="149"/>
      <c r="M131" s="6"/>
      <c r="N131" s="6"/>
      <c r="O131" s="6"/>
      <c r="P131" s="6"/>
      <c r="Q131" s="6"/>
      <c r="R131" s="6"/>
      <c r="S131" s="6"/>
      <c r="T131" s="6"/>
      <c r="U131" s="6"/>
      <c r="V131" s="6"/>
      <c r="W131" s="6"/>
      <c r="X131" s="6"/>
      <c r="Y131" s="6"/>
      <c r="Z131" s="6"/>
    </row>
    <row r="132" spans="1:26" ht="18" customHeight="1" x14ac:dyDescent="0.3">
      <c r="A132" s="142"/>
      <c r="B132" s="143"/>
      <c r="C132" s="144" t="str">
        <f>IF(B132="","",IFERROR(INDEX('12 P6 activities'!$B$7:$B$206,MATCH(B132,'12 P6 activities'!$A$7:$A$206,0)),"⚠ not in P6 list"))</f>
        <v/>
      </c>
      <c r="D132" s="144" t="str">
        <f>IF(B132="","",IFERROR(INDEX('12 P6 activities'!$C$7:$C$206,MATCH(B132,'12 P6 activities'!$A$7:$A$206,0)),"⚠ not in P6 list"))</f>
        <v/>
      </c>
      <c r="E132" s="145"/>
      <c r="F132" s="146"/>
      <c r="G132" s="147"/>
      <c r="H132" s="148"/>
      <c r="I132" s="149"/>
      <c r="J132" s="150" t="str">
        <f t="shared" si="1"/>
        <v/>
      </c>
      <c r="K132" s="149"/>
      <c r="L132" s="149"/>
      <c r="M132" s="6"/>
      <c r="N132" s="6"/>
      <c r="O132" s="6"/>
      <c r="P132" s="6"/>
      <c r="Q132" s="6"/>
      <c r="R132" s="6"/>
      <c r="S132" s="6"/>
      <c r="T132" s="6"/>
      <c r="U132" s="6"/>
      <c r="V132" s="6"/>
      <c r="W132" s="6"/>
      <c r="X132" s="6"/>
      <c r="Y132" s="6"/>
      <c r="Z132" s="6"/>
    </row>
    <row r="133" spans="1:26" ht="18" customHeight="1" x14ac:dyDescent="0.3">
      <c r="A133" s="142"/>
      <c r="B133" s="143"/>
      <c r="C133" s="144" t="str">
        <f>IF(B133="","",IFERROR(INDEX('12 P6 activities'!$B$7:$B$206,MATCH(B133,'12 P6 activities'!$A$7:$A$206,0)),"⚠ not in P6 list"))</f>
        <v/>
      </c>
      <c r="D133" s="144" t="str">
        <f>IF(B133="","",IFERROR(INDEX('12 P6 activities'!$C$7:$C$206,MATCH(B133,'12 P6 activities'!$A$7:$A$206,0)),"⚠ not in P6 list"))</f>
        <v/>
      </c>
      <c r="E133" s="145"/>
      <c r="F133" s="146"/>
      <c r="G133" s="147"/>
      <c r="H133" s="148"/>
      <c r="I133" s="149"/>
      <c r="J133" s="150" t="str">
        <f t="shared" si="1"/>
        <v/>
      </c>
      <c r="K133" s="149"/>
      <c r="L133" s="149"/>
      <c r="M133" s="6"/>
      <c r="N133" s="6"/>
      <c r="O133" s="6"/>
      <c r="P133" s="6"/>
      <c r="Q133" s="6"/>
      <c r="R133" s="6"/>
      <c r="S133" s="6"/>
      <c r="T133" s="6"/>
      <c r="U133" s="6"/>
      <c r="V133" s="6"/>
      <c r="W133" s="6"/>
      <c r="X133" s="6"/>
      <c r="Y133" s="6"/>
      <c r="Z133" s="6"/>
    </row>
    <row r="134" spans="1:26" ht="18" customHeight="1" x14ac:dyDescent="0.3">
      <c r="A134" s="142"/>
      <c r="B134" s="143"/>
      <c r="C134" s="144" t="str">
        <f>IF(B134="","",IFERROR(INDEX('12 P6 activities'!$B$7:$B$206,MATCH(B134,'12 P6 activities'!$A$7:$A$206,0)),"⚠ not in P6 list"))</f>
        <v/>
      </c>
      <c r="D134" s="144" t="str">
        <f>IF(B134="","",IFERROR(INDEX('12 P6 activities'!$C$7:$C$206,MATCH(B134,'12 P6 activities'!$A$7:$A$206,0)),"⚠ not in P6 list"))</f>
        <v/>
      </c>
      <c r="E134" s="145"/>
      <c r="F134" s="146"/>
      <c r="G134" s="147"/>
      <c r="H134" s="148"/>
      <c r="I134" s="149"/>
      <c r="J134" s="150" t="str">
        <f t="shared" si="1"/>
        <v/>
      </c>
      <c r="K134" s="149"/>
      <c r="L134" s="149"/>
      <c r="M134" s="6"/>
      <c r="N134" s="6"/>
      <c r="O134" s="6"/>
      <c r="P134" s="6"/>
      <c r="Q134" s="6"/>
      <c r="R134" s="6"/>
      <c r="S134" s="6"/>
      <c r="T134" s="6"/>
      <c r="U134" s="6"/>
      <c r="V134" s="6"/>
      <c r="W134" s="6"/>
      <c r="X134" s="6"/>
      <c r="Y134" s="6"/>
      <c r="Z134" s="6"/>
    </row>
    <row r="135" spans="1:26" ht="18" customHeight="1" x14ac:dyDescent="0.3">
      <c r="A135" s="142"/>
      <c r="B135" s="143"/>
      <c r="C135" s="144" t="str">
        <f>IF(B135="","",IFERROR(INDEX('12 P6 activities'!$B$7:$B$206,MATCH(B135,'12 P6 activities'!$A$7:$A$206,0)),"⚠ not in P6 list"))</f>
        <v/>
      </c>
      <c r="D135" s="144" t="str">
        <f>IF(B135="","",IFERROR(INDEX('12 P6 activities'!$C$7:$C$206,MATCH(B135,'12 P6 activities'!$A$7:$A$206,0)),"⚠ not in P6 list"))</f>
        <v/>
      </c>
      <c r="E135" s="145"/>
      <c r="F135" s="146"/>
      <c r="G135" s="147"/>
      <c r="H135" s="148"/>
      <c r="I135" s="149"/>
      <c r="J135" s="150" t="str">
        <f t="shared" si="1"/>
        <v/>
      </c>
      <c r="K135" s="149"/>
      <c r="L135" s="149"/>
      <c r="M135" s="6"/>
      <c r="N135" s="6"/>
      <c r="O135" s="6"/>
      <c r="P135" s="6"/>
      <c r="Q135" s="6"/>
      <c r="R135" s="6"/>
      <c r="S135" s="6"/>
      <c r="T135" s="6"/>
      <c r="U135" s="6"/>
      <c r="V135" s="6"/>
      <c r="W135" s="6"/>
      <c r="X135" s="6"/>
      <c r="Y135" s="6"/>
      <c r="Z135" s="6"/>
    </row>
    <row r="136" spans="1:26" ht="18" customHeight="1" x14ac:dyDescent="0.3">
      <c r="A136" s="142"/>
      <c r="B136" s="143"/>
      <c r="C136" s="144" t="str">
        <f>IF(B136="","",IFERROR(INDEX('12 P6 activities'!$B$7:$B$206,MATCH(B136,'12 P6 activities'!$A$7:$A$206,0)),"⚠ not in P6 list"))</f>
        <v/>
      </c>
      <c r="D136" s="144" t="str">
        <f>IF(B136="","",IFERROR(INDEX('12 P6 activities'!$C$7:$C$206,MATCH(B136,'12 P6 activities'!$A$7:$A$206,0)),"⚠ not in P6 list"))</f>
        <v/>
      </c>
      <c r="E136" s="145"/>
      <c r="F136" s="146"/>
      <c r="G136" s="147"/>
      <c r="H136" s="148"/>
      <c r="I136" s="149"/>
      <c r="J136" s="150" t="str">
        <f t="shared" ref="J136:J199" si="2">IF(OR(H136="",I136=""),"",H136*I136)</f>
        <v/>
      </c>
      <c r="K136" s="149"/>
      <c r="L136" s="149"/>
      <c r="M136" s="6"/>
      <c r="N136" s="6"/>
      <c r="O136" s="6"/>
      <c r="P136" s="6"/>
      <c r="Q136" s="6"/>
      <c r="R136" s="6"/>
      <c r="S136" s="6"/>
      <c r="T136" s="6"/>
      <c r="U136" s="6"/>
      <c r="V136" s="6"/>
      <c r="W136" s="6"/>
      <c r="X136" s="6"/>
      <c r="Y136" s="6"/>
      <c r="Z136" s="6"/>
    </row>
    <row r="137" spans="1:26" ht="18" customHeight="1" x14ac:dyDescent="0.3">
      <c r="A137" s="142"/>
      <c r="B137" s="143"/>
      <c r="C137" s="144" t="str">
        <f>IF(B137="","",IFERROR(INDEX('12 P6 activities'!$B$7:$B$206,MATCH(B137,'12 P6 activities'!$A$7:$A$206,0)),"⚠ not in P6 list"))</f>
        <v/>
      </c>
      <c r="D137" s="144" t="str">
        <f>IF(B137="","",IFERROR(INDEX('12 P6 activities'!$C$7:$C$206,MATCH(B137,'12 P6 activities'!$A$7:$A$206,0)),"⚠ not in P6 list"))</f>
        <v/>
      </c>
      <c r="E137" s="145"/>
      <c r="F137" s="146"/>
      <c r="G137" s="147"/>
      <c r="H137" s="148"/>
      <c r="I137" s="149"/>
      <c r="J137" s="150" t="str">
        <f t="shared" si="2"/>
        <v/>
      </c>
      <c r="K137" s="149"/>
      <c r="L137" s="149"/>
      <c r="M137" s="6"/>
      <c r="N137" s="6"/>
      <c r="O137" s="6"/>
      <c r="P137" s="6"/>
      <c r="Q137" s="6"/>
      <c r="R137" s="6"/>
      <c r="S137" s="6"/>
      <c r="T137" s="6"/>
      <c r="U137" s="6"/>
      <c r="V137" s="6"/>
      <c r="W137" s="6"/>
      <c r="X137" s="6"/>
      <c r="Y137" s="6"/>
      <c r="Z137" s="6"/>
    </row>
    <row r="138" spans="1:26" ht="18" customHeight="1" x14ac:dyDescent="0.3">
      <c r="A138" s="142"/>
      <c r="B138" s="143"/>
      <c r="C138" s="144" t="str">
        <f>IF(B138="","",IFERROR(INDEX('12 P6 activities'!$B$7:$B$206,MATCH(B138,'12 P6 activities'!$A$7:$A$206,0)),"⚠ not in P6 list"))</f>
        <v/>
      </c>
      <c r="D138" s="144" t="str">
        <f>IF(B138="","",IFERROR(INDEX('12 P6 activities'!$C$7:$C$206,MATCH(B138,'12 P6 activities'!$A$7:$A$206,0)),"⚠ not in P6 list"))</f>
        <v/>
      </c>
      <c r="E138" s="145"/>
      <c r="F138" s="146"/>
      <c r="G138" s="147"/>
      <c r="H138" s="148"/>
      <c r="I138" s="149"/>
      <c r="J138" s="150" t="str">
        <f t="shared" si="2"/>
        <v/>
      </c>
      <c r="K138" s="149"/>
      <c r="L138" s="149"/>
      <c r="M138" s="6"/>
      <c r="N138" s="6"/>
      <c r="O138" s="6"/>
      <c r="P138" s="6"/>
      <c r="Q138" s="6"/>
      <c r="R138" s="6"/>
      <c r="S138" s="6"/>
      <c r="T138" s="6"/>
      <c r="U138" s="6"/>
      <c r="V138" s="6"/>
      <c r="W138" s="6"/>
      <c r="X138" s="6"/>
      <c r="Y138" s="6"/>
      <c r="Z138" s="6"/>
    </row>
    <row r="139" spans="1:26" ht="18" customHeight="1" x14ac:dyDescent="0.3">
      <c r="A139" s="142"/>
      <c r="B139" s="143"/>
      <c r="C139" s="144" t="str">
        <f>IF(B139="","",IFERROR(INDEX('12 P6 activities'!$B$7:$B$206,MATCH(B139,'12 P6 activities'!$A$7:$A$206,0)),"⚠ not in P6 list"))</f>
        <v/>
      </c>
      <c r="D139" s="144" t="str">
        <f>IF(B139="","",IFERROR(INDEX('12 P6 activities'!$C$7:$C$206,MATCH(B139,'12 P6 activities'!$A$7:$A$206,0)),"⚠ not in P6 list"))</f>
        <v/>
      </c>
      <c r="E139" s="145"/>
      <c r="F139" s="146"/>
      <c r="G139" s="147"/>
      <c r="H139" s="148"/>
      <c r="I139" s="149"/>
      <c r="J139" s="150" t="str">
        <f t="shared" si="2"/>
        <v/>
      </c>
      <c r="K139" s="149"/>
      <c r="L139" s="149"/>
      <c r="M139" s="6"/>
      <c r="N139" s="6"/>
      <c r="O139" s="6"/>
      <c r="P139" s="6"/>
      <c r="Q139" s="6"/>
      <c r="R139" s="6"/>
      <c r="S139" s="6"/>
      <c r="T139" s="6"/>
      <c r="U139" s="6"/>
      <c r="V139" s="6"/>
      <c r="W139" s="6"/>
      <c r="X139" s="6"/>
      <c r="Y139" s="6"/>
      <c r="Z139" s="6"/>
    </row>
    <row r="140" spans="1:26" ht="18" customHeight="1" x14ac:dyDescent="0.3">
      <c r="A140" s="142"/>
      <c r="B140" s="143"/>
      <c r="C140" s="144" t="str">
        <f>IF(B140="","",IFERROR(INDEX('12 P6 activities'!$B$7:$B$206,MATCH(B140,'12 P6 activities'!$A$7:$A$206,0)),"⚠ not in P6 list"))</f>
        <v/>
      </c>
      <c r="D140" s="144" t="str">
        <f>IF(B140="","",IFERROR(INDEX('12 P6 activities'!$C$7:$C$206,MATCH(B140,'12 P6 activities'!$A$7:$A$206,0)),"⚠ not in P6 list"))</f>
        <v/>
      </c>
      <c r="E140" s="145"/>
      <c r="F140" s="146"/>
      <c r="G140" s="147"/>
      <c r="H140" s="148"/>
      <c r="I140" s="149"/>
      <c r="J140" s="150" t="str">
        <f t="shared" si="2"/>
        <v/>
      </c>
      <c r="K140" s="149"/>
      <c r="L140" s="149"/>
      <c r="M140" s="6"/>
      <c r="N140" s="6"/>
      <c r="O140" s="6"/>
      <c r="P140" s="6"/>
      <c r="Q140" s="6"/>
      <c r="R140" s="6"/>
      <c r="S140" s="6"/>
      <c r="T140" s="6"/>
      <c r="U140" s="6"/>
      <c r="V140" s="6"/>
      <c r="W140" s="6"/>
      <c r="X140" s="6"/>
      <c r="Y140" s="6"/>
      <c r="Z140" s="6"/>
    </row>
    <row r="141" spans="1:26" ht="18" customHeight="1" x14ac:dyDescent="0.3">
      <c r="A141" s="142"/>
      <c r="B141" s="143"/>
      <c r="C141" s="144" t="str">
        <f>IF(B141="","",IFERROR(INDEX('12 P6 activities'!$B$7:$B$206,MATCH(B141,'12 P6 activities'!$A$7:$A$206,0)),"⚠ not in P6 list"))</f>
        <v/>
      </c>
      <c r="D141" s="144" t="str">
        <f>IF(B141="","",IFERROR(INDEX('12 P6 activities'!$C$7:$C$206,MATCH(B141,'12 P6 activities'!$A$7:$A$206,0)),"⚠ not in P6 list"))</f>
        <v/>
      </c>
      <c r="E141" s="145"/>
      <c r="F141" s="146"/>
      <c r="G141" s="147"/>
      <c r="H141" s="148"/>
      <c r="I141" s="149"/>
      <c r="J141" s="150" t="str">
        <f t="shared" si="2"/>
        <v/>
      </c>
      <c r="K141" s="149"/>
      <c r="L141" s="149"/>
      <c r="M141" s="6"/>
      <c r="N141" s="6"/>
      <c r="O141" s="6"/>
      <c r="P141" s="6"/>
      <c r="Q141" s="6"/>
      <c r="R141" s="6"/>
      <c r="S141" s="6"/>
      <c r="T141" s="6"/>
      <c r="U141" s="6"/>
      <c r="V141" s="6"/>
      <c r="W141" s="6"/>
      <c r="X141" s="6"/>
      <c r="Y141" s="6"/>
      <c r="Z141" s="6"/>
    </row>
    <row r="142" spans="1:26" ht="18" customHeight="1" x14ac:dyDescent="0.3">
      <c r="A142" s="142"/>
      <c r="B142" s="143"/>
      <c r="C142" s="144" t="str">
        <f>IF(B142="","",IFERROR(INDEX('12 P6 activities'!$B$7:$B$206,MATCH(B142,'12 P6 activities'!$A$7:$A$206,0)),"⚠ not in P6 list"))</f>
        <v/>
      </c>
      <c r="D142" s="144" t="str">
        <f>IF(B142="","",IFERROR(INDEX('12 P6 activities'!$C$7:$C$206,MATCH(B142,'12 P6 activities'!$A$7:$A$206,0)),"⚠ not in P6 list"))</f>
        <v/>
      </c>
      <c r="E142" s="145"/>
      <c r="F142" s="146"/>
      <c r="G142" s="147"/>
      <c r="H142" s="148"/>
      <c r="I142" s="149"/>
      <c r="J142" s="150" t="str">
        <f t="shared" si="2"/>
        <v/>
      </c>
      <c r="K142" s="149"/>
      <c r="L142" s="149"/>
      <c r="M142" s="6"/>
      <c r="N142" s="6"/>
      <c r="O142" s="6"/>
      <c r="P142" s="6"/>
      <c r="Q142" s="6"/>
      <c r="R142" s="6"/>
      <c r="S142" s="6"/>
      <c r="T142" s="6"/>
      <c r="U142" s="6"/>
      <c r="V142" s="6"/>
      <c r="W142" s="6"/>
      <c r="X142" s="6"/>
      <c r="Y142" s="6"/>
      <c r="Z142" s="6"/>
    </row>
    <row r="143" spans="1:26" ht="18" customHeight="1" x14ac:dyDescent="0.3">
      <c r="A143" s="142"/>
      <c r="B143" s="143"/>
      <c r="C143" s="144" t="str">
        <f>IF(B143="","",IFERROR(INDEX('12 P6 activities'!$B$7:$B$206,MATCH(B143,'12 P6 activities'!$A$7:$A$206,0)),"⚠ not in P6 list"))</f>
        <v/>
      </c>
      <c r="D143" s="144" t="str">
        <f>IF(B143="","",IFERROR(INDEX('12 P6 activities'!$C$7:$C$206,MATCH(B143,'12 P6 activities'!$A$7:$A$206,0)),"⚠ not in P6 list"))</f>
        <v/>
      </c>
      <c r="E143" s="145"/>
      <c r="F143" s="146"/>
      <c r="G143" s="147"/>
      <c r="H143" s="148"/>
      <c r="I143" s="149"/>
      <c r="J143" s="150" t="str">
        <f t="shared" si="2"/>
        <v/>
      </c>
      <c r="K143" s="149"/>
      <c r="L143" s="149"/>
      <c r="M143" s="6"/>
      <c r="N143" s="6"/>
      <c r="O143" s="6"/>
      <c r="P143" s="6"/>
      <c r="Q143" s="6"/>
      <c r="R143" s="6"/>
      <c r="S143" s="6"/>
      <c r="T143" s="6"/>
      <c r="U143" s="6"/>
      <c r="V143" s="6"/>
      <c r="W143" s="6"/>
      <c r="X143" s="6"/>
      <c r="Y143" s="6"/>
      <c r="Z143" s="6"/>
    </row>
    <row r="144" spans="1:26" ht="18" customHeight="1" x14ac:dyDescent="0.3">
      <c r="A144" s="142"/>
      <c r="B144" s="143"/>
      <c r="C144" s="144" t="str">
        <f>IF(B144="","",IFERROR(INDEX('12 P6 activities'!$B$7:$B$206,MATCH(B144,'12 P6 activities'!$A$7:$A$206,0)),"⚠ not in P6 list"))</f>
        <v/>
      </c>
      <c r="D144" s="144" t="str">
        <f>IF(B144="","",IFERROR(INDEX('12 P6 activities'!$C$7:$C$206,MATCH(B144,'12 P6 activities'!$A$7:$A$206,0)),"⚠ not in P6 list"))</f>
        <v/>
      </c>
      <c r="E144" s="145"/>
      <c r="F144" s="146"/>
      <c r="G144" s="147"/>
      <c r="H144" s="148"/>
      <c r="I144" s="149"/>
      <c r="J144" s="150" t="str">
        <f t="shared" si="2"/>
        <v/>
      </c>
      <c r="K144" s="149"/>
      <c r="L144" s="149"/>
      <c r="M144" s="6"/>
      <c r="N144" s="6"/>
      <c r="O144" s="6"/>
      <c r="P144" s="6"/>
      <c r="Q144" s="6"/>
      <c r="R144" s="6"/>
      <c r="S144" s="6"/>
      <c r="T144" s="6"/>
      <c r="U144" s="6"/>
      <c r="V144" s="6"/>
      <c r="W144" s="6"/>
      <c r="X144" s="6"/>
      <c r="Y144" s="6"/>
      <c r="Z144" s="6"/>
    </row>
    <row r="145" spans="1:26" ht="18" customHeight="1" x14ac:dyDescent="0.3">
      <c r="A145" s="142"/>
      <c r="B145" s="143"/>
      <c r="C145" s="144" t="str">
        <f>IF(B145="","",IFERROR(INDEX('12 P6 activities'!$B$7:$B$206,MATCH(B145,'12 P6 activities'!$A$7:$A$206,0)),"⚠ not in P6 list"))</f>
        <v/>
      </c>
      <c r="D145" s="144" t="str">
        <f>IF(B145="","",IFERROR(INDEX('12 P6 activities'!$C$7:$C$206,MATCH(B145,'12 P6 activities'!$A$7:$A$206,0)),"⚠ not in P6 list"))</f>
        <v/>
      </c>
      <c r="E145" s="145"/>
      <c r="F145" s="146"/>
      <c r="G145" s="147"/>
      <c r="H145" s="148"/>
      <c r="I145" s="149"/>
      <c r="J145" s="150" t="str">
        <f t="shared" si="2"/>
        <v/>
      </c>
      <c r="K145" s="149"/>
      <c r="L145" s="149"/>
      <c r="M145" s="6"/>
      <c r="N145" s="6"/>
      <c r="O145" s="6"/>
      <c r="P145" s="6"/>
      <c r="Q145" s="6"/>
      <c r="R145" s="6"/>
      <c r="S145" s="6"/>
      <c r="T145" s="6"/>
      <c r="U145" s="6"/>
      <c r="V145" s="6"/>
      <c r="W145" s="6"/>
      <c r="X145" s="6"/>
      <c r="Y145" s="6"/>
      <c r="Z145" s="6"/>
    </row>
    <row r="146" spans="1:26" ht="18" customHeight="1" x14ac:dyDescent="0.3">
      <c r="A146" s="142"/>
      <c r="B146" s="143"/>
      <c r="C146" s="144" t="str">
        <f>IF(B146="","",IFERROR(INDEX('12 P6 activities'!$B$7:$B$206,MATCH(B146,'12 P6 activities'!$A$7:$A$206,0)),"⚠ not in P6 list"))</f>
        <v/>
      </c>
      <c r="D146" s="144" t="str">
        <f>IF(B146="","",IFERROR(INDEX('12 P6 activities'!$C$7:$C$206,MATCH(B146,'12 P6 activities'!$A$7:$A$206,0)),"⚠ not in P6 list"))</f>
        <v/>
      </c>
      <c r="E146" s="145"/>
      <c r="F146" s="146"/>
      <c r="G146" s="147"/>
      <c r="H146" s="148"/>
      <c r="I146" s="149"/>
      <c r="J146" s="150" t="str">
        <f t="shared" si="2"/>
        <v/>
      </c>
      <c r="K146" s="149"/>
      <c r="L146" s="149"/>
      <c r="M146" s="6"/>
      <c r="N146" s="6"/>
      <c r="O146" s="6"/>
      <c r="P146" s="6"/>
      <c r="Q146" s="6"/>
      <c r="R146" s="6"/>
      <c r="S146" s="6"/>
      <c r="T146" s="6"/>
      <c r="U146" s="6"/>
      <c r="V146" s="6"/>
      <c r="W146" s="6"/>
      <c r="X146" s="6"/>
      <c r="Y146" s="6"/>
      <c r="Z146" s="6"/>
    </row>
    <row r="147" spans="1:26" ht="18" customHeight="1" x14ac:dyDescent="0.3">
      <c r="A147" s="142"/>
      <c r="B147" s="143"/>
      <c r="C147" s="144" t="str">
        <f>IF(B147="","",IFERROR(INDEX('12 P6 activities'!$B$7:$B$206,MATCH(B147,'12 P6 activities'!$A$7:$A$206,0)),"⚠ not in P6 list"))</f>
        <v/>
      </c>
      <c r="D147" s="144" t="str">
        <f>IF(B147="","",IFERROR(INDEX('12 P6 activities'!$C$7:$C$206,MATCH(B147,'12 P6 activities'!$A$7:$A$206,0)),"⚠ not in P6 list"))</f>
        <v/>
      </c>
      <c r="E147" s="145"/>
      <c r="F147" s="146"/>
      <c r="G147" s="147"/>
      <c r="H147" s="148"/>
      <c r="I147" s="149"/>
      <c r="J147" s="150" t="str">
        <f t="shared" si="2"/>
        <v/>
      </c>
      <c r="K147" s="149"/>
      <c r="L147" s="149"/>
      <c r="M147" s="6"/>
      <c r="N147" s="6"/>
      <c r="O147" s="6"/>
      <c r="P147" s="6"/>
      <c r="Q147" s="6"/>
      <c r="R147" s="6"/>
      <c r="S147" s="6"/>
      <c r="T147" s="6"/>
      <c r="U147" s="6"/>
      <c r="V147" s="6"/>
      <c r="W147" s="6"/>
      <c r="X147" s="6"/>
      <c r="Y147" s="6"/>
      <c r="Z147" s="6"/>
    </row>
    <row r="148" spans="1:26" ht="18" customHeight="1" x14ac:dyDescent="0.3">
      <c r="A148" s="142"/>
      <c r="B148" s="143"/>
      <c r="C148" s="144" t="str">
        <f>IF(B148="","",IFERROR(INDEX('12 P6 activities'!$B$7:$B$206,MATCH(B148,'12 P6 activities'!$A$7:$A$206,0)),"⚠ not in P6 list"))</f>
        <v/>
      </c>
      <c r="D148" s="144" t="str">
        <f>IF(B148="","",IFERROR(INDEX('12 P6 activities'!$C$7:$C$206,MATCH(B148,'12 P6 activities'!$A$7:$A$206,0)),"⚠ not in P6 list"))</f>
        <v/>
      </c>
      <c r="E148" s="145"/>
      <c r="F148" s="146"/>
      <c r="G148" s="147"/>
      <c r="H148" s="148"/>
      <c r="I148" s="149"/>
      <c r="J148" s="150" t="str">
        <f t="shared" si="2"/>
        <v/>
      </c>
      <c r="K148" s="149"/>
      <c r="L148" s="149"/>
      <c r="M148" s="6"/>
      <c r="N148" s="6"/>
      <c r="O148" s="6"/>
      <c r="P148" s="6"/>
      <c r="Q148" s="6"/>
      <c r="R148" s="6"/>
      <c r="S148" s="6"/>
      <c r="T148" s="6"/>
      <c r="U148" s="6"/>
      <c r="V148" s="6"/>
      <c r="W148" s="6"/>
      <c r="X148" s="6"/>
      <c r="Y148" s="6"/>
      <c r="Z148" s="6"/>
    </row>
    <row r="149" spans="1:26" ht="18" customHeight="1" x14ac:dyDescent="0.3">
      <c r="A149" s="142"/>
      <c r="B149" s="143"/>
      <c r="C149" s="144" t="str">
        <f>IF(B149="","",IFERROR(INDEX('12 P6 activities'!$B$7:$B$206,MATCH(B149,'12 P6 activities'!$A$7:$A$206,0)),"⚠ not in P6 list"))</f>
        <v/>
      </c>
      <c r="D149" s="144" t="str">
        <f>IF(B149="","",IFERROR(INDEX('12 P6 activities'!$C$7:$C$206,MATCH(B149,'12 P6 activities'!$A$7:$A$206,0)),"⚠ not in P6 list"))</f>
        <v/>
      </c>
      <c r="E149" s="145"/>
      <c r="F149" s="146"/>
      <c r="G149" s="147"/>
      <c r="H149" s="148"/>
      <c r="I149" s="149"/>
      <c r="J149" s="150" t="str">
        <f t="shared" si="2"/>
        <v/>
      </c>
      <c r="K149" s="149"/>
      <c r="L149" s="149"/>
      <c r="M149" s="6"/>
      <c r="N149" s="6"/>
      <c r="O149" s="6"/>
      <c r="P149" s="6"/>
      <c r="Q149" s="6"/>
      <c r="R149" s="6"/>
      <c r="S149" s="6"/>
      <c r="T149" s="6"/>
      <c r="U149" s="6"/>
      <c r="V149" s="6"/>
      <c r="W149" s="6"/>
      <c r="X149" s="6"/>
      <c r="Y149" s="6"/>
      <c r="Z149" s="6"/>
    </row>
    <row r="150" spans="1:26" ht="18" customHeight="1" x14ac:dyDescent="0.3">
      <c r="A150" s="142"/>
      <c r="B150" s="143"/>
      <c r="C150" s="144" t="str">
        <f>IF(B150="","",IFERROR(INDEX('12 P6 activities'!$B$7:$B$206,MATCH(B150,'12 P6 activities'!$A$7:$A$206,0)),"⚠ not in P6 list"))</f>
        <v/>
      </c>
      <c r="D150" s="144" t="str">
        <f>IF(B150="","",IFERROR(INDEX('12 P6 activities'!$C$7:$C$206,MATCH(B150,'12 P6 activities'!$A$7:$A$206,0)),"⚠ not in P6 list"))</f>
        <v/>
      </c>
      <c r="E150" s="145"/>
      <c r="F150" s="146"/>
      <c r="G150" s="147"/>
      <c r="H150" s="148"/>
      <c r="I150" s="149"/>
      <c r="J150" s="150" t="str">
        <f t="shared" si="2"/>
        <v/>
      </c>
      <c r="K150" s="149"/>
      <c r="L150" s="149"/>
      <c r="M150" s="6"/>
      <c r="N150" s="6"/>
      <c r="O150" s="6"/>
      <c r="P150" s="6"/>
      <c r="Q150" s="6"/>
      <c r="R150" s="6"/>
      <c r="S150" s="6"/>
      <c r="T150" s="6"/>
      <c r="U150" s="6"/>
      <c r="V150" s="6"/>
      <c r="W150" s="6"/>
      <c r="X150" s="6"/>
      <c r="Y150" s="6"/>
      <c r="Z150" s="6"/>
    </row>
    <row r="151" spans="1:26" ht="18" customHeight="1" x14ac:dyDescent="0.3">
      <c r="A151" s="142"/>
      <c r="B151" s="143"/>
      <c r="C151" s="144" t="str">
        <f>IF(B151="","",IFERROR(INDEX('12 P6 activities'!$B$7:$B$206,MATCH(B151,'12 P6 activities'!$A$7:$A$206,0)),"⚠ not in P6 list"))</f>
        <v/>
      </c>
      <c r="D151" s="144" t="str">
        <f>IF(B151="","",IFERROR(INDEX('12 P6 activities'!$C$7:$C$206,MATCH(B151,'12 P6 activities'!$A$7:$A$206,0)),"⚠ not in P6 list"))</f>
        <v/>
      </c>
      <c r="E151" s="145"/>
      <c r="F151" s="146"/>
      <c r="G151" s="147"/>
      <c r="H151" s="148"/>
      <c r="I151" s="149"/>
      <c r="J151" s="150" t="str">
        <f t="shared" si="2"/>
        <v/>
      </c>
      <c r="K151" s="149"/>
      <c r="L151" s="149"/>
      <c r="M151" s="6"/>
      <c r="N151" s="6"/>
      <c r="O151" s="6"/>
      <c r="P151" s="6"/>
      <c r="Q151" s="6"/>
      <c r="R151" s="6"/>
      <c r="S151" s="6"/>
      <c r="T151" s="6"/>
      <c r="U151" s="6"/>
      <c r="V151" s="6"/>
      <c r="W151" s="6"/>
      <c r="X151" s="6"/>
      <c r="Y151" s="6"/>
      <c r="Z151" s="6"/>
    </row>
    <row r="152" spans="1:26" ht="18" customHeight="1" x14ac:dyDescent="0.3">
      <c r="A152" s="142"/>
      <c r="B152" s="143"/>
      <c r="C152" s="144" t="str">
        <f>IF(B152="","",IFERROR(INDEX('12 P6 activities'!$B$7:$B$206,MATCH(B152,'12 P6 activities'!$A$7:$A$206,0)),"⚠ not in P6 list"))</f>
        <v/>
      </c>
      <c r="D152" s="144" t="str">
        <f>IF(B152="","",IFERROR(INDEX('12 P6 activities'!$C$7:$C$206,MATCH(B152,'12 P6 activities'!$A$7:$A$206,0)),"⚠ not in P6 list"))</f>
        <v/>
      </c>
      <c r="E152" s="145"/>
      <c r="F152" s="146"/>
      <c r="G152" s="147"/>
      <c r="H152" s="148"/>
      <c r="I152" s="149"/>
      <c r="J152" s="150" t="str">
        <f t="shared" si="2"/>
        <v/>
      </c>
      <c r="K152" s="149"/>
      <c r="L152" s="149"/>
      <c r="M152" s="6"/>
      <c r="N152" s="6"/>
      <c r="O152" s="6"/>
      <c r="P152" s="6"/>
      <c r="Q152" s="6"/>
      <c r="R152" s="6"/>
      <c r="S152" s="6"/>
      <c r="T152" s="6"/>
      <c r="U152" s="6"/>
      <c r="V152" s="6"/>
      <c r="W152" s="6"/>
      <c r="X152" s="6"/>
      <c r="Y152" s="6"/>
      <c r="Z152" s="6"/>
    </row>
    <row r="153" spans="1:26" ht="18" customHeight="1" x14ac:dyDescent="0.3">
      <c r="A153" s="142"/>
      <c r="B153" s="143"/>
      <c r="C153" s="144" t="str">
        <f>IF(B153="","",IFERROR(INDEX('12 P6 activities'!$B$7:$B$206,MATCH(B153,'12 P6 activities'!$A$7:$A$206,0)),"⚠ not in P6 list"))</f>
        <v/>
      </c>
      <c r="D153" s="144" t="str">
        <f>IF(B153="","",IFERROR(INDEX('12 P6 activities'!$C$7:$C$206,MATCH(B153,'12 P6 activities'!$A$7:$A$206,0)),"⚠ not in P6 list"))</f>
        <v/>
      </c>
      <c r="E153" s="145"/>
      <c r="F153" s="146"/>
      <c r="G153" s="147"/>
      <c r="H153" s="148"/>
      <c r="I153" s="149"/>
      <c r="J153" s="150" t="str">
        <f t="shared" si="2"/>
        <v/>
      </c>
      <c r="K153" s="149"/>
      <c r="L153" s="149"/>
      <c r="M153" s="6"/>
      <c r="N153" s="6"/>
      <c r="O153" s="6"/>
      <c r="P153" s="6"/>
      <c r="Q153" s="6"/>
      <c r="R153" s="6"/>
      <c r="S153" s="6"/>
      <c r="T153" s="6"/>
      <c r="U153" s="6"/>
      <c r="V153" s="6"/>
      <c r="W153" s="6"/>
      <c r="X153" s="6"/>
      <c r="Y153" s="6"/>
      <c r="Z153" s="6"/>
    </row>
    <row r="154" spans="1:26" ht="18" customHeight="1" x14ac:dyDescent="0.3">
      <c r="A154" s="142"/>
      <c r="B154" s="143"/>
      <c r="C154" s="144" t="str">
        <f>IF(B154="","",IFERROR(INDEX('12 P6 activities'!$B$7:$B$206,MATCH(B154,'12 P6 activities'!$A$7:$A$206,0)),"⚠ not in P6 list"))</f>
        <v/>
      </c>
      <c r="D154" s="144" t="str">
        <f>IF(B154="","",IFERROR(INDEX('12 P6 activities'!$C$7:$C$206,MATCH(B154,'12 P6 activities'!$A$7:$A$206,0)),"⚠ not in P6 list"))</f>
        <v/>
      </c>
      <c r="E154" s="145"/>
      <c r="F154" s="146"/>
      <c r="G154" s="147"/>
      <c r="H154" s="148"/>
      <c r="I154" s="149"/>
      <c r="J154" s="150" t="str">
        <f t="shared" si="2"/>
        <v/>
      </c>
      <c r="K154" s="149"/>
      <c r="L154" s="149"/>
      <c r="M154" s="6"/>
      <c r="N154" s="6"/>
      <c r="O154" s="6"/>
      <c r="P154" s="6"/>
      <c r="Q154" s="6"/>
      <c r="R154" s="6"/>
      <c r="S154" s="6"/>
      <c r="T154" s="6"/>
      <c r="U154" s="6"/>
      <c r="V154" s="6"/>
      <c r="W154" s="6"/>
      <c r="X154" s="6"/>
      <c r="Y154" s="6"/>
      <c r="Z154" s="6"/>
    </row>
    <row r="155" spans="1:26" ht="18" customHeight="1" x14ac:dyDescent="0.3">
      <c r="A155" s="142"/>
      <c r="B155" s="143"/>
      <c r="C155" s="144" t="str">
        <f>IF(B155="","",IFERROR(INDEX('12 P6 activities'!$B$7:$B$206,MATCH(B155,'12 P6 activities'!$A$7:$A$206,0)),"⚠ not in P6 list"))</f>
        <v/>
      </c>
      <c r="D155" s="144" t="str">
        <f>IF(B155="","",IFERROR(INDEX('12 P6 activities'!$C$7:$C$206,MATCH(B155,'12 P6 activities'!$A$7:$A$206,0)),"⚠ not in P6 list"))</f>
        <v/>
      </c>
      <c r="E155" s="145"/>
      <c r="F155" s="146"/>
      <c r="G155" s="147"/>
      <c r="H155" s="148"/>
      <c r="I155" s="149"/>
      <c r="J155" s="150" t="str">
        <f t="shared" si="2"/>
        <v/>
      </c>
      <c r="K155" s="149"/>
      <c r="L155" s="149"/>
      <c r="M155" s="6"/>
      <c r="N155" s="6"/>
      <c r="O155" s="6"/>
      <c r="P155" s="6"/>
      <c r="Q155" s="6"/>
      <c r="R155" s="6"/>
      <c r="S155" s="6"/>
      <c r="T155" s="6"/>
      <c r="U155" s="6"/>
      <c r="V155" s="6"/>
      <c r="W155" s="6"/>
      <c r="X155" s="6"/>
      <c r="Y155" s="6"/>
      <c r="Z155" s="6"/>
    </row>
    <row r="156" spans="1:26" ht="18" customHeight="1" x14ac:dyDescent="0.3">
      <c r="A156" s="142"/>
      <c r="B156" s="143"/>
      <c r="C156" s="144" t="str">
        <f>IF(B156="","",IFERROR(INDEX('12 P6 activities'!$B$7:$B$206,MATCH(B156,'12 P6 activities'!$A$7:$A$206,0)),"⚠ not in P6 list"))</f>
        <v/>
      </c>
      <c r="D156" s="144" t="str">
        <f>IF(B156="","",IFERROR(INDEX('12 P6 activities'!$C$7:$C$206,MATCH(B156,'12 P6 activities'!$A$7:$A$206,0)),"⚠ not in P6 list"))</f>
        <v/>
      </c>
      <c r="E156" s="145"/>
      <c r="F156" s="146"/>
      <c r="G156" s="147"/>
      <c r="H156" s="148"/>
      <c r="I156" s="149"/>
      <c r="J156" s="150" t="str">
        <f t="shared" si="2"/>
        <v/>
      </c>
      <c r="K156" s="149"/>
      <c r="L156" s="149"/>
      <c r="M156" s="6"/>
      <c r="N156" s="6"/>
      <c r="O156" s="6"/>
      <c r="P156" s="6"/>
      <c r="Q156" s="6"/>
      <c r="R156" s="6"/>
      <c r="S156" s="6"/>
      <c r="T156" s="6"/>
      <c r="U156" s="6"/>
      <c r="V156" s="6"/>
      <c r="W156" s="6"/>
      <c r="X156" s="6"/>
      <c r="Y156" s="6"/>
      <c r="Z156" s="6"/>
    </row>
    <row r="157" spans="1:26" ht="18" customHeight="1" x14ac:dyDescent="0.3">
      <c r="A157" s="142"/>
      <c r="B157" s="143"/>
      <c r="C157" s="144" t="str">
        <f>IF(B157="","",IFERROR(INDEX('12 P6 activities'!$B$7:$B$206,MATCH(B157,'12 P6 activities'!$A$7:$A$206,0)),"⚠ not in P6 list"))</f>
        <v/>
      </c>
      <c r="D157" s="144" t="str">
        <f>IF(B157="","",IFERROR(INDEX('12 P6 activities'!$C$7:$C$206,MATCH(B157,'12 P6 activities'!$A$7:$A$206,0)),"⚠ not in P6 list"))</f>
        <v/>
      </c>
      <c r="E157" s="145"/>
      <c r="F157" s="146"/>
      <c r="G157" s="147"/>
      <c r="H157" s="148"/>
      <c r="I157" s="149"/>
      <c r="J157" s="150" t="str">
        <f t="shared" si="2"/>
        <v/>
      </c>
      <c r="K157" s="149"/>
      <c r="L157" s="149"/>
      <c r="M157" s="6"/>
      <c r="N157" s="6"/>
      <c r="O157" s="6"/>
      <c r="P157" s="6"/>
      <c r="Q157" s="6"/>
      <c r="R157" s="6"/>
      <c r="S157" s="6"/>
      <c r="T157" s="6"/>
      <c r="U157" s="6"/>
      <c r="V157" s="6"/>
      <c r="W157" s="6"/>
      <c r="X157" s="6"/>
      <c r="Y157" s="6"/>
      <c r="Z157" s="6"/>
    </row>
    <row r="158" spans="1:26" ht="18" customHeight="1" x14ac:dyDescent="0.3">
      <c r="A158" s="142"/>
      <c r="B158" s="143"/>
      <c r="C158" s="144" t="str">
        <f>IF(B158="","",IFERROR(INDEX('12 P6 activities'!$B$7:$B$206,MATCH(B158,'12 P6 activities'!$A$7:$A$206,0)),"⚠ not in P6 list"))</f>
        <v/>
      </c>
      <c r="D158" s="144" t="str">
        <f>IF(B158="","",IFERROR(INDEX('12 P6 activities'!$C$7:$C$206,MATCH(B158,'12 P6 activities'!$A$7:$A$206,0)),"⚠ not in P6 list"))</f>
        <v/>
      </c>
      <c r="E158" s="145"/>
      <c r="F158" s="146"/>
      <c r="G158" s="147"/>
      <c r="H158" s="148"/>
      <c r="I158" s="149"/>
      <c r="J158" s="150" t="str">
        <f t="shared" si="2"/>
        <v/>
      </c>
      <c r="K158" s="149"/>
      <c r="L158" s="149"/>
      <c r="M158" s="6"/>
      <c r="N158" s="6"/>
      <c r="O158" s="6"/>
      <c r="P158" s="6"/>
      <c r="Q158" s="6"/>
      <c r="R158" s="6"/>
      <c r="S158" s="6"/>
      <c r="T158" s="6"/>
      <c r="U158" s="6"/>
      <c r="V158" s="6"/>
      <c r="W158" s="6"/>
      <c r="X158" s="6"/>
      <c r="Y158" s="6"/>
      <c r="Z158" s="6"/>
    </row>
    <row r="159" spans="1:26" ht="18" customHeight="1" x14ac:dyDescent="0.3">
      <c r="A159" s="142"/>
      <c r="B159" s="143"/>
      <c r="C159" s="144" t="str">
        <f>IF(B159="","",IFERROR(INDEX('12 P6 activities'!$B$7:$B$206,MATCH(B159,'12 P6 activities'!$A$7:$A$206,0)),"⚠ not in P6 list"))</f>
        <v/>
      </c>
      <c r="D159" s="144" t="str">
        <f>IF(B159="","",IFERROR(INDEX('12 P6 activities'!$C$7:$C$206,MATCH(B159,'12 P6 activities'!$A$7:$A$206,0)),"⚠ not in P6 list"))</f>
        <v/>
      </c>
      <c r="E159" s="145"/>
      <c r="F159" s="146"/>
      <c r="G159" s="147"/>
      <c r="H159" s="148"/>
      <c r="I159" s="149"/>
      <c r="J159" s="150" t="str">
        <f t="shared" si="2"/>
        <v/>
      </c>
      <c r="K159" s="149"/>
      <c r="L159" s="149"/>
      <c r="M159" s="6"/>
      <c r="N159" s="6"/>
      <c r="O159" s="6"/>
      <c r="P159" s="6"/>
      <c r="Q159" s="6"/>
      <c r="R159" s="6"/>
      <c r="S159" s="6"/>
      <c r="T159" s="6"/>
      <c r="U159" s="6"/>
      <c r="V159" s="6"/>
      <c r="W159" s="6"/>
      <c r="X159" s="6"/>
      <c r="Y159" s="6"/>
      <c r="Z159" s="6"/>
    </row>
    <row r="160" spans="1:26" ht="18" customHeight="1" x14ac:dyDescent="0.3">
      <c r="A160" s="142"/>
      <c r="B160" s="143"/>
      <c r="C160" s="144" t="str">
        <f>IF(B160="","",IFERROR(INDEX('12 P6 activities'!$B$7:$B$206,MATCH(B160,'12 P6 activities'!$A$7:$A$206,0)),"⚠ not in P6 list"))</f>
        <v/>
      </c>
      <c r="D160" s="144" t="str">
        <f>IF(B160="","",IFERROR(INDEX('12 P6 activities'!$C$7:$C$206,MATCH(B160,'12 P6 activities'!$A$7:$A$206,0)),"⚠ not in P6 list"))</f>
        <v/>
      </c>
      <c r="E160" s="145"/>
      <c r="F160" s="146"/>
      <c r="G160" s="147"/>
      <c r="H160" s="148"/>
      <c r="I160" s="149"/>
      <c r="J160" s="150" t="str">
        <f t="shared" si="2"/>
        <v/>
      </c>
      <c r="K160" s="149"/>
      <c r="L160" s="149"/>
      <c r="M160" s="6"/>
      <c r="N160" s="6"/>
      <c r="O160" s="6"/>
      <c r="P160" s="6"/>
      <c r="Q160" s="6"/>
      <c r="R160" s="6"/>
      <c r="S160" s="6"/>
      <c r="T160" s="6"/>
      <c r="U160" s="6"/>
      <c r="V160" s="6"/>
      <c r="W160" s="6"/>
      <c r="X160" s="6"/>
      <c r="Y160" s="6"/>
      <c r="Z160" s="6"/>
    </row>
    <row r="161" spans="1:26" ht="18" customHeight="1" x14ac:dyDescent="0.3">
      <c r="A161" s="142"/>
      <c r="B161" s="143"/>
      <c r="C161" s="144" t="str">
        <f>IF(B161="","",IFERROR(INDEX('12 P6 activities'!$B$7:$B$206,MATCH(B161,'12 P6 activities'!$A$7:$A$206,0)),"⚠ not in P6 list"))</f>
        <v/>
      </c>
      <c r="D161" s="144" t="str">
        <f>IF(B161="","",IFERROR(INDEX('12 P6 activities'!$C$7:$C$206,MATCH(B161,'12 P6 activities'!$A$7:$A$206,0)),"⚠ not in P6 list"))</f>
        <v/>
      </c>
      <c r="E161" s="145"/>
      <c r="F161" s="146"/>
      <c r="G161" s="147"/>
      <c r="H161" s="148"/>
      <c r="I161" s="149"/>
      <c r="J161" s="150" t="str">
        <f t="shared" si="2"/>
        <v/>
      </c>
      <c r="K161" s="149"/>
      <c r="L161" s="149"/>
      <c r="M161" s="6"/>
      <c r="N161" s="6"/>
      <c r="O161" s="6"/>
      <c r="P161" s="6"/>
      <c r="Q161" s="6"/>
      <c r="R161" s="6"/>
      <c r="S161" s="6"/>
      <c r="T161" s="6"/>
      <c r="U161" s="6"/>
      <c r="V161" s="6"/>
      <c r="W161" s="6"/>
      <c r="X161" s="6"/>
      <c r="Y161" s="6"/>
      <c r="Z161" s="6"/>
    </row>
    <row r="162" spans="1:26" ht="18" customHeight="1" x14ac:dyDescent="0.3">
      <c r="A162" s="142"/>
      <c r="B162" s="143"/>
      <c r="C162" s="144" t="str">
        <f>IF(B162="","",IFERROR(INDEX('12 P6 activities'!$B$7:$B$206,MATCH(B162,'12 P6 activities'!$A$7:$A$206,0)),"⚠ not in P6 list"))</f>
        <v/>
      </c>
      <c r="D162" s="144" t="str">
        <f>IF(B162="","",IFERROR(INDEX('12 P6 activities'!$C$7:$C$206,MATCH(B162,'12 P6 activities'!$A$7:$A$206,0)),"⚠ not in P6 list"))</f>
        <v/>
      </c>
      <c r="E162" s="145"/>
      <c r="F162" s="146"/>
      <c r="G162" s="147"/>
      <c r="H162" s="148"/>
      <c r="I162" s="149"/>
      <c r="J162" s="150" t="str">
        <f t="shared" si="2"/>
        <v/>
      </c>
      <c r="K162" s="149"/>
      <c r="L162" s="149"/>
      <c r="M162" s="6"/>
      <c r="N162" s="6"/>
      <c r="O162" s="6"/>
      <c r="P162" s="6"/>
      <c r="Q162" s="6"/>
      <c r="R162" s="6"/>
      <c r="S162" s="6"/>
      <c r="T162" s="6"/>
      <c r="U162" s="6"/>
      <c r="V162" s="6"/>
      <c r="W162" s="6"/>
      <c r="X162" s="6"/>
      <c r="Y162" s="6"/>
      <c r="Z162" s="6"/>
    </row>
    <row r="163" spans="1:26" ht="18" customHeight="1" x14ac:dyDescent="0.3">
      <c r="A163" s="142"/>
      <c r="B163" s="143"/>
      <c r="C163" s="144" t="str">
        <f>IF(B163="","",IFERROR(INDEX('12 P6 activities'!$B$7:$B$206,MATCH(B163,'12 P6 activities'!$A$7:$A$206,0)),"⚠ not in P6 list"))</f>
        <v/>
      </c>
      <c r="D163" s="144" t="str">
        <f>IF(B163="","",IFERROR(INDEX('12 P6 activities'!$C$7:$C$206,MATCH(B163,'12 P6 activities'!$A$7:$A$206,0)),"⚠ not in P6 list"))</f>
        <v/>
      </c>
      <c r="E163" s="145"/>
      <c r="F163" s="146"/>
      <c r="G163" s="147"/>
      <c r="H163" s="148"/>
      <c r="I163" s="149"/>
      <c r="J163" s="150" t="str">
        <f t="shared" si="2"/>
        <v/>
      </c>
      <c r="K163" s="149"/>
      <c r="L163" s="149"/>
      <c r="M163" s="6"/>
      <c r="N163" s="6"/>
      <c r="O163" s="6"/>
      <c r="P163" s="6"/>
      <c r="Q163" s="6"/>
      <c r="R163" s="6"/>
      <c r="S163" s="6"/>
      <c r="T163" s="6"/>
      <c r="U163" s="6"/>
      <c r="V163" s="6"/>
      <c r="W163" s="6"/>
      <c r="X163" s="6"/>
      <c r="Y163" s="6"/>
      <c r="Z163" s="6"/>
    </row>
    <row r="164" spans="1:26" ht="18" customHeight="1" x14ac:dyDescent="0.3">
      <c r="A164" s="142"/>
      <c r="B164" s="143"/>
      <c r="C164" s="144" t="str">
        <f>IF(B164="","",IFERROR(INDEX('12 P6 activities'!$B$7:$B$206,MATCH(B164,'12 P6 activities'!$A$7:$A$206,0)),"⚠ not in P6 list"))</f>
        <v/>
      </c>
      <c r="D164" s="144" t="str">
        <f>IF(B164="","",IFERROR(INDEX('12 P6 activities'!$C$7:$C$206,MATCH(B164,'12 P6 activities'!$A$7:$A$206,0)),"⚠ not in P6 list"))</f>
        <v/>
      </c>
      <c r="E164" s="145"/>
      <c r="F164" s="146"/>
      <c r="G164" s="147"/>
      <c r="H164" s="148"/>
      <c r="I164" s="149"/>
      <c r="J164" s="150" t="str">
        <f t="shared" si="2"/>
        <v/>
      </c>
      <c r="K164" s="149"/>
      <c r="L164" s="149"/>
      <c r="M164" s="6"/>
      <c r="N164" s="6"/>
      <c r="O164" s="6"/>
      <c r="P164" s="6"/>
      <c r="Q164" s="6"/>
      <c r="R164" s="6"/>
      <c r="S164" s="6"/>
      <c r="T164" s="6"/>
      <c r="U164" s="6"/>
      <c r="V164" s="6"/>
      <c r="W164" s="6"/>
      <c r="X164" s="6"/>
      <c r="Y164" s="6"/>
      <c r="Z164" s="6"/>
    </row>
    <row r="165" spans="1:26" ht="18" customHeight="1" x14ac:dyDescent="0.3">
      <c r="A165" s="142"/>
      <c r="B165" s="143"/>
      <c r="C165" s="144" t="str">
        <f>IF(B165="","",IFERROR(INDEX('12 P6 activities'!$B$7:$B$206,MATCH(B165,'12 P6 activities'!$A$7:$A$206,0)),"⚠ not in P6 list"))</f>
        <v/>
      </c>
      <c r="D165" s="144" t="str">
        <f>IF(B165="","",IFERROR(INDEX('12 P6 activities'!$C$7:$C$206,MATCH(B165,'12 P6 activities'!$A$7:$A$206,0)),"⚠ not in P6 list"))</f>
        <v/>
      </c>
      <c r="E165" s="145"/>
      <c r="F165" s="146"/>
      <c r="G165" s="147"/>
      <c r="H165" s="148"/>
      <c r="I165" s="149"/>
      <c r="J165" s="150" t="str">
        <f t="shared" si="2"/>
        <v/>
      </c>
      <c r="K165" s="149"/>
      <c r="L165" s="149"/>
      <c r="M165" s="6"/>
      <c r="N165" s="6"/>
      <c r="O165" s="6"/>
      <c r="P165" s="6"/>
      <c r="Q165" s="6"/>
      <c r="R165" s="6"/>
      <c r="S165" s="6"/>
      <c r="T165" s="6"/>
      <c r="U165" s="6"/>
      <c r="V165" s="6"/>
      <c r="W165" s="6"/>
      <c r="X165" s="6"/>
      <c r="Y165" s="6"/>
      <c r="Z165" s="6"/>
    </row>
    <row r="166" spans="1:26" ht="18" customHeight="1" x14ac:dyDescent="0.3">
      <c r="A166" s="142"/>
      <c r="B166" s="143"/>
      <c r="C166" s="144" t="str">
        <f>IF(B166="","",IFERROR(INDEX('12 P6 activities'!$B$7:$B$206,MATCH(B166,'12 P6 activities'!$A$7:$A$206,0)),"⚠ not in P6 list"))</f>
        <v/>
      </c>
      <c r="D166" s="144" t="str">
        <f>IF(B166="","",IFERROR(INDEX('12 P6 activities'!$C$7:$C$206,MATCH(B166,'12 P6 activities'!$A$7:$A$206,0)),"⚠ not in P6 list"))</f>
        <v/>
      </c>
      <c r="E166" s="145"/>
      <c r="F166" s="146"/>
      <c r="G166" s="147"/>
      <c r="H166" s="148"/>
      <c r="I166" s="149"/>
      <c r="J166" s="150" t="str">
        <f t="shared" si="2"/>
        <v/>
      </c>
      <c r="K166" s="149"/>
      <c r="L166" s="149"/>
      <c r="M166" s="6"/>
      <c r="N166" s="6"/>
      <c r="O166" s="6"/>
      <c r="P166" s="6"/>
      <c r="Q166" s="6"/>
      <c r="R166" s="6"/>
      <c r="S166" s="6"/>
      <c r="T166" s="6"/>
      <c r="U166" s="6"/>
      <c r="V166" s="6"/>
      <c r="W166" s="6"/>
      <c r="X166" s="6"/>
      <c r="Y166" s="6"/>
      <c r="Z166" s="6"/>
    </row>
    <row r="167" spans="1:26" ht="18" customHeight="1" x14ac:dyDescent="0.3">
      <c r="A167" s="142"/>
      <c r="B167" s="143"/>
      <c r="C167" s="144" t="str">
        <f>IF(B167="","",IFERROR(INDEX('12 P6 activities'!$B$7:$B$206,MATCH(B167,'12 P6 activities'!$A$7:$A$206,0)),"⚠ not in P6 list"))</f>
        <v/>
      </c>
      <c r="D167" s="144" t="str">
        <f>IF(B167="","",IFERROR(INDEX('12 P6 activities'!$C$7:$C$206,MATCH(B167,'12 P6 activities'!$A$7:$A$206,0)),"⚠ not in P6 list"))</f>
        <v/>
      </c>
      <c r="E167" s="145"/>
      <c r="F167" s="146"/>
      <c r="G167" s="147"/>
      <c r="H167" s="148"/>
      <c r="I167" s="149"/>
      <c r="J167" s="150" t="str">
        <f t="shared" si="2"/>
        <v/>
      </c>
      <c r="K167" s="149"/>
      <c r="L167" s="149"/>
      <c r="M167" s="6"/>
      <c r="N167" s="6"/>
      <c r="O167" s="6"/>
      <c r="P167" s="6"/>
      <c r="Q167" s="6"/>
      <c r="R167" s="6"/>
      <c r="S167" s="6"/>
      <c r="T167" s="6"/>
      <c r="U167" s="6"/>
      <c r="V167" s="6"/>
      <c r="W167" s="6"/>
      <c r="X167" s="6"/>
      <c r="Y167" s="6"/>
      <c r="Z167" s="6"/>
    </row>
    <row r="168" spans="1:26" ht="18" customHeight="1" x14ac:dyDescent="0.3">
      <c r="A168" s="142"/>
      <c r="B168" s="143"/>
      <c r="C168" s="144" t="str">
        <f>IF(B168="","",IFERROR(INDEX('12 P6 activities'!$B$7:$B$206,MATCH(B168,'12 P6 activities'!$A$7:$A$206,0)),"⚠ not in P6 list"))</f>
        <v/>
      </c>
      <c r="D168" s="144" t="str">
        <f>IF(B168="","",IFERROR(INDEX('12 P6 activities'!$C$7:$C$206,MATCH(B168,'12 P6 activities'!$A$7:$A$206,0)),"⚠ not in P6 list"))</f>
        <v/>
      </c>
      <c r="E168" s="145"/>
      <c r="F168" s="146"/>
      <c r="G168" s="147"/>
      <c r="H168" s="148"/>
      <c r="I168" s="149"/>
      <c r="J168" s="150" t="str">
        <f t="shared" si="2"/>
        <v/>
      </c>
      <c r="K168" s="149"/>
      <c r="L168" s="149"/>
      <c r="M168" s="6"/>
      <c r="N168" s="6"/>
      <c r="O168" s="6"/>
      <c r="P168" s="6"/>
      <c r="Q168" s="6"/>
      <c r="R168" s="6"/>
      <c r="S168" s="6"/>
      <c r="T168" s="6"/>
      <c r="U168" s="6"/>
      <c r="V168" s="6"/>
      <c r="W168" s="6"/>
      <c r="X168" s="6"/>
      <c r="Y168" s="6"/>
      <c r="Z168" s="6"/>
    </row>
    <row r="169" spans="1:26" ht="18" customHeight="1" x14ac:dyDescent="0.3">
      <c r="A169" s="142"/>
      <c r="B169" s="143"/>
      <c r="C169" s="144" t="str">
        <f>IF(B169="","",IFERROR(INDEX('12 P6 activities'!$B$7:$B$206,MATCH(B169,'12 P6 activities'!$A$7:$A$206,0)),"⚠ not in P6 list"))</f>
        <v/>
      </c>
      <c r="D169" s="144" t="str">
        <f>IF(B169="","",IFERROR(INDEX('12 P6 activities'!$C$7:$C$206,MATCH(B169,'12 P6 activities'!$A$7:$A$206,0)),"⚠ not in P6 list"))</f>
        <v/>
      </c>
      <c r="E169" s="145"/>
      <c r="F169" s="146"/>
      <c r="G169" s="147"/>
      <c r="H169" s="148"/>
      <c r="I169" s="149"/>
      <c r="J169" s="150" t="str">
        <f t="shared" si="2"/>
        <v/>
      </c>
      <c r="K169" s="149"/>
      <c r="L169" s="149"/>
      <c r="M169" s="6"/>
      <c r="N169" s="6"/>
      <c r="O169" s="6"/>
      <c r="P169" s="6"/>
      <c r="Q169" s="6"/>
      <c r="R169" s="6"/>
      <c r="S169" s="6"/>
      <c r="T169" s="6"/>
      <c r="U169" s="6"/>
      <c r="V169" s="6"/>
      <c r="W169" s="6"/>
      <c r="X169" s="6"/>
      <c r="Y169" s="6"/>
      <c r="Z169" s="6"/>
    </row>
    <row r="170" spans="1:26" ht="18" customHeight="1" x14ac:dyDescent="0.3">
      <c r="A170" s="142"/>
      <c r="B170" s="143"/>
      <c r="C170" s="144" t="str">
        <f>IF(B170="","",IFERROR(INDEX('12 P6 activities'!$B$7:$B$206,MATCH(B170,'12 P6 activities'!$A$7:$A$206,0)),"⚠ not in P6 list"))</f>
        <v/>
      </c>
      <c r="D170" s="144" t="str">
        <f>IF(B170="","",IFERROR(INDEX('12 P6 activities'!$C$7:$C$206,MATCH(B170,'12 P6 activities'!$A$7:$A$206,0)),"⚠ not in P6 list"))</f>
        <v/>
      </c>
      <c r="E170" s="145"/>
      <c r="F170" s="146"/>
      <c r="G170" s="147"/>
      <c r="H170" s="148"/>
      <c r="I170" s="149"/>
      <c r="J170" s="150" t="str">
        <f t="shared" si="2"/>
        <v/>
      </c>
      <c r="K170" s="149"/>
      <c r="L170" s="149"/>
      <c r="M170" s="6"/>
      <c r="N170" s="6"/>
      <c r="O170" s="6"/>
      <c r="P170" s="6"/>
      <c r="Q170" s="6"/>
      <c r="R170" s="6"/>
      <c r="S170" s="6"/>
      <c r="T170" s="6"/>
      <c r="U170" s="6"/>
      <c r="V170" s="6"/>
      <c r="W170" s="6"/>
      <c r="X170" s="6"/>
      <c r="Y170" s="6"/>
      <c r="Z170" s="6"/>
    </row>
    <row r="171" spans="1:26" ht="18" customHeight="1" x14ac:dyDescent="0.3">
      <c r="A171" s="142"/>
      <c r="B171" s="143"/>
      <c r="C171" s="144" t="str">
        <f>IF(B171="","",IFERROR(INDEX('12 P6 activities'!$B$7:$B$206,MATCH(B171,'12 P6 activities'!$A$7:$A$206,0)),"⚠ not in P6 list"))</f>
        <v/>
      </c>
      <c r="D171" s="144" t="str">
        <f>IF(B171="","",IFERROR(INDEX('12 P6 activities'!$C$7:$C$206,MATCH(B171,'12 P6 activities'!$A$7:$A$206,0)),"⚠ not in P6 list"))</f>
        <v/>
      </c>
      <c r="E171" s="145"/>
      <c r="F171" s="146"/>
      <c r="G171" s="147"/>
      <c r="H171" s="148"/>
      <c r="I171" s="149"/>
      <c r="J171" s="150" t="str">
        <f t="shared" si="2"/>
        <v/>
      </c>
      <c r="K171" s="149"/>
      <c r="L171" s="149"/>
      <c r="M171" s="6"/>
      <c r="N171" s="6"/>
      <c r="O171" s="6"/>
      <c r="P171" s="6"/>
      <c r="Q171" s="6"/>
      <c r="R171" s="6"/>
      <c r="S171" s="6"/>
      <c r="T171" s="6"/>
      <c r="U171" s="6"/>
      <c r="V171" s="6"/>
      <c r="W171" s="6"/>
      <c r="X171" s="6"/>
      <c r="Y171" s="6"/>
      <c r="Z171" s="6"/>
    </row>
    <row r="172" spans="1:26" ht="18" customHeight="1" x14ac:dyDescent="0.3">
      <c r="A172" s="142"/>
      <c r="B172" s="143"/>
      <c r="C172" s="144" t="str">
        <f>IF(B172="","",IFERROR(INDEX('12 P6 activities'!$B$7:$B$206,MATCH(B172,'12 P6 activities'!$A$7:$A$206,0)),"⚠ not in P6 list"))</f>
        <v/>
      </c>
      <c r="D172" s="144" t="str">
        <f>IF(B172="","",IFERROR(INDEX('12 P6 activities'!$C$7:$C$206,MATCH(B172,'12 P6 activities'!$A$7:$A$206,0)),"⚠ not in P6 list"))</f>
        <v/>
      </c>
      <c r="E172" s="145"/>
      <c r="F172" s="146"/>
      <c r="G172" s="147"/>
      <c r="H172" s="148"/>
      <c r="I172" s="149"/>
      <c r="J172" s="150" t="str">
        <f t="shared" si="2"/>
        <v/>
      </c>
      <c r="K172" s="149"/>
      <c r="L172" s="149"/>
      <c r="M172" s="6"/>
      <c r="N172" s="6"/>
      <c r="O172" s="6"/>
      <c r="P172" s="6"/>
      <c r="Q172" s="6"/>
      <c r="R172" s="6"/>
      <c r="S172" s="6"/>
      <c r="T172" s="6"/>
      <c r="U172" s="6"/>
      <c r="V172" s="6"/>
      <c r="W172" s="6"/>
      <c r="X172" s="6"/>
      <c r="Y172" s="6"/>
      <c r="Z172" s="6"/>
    </row>
    <row r="173" spans="1:26" ht="18" customHeight="1" x14ac:dyDescent="0.3">
      <c r="A173" s="142"/>
      <c r="B173" s="143"/>
      <c r="C173" s="144" t="str">
        <f>IF(B173="","",IFERROR(INDEX('12 P6 activities'!$B$7:$B$206,MATCH(B173,'12 P6 activities'!$A$7:$A$206,0)),"⚠ not in P6 list"))</f>
        <v/>
      </c>
      <c r="D173" s="144" t="str">
        <f>IF(B173="","",IFERROR(INDEX('12 P6 activities'!$C$7:$C$206,MATCH(B173,'12 P6 activities'!$A$7:$A$206,0)),"⚠ not in P6 list"))</f>
        <v/>
      </c>
      <c r="E173" s="145"/>
      <c r="F173" s="146"/>
      <c r="G173" s="147"/>
      <c r="H173" s="148"/>
      <c r="I173" s="149"/>
      <c r="J173" s="150" t="str">
        <f t="shared" si="2"/>
        <v/>
      </c>
      <c r="K173" s="149"/>
      <c r="L173" s="149"/>
      <c r="M173" s="6"/>
      <c r="N173" s="6"/>
      <c r="O173" s="6"/>
      <c r="P173" s="6"/>
      <c r="Q173" s="6"/>
      <c r="R173" s="6"/>
      <c r="S173" s="6"/>
      <c r="T173" s="6"/>
      <c r="U173" s="6"/>
      <c r="V173" s="6"/>
      <c r="W173" s="6"/>
      <c r="X173" s="6"/>
      <c r="Y173" s="6"/>
      <c r="Z173" s="6"/>
    </row>
    <row r="174" spans="1:26" ht="18" customHeight="1" x14ac:dyDescent="0.3">
      <c r="A174" s="142"/>
      <c r="B174" s="143"/>
      <c r="C174" s="144" t="str">
        <f>IF(B174="","",IFERROR(INDEX('12 P6 activities'!$B$7:$B$206,MATCH(B174,'12 P6 activities'!$A$7:$A$206,0)),"⚠ not in P6 list"))</f>
        <v/>
      </c>
      <c r="D174" s="144" t="str">
        <f>IF(B174="","",IFERROR(INDEX('12 P6 activities'!$C$7:$C$206,MATCH(B174,'12 P6 activities'!$A$7:$A$206,0)),"⚠ not in P6 list"))</f>
        <v/>
      </c>
      <c r="E174" s="145"/>
      <c r="F174" s="146"/>
      <c r="G174" s="147"/>
      <c r="H174" s="148"/>
      <c r="I174" s="149"/>
      <c r="J174" s="150" t="str">
        <f t="shared" si="2"/>
        <v/>
      </c>
      <c r="K174" s="149"/>
      <c r="L174" s="149"/>
      <c r="M174" s="6"/>
      <c r="N174" s="6"/>
      <c r="O174" s="6"/>
      <c r="P174" s="6"/>
      <c r="Q174" s="6"/>
      <c r="R174" s="6"/>
      <c r="S174" s="6"/>
      <c r="T174" s="6"/>
      <c r="U174" s="6"/>
      <c r="V174" s="6"/>
      <c r="W174" s="6"/>
      <c r="X174" s="6"/>
      <c r="Y174" s="6"/>
      <c r="Z174" s="6"/>
    </row>
    <row r="175" spans="1:26" ht="18" customHeight="1" x14ac:dyDescent="0.3">
      <c r="A175" s="142"/>
      <c r="B175" s="143"/>
      <c r="C175" s="144" t="str">
        <f>IF(B175="","",IFERROR(INDEX('12 P6 activities'!$B$7:$B$206,MATCH(B175,'12 P6 activities'!$A$7:$A$206,0)),"⚠ not in P6 list"))</f>
        <v/>
      </c>
      <c r="D175" s="144" t="str">
        <f>IF(B175="","",IFERROR(INDEX('12 P6 activities'!$C$7:$C$206,MATCH(B175,'12 P6 activities'!$A$7:$A$206,0)),"⚠ not in P6 list"))</f>
        <v/>
      </c>
      <c r="E175" s="145"/>
      <c r="F175" s="146"/>
      <c r="G175" s="147"/>
      <c r="H175" s="148"/>
      <c r="I175" s="149"/>
      <c r="J175" s="150" t="str">
        <f t="shared" si="2"/>
        <v/>
      </c>
      <c r="K175" s="149"/>
      <c r="L175" s="149"/>
      <c r="M175" s="6"/>
      <c r="N175" s="6"/>
      <c r="O175" s="6"/>
      <c r="P175" s="6"/>
      <c r="Q175" s="6"/>
      <c r="R175" s="6"/>
      <c r="S175" s="6"/>
      <c r="T175" s="6"/>
      <c r="U175" s="6"/>
      <c r="V175" s="6"/>
      <c r="W175" s="6"/>
      <c r="X175" s="6"/>
      <c r="Y175" s="6"/>
      <c r="Z175" s="6"/>
    </row>
    <row r="176" spans="1:26" ht="18" customHeight="1" x14ac:dyDescent="0.3">
      <c r="A176" s="142"/>
      <c r="B176" s="143"/>
      <c r="C176" s="144" t="str">
        <f>IF(B176="","",IFERROR(INDEX('12 P6 activities'!$B$7:$B$206,MATCH(B176,'12 P6 activities'!$A$7:$A$206,0)),"⚠ not in P6 list"))</f>
        <v/>
      </c>
      <c r="D176" s="144" t="str">
        <f>IF(B176="","",IFERROR(INDEX('12 P6 activities'!$C$7:$C$206,MATCH(B176,'12 P6 activities'!$A$7:$A$206,0)),"⚠ not in P6 list"))</f>
        <v/>
      </c>
      <c r="E176" s="145"/>
      <c r="F176" s="146"/>
      <c r="G176" s="147"/>
      <c r="H176" s="148"/>
      <c r="I176" s="149"/>
      <c r="J176" s="150" t="str">
        <f t="shared" si="2"/>
        <v/>
      </c>
      <c r="K176" s="149"/>
      <c r="L176" s="149"/>
      <c r="M176" s="6"/>
      <c r="N176" s="6"/>
      <c r="O176" s="6"/>
      <c r="P176" s="6"/>
      <c r="Q176" s="6"/>
      <c r="R176" s="6"/>
      <c r="S176" s="6"/>
      <c r="T176" s="6"/>
      <c r="U176" s="6"/>
      <c r="V176" s="6"/>
      <c r="W176" s="6"/>
      <c r="X176" s="6"/>
      <c r="Y176" s="6"/>
      <c r="Z176" s="6"/>
    </row>
    <row r="177" spans="1:26" ht="18" customHeight="1" x14ac:dyDescent="0.3">
      <c r="A177" s="142"/>
      <c r="B177" s="143"/>
      <c r="C177" s="144" t="str">
        <f>IF(B177="","",IFERROR(INDEX('12 P6 activities'!$B$7:$B$206,MATCH(B177,'12 P6 activities'!$A$7:$A$206,0)),"⚠ not in P6 list"))</f>
        <v/>
      </c>
      <c r="D177" s="144" t="str">
        <f>IF(B177="","",IFERROR(INDEX('12 P6 activities'!$C$7:$C$206,MATCH(B177,'12 P6 activities'!$A$7:$A$206,0)),"⚠ not in P6 list"))</f>
        <v/>
      </c>
      <c r="E177" s="145"/>
      <c r="F177" s="146"/>
      <c r="G177" s="147"/>
      <c r="H177" s="148"/>
      <c r="I177" s="149"/>
      <c r="J177" s="150" t="str">
        <f t="shared" si="2"/>
        <v/>
      </c>
      <c r="K177" s="149"/>
      <c r="L177" s="149"/>
      <c r="M177" s="6"/>
      <c r="N177" s="6"/>
      <c r="O177" s="6"/>
      <c r="P177" s="6"/>
      <c r="Q177" s="6"/>
      <c r="R177" s="6"/>
      <c r="S177" s="6"/>
      <c r="T177" s="6"/>
      <c r="U177" s="6"/>
      <c r="V177" s="6"/>
      <c r="W177" s="6"/>
      <c r="X177" s="6"/>
      <c r="Y177" s="6"/>
      <c r="Z177" s="6"/>
    </row>
    <row r="178" spans="1:26" ht="18" customHeight="1" x14ac:dyDescent="0.3">
      <c r="A178" s="142"/>
      <c r="B178" s="143"/>
      <c r="C178" s="144" t="str">
        <f>IF(B178="","",IFERROR(INDEX('12 P6 activities'!$B$7:$B$206,MATCH(B178,'12 P6 activities'!$A$7:$A$206,0)),"⚠ not in P6 list"))</f>
        <v/>
      </c>
      <c r="D178" s="144" t="str">
        <f>IF(B178="","",IFERROR(INDEX('12 P6 activities'!$C$7:$C$206,MATCH(B178,'12 P6 activities'!$A$7:$A$206,0)),"⚠ not in P6 list"))</f>
        <v/>
      </c>
      <c r="E178" s="145"/>
      <c r="F178" s="146"/>
      <c r="G178" s="147"/>
      <c r="H178" s="148"/>
      <c r="I178" s="149"/>
      <c r="J178" s="150" t="str">
        <f t="shared" si="2"/>
        <v/>
      </c>
      <c r="K178" s="149"/>
      <c r="L178" s="149"/>
      <c r="M178" s="6"/>
      <c r="N178" s="6"/>
      <c r="O178" s="6"/>
      <c r="P178" s="6"/>
      <c r="Q178" s="6"/>
      <c r="R178" s="6"/>
      <c r="S178" s="6"/>
      <c r="T178" s="6"/>
      <c r="U178" s="6"/>
      <c r="V178" s="6"/>
      <c r="W178" s="6"/>
      <c r="X178" s="6"/>
      <c r="Y178" s="6"/>
      <c r="Z178" s="6"/>
    </row>
    <row r="179" spans="1:26" ht="18" customHeight="1" x14ac:dyDescent="0.3">
      <c r="A179" s="142"/>
      <c r="B179" s="143"/>
      <c r="C179" s="144" t="str">
        <f>IF(B179="","",IFERROR(INDEX('12 P6 activities'!$B$7:$B$206,MATCH(B179,'12 P6 activities'!$A$7:$A$206,0)),"⚠ not in P6 list"))</f>
        <v/>
      </c>
      <c r="D179" s="144" t="str">
        <f>IF(B179="","",IFERROR(INDEX('12 P6 activities'!$C$7:$C$206,MATCH(B179,'12 P6 activities'!$A$7:$A$206,0)),"⚠ not in P6 list"))</f>
        <v/>
      </c>
      <c r="E179" s="145"/>
      <c r="F179" s="146"/>
      <c r="G179" s="147"/>
      <c r="H179" s="148"/>
      <c r="I179" s="149"/>
      <c r="J179" s="150" t="str">
        <f t="shared" si="2"/>
        <v/>
      </c>
      <c r="K179" s="149"/>
      <c r="L179" s="149"/>
      <c r="M179" s="6"/>
      <c r="N179" s="6"/>
      <c r="O179" s="6"/>
      <c r="P179" s="6"/>
      <c r="Q179" s="6"/>
      <c r="R179" s="6"/>
      <c r="S179" s="6"/>
      <c r="T179" s="6"/>
      <c r="U179" s="6"/>
      <c r="V179" s="6"/>
      <c r="W179" s="6"/>
      <c r="X179" s="6"/>
      <c r="Y179" s="6"/>
      <c r="Z179" s="6"/>
    </row>
    <row r="180" spans="1:26" ht="18" customHeight="1" x14ac:dyDescent="0.3">
      <c r="A180" s="142"/>
      <c r="B180" s="143"/>
      <c r="C180" s="144" t="str">
        <f>IF(B180="","",IFERROR(INDEX('12 P6 activities'!$B$7:$B$206,MATCH(B180,'12 P6 activities'!$A$7:$A$206,0)),"⚠ not in P6 list"))</f>
        <v/>
      </c>
      <c r="D180" s="144" t="str">
        <f>IF(B180="","",IFERROR(INDEX('12 P6 activities'!$C$7:$C$206,MATCH(B180,'12 P6 activities'!$A$7:$A$206,0)),"⚠ not in P6 list"))</f>
        <v/>
      </c>
      <c r="E180" s="145"/>
      <c r="F180" s="146"/>
      <c r="G180" s="147"/>
      <c r="H180" s="148"/>
      <c r="I180" s="149"/>
      <c r="J180" s="150" t="str">
        <f t="shared" si="2"/>
        <v/>
      </c>
      <c r="K180" s="149"/>
      <c r="L180" s="149"/>
      <c r="M180" s="6"/>
      <c r="N180" s="6"/>
      <c r="O180" s="6"/>
      <c r="P180" s="6"/>
      <c r="Q180" s="6"/>
      <c r="R180" s="6"/>
      <c r="S180" s="6"/>
      <c r="T180" s="6"/>
      <c r="U180" s="6"/>
      <c r="V180" s="6"/>
      <c r="W180" s="6"/>
      <c r="X180" s="6"/>
      <c r="Y180" s="6"/>
      <c r="Z180" s="6"/>
    </row>
    <row r="181" spans="1:26" ht="18" customHeight="1" x14ac:dyDescent="0.3">
      <c r="A181" s="142"/>
      <c r="B181" s="143"/>
      <c r="C181" s="144" t="str">
        <f>IF(B181="","",IFERROR(INDEX('12 P6 activities'!$B$7:$B$206,MATCH(B181,'12 P6 activities'!$A$7:$A$206,0)),"⚠ not in P6 list"))</f>
        <v/>
      </c>
      <c r="D181" s="144" t="str">
        <f>IF(B181="","",IFERROR(INDEX('12 P6 activities'!$C$7:$C$206,MATCH(B181,'12 P6 activities'!$A$7:$A$206,0)),"⚠ not in P6 list"))</f>
        <v/>
      </c>
      <c r="E181" s="145"/>
      <c r="F181" s="146"/>
      <c r="G181" s="147"/>
      <c r="H181" s="148"/>
      <c r="I181" s="149"/>
      <c r="J181" s="150" t="str">
        <f t="shared" si="2"/>
        <v/>
      </c>
      <c r="K181" s="149"/>
      <c r="L181" s="149"/>
      <c r="M181" s="6"/>
      <c r="N181" s="6"/>
      <c r="O181" s="6"/>
      <c r="P181" s="6"/>
      <c r="Q181" s="6"/>
      <c r="R181" s="6"/>
      <c r="S181" s="6"/>
      <c r="T181" s="6"/>
      <c r="U181" s="6"/>
      <c r="V181" s="6"/>
      <c r="W181" s="6"/>
      <c r="X181" s="6"/>
      <c r="Y181" s="6"/>
      <c r="Z181" s="6"/>
    </row>
    <row r="182" spans="1:26" ht="18" customHeight="1" x14ac:dyDescent="0.3">
      <c r="A182" s="142"/>
      <c r="B182" s="143"/>
      <c r="C182" s="144" t="str">
        <f>IF(B182="","",IFERROR(INDEX('12 P6 activities'!$B$7:$B$206,MATCH(B182,'12 P6 activities'!$A$7:$A$206,0)),"⚠ not in P6 list"))</f>
        <v/>
      </c>
      <c r="D182" s="144" t="str">
        <f>IF(B182="","",IFERROR(INDEX('12 P6 activities'!$C$7:$C$206,MATCH(B182,'12 P6 activities'!$A$7:$A$206,0)),"⚠ not in P6 list"))</f>
        <v/>
      </c>
      <c r="E182" s="145"/>
      <c r="F182" s="146"/>
      <c r="G182" s="147"/>
      <c r="H182" s="148"/>
      <c r="I182" s="149"/>
      <c r="J182" s="150" t="str">
        <f t="shared" si="2"/>
        <v/>
      </c>
      <c r="K182" s="149"/>
      <c r="L182" s="149"/>
      <c r="M182" s="6"/>
      <c r="N182" s="6"/>
      <c r="O182" s="6"/>
      <c r="P182" s="6"/>
      <c r="Q182" s="6"/>
      <c r="R182" s="6"/>
      <c r="S182" s="6"/>
      <c r="T182" s="6"/>
      <c r="U182" s="6"/>
      <c r="V182" s="6"/>
      <c r="W182" s="6"/>
      <c r="X182" s="6"/>
      <c r="Y182" s="6"/>
      <c r="Z182" s="6"/>
    </row>
    <row r="183" spans="1:26" ht="18" customHeight="1" x14ac:dyDescent="0.3">
      <c r="A183" s="142"/>
      <c r="B183" s="143"/>
      <c r="C183" s="144" t="str">
        <f>IF(B183="","",IFERROR(INDEX('12 P6 activities'!$B$7:$B$206,MATCH(B183,'12 P6 activities'!$A$7:$A$206,0)),"⚠ not in P6 list"))</f>
        <v/>
      </c>
      <c r="D183" s="144" t="str">
        <f>IF(B183="","",IFERROR(INDEX('12 P6 activities'!$C$7:$C$206,MATCH(B183,'12 P6 activities'!$A$7:$A$206,0)),"⚠ not in P6 list"))</f>
        <v/>
      </c>
      <c r="E183" s="145"/>
      <c r="F183" s="146"/>
      <c r="G183" s="147"/>
      <c r="H183" s="148"/>
      <c r="I183" s="149"/>
      <c r="J183" s="150" t="str">
        <f t="shared" si="2"/>
        <v/>
      </c>
      <c r="K183" s="149"/>
      <c r="L183" s="149"/>
      <c r="M183" s="6"/>
      <c r="N183" s="6"/>
      <c r="O183" s="6"/>
      <c r="P183" s="6"/>
      <c r="Q183" s="6"/>
      <c r="R183" s="6"/>
      <c r="S183" s="6"/>
      <c r="T183" s="6"/>
      <c r="U183" s="6"/>
      <c r="V183" s="6"/>
      <c r="W183" s="6"/>
      <c r="X183" s="6"/>
      <c r="Y183" s="6"/>
      <c r="Z183" s="6"/>
    </row>
    <row r="184" spans="1:26" ht="18" customHeight="1" x14ac:dyDescent="0.3">
      <c r="A184" s="142"/>
      <c r="B184" s="143"/>
      <c r="C184" s="144" t="str">
        <f>IF(B184="","",IFERROR(INDEX('12 P6 activities'!$B$7:$B$206,MATCH(B184,'12 P6 activities'!$A$7:$A$206,0)),"⚠ not in P6 list"))</f>
        <v/>
      </c>
      <c r="D184" s="144" t="str">
        <f>IF(B184="","",IFERROR(INDEX('12 P6 activities'!$C$7:$C$206,MATCH(B184,'12 P6 activities'!$A$7:$A$206,0)),"⚠ not in P6 list"))</f>
        <v/>
      </c>
      <c r="E184" s="145"/>
      <c r="F184" s="146"/>
      <c r="G184" s="147"/>
      <c r="H184" s="148"/>
      <c r="I184" s="149"/>
      <c r="J184" s="150" t="str">
        <f t="shared" si="2"/>
        <v/>
      </c>
      <c r="K184" s="149"/>
      <c r="L184" s="149"/>
      <c r="M184" s="6"/>
      <c r="N184" s="6"/>
      <c r="O184" s="6"/>
      <c r="P184" s="6"/>
      <c r="Q184" s="6"/>
      <c r="R184" s="6"/>
      <c r="S184" s="6"/>
      <c r="T184" s="6"/>
      <c r="U184" s="6"/>
      <c r="V184" s="6"/>
      <c r="W184" s="6"/>
      <c r="X184" s="6"/>
      <c r="Y184" s="6"/>
      <c r="Z184" s="6"/>
    </row>
    <row r="185" spans="1:26" ht="18" customHeight="1" x14ac:dyDescent="0.3">
      <c r="A185" s="142"/>
      <c r="B185" s="143"/>
      <c r="C185" s="144" t="str">
        <f>IF(B185="","",IFERROR(INDEX('12 P6 activities'!$B$7:$B$206,MATCH(B185,'12 P6 activities'!$A$7:$A$206,0)),"⚠ not in P6 list"))</f>
        <v/>
      </c>
      <c r="D185" s="144" t="str">
        <f>IF(B185="","",IFERROR(INDEX('12 P6 activities'!$C$7:$C$206,MATCH(B185,'12 P6 activities'!$A$7:$A$206,0)),"⚠ not in P6 list"))</f>
        <v/>
      </c>
      <c r="E185" s="145"/>
      <c r="F185" s="146"/>
      <c r="G185" s="147"/>
      <c r="H185" s="148"/>
      <c r="I185" s="149"/>
      <c r="J185" s="150" t="str">
        <f t="shared" si="2"/>
        <v/>
      </c>
      <c r="K185" s="149"/>
      <c r="L185" s="149"/>
      <c r="M185" s="6"/>
      <c r="N185" s="6"/>
      <c r="O185" s="6"/>
      <c r="P185" s="6"/>
      <c r="Q185" s="6"/>
      <c r="R185" s="6"/>
      <c r="S185" s="6"/>
      <c r="T185" s="6"/>
      <c r="U185" s="6"/>
      <c r="V185" s="6"/>
      <c r="W185" s="6"/>
      <c r="X185" s="6"/>
      <c r="Y185" s="6"/>
      <c r="Z185" s="6"/>
    </row>
    <row r="186" spans="1:26" ht="18" customHeight="1" x14ac:dyDescent="0.3">
      <c r="A186" s="142"/>
      <c r="B186" s="143"/>
      <c r="C186" s="144" t="str">
        <f>IF(B186="","",IFERROR(INDEX('12 P6 activities'!$B$7:$B$206,MATCH(B186,'12 P6 activities'!$A$7:$A$206,0)),"⚠ not in P6 list"))</f>
        <v/>
      </c>
      <c r="D186" s="144" t="str">
        <f>IF(B186="","",IFERROR(INDEX('12 P6 activities'!$C$7:$C$206,MATCH(B186,'12 P6 activities'!$A$7:$A$206,0)),"⚠ not in P6 list"))</f>
        <v/>
      </c>
      <c r="E186" s="145"/>
      <c r="F186" s="146"/>
      <c r="G186" s="147"/>
      <c r="H186" s="148"/>
      <c r="I186" s="149"/>
      <c r="J186" s="150" t="str">
        <f t="shared" si="2"/>
        <v/>
      </c>
      <c r="K186" s="149"/>
      <c r="L186" s="149"/>
      <c r="M186" s="6"/>
      <c r="N186" s="6"/>
      <c r="O186" s="6"/>
      <c r="P186" s="6"/>
      <c r="Q186" s="6"/>
      <c r="R186" s="6"/>
      <c r="S186" s="6"/>
      <c r="T186" s="6"/>
      <c r="U186" s="6"/>
      <c r="V186" s="6"/>
      <c r="W186" s="6"/>
      <c r="X186" s="6"/>
      <c r="Y186" s="6"/>
      <c r="Z186" s="6"/>
    </row>
    <row r="187" spans="1:26" ht="18" customHeight="1" x14ac:dyDescent="0.3">
      <c r="A187" s="142"/>
      <c r="B187" s="143"/>
      <c r="C187" s="144" t="str">
        <f>IF(B187="","",IFERROR(INDEX('12 P6 activities'!$B$7:$B$206,MATCH(B187,'12 P6 activities'!$A$7:$A$206,0)),"⚠ not in P6 list"))</f>
        <v/>
      </c>
      <c r="D187" s="144" t="str">
        <f>IF(B187="","",IFERROR(INDEX('12 P6 activities'!$C$7:$C$206,MATCH(B187,'12 P6 activities'!$A$7:$A$206,0)),"⚠ not in P6 list"))</f>
        <v/>
      </c>
      <c r="E187" s="145"/>
      <c r="F187" s="146"/>
      <c r="G187" s="147"/>
      <c r="H187" s="148"/>
      <c r="I187" s="149"/>
      <c r="J187" s="150" t="str">
        <f t="shared" si="2"/>
        <v/>
      </c>
      <c r="K187" s="149"/>
      <c r="L187" s="149"/>
      <c r="M187" s="6"/>
      <c r="N187" s="6"/>
      <c r="O187" s="6"/>
      <c r="P187" s="6"/>
      <c r="Q187" s="6"/>
      <c r="R187" s="6"/>
      <c r="S187" s="6"/>
      <c r="T187" s="6"/>
      <c r="U187" s="6"/>
      <c r="V187" s="6"/>
      <c r="W187" s="6"/>
      <c r="X187" s="6"/>
      <c r="Y187" s="6"/>
      <c r="Z187" s="6"/>
    </row>
    <row r="188" spans="1:26" ht="18" customHeight="1" x14ac:dyDescent="0.3">
      <c r="A188" s="142"/>
      <c r="B188" s="143"/>
      <c r="C188" s="144" t="str">
        <f>IF(B188="","",IFERROR(INDEX('12 P6 activities'!$B$7:$B$206,MATCH(B188,'12 P6 activities'!$A$7:$A$206,0)),"⚠ not in P6 list"))</f>
        <v/>
      </c>
      <c r="D188" s="144" t="str">
        <f>IF(B188="","",IFERROR(INDEX('12 P6 activities'!$C$7:$C$206,MATCH(B188,'12 P6 activities'!$A$7:$A$206,0)),"⚠ not in P6 list"))</f>
        <v/>
      </c>
      <c r="E188" s="145"/>
      <c r="F188" s="146"/>
      <c r="G188" s="147"/>
      <c r="H188" s="148"/>
      <c r="I188" s="149"/>
      <c r="J188" s="150" t="str">
        <f t="shared" si="2"/>
        <v/>
      </c>
      <c r="K188" s="149"/>
      <c r="L188" s="149"/>
      <c r="M188" s="6"/>
      <c r="N188" s="6"/>
      <c r="O188" s="6"/>
      <c r="P188" s="6"/>
      <c r="Q188" s="6"/>
      <c r="R188" s="6"/>
      <c r="S188" s="6"/>
      <c r="T188" s="6"/>
      <c r="U188" s="6"/>
      <c r="V188" s="6"/>
      <c r="W188" s="6"/>
      <c r="X188" s="6"/>
      <c r="Y188" s="6"/>
      <c r="Z188" s="6"/>
    </row>
    <row r="189" spans="1:26" ht="18" customHeight="1" x14ac:dyDescent="0.3">
      <c r="A189" s="142"/>
      <c r="B189" s="143"/>
      <c r="C189" s="144" t="str">
        <f>IF(B189="","",IFERROR(INDEX('12 P6 activities'!$B$7:$B$206,MATCH(B189,'12 P6 activities'!$A$7:$A$206,0)),"⚠ not in P6 list"))</f>
        <v/>
      </c>
      <c r="D189" s="144" t="str">
        <f>IF(B189="","",IFERROR(INDEX('12 P6 activities'!$C$7:$C$206,MATCH(B189,'12 P6 activities'!$A$7:$A$206,0)),"⚠ not in P6 list"))</f>
        <v/>
      </c>
      <c r="E189" s="145"/>
      <c r="F189" s="146"/>
      <c r="G189" s="147"/>
      <c r="H189" s="148"/>
      <c r="I189" s="149"/>
      <c r="J189" s="150" t="str">
        <f t="shared" si="2"/>
        <v/>
      </c>
      <c r="K189" s="149"/>
      <c r="L189" s="149"/>
      <c r="M189" s="6"/>
      <c r="N189" s="6"/>
      <c r="O189" s="6"/>
      <c r="P189" s="6"/>
      <c r="Q189" s="6"/>
      <c r="R189" s="6"/>
      <c r="S189" s="6"/>
      <c r="T189" s="6"/>
      <c r="U189" s="6"/>
      <c r="V189" s="6"/>
      <c r="W189" s="6"/>
      <c r="X189" s="6"/>
      <c r="Y189" s="6"/>
      <c r="Z189" s="6"/>
    </row>
    <row r="190" spans="1:26" ht="18" customHeight="1" x14ac:dyDescent="0.3">
      <c r="A190" s="142"/>
      <c r="B190" s="143"/>
      <c r="C190" s="144" t="str">
        <f>IF(B190="","",IFERROR(INDEX('12 P6 activities'!$B$7:$B$206,MATCH(B190,'12 P6 activities'!$A$7:$A$206,0)),"⚠ not in P6 list"))</f>
        <v/>
      </c>
      <c r="D190" s="144" t="str">
        <f>IF(B190="","",IFERROR(INDEX('12 P6 activities'!$C$7:$C$206,MATCH(B190,'12 P6 activities'!$A$7:$A$206,0)),"⚠ not in P6 list"))</f>
        <v/>
      </c>
      <c r="E190" s="145"/>
      <c r="F190" s="146"/>
      <c r="G190" s="147"/>
      <c r="H190" s="148"/>
      <c r="I190" s="149"/>
      <c r="J190" s="150" t="str">
        <f t="shared" si="2"/>
        <v/>
      </c>
      <c r="K190" s="149"/>
      <c r="L190" s="149"/>
      <c r="M190" s="6"/>
      <c r="N190" s="6"/>
      <c r="O190" s="6"/>
      <c r="P190" s="6"/>
      <c r="Q190" s="6"/>
      <c r="R190" s="6"/>
      <c r="S190" s="6"/>
      <c r="T190" s="6"/>
      <c r="U190" s="6"/>
      <c r="V190" s="6"/>
      <c r="W190" s="6"/>
      <c r="X190" s="6"/>
      <c r="Y190" s="6"/>
      <c r="Z190" s="6"/>
    </row>
    <row r="191" spans="1:26" ht="18" customHeight="1" x14ac:dyDescent="0.3">
      <c r="A191" s="142"/>
      <c r="B191" s="143"/>
      <c r="C191" s="144" t="str">
        <f>IF(B191="","",IFERROR(INDEX('12 P6 activities'!$B$7:$B$206,MATCH(B191,'12 P6 activities'!$A$7:$A$206,0)),"⚠ not in P6 list"))</f>
        <v/>
      </c>
      <c r="D191" s="144" t="str">
        <f>IF(B191="","",IFERROR(INDEX('12 P6 activities'!$C$7:$C$206,MATCH(B191,'12 P6 activities'!$A$7:$A$206,0)),"⚠ not in P6 list"))</f>
        <v/>
      </c>
      <c r="E191" s="145"/>
      <c r="F191" s="146"/>
      <c r="G191" s="147"/>
      <c r="H191" s="148"/>
      <c r="I191" s="149"/>
      <c r="J191" s="150" t="str">
        <f t="shared" si="2"/>
        <v/>
      </c>
      <c r="K191" s="149"/>
      <c r="L191" s="149"/>
      <c r="M191" s="6"/>
      <c r="N191" s="6"/>
      <c r="O191" s="6"/>
      <c r="P191" s="6"/>
      <c r="Q191" s="6"/>
      <c r="R191" s="6"/>
      <c r="S191" s="6"/>
      <c r="T191" s="6"/>
      <c r="U191" s="6"/>
      <c r="V191" s="6"/>
      <c r="W191" s="6"/>
      <c r="X191" s="6"/>
      <c r="Y191" s="6"/>
      <c r="Z191" s="6"/>
    </row>
    <row r="192" spans="1:26" ht="18" customHeight="1" x14ac:dyDescent="0.3">
      <c r="A192" s="142"/>
      <c r="B192" s="143"/>
      <c r="C192" s="144" t="str">
        <f>IF(B192="","",IFERROR(INDEX('12 P6 activities'!$B$7:$B$206,MATCH(B192,'12 P6 activities'!$A$7:$A$206,0)),"⚠ not in P6 list"))</f>
        <v/>
      </c>
      <c r="D192" s="144" t="str">
        <f>IF(B192="","",IFERROR(INDEX('12 P6 activities'!$C$7:$C$206,MATCH(B192,'12 P6 activities'!$A$7:$A$206,0)),"⚠ not in P6 list"))</f>
        <v/>
      </c>
      <c r="E192" s="145"/>
      <c r="F192" s="146"/>
      <c r="G192" s="147"/>
      <c r="H192" s="148"/>
      <c r="I192" s="149"/>
      <c r="J192" s="150" t="str">
        <f t="shared" si="2"/>
        <v/>
      </c>
      <c r="K192" s="149"/>
      <c r="L192" s="149"/>
      <c r="M192" s="6"/>
      <c r="N192" s="6"/>
      <c r="O192" s="6"/>
      <c r="P192" s="6"/>
      <c r="Q192" s="6"/>
      <c r="R192" s="6"/>
      <c r="S192" s="6"/>
      <c r="T192" s="6"/>
      <c r="U192" s="6"/>
      <c r="V192" s="6"/>
      <c r="W192" s="6"/>
      <c r="X192" s="6"/>
      <c r="Y192" s="6"/>
      <c r="Z192" s="6"/>
    </row>
    <row r="193" spans="1:26" ht="18" customHeight="1" x14ac:dyDescent="0.3">
      <c r="A193" s="142"/>
      <c r="B193" s="143"/>
      <c r="C193" s="144" t="str">
        <f>IF(B193="","",IFERROR(INDEX('12 P6 activities'!$B$7:$B$206,MATCH(B193,'12 P6 activities'!$A$7:$A$206,0)),"⚠ not in P6 list"))</f>
        <v/>
      </c>
      <c r="D193" s="144" t="str">
        <f>IF(B193="","",IFERROR(INDEX('12 P6 activities'!$C$7:$C$206,MATCH(B193,'12 P6 activities'!$A$7:$A$206,0)),"⚠ not in P6 list"))</f>
        <v/>
      </c>
      <c r="E193" s="145"/>
      <c r="F193" s="146"/>
      <c r="G193" s="147"/>
      <c r="H193" s="148"/>
      <c r="I193" s="149"/>
      <c r="J193" s="150" t="str">
        <f t="shared" si="2"/>
        <v/>
      </c>
      <c r="K193" s="149"/>
      <c r="L193" s="149"/>
      <c r="M193" s="6"/>
      <c r="N193" s="6"/>
      <c r="O193" s="6"/>
      <c r="P193" s="6"/>
      <c r="Q193" s="6"/>
      <c r="R193" s="6"/>
      <c r="S193" s="6"/>
      <c r="T193" s="6"/>
      <c r="U193" s="6"/>
      <c r="V193" s="6"/>
      <c r="W193" s="6"/>
      <c r="X193" s="6"/>
      <c r="Y193" s="6"/>
      <c r="Z193" s="6"/>
    </row>
    <row r="194" spans="1:26" ht="18" customHeight="1" x14ac:dyDescent="0.3">
      <c r="A194" s="142"/>
      <c r="B194" s="143"/>
      <c r="C194" s="144" t="str">
        <f>IF(B194="","",IFERROR(INDEX('12 P6 activities'!$B$7:$B$206,MATCH(B194,'12 P6 activities'!$A$7:$A$206,0)),"⚠ not in P6 list"))</f>
        <v/>
      </c>
      <c r="D194" s="144" t="str">
        <f>IF(B194="","",IFERROR(INDEX('12 P6 activities'!$C$7:$C$206,MATCH(B194,'12 P6 activities'!$A$7:$A$206,0)),"⚠ not in P6 list"))</f>
        <v/>
      </c>
      <c r="E194" s="145"/>
      <c r="F194" s="146"/>
      <c r="G194" s="147"/>
      <c r="H194" s="148"/>
      <c r="I194" s="149"/>
      <c r="J194" s="150" t="str">
        <f t="shared" si="2"/>
        <v/>
      </c>
      <c r="K194" s="149"/>
      <c r="L194" s="149"/>
      <c r="M194" s="6"/>
      <c r="N194" s="6"/>
      <c r="O194" s="6"/>
      <c r="P194" s="6"/>
      <c r="Q194" s="6"/>
      <c r="R194" s="6"/>
      <c r="S194" s="6"/>
      <c r="T194" s="6"/>
      <c r="U194" s="6"/>
      <c r="V194" s="6"/>
      <c r="W194" s="6"/>
      <c r="X194" s="6"/>
      <c r="Y194" s="6"/>
      <c r="Z194" s="6"/>
    </row>
    <row r="195" spans="1:26" ht="18" customHeight="1" x14ac:dyDescent="0.3">
      <c r="A195" s="142"/>
      <c r="B195" s="143"/>
      <c r="C195" s="144" t="str">
        <f>IF(B195="","",IFERROR(INDEX('12 P6 activities'!$B$7:$B$206,MATCH(B195,'12 P6 activities'!$A$7:$A$206,0)),"⚠ not in P6 list"))</f>
        <v/>
      </c>
      <c r="D195" s="144" t="str">
        <f>IF(B195="","",IFERROR(INDEX('12 P6 activities'!$C$7:$C$206,MATCH(B195,'12 P6 activities'!$A$7:$A$206,0)),"⚠ not in P6 list"))</f>
        <v/>
      </c>
      <c r="E195" s="145"/>
      <c r="F195" s="146"/>
      <c r="G195" s="147"/>
      <c r="H195" s="148"/>
      <c r="I195" s="149"/>
      <c r="J195" s="150" t="str">
        <f t="shared" si="2"/>
        <v/>
      </c>
      <c r="K195" s="149"/>
      <c r="L195" s="149"/>
      <c r="M195" s="6"/>
      <c r="N195" s="6"/>
      <c r="O195" s="6"/>
      <c r="P195" s="6"/>
      <c r="Q195" s="6"/>
      <c r="R195" s="6"/>
      <c r="S195" s="6"/>
      <c r="T195" s="6"/>
      <c r="U195" s="6"/>
      <c r="V195" s="6"/>
      <c r="W195" s="6"/>
      <c r="X195" s="6"/>
      <c r="Y195" s="6"/>
      <c r="Z195" s="6"/>
    </row>
    <row r="196" spans="1:26" ht="18" customHeight="1" x14ac:dyDescent="0.3">
      <c r="A196" s="142"/>
      <c r="B196" s="143"/>
      <c r="C196" s="144" t="str">
        <f>IF(B196="","",IFERROR(INDEX('12 P6 activities'!$B$7:$B$206,MATCH(B196,'12 P6 activities'!$A$7:$A$206,0)),"⚠ not in P6 list"))</f>
        <v/>
      </c>
      <c r="D196" s="144" t="str">
        <f>IF(B196="","",IFERROR(INDEX('12 P6 activities'!$C$7:$C$206,MATCH(B196,'12 P6 activities'!$A$7:$A$206,0)),"⚠ not in P6 list"))</f>
        <v/>
      </c>
      <c r="E196" s="145"/>
      <c r="F196" s="146"/>
      <c r="G196" s="147"/>
      <c r="H196" s="148"/>
      <c r="I196" s="149"/>
      <c r="J196" s="150" t="str">
        <f t="shared" si="2"/>
        <v/>
      </c>
      <c r="K196" s="149"/>
      <c r="L196" s="149"/>
      <c r="M196" s="6"/>
      <c r="N196" s="6"/>
      <c r="O196" s="6"/>
      <c r="P196" s="6"/>
      <c r="Q196" s="6"/>
      <c r="R196" s="6"/>
      <c r="S196" s="6"/>
      <c r="T196" s="6"/>
      <c r="U196" s="6"/>
      <c r="V196" s="6"/>
      <c r="W196" s="6"/>
      <c r="X196" s="6"/>
      <c r="Y196" s="6"/>
      <c r="Z196" s="6"/>
    </row>
    <row r="197" spans="1:26" ht="18" customHeight="1" x14ac:dyDescent="0.3">
      <c r="A197" s="142"/>
      <c r="B197" s="143"/>
      <c r="C197" s="144" t="str">
        <f>IF(B197="","",IFERROR(INDEX('12 P6 activities'!$B$7:$B$206,MATCH(B197,'12 P6 activities'!$A$7:$A$206,0)),"⚠ not in P6 list"))</f>
        <v/>
      </c>
      <c r="D197" s="144" t="str">
        <f>IF(B197="","",IFERROR(INDEX('12 P6 activities'!$C$7:$C$206,MATCH(B197,'12 P6 activities'!$A$7:$A$206,0)),"⚠ not in P6 list"))</f>
        <v/>
      </c>
      <c r="E197" s="145"/>
      <c r="F197" s="146"/>
      <c r="G197" s="147"/>
      <c r="H197" s="148"/>
      <c r="I197" s="149"/>
      <c r="J197" s="150" t="str">
        <f t="shared" si="2"/>
        <v/>
      </c>
      <c r="K197" s="149"/>
      <c r="L197" s="149"/>
      <c r="M197" s="6"/>
      <c r="N197" s="6"/>
      <c r="O197" s="6"/>
      <c r="P197" s="6"/>
      <c r="Q197" s="6"/>
      <c r="R197" s="6"/>
      <c r="S197" s="6"/>
      <c r="T197" s="6"/>
      <c r="U197" s="6"/>
      <c r="V197" s="6"/>
      <c r="W197" s="6"/>
      <c r="X197" s="6"/>
      <c r="Y197" s="6"/>
      <c r="Z197" s="6"/>
    </row>
    <row r="198" spans="1:26" ht="18" customHeight="1" x14ac:dyDescent="0.3">
      <c r="A198" s="142"/>
      <c r="B198" s="143"/>
      <c r="C198" s="144" t="str">
        <f>IF(B198="","",IFERROR(INDEX('12 P6 activities'!$B$7:$B$206,MATCH(B198,'12 P6 activities'!$A$7:$A$206,0)),"⚠ not in P6 list"))</f>
        <v/>
      </c>
      <c r="D198" s="144" t="str">
        <f>IF(B198="","",IFERROR(INDEX('12 P6 activities'!$C$7:$C$206,MATCH(B198,'12 P6 activities'!$A$7:$A$206,0)),"⚠ not in P6 list"))</f>
        <v/>
      </c>
      <c r="E198" s="145"/>
      <c r="F198" s="146"/>
      <c r="G198" s="147"/>
      <c r="H198" s="148"/>
      <c r="I198" s="149"/>
      <c r="J198" s="150" t="str">
        <f t="shared" si="2"/>
        <v/>
      </c>
      <c r="K198" s="149"/>
      <c r="L198" s="149"/>
      <c r="M198" s="6"/>
      <c r="N198" s="6"/>
      <c r="O198" s="6"/>
      <c r="P198" s="6"/>
      <c r="Q198" s="6"/>
      <c r="R198" s="6"/>
      <c r="S198" s="6"/>
      <c r="T198" s="6"/>
      <c r="U198" s="6"/>
      <c r="V198" s="6"/>
      <c r="W198" s="6"/>
      <c r="X198" s="6"/>
      <c r="Y198" s="6"/>
      <c r="Z198" s="6"/>
    </row>
    <row r="199" spans="1:26" ht="18" customHeight="1" x14ac:dyDescent="0.3">
      <c r="A199" s="142"/>
      <c r="B199" s="143"/>
      <c r="C199" s="144" t="str">
        <f>IF(B199="","",IFERROR(INDEX('12 P6 activities'!$B$7:$B$206,MATCH(B199,'12 P6 activities'!$A$7:$A$206,0)),"⚠ not in P6 list"))</f>
        <v/>
      </c>
      <c r="D199" s="144" t="str">
        <f>IF(B199="","",IFERROR(INDEX('12 P6 activities'!$C$7:$C$206,MATCH(B199,'12 P6 activities'!$A$7:$A$206,0)),"⚠ not in P6 list"))</f>
        <v/>
      </c>
      <c r="E199" s="145"/>
      <c r="F199" s="146"/>
      <c r="G199" s="147"/>
      <c r="H199" s="148"/>
      <c r="I199" s="149"/>
      <c r="J199" s="150" t="str">
        <f t="shared" si="2"/>
        <v/>
      </c>
      <c r="K199" s="149"/>
      <c r="L199" s="149"/>
      <c r="M199" s="6"/>
      <c r="N199" s="6"/>
      <c r="O199" s="6"/>
      <c r="P199" s="6"/>
      <c r="Q199" s="6"/>
      <c r="R199" s="6"/>
      <c r="S199" s="6"/>
      <c r="T199" s="6"/>
      <c r="U199" s="6"/>
      <c r="V199" s="6"/>
      <c r="W199" s="6"/>
      <c r="X199" s="6"/>
      <c r="Y199" s="6"/>
      <c r="Z199" s="6"/>
    </row>
    <row r="200" spans="1:26" ht="18" customHeight="1" x14ac:dyDescent="0.3">
      <c r="A200" s="142"/>
      <c r="B200" s="143"/>
      <c r="C200" s="144" t="str">
        <f>IF(B200="","",IFERROR(INDEX('12 P6 activities'!$B$7:$B$206,MATCH(B200,'12 P6 activities'!$A$7:$A$206,0)),"⚠ not in P6 list"))</f>
        <v/>
      </c>
      <c r="D200" s="144" t="str">
        <f>IF(B200="","",IFERROR(INDEX('12 P6 activities'!$C$7:$C$206,MATCH(B200,'12 P6 activities'!$A$7:$A$206,0)),"⚠ not in P6 list"))</f>
        <v/>
      </c>
      <c r="E200" s="145"/>
      <c r="F200" s="146"/>
      <c r="G200" s="147"/>
      <c r="H200" s="148"/>
      <c r="I200" s="149"/>
      <c r="J200" s="150" t="str">
        <f t="shared" ref="J200:J263" si="3">IF(OR(H200="",I200=""),"",H200*I200)</f>
        <v/>
      </c>
      <c r="K200" s="149"/>
      <c r="L200" s="149"/>
      <c r="M200" s="6"/>
      <c r="N200" s="6"/>
      <c r="O200" s="6"/>
      <c r="P200" s="6"/>
      <c r="Q200" s="6"/>
      <c r="R200" s="6"/>
      <c r="S200" s="6"/>
      <c r="T200" s="6"/>
      <c r="U200" s="6"/>
      <c r="V200" s="6"/>
      <c r="W200" s="6"/>
      <c r="X200" s="6"/>
      <c r="Y200" s="6"/>
      <c r="Z200" s="6"/>
    </row>
    <row r="201" spans="1:26" ht="18" customHeight="1" x14ac:dyDescent="0.3">
      <c r="A201" s="142"/>
      <c r="B201" s="143"/>
      <c r="C201" s="144" t="str">
        <f>IF(B201="","",IFERROR(INDEX('12 P6 activities'!$B$7:$B$206,MATCH(B201,'12 P6 activities'!$A$7:$A$206,0)),"⚠ not in P6 list"))</f>
        <v/>
      </c>
      <c r="D201" s="144" t="str">
        <f>IF(B201="","",IFERROR(INDEX('12 P6 activities'!$C$7:$C$206,MATCH(B201,'12 P6 activities'!$A$7:$A$206,0)),"⚠ not in P6 list"))</f>
        <v/>
      </c>
      <c r="E201" s="145"/>
      <c r="F201" s="146"/>
      <c r="G201" s="147"/>
      <c r="H201" s="148"/>
      <c r="I201" s="149"/>
      <c r="J201" s="150" t="str">
        <f t="shared" si="3"/>
        <v/>
      </c>
      <c r="K201" s="149"/>
      <c r="L201" s="149"/>
      <c r="M201" s="6"/>
      <c r="N201" s="6"/>
      <c r="O201" s="6"/>
      <c r="P201" s="6"/>
      <c r="Q201" s="6"/>
      <c r="R201" s="6"/>
      <c r="S201" s="6"/>
      <c r="T201" s="6"/>
      <c r="U201" s="6"/>
      <c r="V201" s="6"/>
      <c r="W201" s="6"/>
      <c r="X201" s="6"/>
      <c r="Y201" s="6"/>
      <c r="Z201" s="6"/>
    </row>
    <row r="202" spans="1:26" ht="18" customHeight="1" x14ac:dyDescent="0.3">
      <c r="A202" s="142"/>
      <c r="B202" s="143"/>
      <c r="C202" s="144" t="str">
        <f>IF(B202="","",IFERROR(INDEX('12 P6 activities'!$B$7:$B$206,MATCH(B202,'12 P6 activities'!$A$7:$A$206,0)),"⚠ not in P6 list"))</f>
        <v/>
      </c>
      <c r="D202" s="144" t="str">
        <f>IF(B202="","",IFERROR(INDEX('12 P6 activities'!$C$7:$C$206,MATCH(B202,'12 P6 activities'!$A$7:$A$206,0)),"⚠ not in P6 list"))</f>
        <v/>
      </c>
      <c r="E202" s="145"/>
      <c r="F202" s="146"/>
      <c r="G202" s="147"/>
      <c r="H202" s="148"/>
      <c r="I202" s="149"/>
      <c r="J202" s="150" t="str">
        <f t="shared" si="3"/>
        <v/>
      </c>
      <c r="K202" s="149"/>
      <c r="L202" s="149"/>
      <c r="M202" s="6"/>
      <c r="N202" s="6"/>
      <c r="O202" s="6"/>
      <c r="P202" s="6"/>
      <c r="Q202" s="6"/>
      <c r="R202" s="6"/>
      <c r="S202" s="6"/>
      <c r="T202" s="6"/>
      <c r="U202" s="6"/>
      <c r="V202" s="6"/>
      <c r="W202" s="6"/>
      <c r="X202" s="6"/>
      <c r="Y202" s="6"/>
      <c r="Z202" s="6"/>
    </row>
    <row r="203" spans="1:26" ht="18" customHeight="1" x14ac:dyDescent="0.3">
      <c r="A203" s="142"/>
      <c r="B203" s="143"/>
      <c r="C203" s="144" t="str">
        <f>IF(B203="","",IFERROR(INDEX('12 P6 activities'!$B$7:$B$206,MATCH(B203,'12 P6 activities'!$A$7:$A$206,0)),"⚠ not in P6 list"))</f>
        <v/>
      </c>
      <c r="D203" s="144" t="str">
        <f>IF(B203="","",IFERROR(INDEX('12 P6 activities'!$C$7:$C$206,MATCH(B203,'12 P6 activities'!$A$7:$A$206,0)),"⚠ not in P6 list"))</f>
        <v/>
      </c>
      <c r="E203" s="145"/>
      <c r="F203" s="146"/>
      <c r="G203" s="147"/>
      <c r="H203" s="148"/>
      <c r="I203" s="149"/>
      <c r="J203" s="150" t="str">
        <f t="shared" si="3"/>
        <v/>
      </c>
      <c r="K203" s="149"/>
      <c r="L203" s="149"/>
      <c r="M203" s="6"/>
      <c r="N203" s="6"/>
      <c r="O203" s="6"/>
      <c r="P203" s="6"/>
      <c r="Q203" s="6"/>
      <c r="R203" s="6"/>
      <c r="S203" s="6"/>
      <c r="T203" s="6"/>
      <c r="U203" s="6"/>
      <c r="V203" s="6"/>
      <c r="W203" s="6"/>
      <c r="X203" s="6"/>
      <c r="Y203" s="6"/>
      <c r="Z203" s="6"/>
    </row>
    <row r="204" spans="1:26" ht="18" customHeight="1" x14ac:dyDescent="0.3">
      <c r="A204" s="142"/>
      <c r="B204" s="143"/>
      <c r="C204" s="144" t="str">
        <f>IF(B204="","",IFERROR(INDEX('12 P6 activities'!$B$7:$B$206,MATCH(B204,'12 P6 activities'!$A$7:$A$206,0)),"⚠ not in P6 list"))</f>
        <v/>
      </c>
      <c r="D204" s="144" t="str">
        <f>IF(B204="","",IFERROR(INDEX('12 P6 activities'!$C$7:$C$206,MATCH(B204,'12 P6 activities'!$A$7:$A$206,0)),"⚠ not in P6 list"))</f>
        <v/>
      </c>
      <c r="E204" s="145"/>
      <c r="F204" s="146"/>
      <c r="G204" s="147"/>
      <c r="H204" s="148"/>
      <c r="I204" s="149"/>
      <c r="J204" s="150" t="str">
        <f t="shared" si="3"/>
        <v/>
      </c>
      <c r="K204" s="149"/>
      <c r="L204" s="149"/>
      <c r="M204" s="6"/>
      <c r="N204" s="6"/>
      <c r="O204" s="6"/>
      <c r="P204" s="6"/>
      <c r="Q204" s="6"/>
      <c r="R204" s="6"/>
      <c r="S204" s="6"/>
      <c r="T204" s="6"/>
      <c r="U204" s="6"/>
      <c r="V204" s="6"/>
      <c r="W204" s="6"/>
      <c r="X204" s="6"/>
      <c r="Y204" s="6"/>
      <c r="Z204" s="6"/>
    </row>
    <row r="205" spans="1:26" ht="18" customHeight="1" x14ac:dyDescent="0.3">
      <c r="A205" s="142"/>
      <c r="B205" s="143"/>
      <c r="C205" s="144" t="str">
        <f>IF(B205="","",IFERROR(INDEX('12 P6 activities'!$B$7:$B$206,MATCH(B205,'12 P6 activities'!$A$7:$A$206,0)),"⚠ not in P6 list"))</f>
        <v/>
      </c>
      <c r="D205" s="144" t="str">
        <f>IF(B205="","",IFERROR(INDEX('12 P6 activities'!$C$7:$C$206,MATCH(B205,'12 P6 activities'!$A$7:$A$206,0)),"⚠ not in P6 list"))</f>
        <v/>
      </c>
      <c r="E205" s="145"/>
      <c r="F205" s="146"/>
      <c r="G205" s="147"/>
      <c r="H205" s="148"/>
      <c r="I205" s="149"/>
      <c r="J205" s="150" t="str">
        <f t="shared" si="3"/>
        <v/>
      </c>
      <c r="K205" s="149"/>
      <c r="L205" s="149"/>
      <c r="M205" s="6"/>
      <c r="N205" s="6"/>
      <c r="O205" s="6"/>
      <c r="P205" s="6"/>
      <c r="Q205" s="6"/>
      <c r="R205" s="6"/>
      <c r="S205" s="6"/>
      <c r="T205" s="6"/>
      <c r="U205" s="6"/>
      <c r="V205" s="6"/>
      <c r="W205" s="6"/>
      <c r="X205" s="6"/>
      <c r="Y205" s="6"/>
      <c r="Z205" s="6"/>
    </row>
    <row r="206" spans="1:26" ht="18" customHeight="1" x14ac:dyDescent="0.3">
      <c r="A206" s="142"/>
      <c r="B206" s="143"/>
      <c r="C206" s="144" t="str">
        <f>IF(B206="","",IFERROR(INDEX('12 P6 activities'!$B$7:$B$206,MATCH(B206,'12 P6 activities'!$A$7:$A$206,0)),"⚠ not in P6 list"))</f>
        <v/>
      </c>
      <c r="D206" s="144" t="str">
        <f>IF(B206="","",IFERROR(INDEX('12 P6 activities'!$C$7:$C$206,MATCH(B206,'12 P6 activities'!$A$7:$A$206,0)),"⚠ not in P6 list"))</f>
        <v/>
      </c>
      <c r="E206" s="145"/>
      <c r="F206" s="146"/>
      <c r="G206" s="147"/>
      <c r="H206" s="148"/>
      <c r="I206" s="149"/>
      <c r="J206" s="150" t="str">
        <f t="shared" si="3"/>
        <v/>
      </c>
      <c r="K206" s="149"/>
      <c r="L206" s="149"/>
      <c r="M206" s="6"/>
      <c r="N206" s="6"/>
      <c r="O206" s="6"/>
      <c r="P206" s="6"/>
      <c r="Q206" s="6"/>
      <c r="R206" s="6"/>
      <c r="S206" s="6"/>
      <c r="T206" s="6"/>
      <c r="U206" s="6"/>
      <c r="V206" s="6"/>
      <c r="W206" s="6"/>
      <c r="X206" s="6"/>
      <c r="Y206" s="6"/>
      <c r="Z206" s="6"/>
    </row>
    <row r="207" spans="1:26" ht="18" customHeight="1" x14ac:dyDescent="0.3">
      <c r="A207" s="142"/>
      <c r="B207" s="143"/>
      <c r="C207" s="144" t="str">
        <f>IF(B207="","",IFERROR(INDEX('12 P6 activities'!$B$7:$B$206,MATCH(B207,'12 P6 activities'!$A$7:$A$206,0)),"⚠ not in P6 list"))</f>
        <v/>
      </c>
      <c r="D207" s="144" t="str">
        <f>IF(B207="","",IFERROR(INDEX('12 P6 activities'!$C$7:$C$206,MATCH(B207,'12 P6 activities'!$A$7:$A$206,0)),"⚠ not in P6 list"))</f>
        <v/>
      </c>
      <c r="E207" s="145"/>
      <c r="F207" s="146"/>
      <c r="G207" s="147"/>
      <c r="H207" s="148"/>
      <c r="I207" s="149"/>
      <c r="J207" s="150" t="str">
        <f t="shared" si="3"/>
        <v/>
      </c>
      <c r="K207" s="149"/>
      <c r="L207" s="149"/>
      <c r="M207" s="6"/>
      <c r="N207" s="6"/>
      <c r="O207" s="6"/>
      <c r="P207" s="6"/>
      <c r="Q207" s="6"/>
      <c r="R207" s="6"/>
      <c r="S207" s="6"/>
      <c r="T207" s="6"/>
      <c r="U207" s="6"/>
      <c r="V207" s="6"/>
      <c r="W207" s="6"/>
      <c r="X207" s="6"/>
      <c r="Y207" s="6"/>
      <c r="Z207" s="6"/>
    </row>
    <row r="208" spans="1:26" ht="18" customHeight="1" x14ac:dyDescent="0.3">
      <c r="A208" s="142"/>
      <c r="B208" s="143"/>
      <c r="C208" s="144" t="str">
        <f>IF(B208="","",IFERROR(INDEX('12 P6 activities'!$B$7:$B$206,MATCH(B208,'12 P6 activities'!$A$7:$A$206,0)),"⚠ not in P6 list"))</f>
        <v/>
      </c>
      <c r="D208" s="144" t="str">
        <f>IF(B208="","",IFERROR(INDEX('12 P6 activities'!$C$7:$C$206,MATCH(B208,'12 P6 activities'!$A$7:$A$206,0)),"⚠ not in P6 list"))</f>
        <v/>
      </c>
      <c r="E208" s="145"/>
      <c r="F208" s="146"/>
      <c r="G208" s="147"/>
      <c r="H208" s="148"/>
      <c r="I208" s="149"/>
      <c r="J208" s="150" t="str">
        <f t="shared" si="3"/>
        <v/>
      </c>
      <c r="K208" s="149"/>
      <c r="L208" s="149"/>
      <c r="M208" s="6"/>
      <c r="N208" s="6"/>
      <c r="O208" s="6"/>
      <c r="P208" s="6"/>
      <c r="Q208" s="6"/>
      <c r="R208" s="6"/>
      <c r="S208" s="6"/>
      <c r="T208" s="6"/>
      <c r="U208" s="6"/>
      <c r="V208" s="6"/>
      <c r="W208" s="6"/>
      <c r="X208" s="6"/>
      <c r="Y208" s="6"/>
      <c r="Z208" s="6"/>
    </row>
    <row r="209" spans="1:26" ht="18" customHeight="1" x14ac:dyDescent="0.3">
      <c r="A209" s="142"/>
      <c r="B209" s="143"/>
      <c r="C209" s="144" t="str">
        <f>IF(B209="","",IFERROR(INDEX('12 P6 activities'!$B$7:$B$206,MATCH(B209,'12 P6 activities'!$A$7:$A$206,0)),"⚠ not in P6 list"))</f>
        <v/>
      </c>
      <c r="D209" s="144" t="str">
        <f>IF(B209="","",IFERROR(INDEX('12 P6 activities'!$C$7:$C$206,MATCH(B209,'12 P6 activities'!$A$7:$A$206,0)),"⚠ not in P6 list"))</f>
        <v/>
      </c>
      <c r="E209" s="145"/>
      <c r="F209" s="146"/>
      <c r="G209" s="147"/>
      <c r="H209" s="148"/>
      <c r="I209" s="149"/>
      <c r="J209" s="150" t="str">
        <f t="shared" si="3"/>
        <v/>
      </c>
      <c r="K209" s="149"/>
      <c r="L209" s="149"/>
      <c r="M209" s="6"/>
      <c r="N209" s="6"/>
      <c r="O209" s="6"/>
      <c r="P209" s="6"/>
      <c r="Q209" s="6"/>
      <c r="R209" s="6"/>
      <c r="S209" s="6"/>
      <c r="T209" s="6"/>
      <c r="U209" s="6"/>
      <c r="V209" s="6"/>
      <c r="W209" s="6"/>
      <c r="X209" s="6"/>
      <c r="Y209" s="6"/>
      <c r="Z209" s="6"/>
    </row>
    <row r="210" spans="1:26" ht="18" customHeight="1" x14ac:dyDescent="0.3">
      <c r="A210" s="142"/>
      <c r="B210" s="143"/>
      <c r="C210" s="144" t="str">
        <f>IF(B210="","",IFERROR(INDEX('12 P6 activities'!$B$7:$B$206,MATCH(B210,'12 P6 activities'!$A$7:$A$206,0)),"⚠ not in P6 list"))</f>
        <v/>
      </c>
      <c r="D210" s="144" t="str">
        <f>IF(B210="","",IFERROR(INDEX('12 P6 activities'!$C$7:$C$206,MATCH(B210,'12 P6 activities'!$A$7:$A$206,0)),"⚠ not in P6 list"))</f>
        <v/>
      </c>
      <c r="E210" s="145"/>
      <c r="F210" s="146"/>
      <c r="G210" s="147"/>
      <c r="H210" s="148"/>
      <c r="I210" s="149"/>
      <c r="J210" s="150" t="str">
        <f t="shared" si="3"/>
        <v/>
      </c>
      <c r="K210" s="149"/>
      <c r="L210" s="149"/>
      <c r="M210" s="6"/>
      <c r="N210" s="6"/>
      <c r="O210" s="6"/>
      <c r="P210" s="6"/>
      <c r="Q210" s="6"/>
      <c r="R210" s="6"/>
      <c r="S210" s="6"/>
      <c r="T210" s="6"/>
      <c r="U210" s="6"/>
      <c r="V210" s="6"/>
      <c r="W210" s="6"/>
      <c r="X210" s="6"/>
      <c r="Y210" s="6"/>
      <c r="Z210" s="6"/>
    </row>
    <row r="211" spans="1:26" ht="18" customHeight="1" x14ac:dyDescent="0.3">
      <c r="A211" s="142"/>
      <c r="B211" s="143"/>
      <c r="C211" s="144" t="str">
        <f>IF(B211="","",IFERROR(INDEX('12 P6 activities'!$B$7:$B$206,MATCH(B211,'12 P6 activities'!$A$7:$A$206,0)),"⚠ not in P6 list"))</f>
        <v/>
      </c>
      <c r="D211" s="144" t="str">
        <f>IF(B211="","",IFERROR(INDEX('12 P6 activities'!$C$7:$C$206,MATCH(B211,'12 P6 activities'!$A$7:$A$206,0)),"⚠ not in P6 list"))</f>
        <v/>
      </c>
      <c r="E211" s="145"/>
      <c r="F211" s="146"/>
      <c r="G211" s="147"/>
      <c r="H211" s="148"/>
      <c r="I211" s="149"/>
      <c r="J211" s="150" t="str">
        <f t="shared" si="3"/>
        <v/>
      </c>
      <c r="K211" s="149"/>
      <c r="L211" s="149"/>
      <c r="M211" s="6"/>
      <c r="N211" s="6"/>
      <c r="O211" s="6"/>
      <c r="P211" s="6"/>
      <c r="Q211" s="6"/>
      <c r="R211" s="6"/>
      <c r="S211" s="6"/>
      <c r="T211" s="6"/>
      <c r="U211" s="6"/>
      <c r="V211" s="6"/>
      <c r="W211" s="6"/>
      <c r="X211" s="6"/>
      <c r="Y211" s="6"/>
      <c r="Z211" s="6"/>
    </row>
    <row r="212" spans="1:26" ht="18" customHeight="1" x14ac:dyDescent="0.3">
      <c r="A212" s="142"/>
      <c r="B212" s="143"/>
      <c r="C212" s="144" t="str">
        <f>IF(B212="","",IFERROR(INDEX('12 P6 activities'!$B$7:$B$206,MATCH(B212,'12 P6 activities'!$A$7:$A$206,0)),"⚠ not in P6 list"))</f>
        <v/>
      </c>
      <c r="D212" s="144" t="str">
        <f>IF(B212="","",IFERROR(INDEX('12 P6 activities'!$C$7:$C$206,MATCH(B212,'12 P6 activities'!$A$7:$A$206,0)),"⚠ not in P6 list"))</f>
        <v/>
      </c>
      <c r="E212" s="145"/>
      <c r="F212" s="146"/>
      <c r="G212" s="147"/>
      <c r="H212" s="148"/>
      <c r="I212" s="149"/>
      <c r="J212" s="150" t="str">
        <f t="shared" si="3"/>
        <v/>
      </c>
      <c r="K212" s="149"/>
      <c r="L212" s="149"/>
      <c r="M212" s="6"/>
      <c r="N212" s="6"/>
      <c r="O212" s="6"/>
      <c r="P212" s="6"/>
      <c r="Q212" s="6"/>
      <c r="R212" s="6"/>
      <c r="S212" s="6"/>
      <c r="T212" s="6"/>
      <c r="U212" s="6"/>
      <c r="V212" s="6"/>
      <c r="W212" s="6"/>
      <c r="X212" s="6"/>
      <c r="Y212" s="6"/>
      <c r="Z212" s="6"/>
    </row>
    <row r="213" spans="1:26" ht="18" customHeight="1" x14ac:dyDescent="0.3">
      <c r="A213" s="142"/>
      <c r="B213" s="143"/>
      <c r="C213" s="144" t="str">
        <f>IF(B213="","",IFERROR(INDEX('12 P6 activities'!$B$7:$B$206,MATCH(B213,'12 P6 activities'!$A$7:$A$206,0)),"⚠ not in P6 list"))</f>
        <v/>
      </c>
      <c r="D213" s="144" t="str">
        <f>IF(B213="","",IFERROR(INDEX('12 P6 activities'!$C$7:$C$206,MATCH(B213,'12 P6 activities'!$A$7:$A$206,0)),"⚠ not in P6 list"))</f>
        <v/>
      </c>
      <c r="E213" s="145"/>
      <c r="F213" s="146"/>
      <c r="G213" s="147"/>
      <c r="H213" s="148"/>
      <c r="I213" s="149"/>
      <c r="J213" s="150" t="str">
        <f t="shared" si="3"/>
        <v/>
      </c>
      <c r="K213" s="149"/>
      <c r="L213" s="149"/>
      <c r="M213" s="6"/>
      <c r="N213" s="6"/>
      <c r="O213" s="6"/>
      <c r="P213" s="6"/>
      <c r="Q213" s="6"/>
      <c r="R213" s="6"/>
      <c r="S213" s="6"/>
      <c r="T213" s="6"/>
      <c r="U213" s="6"/>
      <c r="V213" s="6"/>
      <c r="W213" s="6"/>
      <c r="X213" s="6"/>
      <c r="Y213" s="6"/>
      <c r="Z213" s="6"/>
    </row>
    <row r="214" spans="1:26" ht="18" customHeight="1" x14ac:dyDescent="0.3">
      <c r="A214" s="142"/>
      <c r="B214" s="143"/>
      <c r="C214" s="144" t="str">
        <f>IF(B214="","",IFERROR(INDEX('12 P6 activities'!$B$7:$B$206,MATCH(B214,'12 P6 activities'!$A$7:$A$206,0)),"⚠ not in P6 list"))</f>
        <v/>
      </c>
      <c r="D214" s="144" t="str">
        <f>IF(B214="","",IFERROR(INDEX('12 P6 activities'!$C$7:$C$206,MATCH(B214,'12 P6 activities'!$A$7:$A$206,0)),"⚠ not in P6 list"))</f>
        <v/>
      </c>
      <c r="E214" s="145"/>
      <c r="F214" s="146"/>
      <c r="G214" s="147"/>
      <c r="H214" s="148"/>
      <c r="I214" s="149"/>
      <c r="J214" s="150" t="str">
        <f t="shared" si="3"/>
        <v/>
      </c>
      <c r="K214" s="149"/>
      <c r="L214" s="149"/>
      <c r="M214" s="6"/>
      <c r="N214" s="6"/>
      <c r="O214" s="6"/>
      <c r="P214" s="6"/>
      <c r="Q214" s="6"/>
      <c r="R214" s="6"/>
      <c r="S214" s="6"/>
      <c r="T214" s="6"/>
      <c r="U214" s="6"/>
      <c r="V214" s="6"/>
      <c r="W214" s="6"/>
      <c r="X214" s="6"/>
      <c r="Y214" s="6"/>
      <c r="Z214" s="6"/>
    </row>
    <row r="215" spans="1:26" ht="18" customHeight="1" x14ac:dyDescent="0.3">
      <c r="A215" s="142"/>
      <c r="B215" s="143"/>
      <c r="C215" s="144" t="str">
        <f>IF(B215="","",IFERROR(INDEX('12 P6 activities'!$B$7:$B$206,MATCH(B215,'12 P6 activities'!$A$7:$A$206,0)),"⚠ not in P6 list"))</f>
        <v/>
      </c>
      <c r="D215" s="144" t="str">
        <f>IF(B215="","",IFERROR(INDEX('12 P6 activities'!$C$7:$C$206,MATCH(B215,'12 P6 activities'!$A$7:$A$206,0)),"⚠ not in P6 list"))</f>
        <v/>
      </c>
      <c r="E215" s="145"/>
      <c r="F215" s="146"/>
      <c r="G215" s="147"/>
      <c r="H215" s="148"/>
      <c r="I215" s="149"/>
      <c r="J215" s="150" t="str">
        <f t="shared" si="3"/>
        <v/>
      </c>
      <c r="K215" s="149"/>
      <c r="L215" s="149"/>
      <c r="M215" s="6"/>
      <c r="N215" s="6"/>
      <c r="O215" s="6"/>
      <c r="P215" s="6"/>
      <c r="Q215" s="6"/>
      <c r="R215" s="6"/>
      <c r="S215" s="6"/>
      <c r="T215" s="6"/>
      <c r="U215" s="6"/>
      <c r="V215" s="6"/>
      <c r="W215" s="6"/>
      <c r="X215" s="6"/>
      <c r="Y215" s="6"/>
      <c r="Z215" s="6"/>
    </row>
    <row r="216" spans="1:26" ht="18" customHeight="1" x14ac:dyDescent="0.3">
      <c r="A216" s="142"/>
      <c r="B216" s="143"/>
      <c r="C216" s="144" t="str">
        <f>IF(B216="","",IFERROR(INDEX('12 P6 activities'!$B$7:$B$206,MATCH(B216,'12 P6 activities'!$A$7:$A$206,0)),"⚠ not in P6 list"))</f>
        <v/>
      </c>
      <c r="D216" s="144" t="str">
        <f>IF(B216="","",IFERROR(INDEX('12 P6 activities'!$C$7:$C$206,MATCH(B216,'12 P6 activities'!$A$7:$A$206,0)),"⚠ not in P6 list"))</f>
        <v/>
      </c>
      <c r="E216" s="145"/>
      <c r="F216" s="146"/>
      <c r="G216" s="147"/>
      <c r="H216" s="148"/>
      <c r="I216" s="149"/>
      <c r="J216" s="150" t="str">
        <f t="shared" si="3"/>
        <v/>
      </c>
      <c r="K216" s="149"/>
      <c r="L216" s="149"/>
      <c r="M216" s="6"/>
      <c r="N216" s="6"/>
      <c r="O216" s="6"/>
      <c r="P216" s="6"/>
      <c r="Q216" s="6"/>
      <c r="R216" s="6"/>
      <c r="S216" s="6"/>
      <c r="T216" s="6"/>
      <c r="U216" s="6"/>
      <c r="V216" s="6"/>
      <c r="W216" s="6"/>
      <c r="X216" s="6"/>
      <c r="Y216" s="6"/>
      <c r="Z216" s="6"/>
    </row>
    <row r="217" spans="1:26" ht="18" customHeight="1" x14ac:dyDescent="0.3">
      <c r="A217" s="142"/>
      <c r="B217" s="143"/>
      <c r="C217" s="144" t="str">
        <f>IF(B217="","",IFERROR(INDEX('12 P6 activities'!$B$7:$B$206,MATCH(B217,'12 P6 activities'!$A$7:$A$206,0)),"⚠ not in P6 list"))</f>
        <v/>
      </c>
      <c r="D217" s="144" t="str">
        <f>IF(B217="","",IFERROR(INDEX('12 P6 activities'!$C$7:$C$206,MATCH(B217,'12 P6 activities'!$A$7:$A$206,0)),"⚠ not in P6 list"))</f>
        <v/>
      </c>
      <c r="E217" s="145"/>
      <c r="F217" s="146"/>
      <c r="G217" s="147"/>
      <c r="H217" s="148"/>
      <c r="I217" s="149"/>
      <c r="J217" s="150" t="str">
        <f t="shared" si="3"/>
        <v/>
      </c>
      <c r="K217" s="149"/>
      <c r="L217" s="149"/>
      <c r="M217" s="6"/>
      <c r="N217" s="6"/>
      <c r="O217" s="6"/>
      <c r="P217" s="6"/>
      <c r="Q217" s="6"/>
      <c r="R217" s="6"/>
      <c r="S217" s="6"/>
      <c r="T217" s="6"/>
      <c r="U217" s="6"/>
      <c r="V217" s="6"/>
      <c r="W217" s="6"/>
      <c r="X217" s="6"/>
      <c r="Y217" s="6"/>
      <c r="Z217" s="6"/>
    </row>
    <row r="218" spans="1:26" ht="18" customHeight="1" x14ac:dyDescent="0.3">
      <c r="A218" s="142"/>
      <c r="B218" s="143"/>
      <c r="C218" s="144" t="str">
        <f>IF(B218="","",IFERROR(INDEX('12 P6 activities'!$B$7:$B$206,MATCH(B218,'12 P6 activities'!$A$7:$A$206,0)),"⚠ not in P6 list"))</f>
        <v/>
      </c>
      <c r="D218" s="144" t="str">
        <f>IF(B218="","",IFERROR(INDEX('12 P6 activities'!$C$7:$C$206,MATCH(B218,'12 P6 activities'!$A$7:$A$206,0)),"⚠ not in P6 list"))</f>
        <v/>
      </c>
      <c r="E218" s="145"/>
      <c r="F218" s="146"/>
      <c r="G218" s="147"/>
      <c r="H218" s="148"/>
      <c r="I218" s="149"/>
      <c r="J218" s="150" t="str">
        <f t="shared" si="3"/>
        <v/>
      </c>
      <c r="K218" s="149"/>
      <c r="L218" s="149"/>
      <c r="M218" s="6"/>
      <c r="N218" s="6"/>
      <c r="O218" s="6"/>
      <c r="P218" s="6"/>
      <c r="Q218" s="6"/>
      <c r="R218" s="6"/>
      <c r="S218" s="6"/>
      <c r="T218" s="6"/>
      <c r="U218" s="6"/>
      <c r="V218" s="6"/>
      <c r="W218" s="6"/>
      <c r="X218" s="6"/>
      <c r="Y218" s="6"/>
      <c r="Z218" s="6"/>
    </row>
    <row r="219" spans="1:26" ht="18" customHeight="1" x14ac:dyDescent="0.3">
      <c r="A219" s="142"/>
      <c r="B219" s="143"/>
      <c r="C219" s="144" t="str">
        <f>IF(B219="","",IFERROR(INDEX('12 P6 activities'!$B$7:$B$206,MATCH(B219,'12 P6 activities'!$A$7:$A$206,0)),"⚠ not in P6 list"))</f>
        <v/>
      </c>
      <c r="D219" s="144" t="str">
        <f>IF(B219="","",IFERROR(INDEX('12 P6 activities'!$C$7:$C$206,MATCH(B219,'12 P6 activities'!$A$7:$A$206,0)),"⚠ not in P6 list"))</f>
        <v/>
      </c>
      <c r="E219" s="145"/>
      <c r="F219" s="146"/>
      <c r="G219" s="147"/>
      <c r="H219" s="148"/>
      <c r="I219" s="149"/>
      <c r="J219" s="150" t="str">
        <f t="shared" si="3"/>
        <v/>
      </c>
      <c r="K219" s="149"/>
      <c r="L219" s="149"/>
      <c r="M219" s="6"/>
      <c r="N219" s="6"/>
      <c r="O219" s="6"/>
      <c r="P219" s="6"/>
      <c r="Q219" s="6"/>
      <c r="R219" s="6"/>
      <c r="S219" s="6"/>
      <c r="T219" s="6"/>
      <c r="U219" s="6"/>
      <c r="V219" s="6"/>
      <c r="W219" s="6"/>
      <c r="X219" s="6"/>
      <c r="Y219" s="6"/>
      <c r="Z219" s="6"/>
    </row>
    <row r="220" spans="1:26" ht="18" customHeight="1" x14ac:dyDescent="0.3">
      <c r="A220" s="142"/>
      <c r="B220" s="143"/>
      <c r="C220" s="144" t="str">
        <f>IF(B220="","",IFERROR(INDEX('12 P6 activities'!$B$7:$B$206,MATCH(B220,'12 P6 activities'!$A$7:$A$206,0)),"⚠ not in P6 list"))</f>
        <v/>
      </c>
      <c r="D220" s="144" t="str">
        <f>IF(B220="","",IFERROR(INDEX('12 P6 activities'!$C$7:$C$206,MATCH(B220,'12 P6 activities'!$A$7:$A$206,0)),"⚠ not in P6 list"))</f>
        <v/>
      </c>
      <c r="E220" s="145"/>
      <c r="F220" s="146"/>
      <c r="G220" s="147"/>
      <c r="H220" s="148"/>
      <c r="I220" s="149"/>
      <c r="J220" s="150" t="str">
        <f t="shared" si="3"/>
        <v/>
      </c>
      <c r="K220" s="149"/>
      <c r="L220" s="149"/>
      <c r="M220" s="6"/>
      <c r="N220" s="6"/>
      <c r="O220" s="6"/>
      <c r="P220" s="6"/>
      <c r="Q220" s="6"/>
      <c r="R220" s="6"/>
      <c r="S220" s="6"/>
      <c r="T220" s="6"/>
      <c r="U220" s="6"/>
      <c r="V220" s="6"/>
      <c r="W220" s="6"/>
      <c r="X220" s="6"/>
      <c r="Y220" s="6"/>
      <c r="Z220" s="6"/>
    </row>
    <row r="221" spans="1:26" ht="18" customHeight="1" x14ac:dyDescent="0.3">
      <c r="A221" s="142"/>
      <c r="B221" s="143"/>
      <c r="C221" s="144" t="str">
        <f>IF(B221="","",IFERROR(INDEX('12 P6 activities'!$B$7:$B$206,MATCH(B221,'12 P6 activities'!$A$7:$A$206,0)),"⚠ not in P6 list"))</f>
        <v/>
      </c>
      <c r="D221" s="144" t="str">
        <f>IF(B221="","",IFERROR(INDEX('12 P6 activities'!$C$7:$C$206,MATCH(B221,'12 P6 activities'!$A$7:$A$206,0)),"⚠ not in P6 list"))</f>
        <v/>
      </c>
      <c r="E221" s="145"/>
      <c r="F221" s="146"/>
      <c r="G221" s="147"/>
      <c r="H221" s="148"/>
      <c r="I221" s="149"/>
      <c r="J221" s="150" t="str">
        <f t="shared" si="3"/>
        <v/>
      </c>
      <c r="K221" s="149"/>
      <c r="L221" s="149"/>
      <c r="M221" s="6"/>
      <c r="N221" s="6"/>
      <c r="O221" s="6"/>
      <c r="P221" s="6"/>
      <c r="Q221" s="6"/>
      <c r="R221" s="6"/>
      <c r="S221" s="6"/>
      <c r="T221" s="6"/>
      <c r="U221" s="6"/>
      <c r="V221" s="6"/>
      <c r="W221" s="6"/>
      <c r="X221" s="6"/>
      <c r="Y221" s="6"/>
      <c r="Z221" s="6"/>
    </row>
    <row r="222" spans="1:26" ht="18" customHeight="1" x14ac:dyDescent="0.3">
      <c r="A222" s="142"/>
      <c r="B222" s="143"/>
      <c r="C222" s="144" t="str">
        <f>IF(B222="","",IFERROR(INDEX('12 P6 activities'!$B$7:$B$206,MATCH(B222,'12 P6 activities'!$A$7:$A$206,0)),"⚠ not in P6 list"))</f>
        <v/>
      </c>
      <c r="D222" s="144" t="str">
        <f>IF(B222="","",IFERROR(INDEX('12 P6 activities'!$C$7:$C$206,MATCH(B222,'12 P6 activities'!$A$7:$A$206,0)),"⚠ not in P6 list"))</f>
        <v/>
      </c>
      <c r="E222" s="145"/>
      <c r="F222" s="146"/>
      <c r="G222" s="147"/>
      <c r="H222" s="148"/>
      <c r="I222" s="149"/>
      <c r="J222" s="150" t="str">
        <f t="shared" si="3"/>
        <v/>
      </c>
      <c r="K222" s="149"/>
      <c r="L222" s="149"/>
      <c r="M222" s="6"/>
      <c r="N222" s="6"/>
      <c r="O222" s="6"/>
      <c r="P222" s="6"/>
      <c r="Q222" s="6"/>
      <c r="R222" s="6"/>
      <c r="S222" s="6"/>
      <c r="T222" s="6"/>
      <c r="U222" s="6"/>
      <c r="V222" s="6"/>
      <c r="W222" s="6"/>
      <c r="X222" s="6"/>
      <c r="Y222" s="6"/>
      <c r="Z222" s="6"/>
    </row>
    <row r="223" spans="1:26" ht="18" customHeight="1" x14ac:dyDescent="0.3">
      <c r="A223" s="142"/>
      <c r="B223" s="143"/>
      <c r="C223" s="144" t="str">
        <f>IF(B223="","",IFERROR(INDEX('12 P6 activities'!$B$7:$B$206,MATCH(B223,'12 P6 activities'!$A$7:$A$206,0)),"⚠ not in P6 list"))</f>
        <v/>
      </c>
      <c r="D223" s="144" t="str">
        <f>IF(B223="","",IFERROR(INDEX('12 P6 activities'!$C$7:$C$206,MATCH(B223,'12 P6 activities'!$A$7:$A$206,0)),"⚠ not in P6 list"))</f>
        <v/>
      </c>
      <c r="E223" s="145"/>
      <c r="F223" s="146"/>
      <c r="G223" s="147"/>
      <c r="H223" s="148"/>
      <c r="I223" s="149"/>
      <c r="J223" s="150" t="str">
        <f t="shared" si="3"/>
        <v/>
      </c>
      <c r="K223" s="149"/>
      <c r="L223" s="149"/>
      <c r="M223" s="6"/>
      <c r="N223" s="6"/>
      <c r="O223" s="6"/>
      <c r="P223" s="6"/>
      <c r="Q223" s="6"/>
      <c r="R223" s="6"/>
      <c r="S223" s="6"/>
      <c r="T223" s="6"/>
      <c r="U223" s="6"/>
      <c r="V223" s="6"/>
      <c r="W223" s="6"/>
      <c r="X223" s="6"/>
      <c r="Y223" s="6"/>
      <c r="Z223" s="6"/>
    </row>
    <row r="224" spans="1:26" ht="18" customHeight="1" x14ac:dyDescent="0.3">
      <c r="A224" s="142"/>
      <c r="B224" s="143"/>
      <c r="C224" s="144" t="str">
        <f>IF(B224="","",IFERROR(INDEX('12 P6 activities'!$B$7:$B$206,MATCH(B224,'12 P6 activities'!$A$7:$A$206,0)),"⚠ not in P6 list"))</f>
        <v/>
      </c>
      <c r="D224" s="144" t="str">
        <f>IF(B224="","",IFERROR(INDEX('12 P6 activities'!$C$7:$C$206,MATCH(B224,'12 P6 activities'!$A$7:$A$206,0)),"⚠ not in P6 list"))</f>
        <v/>
      </c>
      <c r="E224" s="145"/>
      <c r="F224" s="146"/>
      <c r="G224" s="147"/>
      <c r="H224" s="148"/>
      <c r="I224" s="149"/>
      <c r="J224" s="150" t="str">
        <f t="shared" si="3"/>
        <v/>
      </c>
      <c r="K224" s="149"/>
      <c r="L224" s="149"/>
      <c r="M224" s="6"/>
      <c r="N224" s="6"/>
      <c r="O224" s="6"/>
      <c r="P224" s="6"/>
      <c r="Q224" s="6"/>
      <c r="R224" s="6"/>
      <c r="S224" s="6"/>
      <c r="T224" s="6"/>
      <c r="U224" s="6"/>
      <c r="V224" s="6"/>
      <c r="W224" s="6"/>
      <c r="X224" s="6"/>
      <c r="Y224" s="6"/>
      <c r="Z224" s="6"/>
    </row>
    <row r="225" spans="1:26" ht="18" customHeight="1" x14ac:dyDescent="0.3">
      <c r="A225" s="142"/>
      <c r="B225" s="143"/>
      <c r="C225" s="144" t="str">
        <f>IF(B225="","",IFERROR(INDEX('12 P6 activities'!$B$7:$B$206,MATCH(B225,'12 P6 activities'!$A$7:$A$206,0)),"⚠ not in P6 list"))</f>
        <v/>
      </c>
      <c r="D225" s="144" t="str">
        <f>IF(B225="","",IFERROR(INDEX('12 P6 activities'!$C$7:$C$206,MATCH(B225,'12 P6 activities'!$A$7:$A$206,0)),"⚠ not in P6 list"))</f>
        <v/>
      </c>
      <c r="E225" s="145"/>
      <c r="F225" s="146"/>
      <c r="G225" s="147"/>
      <c r="H225" s="148"/>
      <c r="I225" s="149"/>
      <c r="J225" s="150" t="str">
        <f t="shared" si="3"/>
        <v/>
      </c>
      <c r="K225" s="149"/>
      <c r="L225" s="149"/>
      <c r="M225" s="6"/>
      <c r="N225" s="6"/>
      <c r="O225" s="6"/>
      <c r="P225" s="6"/>
      <c r="Q225" s="6"/>
      <c r="R225" s="6"/>
      <c r="S225" s="6"/>
      <c r="T225" s="6"/>
      <c r="U225" s="6"/>
      <c r="V225" s="6"/>
      <c r="W225" s="6"/>
      <c r="X225" s="6"/>
      <c r="Y225" s="6"/>
      <c r="Z225" s="6"/>
    </row>
    <row r="226" spans="1:26" ht="18" customHeight="1" x14ac:dyDescent="0.3">
      <c r="A226" s="142"/>
      <c r="B226" s="143"/>
      <c r="C226" s="144" t="str">
        <f>IF(B226="","",IFERROR(INDEX('12 P6 activities'!$B$7:$B$206,MATCH(B226,'12 P6 activities'!$A$7:$A$206,0)),"⚠ not in P6 list"))</f>
        <v/>
      </c>
      <c r="D226" s="144" t="str">
        <f>IF(B226="","",IFERROR(INDEX('12 P6 activities'!$C$7:$C$206,MATCH(B226,'12 P6 activities'!$A$7:$A$206,0)),"⚠ not in P6 list"))</f>
        <v/>
      </c>
      <c r="E226" s="145"/>
      <c r="F226" s="146"/>
      <c r="G226" s="147"/>
      <c r="H226" s="148"/>
      <c r="I226" s="149"/>
      <c r="J226" s="150" t="str">
        <f t="shared" si="3"/>
        <v/>
      </c>
      <c r="K226" s="149"/>
      <c r="L226" s="149"/>
      <c r="M226" s="6"/>
      <c r="N226" s="6"/>
      <c r="O226" s="6"/>
      <c r="P226" s="6"/>
      <c r="Q226" s="6"/>
      <c r="R226" s="6"/>
      <c r="S226" s="6"/>
      <c r="T226" s="6"/>
      <c r="U226" s="6"/>
      <c r="V226" s="6"/>
      <c r="W226" s="6"/>
      <c r="X226" s="6"/>
      <c r="Y226" s="6"/>
      <c r="Z226" s="6"/>
    </row>
    <row r="227" spans="1:26" ht="18" customHeight="1" x14ac:dyDescent="0.3">
      <c r="A227" s="142"/>
      <c r="B227" s="143"/>
      <c r="C227" s="144" t="str">
        <f>IF(B227="","",IFERROR(INDEX('12 P6 activities'!$B$7:$B$206,MATCH(B227,'12 P6 activities'!$A$7:$A$206,0)),"⚠ not in P6 list"))</f>
        <v/>
      </c>
      <c r="D227" s="144" t="str">
        <f>IF(B227="","",IFERROR(INDEX('12 P6 activities'!$C$7:$C$206,MATCH(B227,'12 P6 activities'!$A$7:$A$206,0)),"⚠ not in P6 list"))</f>
        <v/>
      </c>
      <c r="E227" s="145"/>
      <c r="F227" s="146"/>
      <c r="G227" s="147"/>
      <c r="H227" s="148"/>
      <c r="I227" s="149"/>
      <c r="J227" s="150" t="str">
        <f t="shared" si="3"/>
        <v/>
      </c>
      <c r="K227" s="149"/>
      <c r="L227" s="149"/>
      <c r="M227" s="6"/>
      <c r="N227" s="6"/>
      <c r="O227" s="6"/>
      <c r="P227" s="6"/>
      <c r="Q227" s="6"/>
      <c r="R227" s="6"/>
      <c r="S227" s="6"/>
      <c r="T227" s="6"/>
      <c r="U227" s="6"/>
      <c r="V227" s="6"/>
      <c r="W227" s="6"/>
      <c r="X227" s="6"/>
      <c r="Y227" s="6"/>
      <c r="Z227" s="6"/>
    </row>
    <row r="228" spans="1:26" ht="18" customHeight="1" x14ac:dyDescent="0.3">
      <c r="A228" s="142"/>
      <c r="B228" s="143"/>
      <c r="C228" s="144" t="str">
        <f>IF(B228="","",IFERROR(INDEX('12 P6 activities'!$B$7:$B$206,MATCH(B228,'12 P6 activities'!$A$7:$A$206,0)),"⚠ not in P6 list"))</f>
        <v/>
      </c>
      <c r="D228" s="144" t="str">
        <f>IF(B228="","",IFERROR(INDEX('12 P6 activities'!$C$7:$C$206,MATCH(B228,'12 P6 activities'!$A$7:$A$206,0)),"⚠ not in P6 list"))</f>
        <v/>
      </c>
      <c r="E228" s="145"/>
      <c r="F228" s="146"/>
      <c r="G228" s="147"/>
      <c r="H228" s="148"/>
      <c r="I228" s="149"/>
      <c r="J228" s="150" t="str">
        <f t="shared" si="3"/>
        <v/>
      </c>
      <c r="K228" s="149"/>
      <c r="L228" s="149"/>
      <c r="M228" s="6"/>
      <c r="N228" s="6"/>
      <c r="O228" s="6"/>
      <c r="P228" s="6"/>
      <c r="Q228" s="6"/>
      <c r="R228" s="6"/>
      <c r="S228" s="6"/>
      <c r="T228" s="6"/>
      <c r="U228" s="6"/>
      <c r="V228" s="6"/>
      <c r="W228" s="6"/>
      <c r="X228" s="6"/>
      <c r="Y228" s="6"/>
      <c r="Z228" s="6"/>
    </row>
    <row r="229" spans="1:26" ht="18" customHeight="1" x14ac:dyDescent="0.3">
      <c r="A229" s="142"/>
      <c r="B229" s="143"/>
      <c r="C229" s="144" t="str">
        <f>IF(B229="","",IFERROR(INDEX('12 P6 activities'!$B$7:$B$206,MATCH(B229,'12 P6 activities'!$A$7:$A$206,0)),"⚠ not in P6 list"))</f>
        <v/>
      </c>
      <c r="D229" s="144" t="str">
        <f>IF(B229="","",IFERROR(INDEX('12 P6 activities'!$C$7:$C$206,MATCH(B229,'12 P6 activities'!$A$7:$A$206,0)),"⚠ not in P6 list"))</f>
        <v/>
      </c>
      <c r="E229" s="145"/>
      <c r="F229" s="146"/>
      <c r="G229" s="147"/>
      <c r="H229" s="148"/>
      <c r="I229" s="149"/>
      <c r="J229" s="150" t="str">
        <f t="shared" si="3"/>
        <v/>
      </c>
      <c r="K229" s="149"/>
      <c r="L229" s="149"/>
      <c r="M229" s="6"/>
      <c r="N229" s="6"/>
      <c r="O229" s="6"/>
      <c r="P229" s="6"/>
      <c r="Q229" s="6"/>
      <c r="R229" s="6"/>
      <c r="S229" s="6"/>
      <c r="T229" s="6"/>
      <c r="U229" s="6"/>
      <c r="V229" s="6"/>
      <c r="W229" s="6"/>
      <c r="X229" s="6"/>
      <c r="Y229" s="6"/>
      <c r="Z229" s="6"/>
    </row>
    <row r="230" spans="1:26" ht="18" customHeight="1" x14ac:dyDescent="0.3">
      <c r="A230" s="142"/>
      <c r="B230" s="143"/>
      <c r="C230" s="144" t="str">
        <f>IF(B230="","",IFERROR(INDEX('12 P6 activities'!$B$7:$B$206,MATCH(B230,'12 P6 activities'!$A$7:$A$206,0)),"⚠ not in P6 list"))</f>
        <v/>
      </c>
      <c r="D230" s="144" t="str">
        <f>IF(B230="","",IFERROR(INDEX('12 P6 activities'!$C$7:$C$206,MATCH(B230,'12 P6 activities'!$A$7:$A$206,0)),"⚠ not in P6 list"))</f>
        <v/>
      </c>
      <c r="E230" s="145"/>
      <c r="F230" s="146"/>
      <c r="G230" s="147"/>
      <c r="H230" s="148"/>
      <c r="I230" s="149"/>
      <c r="J230" s="150" t="str">
        <f t="shared" si="3"/>
        <v/>
      </c>
      <c r="K230" s="149"/>
      <c r="L230" s="149"/>
      <c r="M230" s="6"/>
      <c r="N230" s="6"/>
      <c r="O230" s="6"/>
      <c r="P230" s="6"/>
      <c r="Q230" s="6"/>
      <c r="R230" s="6"/>
      <c r="S230" s="6"/>
      <c r="T230" s="6"/>
      <c r="U230" s="6"/>
      <c r="V230" s="6"/>
      <c r="W230" s="6"/>
      <c r="X230" s="6"/>
      <c r="Y230" s="6"/>
      <c r="Z230" s="6"/>
    </row>
    <row r="231" spans="1:26" ht="18" customHeight="1" x14ac:dyDescent="0.3">
      <c r="A231" s="142"/>
      <c r="B231" s="143"/>
      <c r="C231" s="144" t="str">
        <f>IF(B231="","",IFERROR(INDEX('12 P6 activities'!$B$7:$B$206,MATCH(B231,'12 P6 activities'!$A$7:$A$206,0)),"⚠ not in P6 list"))</f>
        <v/>
      </c>
      <c r="D231" s="144" t="str">
        <f>IF(B231="","",IFERROR(INDEX('12 P6 activities'!$C$7:$C$206,MATCH(B231,'12 P6 activities'!$A$7:$A$206,0)),"⚠ not in P6 list"))</f>
        <v/>
      </c>
      <c r="E231" s="145"/>
      <c r="F231" s="146"/>
      <c r="G231" s="147"/>
      <c r="H231" s="148"/>
      <c r="I231" s="149"/>
      <c r="J231" s="150" t="str">
        <f t="shared" si="3"/>
        <v/>
      </c>
      <c r="K231" s="149"/>
      <c r="L231" s="149"/>
      <c r="M231" s="6"/>
      <c r="N231" s="6"/>
      <c r="O231" s="6"/>
      <c r="P231" s="6"/>
      <c r="Q231" s="6"/>
      <c r="R231" s="6"/>
      <c r="S231" s="6"/>
      <c r="T231" s="6"/>
      <c r="U231" s="6"/>
      <c r="V231" s="6"/>
      <c r="W231" s="6"/>
      <c r="X231" s="6"/>
      <c r="Y231" s="6"/>
      <c r="Z231" s="6"/>
    </row>
    <row r="232" spans="1:26" ht="18" customHeight="1" x14ac:dyDescent="0.3">
      <c r="A232" s="142"/>
      <c r="B232" s="143"/>
      <c r="C232" s="144" t="str">
        <f>IF(B232="","",IFERROR(INDEX('12 P6 activities'!$B$7:$B$206,MATCH(B232,'12 P6 activities'!$A$7:$A$206,0)),"⚠ not in P6 list"))</f>
        <v/>
      </c>
      <c r="D232" s="144" t="str">
        <f>IF(B232="","",IFERROR(INDEX('12 P6 activities'!$C$7:$C$206,MATCH(B232,'12 P6 activities'!$A$7:$A$206,0)),"⚠ not in P6 list"))</f>
        <v/>
      </c>
      <c r="E232" s="145"/>
      <c r="F232" s="146"/>
      <c r="G232" s="147"/>
      <c r="H232" s="148"/>
      <c r="I232" s="149"/>
      <c r="J232" s="150" t="str">
        <f t="shared" si="3"/>
        <v/>
      </c>
      <c r="K232" s="149"/>
      <c r="L232" s="149"/>
      <c r="M232" s="6"/>
      <c r="N232" s="6"/>
      <c r="O232" s="6"/>
      <c r="P232" s="6"/>
      <c r="Q232" s="6"/>
      <c r="R232" s="6"/>
      <c r="S232" s="6"/>
      <c r="T232" s="6"/>
      <c r="U232" s="6"/>
      <c r="V232" s="6"/>
      <c r="W232" s="6"/>
      <c r="X232" s="6"/>
      <c r="Y232" s="6"/>
      <c r="Z232" s="6"/>
    </row>
    <row r="233" spans="1:26" ht="18" customHeight="1" x14ac:dyDescent="0.3">
      <c r="A233" s="142"/>
      <c r="B233" s="143"/>
      <c r="C233" s="144" t="str">
        <f>IF(B233="","",IFERROR(INDEX('12 P6 activities'!$B$7:$B$206,MATCH(B233,'12 P6 activities'!$A$7:$A$206,0)),"⚠ not in P6 list"))</f>
        <v/>
      </c>
      <c r="D233" s="144" t="str">
        <f>IF(B233="","",IFERROR(INDEX('12 P6 activities'!$C$7:$C$206,MATCH(B233,'12 P6 activities'!$A$7:$A$206,0)),"⚠ not in P6 list"))</f>
        <v/>
      </c>
      <c r="E233" s="145"/>
      <c r="F233" s="146"/>
      <c r="G233" s="147"/>
      <c r="H233" s="148"/>
      <c r="I233" s="149"/>
      <c r="J233" s="150" t="str">
        <f t="shared" si="3"/>
        <v/>
      </c>
      <c r="K233" s="149"/>
      <c r="L233" s="149"/>
      <c r="M233" s="6"/>
      <c r="N233" s="6"/>
      <c r="O233" s="6"/>
      <c r="P233" s="6"/>
      <c r="Q233" s="6"/>
      <c r="R233" s="6"/>
      <c r="S233" s="6"/>
      <c r="T233" s="6"/>
      <c r="U233" s="6"/>
      <c r="V233" s="6"/>
      <c r="W233" s="6"/>
      <c r="X233" s="6"/>
      <c r="Y233" s="6"/>
      <c r="Z233" s="6"/>
    </row>
    <row r="234" spans="1:26" ht="18" customHeight="1" x14ac:dyDescent="0.3">
      <c r="A234" s="142"/>
      <c r="B234" s="143"/>
      <c r="C234" s="144" t="str">
        <f>IF(B234="","",IFERROR(INDEX('12 P6 activities'!$B$7:$B$206,MATCH(B234,'12 P6 activities'!$A$7:$A$206,0)),"⚠ not in P6 list"))</f>
        <v/>
      </c>
      <c r="D234" s="144" t="str">
        <f>IF(B234="","",IFERROR(INDEX('12 P6 activities'!$C$7:$C$206,MATCH(B234,'12 P6 activities'!$A$7:$A$206,0)),"⚠ not in P6 list"))</f>
        <v/>
      </c>
      <c r="E234" s="145"/>
      <c r="F234" s="146"/>
      <c r="G234" s="147"/>
      <c r="H234" s="148"/>
      <c r="I234" s="149"/>
      <c r="J234" s="150" t="str">
        <f t="shared" si="3"/>
        <v/>
      </c>
      <c r="K234" s="149"/>
      <c r="L234" s="149"/>
      <c r="M234" s="6"/>
      <c r="N234" s="6"/>
      <c r="O234" s="6"/>
      <c r="P234" s="6"/>
      <c r="Q234" s="6"/>
      <c r="R234" s="6"/>
      <c r="S234" s="6"/>
      <c r="T234" s="6"/>
      <c r="U234" s="6"/>
      <c r="V234" s="6"/>
      <c r="W234" s="6"/>
      <c r="X234" s="6"/>
      <c r="Y234" s="6"/>
      <c r="Z234" s="6"/>
    </row>
    <row r="235" spans="1:26" ht="18" customHeight="1" x14ac:dyDescent="0.3">
      <c r="A235" s="142"/>
      <c r="B235" s="143"/>
      <c r="C235" s="144" t="str">
        <f>IF(B235="","",IFERROR(INDEX('12 P6 activities'!$B$7:$B$206,MATCH(B235,'12 P6 activities'!$A$7:$A$206,0)),"⚠ not in P6 list"))</f>
        <v/>
      </c>
      <c r="D235" s="144" t="str">
        <f>IF(B235="","",IFERROR(INDEX('12 P6 activities'!$C$7:$C$206,MATCH(B235,'12 P6 activities'!$A$7:$A$206,0)),"⚠ not in P6 list"))</f>
        <v/>
      </c>
      <c r="E235" s="145"/>
      <c r="F235" s="146"/>
      <c r="G235" s="147"/>
      <c r="H235" s="148"/>
      <c r="I235" s="149"/>
      <c r="J235" s="150" t="str">
        <f t="shared" si="3"/>
        <v/>
      </c>
      <c r="K235" s="149"/>
      <c r="L235" s="149"/>
      <c r="M235" s="6"/>
      <c r="N235" s="6"/>
      <c r="O235" s="6"/>
      <c r="P235" s="6"/>
      <c r="Q235" s="6"/>
      <c r="R235" s="6"/>
      <c r="S235" s="6"/>
      <c r="T235" s="6"/>
      <c r="U235" s="6"/>
      <c r="V235" s="6"/>
      <c r="W235" s="6"/>
      <c r="X235" s="6"/>
      <c r="Y235" s="6"/>
      <c r="Z235" s="6"/>
    </row>
    <row r="236" spans="1:26" ht="18" customHeight="1" x14ac:dyDescent="0.3">
      <c r="A236" s="142"/>
      <c r="B236" s="143"/>
      <c r="C236" s="144" t="str">
        <f>IF(B236="","",IFERROR(INDEX('12 P6 activities'!$B$7:$B$206,MATCH(B236,'12 P6 activities'!$A$7:$A$206,0)),"⚠ not in P6 list"))</f>
        <v/>
      </c>
      <c r="D236" s="144" t="str">
        <f>IF(B236="","",IFERROR(INDEX('12 P6 activities'!$C$7:$C$206,MATCH(B236,'12 P6 activities'!$A$7:$A$206,0)),"⚠ not in P6 list"))</f>
        <v/>
      </c>
      <c r="E236" s="145"/>
      <c r="F236" s="146"/>
      <c r="G236" s="147"/>
      <c r="H236" s="148"/>
      <c r="I236" s="149"/>
      <c r="J236" s="150" t="str">
        <f t="shared" si="3"/>
        <v/>
      </c>
      <c r="K236" s="149"/>
      <c r="L236" s="149"/>
      <c r="M236" s="6"/>
      <c r="N236" s="6"/>
      <c r="O236" s="6"/>
      <c r="P236" s="6"/>
      <c r="Q236" s="6"/>
      <c r="R236" s="6"/>
      <c r="S236" s="6"/>
      <c r="T236" s="6"/>
      <c r="U236" s="6"/>
      <c r="V236" s="6"/>
      <c r="W236" s="6"/>
      <c r="X236" s="6"/>
      <c r="Y236" s="6"/>
      <c r="Z236" s="6"/>
    </row>
    <row r="237" spans="1:26" ht="18" customHeight="1" x14ac:dyDescent="0.3">
      <c r="A237" s="142"/>
      <c r="B237" s="143"/>
      <c r="C237" s="144" t="str">
        <f>IF(B237="","",IFERROR(INDEX('12 P6 activities'!$B$7:$B$206,MATCH(B237,'12 P6 activities'!$A$7:$A$206,0)),"⚠ not in P6 list"))</f>
        <v/>
      </c>
      <c r="D237" s="144" t="str">
        <f>IF(B237="","",IFERROR(INDEX('12 P6 activities'!$C$7:$C$206,MATCH(B237,'12 P6 activities'!$A$7:$A$206,0)),"⚠ not in P6 list"))</f>
        <v/>
      </c>
      <c r="E237" s="145"/>
      <c r="F237" s="146"/>
      <c r="G237" s="147"/>
      <c r="H237" s="148"/>
      <c r="I237" s="149"/>
      <c r="J237" s="150" t="str">
        <f t="shared" si="3"/>
        <v/>
      </c>
      <c r="K237" s="149"/>
      <c r="L237" s="149"/>
      <c r="M237" s="6"/>
      <c r="N237" s="6"/>
      <c r="O237" s="6"/>
      <c r="P237" s="6"/>
      <c r="Q237" s="6"/>
      <c r="R237" s="6"/>
      <c r="S237" s="6"/>
      <c r="T237" s="6"/>
      <c r="U237" s="6"/>
      <c r="V237" s="6"/>
      <c r="W237" s="6"/>
      <c r="X237" s="6"/>
      <c r="Y237" s="6"/>
      <c r="Z237" s="6"/>
    </row>
    <row r="238" spans="1:26" ht="18" customHeight="1" x14ac:dyDescent="0.3">
      <c r="A238" s="142"/>
      <c r="B238" s="143"/>
      <c r="C238" s="144" t="str">
        <f>IF(B238="","",IFERROR(INDEX('12 P6 activities'!$B$7:$B$206,MATCH(B238,'12 P6 activities'!$A$7:$A$206,0)),"⚠ not in P6 list"))</f>
        <v/>
      </c>
      <c r="D238" s="144" t="str">
        <f>IF(B238="","",IFERROR(INDEX('12 P6 activities'!$C$7:$C$206,MATCH(B238,'12 P6 activities'!$A$7:$A$206,0)),"⚠ not in P6 list"))</f>
        <v/>
      </c>
      <c r="E238" s="145"/>
      <c r="F238" s="146"/>
      <c r="G238" s="147"/>
      <c r="H238" s="148"/>
      <c r="I238" s="149"/>
      <c r="J238" s="150" t="str">
        <f t="shared" si="3"/>
        <v/>
      </c>
      <c r="K238" s="149"/>
      <c r="L238" s="149"/>
      <c r="M238" s="6"/>
      <c r="N238" s="6"/>
      <c r="O238" s="6"/>
      <c r="P238" s="6"/>
      <c r="Q238" s="6"/>
      <c r="R238" s="6"/>
      <c r="S238" s="6"/>
      <c r="T238" s="6"/>
      <c r="U238" s="6"/>
      <c r="V238" s="6"/>
      <c r="W238" s="6"/>
      <c r="X238" s="6"/>
      <c r="Y238" s="6"/>
      <c r="Z238" s="6"/>
    </row>
    <row r="239" spans="1:26" ht="18" customHeight="1" x14ac:dyDescent="0.3">
      <c r="A239" s="142"/>
      <c r="B239" s="143"/>
      <c r="C239" s="144" t="str">
        <f>IF(B239="","",IFERROR(INDEX('12 P6 activities'!$B$7:$B$206,MATCH(B239,'12 P6 activities'!$A$7:$A$206,0)),"⚠ not in P6 list"))</f>
        <v/>
      </c>
      <c r="D239" s="144" t="str">
        <f>IF(B239="","",IFERROR(INDEX('12 P6 activities'!$C$7:$C$206,MATCH(B239,'12 P6 activities'!$A$7:$A$206,0)),"⚠ not in P6 list"))</f>
        <v/>
      </c>
      <c r="E239" s="145"/>
      <c r="F239" s="146"/>
      <c r="G239" s="147"/>
      <c r="H239" s="148"/>
      <c r="I239" s="149"/>
      <c r="J239" s="150" t="str">
        <f t="shared" si="3"/>
        <v/>
      </c>
      <c r="K239" s="149"/>
      <c r="L239" s="149"/>
      <c r="M239" s="6"/>
      <c r="N239" s="6"/>
      <c r="O239" s="6"/>
      <c r="P239" s="6"/>
      <c r="Q239" s="6"/>
      <c r="R239" s="6"/>
      <c r="S239" s="6"/>
      <c r="T239" s="6"/>
      <c r="U239" s="6"/>
      <c r="V239" s="6"/>
      <c r="W239" s="6"/>
      <c r="X239" s="6"/>
      <c r="Y239" s="6"/>
      <c r="Z239" s="6"/>
    </row>
    <row r="240" spans="1:26" ht="18" customHeight="1" x14ac:dyDescent="0.3">
      <c r="A240" s="142"/>
      <c r="B240" s="143"/>
      <c r="C240" s="144" t="str">
        <f>IF(B240="","",IFERROR(INDEX('12 P6 activities'!$B$7:$B$206,MATCH(B240,'12 P6 activities'!$A$7:$A$206,0)),"⚠ not in P6 list"))</f>
        <v/>
      </c>
      <c r="D240" s="144" t="str">
        <f>IF(B240="","",IFERROR(INDEX('12 P6 activities'!$C$7:$C$206,MATCH(B240,'12 P6 activities'!$A$7:$A$206,0)),"⚠ not in P6 list"))</f>
        <v/>
      </c>
      <c r="E240" s="145"/>
      <c r="F240" s="146"/>
      <c r="G240" s="147"/>
      <c r="H240" s="148"/>
      <c r="I240" s="149"/>
      <c r="J240" s="150" t="str">
        <f t="shared" si="3"/>
        <v/>
      </c>
      <c r="K240" s="149"/>
      <c r="L240" s="149"/>
      <c r="M240" s="6"/>
      <c r="N240" s="6"/>
      <c r="O240" s="6"/>
      <c r="P240" s="6"/>
      <c r="Q240" s="6"/>
      <c r="R240" s="6"/>
      <c r="S240" s="6"/>
      <c r="T240" s="6"/>
      <c r="U240" s="6"/>
      <c r="V240" s="6"/>
      <c r="W240" s="6"/>
      <c r="X240" s="6"/>
      <c r="Y240" s="6"/>
      <c r="Z240" s="6"/>
    </row>
    <row r="241" spans="1:26" ht="18" customHeight="1" x14ac:dyDescent="0.3">
      <c r="A241" s="142"/>
      <c r="B241" s="143"/>
      <c r="C241" s="144" t="str">
        <f>IF(B241="","",IFERROR(INDEX('12 P6 activities'!$B$7:$B$206,MATCH(B241,'12 P6 activities'!$A$7:$A$206,0)),"⚠ not in P6 list"))</f>
        <v/>
      </c>
      <c r="D241" s="144" t="str">
        <f>IF(B241="","",IFERROR(INDEX('12 P6 activities'!$C$7:$C$206,MATCH(B241,'12 P6 activities'!$A$7:$A$206,0)),"⚠ not in P6 list"))</f>
        <v/>
      </c>
      <c r="E241" s="145"/>
      <c r="F241" s="146"/>
      <c r="G241" s="147"/>
      <c r="H241" s="148"/>
      <c r="I241" s="149"/>
      <c r="J241" s="150" t="str">
        <f t="shared" si="3"/>
        <v/>
      </c>
      <c r="K241" s="149"/>
      <c r="L241" s="149"/>
      <c r="M241" s="6"/>
      <c r="N241" s="6"/>
      <c r="O241" s="6"/>
      <c r="P241" s="6"/>
      <c r="Q241" s="6"/>
      <c r="R241" s="6"/>
      <c r="S241" s="6"/>
      <c r="T241" s="6"/>
      <c r="U241" s="6"/>
      <c r="V241" s="6"/>
      <c r="W241" s="6"/>
      <c r="X241" s="6"/>
      <c r="Y241" s="6"/>
      <c r="Z241" s="6"/>
    </row>
    <row r="242" spans="1:26" ht="18" customHeight="1" x14ac:dyDescent="0.3">
      <c r="A242" s="142"/>
      <c r="B242" s="143"/>
      <c r="C242" s="144" t="str">
        <f>IF(B242="","",IFERROR(INDEX('12 P6 activities'!$B$7:$B$206,MATCH(B242,'12 P6 activities'!$A$7:$A$206,0)),"⚠ not in P6 list"))</f>
        <v/>
      </c>
      <c r="D242" s="144" t="str">
        <f>IF(B242="","",IFERROR(INDEX('12 P6 activities'!$C$7:$C$206,MATCH(B242,'12 P6 activities'!$A$7:$A$206,0)),"⚠ not in P6 list"))</f>
        <v/>
      </c>
      <c r="E242" s="145"/>
      <c r="F242" s="146"/>
      <c r="G242" s="147"/>
      <c r="H242" s="148"/>
      <c r="I242" s="149"/>
      <c r="J242" s="150" t="str">
        <f t="shared" si="3"/>
        <v/>
      </c>
      <c r="K242" s="149"/>
      <c r="L242" s="149"/>
      <c r="M242" s="6"/>
      <c r="N242" s="6"/>
      <c r="O242" s="6"/>
      <c r="P242" s="6"/>
      <c r="Q242" s="6"/>
      <c r="R242" s="6"/>
      <c r="S242" s="6"/>
      <c r="T242" s="6"/>
      <c r="U242" s="6"/>
      <c r="V242" s="6"/>
      <c r="W242" s="6"/>
      <c r="X242" s="6"/>
      <c r="Y242" s="6"/>
      <c r="Z242" s="6"/>
    </row>
    <row r="243" spans="1:26" ht="18" customHeight="1" x14ac:dyDescent="0.3">
      <c r="A243" s="142"/>
      <c r="B243" s="143"/>
      <c r="C243" s="144" t="str">
        <f>IF(B243="","",IFERROR(INDEX('12 P6 activities'!$B$7:$B$206,MATCH(B243,'12 P6 activities'!$A$7:$A$206,0)),"⚠ not in P6 list"))</f>
        <v/>
      </c>
      <c r="D243" s="144" t="str">
        <f>IF(B243="","",IFERROR(INDEX('12 P6 activities'!$C$7:$C$206,MATCH(B243,'12 P6 activities'!$A$7:$A$206,0)),"⚠ not in P6 list"))</f>
        <v/>
      </c>
      <c r="E243" s="145"/>
      <c r="F243" s="146"/>
      <c r="G243" s="147"/>
      <c r="H243" s="148"/>
      <c r="I243" s="149"/>
      <c r="J243" s="150" t="str">
        <f t="shared" si="3"/>
        <v/>
      </c>
      <c r="K243" s="149"/>
      <c r="L243" s="149"/>
      <c r="M243" s="6"/>
      <c r="N243" s="6"/>
      <c r="O243" s="6"/>
      <c r="P243" s="6"/>
      <c r="Q243" s="6"/>
      <c r="R243" s="6"/>
      <c r="S243" s="6"/>
      <c r="T243" s="6"/>
      <c r="U243" s="6"/>
      <c r="V243" s="6"/>
      <c r="W243" s="6"/>
      <c r="X243" s="6"/>
      <c r="Y243" s="6"/>
      <c r="Z243" s="6"/>
    </row>
    <row r="244" spans="1:26" ht="18" customHeight="1" x14ac:dyDescent="0.3">
      <c r="A244" s="142"/>
      <c r="B244" s="143"/>
      <c r="C244" s="144" t="str">
        <f>IF(B244="","",IFERROR(INDEX('12 P6 activities'!$B$7:$B$206,MATCH(B244,'12 P6 activities'!$A$7:$A$206,0)),"⚠ not in P6 list"))</f>
        <v/>
      </c>
      <c r="D244" s="144" t="str">
        <f>IF(B244="","",IFERROR(INDEX('12 P6 activities'!$C$7:$C$206,MATCH(B244,'12 P6 activities'!$A$7:$A$206,0)),"⚠ not in P6 list"))</f>
        <v/>
      </c>
      <c r="E244" s="145"/>
      <c r="F244" s="146"/>
      <c r="G244" s="147"/>
      <c r="H244" s="148"/>
      <c r="I244" s="149"/>
      <c r="J244" s="150" t="str">
        <f t="shared" si="3"/>
        <v/>
      </c>
      <c r="K244" s="149"/>
      <c r="L244" s="149"/>
      <c r="M244" s="6"/>
      <c r="N244" s="6"/>
      <c r="O244" s="6"/>
      <c r="P244" s="6"/>
      <c r="Q244" s="6"/>
      <c r="R244" s="6"/>
      <c r="S244" s="6"/>
      <c r="T244" s="6"/>
      <c r="U244" s="6"/>
      <c r="V244" s="6"/>
      <c r="W244" s="6"/>
      <c r="X244" s="6"/>
      <c r="Y244" s="6"/>
      <c r="Z244" s="6"/>
    </row>
    <row r="245" spans="1:26" ht="18" customHeight="1" x14ac:dyDescent="0.3">
      <c r="A245" s="142"/>
      <c r="B245" s="143"/>
      <c r="C245" s="144" t="str">
        <f>IF(B245="","",IFERROR(INDEX('12 P6 activities'!$B$7:$B$206,MATCH(B245,'12 P6 activities'!$A$7:$A$206,0)),"⚠ not in P6 list"))</f>
        <v/>
      </c>
      <c r="D245" s="144" t="str">
        <f>IF(B245="","",IFERROR(INDEX('12 P6 activities'!$C$7:$C$206,MATCH(B245,'12 P6 activities'!$A$7:$A$206,0)),"⚠ not in P6 list"))</f>
        <v/>
      </c>
      <c r="E245" s="145"/>
      <c r="F245" s="146"/>
      <c r="G245" s="147"/>
      <c r="H245" s="148"/>
      <c r="I245" s="149"/>
      <c r="J245" s="150" t="str">
        <f t="shared" si="3"/>
        <v/>
      </c>
      <c r="K245" s="149"/>
      <c r="L245" s="149"/>
      <c r="M245" s="6"/>
      <c r="N245" s="6"/>
      <c r="O245" s="6"/>
      <c r="P245" s="6"/>
      <c r="Q245" s="6"/>
      <c r="R245" s="6"/>
      <c r="S245" s="6"/>
      <c r="T245" s="6"/>
      <c r="U245" s="6"/>
      <c r="V245" s="6"/>
      <c r="W245" s="6"/>
      <c r="X245" s="6"/>
      <c r="Y245" s="6"/>
      <c r="Z245" s="6"/>
    </row>
    <row r="246" spans="1:26" ht="18" customHeight="1" x14ac:dyDescent="0.3">
      <c r="A246" s="142"/>
      <c r="B246" s="143"/>
      <c r="C246" s="144" t="str">
        <f>IF(B246="","",IFERROR(INDEX('12 P6 activities'!$B$7:$B$206,MATCH(B246,'12 P6 activities'!$A$7:$A$206,0)),"⚠ not in P6 list"))</f>
        <v/>
      </c>
      <c r="D246" s="144" t="str">
        <f>IF(B246="","",IFERROR(INDEX('12 P6 activities'!$C$7:$C$206,MATCH(B246,'12 P6 activities'!$A$7:$A$206,0)),"⚠ not in P6 list"))</f>
        <v/>
      </c>
      <c r="E246" s="145"/>
      <c r="F246" s="146"/>
      <c r="G246" s="147"/>
      <c r="H246" s="148"/>
      <c r="I246" s="149"/>
      <c r="J246" s="150" t="str">
        <f t="shared" si="3"/>
        <v/>
      </c>
      <c r="K246" s="149"/>
      <c r="L246" s="149"/>
      <c r="M246" s="6"/>
      <c r="N246" s="6"/>
      <c r="O246" s="6"/>
      <c r="P246" s="6"/>
      <c r="Q246" s="6"/>
      <c r="R246" s="6"/>
      <c r="S246" s="6"/>
      <c r="T246" s="6"/>
      <c r="U246" s="6"/>
      <c r="V246" s="6"/>
      <c r="W246" s="6"/>
      <c r="X246" s="6"/>
      <c r="Y246" s="6"/>
      <c r="Z246" s="6"/>
    </row>
    <row r="247" spans="1:26" ht="18" customHeight="1" x14ac:dyDescent="0.3">
      <c r="A247" s="142"/>
      <c r="B247" s="143"/>
      <c r="C247" s="144" t="str">
        <f>IF(B247="","",IFERROR(INDEX('12 P6 activities'!$B$7:$B$206,MATCH(B247,'12 P6 activities'!$A$7:$A$206,0)),"⚠ not in P6 list"))</f>
        <v/>
      </c>
      <c r="D247" s="144" t="str">
        <f>IF(B247="","",IFERROR(INDEX('12 P6 activities'!$C$7:$C$206,MATCH(B247,'12 P6 activities'!$A$7:$A$206,0)),"⚠ not in P6 list"))</f>
        <v/>
      </c>
      <c r="E247" s="145"/>
      <c r="F247" s="146"/>
      <c r="G247" s="147"/>
      <c r="H247" s="148"/>
      <c r="I247" s="149"/>
      <c r="J247" s="150" t="str">
        <f t="shared" si="3"/>
        <v/>
      </c>
      <c r="K247" s="149"/>
      <c r="L247" s="149"/>
      <c r="M247" s="6"/>
      <c r="N247" s="6"/>
      <c r="O247" s="6"/>
      <c r="P247" s="6"/>
      <c r="Q247" s="6"/>
      <c r="R247" s="6"/>
      <c r="S247" s="6"/>
      <c r="T247" s="6"/>
      <c r="U247" s="6"/>
      <c r="V247" s="6"/>
      <c r="W247" s="6"/>
      <c r="X247" s="6"/>
      <c r="Y247" s="6"/>
      <c r="Z247" s="6"/>
    </row>
    <row r="248" spans="1:26" ht="18" customHeight="1" x14ac:dyDescent="0.3">
      <c r="A248" s="142"/>
      <c r="B248" s="143"/>
      <c r="C248" s="144" t="str">
        <f>IF(B248="","",IFERROR(INDEX('12 P6 activities'!$B$7:$B$206,MATCH(B248,'12 P6 activities'!$A$7:$A$206,0)),"⚠ not in P6 list"))</f>
        <v/>
      </c>
      <c r="D248" s="144" t="str">
        <f>IF(B248="","",IFERROR(INDEX('12 P6 activities'!$C$7:$C$206,MATCH(B248,'12 P6 activities'!$A$7:$A$206,0)),"⚠ not in P6 list"))</f>
        <v/>
      </c>
      <c r="E248" s="145"/>
      <c r="F248" s="146"/>
      <c r="G248" s="147"/>
      <c r="H248" s="148"/>
      <c r="I248" s="149"/>
      <c r="J248" s="150" t="str">
        <f t="shared" si="3"/>
        <v/>
      </c>
      <c r="K248" s="149"/>
      <c r="L248" s="149"/>
      <c r="M248" s="6"/>
      <c r="N248" s="6"/>
      <c r="O248" s="6"/>
      <c r="P248" s="6"/>
      <c r="Q248" s="6"/>
      <c r="R248" s="6"/>
      <c r="S248" s="6"/>
      <c r="T248" s="6"/>
      <c r="U248" s="6"/>
      <c r="V248" s="6"/>
      <c r="W248" s="6"/>
      <c r="X248" s="6"/>
      <c r="Y248" s="6"/>
      <c r="Z248" s="6"/>
    </row>
    <row r="249" spans="1:26" ht="18" customHeight="1" x14ac:dyDescent="0.3">
      <c r="A249" s="142"/>
      <c r="B249" s="143"/>
      <c r="C249" s="144" t="str">
        <f>IF(B249="","",IFERROR(INDEX('12 P6 activities'!$B$7:$B$206,MATCH(B249,'12 P6 activities'!$A$7:$A$206,0)),"⚠ not in P6 list"))</f>
        <v/>
      </c>
      <c r="D249" s="144" t="str">
        <f>IF(B249="","",IFERROR(INDEX('12 P6 activities'!$C$7:$C$206,MATCH(B249,'12 P6 activities'!$A$7:$A$206,0)),"⚠ not in P6 list"))</f>
        <v/>
      </c>
      <c r="E249" s="145"/>
      <c r="F249" s="146"/>
      <c r="G249" s="147"/>
      <c r="H249" s="148"/>
      <c r="I249" s="149"/>
      <c r="J249" s="150" t="str">
        <f t="shared" si="3"/>
        <v/>
      </c>
      <c r="K249" s="149"/>
      <c r="L249" s="149"/>
      <c r="M249" s="6"/>
      <c r="N249" s="6"/>
      <c r="O249" s="6"/>
      <c r="P249" s="6"/>
      <c r="Q249" s="6"/>
      <c r="R249" s="6"/>
      <c r="S249" s="6"/>
      <c r="T249" s="6"/>
      <c r="U249" s="6"/>
      <c r="V249" s="6"/>
      <c r="W249" s="6"/>
      <c r="X249" s="6"/>
      <c r="Y249" s="6"/>
      <c r="Z249" s="6"/>
    </row>
    <row r="250" spans="1:26" ht="18" customHeight="1" x14ac:dyDescent="0.3">
      <c r="A250" s="142"/>
      <c r="B250" s="143"/>
      <c r="C250" s="144" t="str">
        <f>IF(B250="","",IFERROR(INDEX('12 P6 activities'!$B$7:$B$206,MATCH(B250,'12 P6 activities'!$A$7:$A$206,0)),"⚠ not in P6 list"))</f>
        <v/>
      </c>
      <c r="D250" s="144" t="str">
        <f>IF(B250="","",IFERROR(INDEX('12 P6 activities'!$C$7:$C$206,MATCH(B250,'12 P6 activities'!$A$7:$A$206,0)),"⚠ not in P6 list"))</f>
        <v/>
      </c>
      <c r="E250" s="145"/>
      <c r="F250" s="146"/>
      <c r="G250" s="147"/>
      <c r="H250" s="148"/>
      <c r="I250" s="149"/>
      <c r="J250" s="150" t="str">
        <f t="shared" si="3"/>
        <v/>
      </c>
      <c r="K250" s="149"/>
      <c r="L250" s="149"/>
      <c r="M250" s="6"/>
      <c r="N250" s="6"/>
      <c r="O250" s="6"/>
      <c r="P250" s="6"/>
      <c r="Q250" s="6"/>
      <c r="R250" s="6"/>
      <c r="S250" s="6"/>
      <c r="T250" s="6"/>
      <c r="U250" s="6"/>
      <c r="V250" s="6"/>
      <c r="W250" s="6"/>
      <c r="X250" s="6"/>
      <c r="Y250" s="6"/>
      <c r="Z250" s="6"/>
    </row>
    <row r="251" spans="1:26" ht="18" customHeight="1" x14ac:dyDescent="0.3">
      <c r="A251" s="142"/>
      <c r="B251" s="143"/>
      <c r="C251" s="144" t="str">
        <f>IF(B251="","",IFERROR(INDEX('12 P6 activities'!$B$7:$B$206,MATCH(B251,'12 P6 activities'!$A$7:$A$206,0)),"⚠ not in P6 list"))</f>
        <v/>
      </c>
      <c r="D251" s="144" t="str">
        <f>IF(B251="","",IFERROR(INDEX('12 P6 activities'!$C$7:$C$206,MATCH(B251,'12 P6 activities'!$A$7:$A$206,0)),"⚠ not in P6 list"))</f>
        <v/>
      </c>
      <c r="E251" s="145"/>
      <c r="F251" s="146"/>
      <c r="G251" s="147"/>
      <c r="H251" s="148"/>
      <c r="I251" s="149"/>
      <c r="J251" s="150" t="str">
        <f t="shared" si="3"/>
        <v/>
      </c>
      <c r="K251" s="149"/>
      <c r="L251" s="149"/>
      <c r="M251" s="6"/>
      <c r="N251" s="6"/>
      <c r="O251" s="6"/>
      <c r="P251" s="6"/>
      <c r="Q251" s="6"/>
      <c r="R251" s="6"/>
      <c r="S251" s="6"/>
      <c r="T251" s="6"/>
      <c r="U251" s="6"/>
      <c r="V251" s="6"/>
      <c r="W251" s="6"/>
      <c r="X251" s="6"/>
      <c r="Y251" s="6"/>
      <c r="Z251" s="6"/>
    </row>
    <row r="252" spans="1:26" ht="18" customHeight="1" x14ac:dyDescent="0.3">
      <c r="A252" s="142"/>
      <c r="B252" s="143"/>
      <c r="C252" s="144" t="str">
        <f>IF(B252="","",IFERROR(INDEX('12 P6 activities'!$B$7:$B$206,MATCH(B252,'12 P6 activities'!$A$7:$A$206,0)),"⚠ not in P6 list"))</f>
        <v/>
      </c>
      <c r="D252" s="144" t="str">
        <f>IF(B252="","",IFERROR(INDEX('12 P6 activities'!$C$7:$C$206,MATCH(B252,'12 P6 activities'!$A$7:$A$206,0)),"⚠ not in P6 list"))</f>
        <v/>
      </c>
      <c r="E252" s="145"/>
      <c r="F252" s="146"/>
      <c r="G252" s="147"/>
      <c r="H252" s="148"/>
      <c r="I252" s="149"/>
      <c r="J252" s="150" t="str">
        <f t="shared" si="3"/>
        <v/>
      </c>
      <c r="K252" s="149"/>
      <c r="L252" s="149"/>
      <c r="M252" s="6"/>
      <c r="N252" s="6"/>
      <c r="O252" s="6"/>
      <c r="P252" s="6"/>
      <c r="Q252" s="6"/>
      <c r="R252" s="6"/>
      <c r="S252" s="6"/>
      <c r="T252" s="6"/>
      <c r="U252" s="6"/>
      <c r="V252" s="6"/>
      <c r="W252" s="6"/>
      <c r="X252" s="6"/>
      <c r="Y252" s="6"/>
      <c r="Z252" s="6"/>
    </row>
    <row r="253" spans="1:26" ht="18" customHeight="1" x14ac:dyDescent="0.3">
      <c r="A253" s="142"/>
      <c r="B253" s="143"/>
      <c r="C253" s="144" t="str">
        <f>IF(B253="","",IFERROR(INDEX('12 P6 activities'!$B$7:$B$206,MATCH(B253,'12 P6 activities'!$A$7:$A$206,0)),"⚠ not in P6 list"))</f>
        <v/>
      </c>
      <c r="D253" s="144" t="str">
        <f>IF(B253="","",IFERROR(INDEX('12 P6 activities'!$C$7:$C$206,MATCH(B253,'12 P6 activities'!$A$7:$A$206,0)),"⚠ not in P6 list"))</f>
        <v/>
      </c>
      <c r="E253" s="145"/>
      <c r="F253" s="146"/>
      <c r="G253" s="147"/>
      <c r="H253" s="148"/>
      <c r="I253" s="149"/>
      <c r="J253" s="150" t="str">
        <f t="shared" si="3"/>
        <v/>
      </c>
      <c r="K253" s="149"/>
      <c r="L253" s="149"/>
      <c r="M253" s="6"/>
      <c r="N253" s="6"/>
      <c r="O253" s="6"/>
      <c r="P253" s="6"/>
      <c r="Q253" s="6"/>
      <c r="R253" s="6"/>
      <c r="S253" s="6"/>
      <c r="T253" s="6"/>
      <c r="U253" s="6"/>
      <c r="V253" s="6"/>
      <c r="W253" s="6"/>
      <c r="X253" s="6"/>
      <c r="Y253" s="6"/>
      <c r="Z253" s="6"/>
    </row>
    <row r="254" spans="1:26" ht="18" customHeight="1" x14ac:dyDescent="0.3">
      <c r="A254" s="142"/>
      <c r="B254" s="143"/>
      <c r="C254" s="144" t="str">
        <f>IF(B254="","",IFERROR(INDEX('12 P6 activities'!$B$7:$B$206,MATCH(B254,'12 P6 activities'!$A$7:$A$206,0)),"⚠ not in P6 list"))</f>
        <v/>
      </c>
      <c r="D254" s="144" t="str">
        <f>IF(B254="","",IFERROR(INDEX('12 P6 activities'!$C$7:$C$206,MATCH(B254,'12 P6 activities'!$A$7:$A$206,0)),"⚠ not in P6 list"))</f>
        <v/>
      </c>
      <c r="E254" s="145"/>
      <c r="F254" s="146"/>
      <c r="G254" s="147"/>
      <c r="H254" s="148"/>
      <c r="I254" s="149"/>
      <c r="J254" s="150" t="str">
        <f t="shared" si="3"/>
        <v/>
      </c>
      <c r="K254" s="149"/>
      <c r="L254" s="149"/>
      <c r="M254" s="6"/>
      <c r="N254" s="6"/>
      <c r="O254" s="6"/>
      <c r="P254" s="6"/>
      <c r="Q254" s="6"/>
      <c r="R254" s="6"/>
      <c r="S254" s="6"/>
      <c r="T254" s="6"/>
      <c r="U254" s="6"/>
      <c r="V254" s="6"/>
      <c r="W254" s="6"/>
      <c r="X254" s="6"/>
      <c r="Y254" s="6"/>
      <c r="Z254" s="6"/>
    </row>
    <row r="255" spans="1:26" ht="18" customHeight="1" x14ac:dyDescent="0.3">
      <c r="A255" s="142"/>
      <c r="B255" s="143"/>
      <c r="C255" s="144" t="str">
        <f>IF(B255="","",IFERROR(INDEX('12 P6 activities'!$B$7:$B$206,MATCH(B255,'12 P6 activities'!$A$7:$A$206,0)),"⚠ not in P6 list"))</f>
        <v/>
      </c>
      <c r="D255" s="144" t="str">
        <f>IF(B255="","",IFERROR(INDEX('12 P6 activities'!$C$7:$C$206,MATCH(B255,'12 P6 activities'!$A$7:$A$206,0)),"⚠ not in P6 list"))</f>
        <v/>
      </c>
      <c r="E255" s="145"/>
      <c r="F255" s="146"/>
      <c r="G255" s="147"/>
      <c r="H255" s="148"/>
      <c r="I255" s="149"/>
      <c r="J255" s="150" t="str">
        <f t="shared" si="3"/>
        <v/>
      </c>
      <c r="K255" s="149"/>
      <c r="L255" s="149"/>
      <c r="M255" s="6"/>
      <c r="N255" s="6"/>
      <c r="O255" s="6"/>
      <c r="P255" s="6"/>
      <c r="Q255" s="6"/>
      <c r="R255" s="6"/>
      <c r="S255" s="6"/>
      <c r="T255" s="6"/>
      <c r="U255" s="6"/>
      <c r="V255" s="6"/>
      <c r="W255" s="6"/>
      <c r="X255" s="6"/>
      <c r="Y255" s="6"/>
      <c r="Z255" s="6"/>
    </row>
    <row r="256" spans="1:26" ht="18" customHeight="1" x14ac:dyDescent="0.3">
      <c r="A256" s="142"/>
      <c r="B256" s="143"/>
      <c r="C256" s="144" t="str">
        <f>IF(B256="","",IFERROR(INDEX('12 P6 activities'!$B$7:$B$206,MATCH(B256,'12 P6 activities'!$A$7:$A$206,0)),"⚠ not in P6 list"))</f>
        <v/>
      </c>
      <c r="D256" s="144" t="str">
        <f>IF(B256="","",IFERROR(INDEX('12 P6 activities'!$C$7:$C$206,MATCH(B256,'12 P6 activities'!$A$7:$A$206,0)),"⚠ not in P6 list"))</f>
        <v/>
      </c>
      <c r="E256" s="145"/>
      <c r="F256" s="146"/>
      <c r="G256" s="147"/>
      <c r="H256" s="148"/>
      <c r="I256" s="149"/>
      <c r="J256" s="150" t="str">
        <f t="shared" si="3"/>
        <v/>
      </c>
      <c r="K256" s="149"/>
      <c r="L256" s="149"/>
      <c r="M256" s="6"/>
      <c r="N256" s="6"/>
      <c r="O256" s="6"/>
      <c r="P256" s="6"/>
      <c r="Q256" s="6"/>
      <c r="R256" s="6"/>
      <c r="S256" s="6"/>
      <c r="T256" s="6"/>
      <c r="U256" s="6"/>
      <c r="V256" s="6"/>
      <c r="W256" s="6"/>
      <c r="X256" s="6"/>
      <c r="Y256" s="6"/>
      <c r="Z256" s="6"/>
    </row>
    <row r="257" spans="1:26" ht="18" customHeight="1" x14ac:dyDescent="0.3">
      <c r="A257" s="142"/>
      <c r="B257" s="143"/>
      <c r="C257" s="144" t="str">
        <f>IF(B257="","",IFERROR(INDEX('12 P6 activities'!$B$7:$B$206,MATCH(B257,'12 P6 activities'!$A$7:$A$206,0)),"⚠ not in P6 list"))</f>
        <v/>
      </c>
      <c r="D257" s="144" t="str">
        <f>IF(B257="","",IFERROR(INDEX('12 P6 activities'!$C$7:$C$206,MATCH(B257,'12 P6 activities'!$A$7:$A$206,0)),"⚠ not in P6 list"))</f>
        <v/>
      </c>
      <c r="E257" s="145"/>
      <c r="F257" s="146"/>
      <c r="G257" s="147"/>
      <c r="H257" s="148"/>
      <c r="I257" s="149"/>
      <c r="J257" s="150" t="str">
        <f t="shared" si="3"/>
        <v/>
      </c>
      <c r="K257" s="149"/>
      <c r="L257" s="149"/>
      <c r="M257" s="6"/>
      <c r="N257" s="6"/>
      <c r="O257" s="6"/>
      <c r="P257" s="6"/>
      <c r="Q257" s="6"/>
      <c r="R257" s="6"/>
      <c r="S257" s="6"/>
      <c r="T257" s="6"/>
      <c r="U257" s="6"/>
      <c r="V257" s="6"/>
      <c r="W257" s="6"/>
      <c r="X257" s="6"/>
      <c r="Y257" s="6"/>
      <c r="Z257" s="6"/>
    </row>
    <row r="258" spans="1:26" ht="18" customHeight="1" x14ac:dyDescent="0.3">
      <c r="A258" s="142"/>
      <c r="B258" s="143"/>
      <c r="C258" s="144" t="str">
        <f>IF(B258="","",IFERROR(INDEX('12 P6 activities'!$B$7:$B$206,MATCH(B258,'12 P6 activities'!$A$7:$A$206,0)),"⚠ not in P6 list"))</f>
        <v/>
      </c>
      <c r="D258" s="144" t="str">
        <f>IF(B258="","",IFERROR(INDEX('12 P6 activities'!$C$7:$C$206,MATCH(B258,'12 P6 activities'!$A$7:$A$206,0)),"⚠ not in P6 list"))</f>
        <v/>
      </c>
      <c r="E258" s="145"/>
      <c r="F258" s="146"/>
      <c r="G258" s="147"/>
      <c r="H258" s="148"/>
      <c r="I258" s="149"/>
      <c r="J258" s="150" t="str">
        <f t="shared" si="3"/>
        <v/>
      </c>
      <c r="K258" s="149"/>
      <c r="L258" s="149"/>
      <c r="M258" s="6"/>
      <c r="N258" s="6"/>
      <c r="O258" s="6"/>
      <c r="P258" s="6"/>
      <c r="Q258" s="6"/>
      <c r="R258" s="6"/>
      <c r="S258" s="6"/>
      <c r="T258" s="6"/>
      <c r="U258" s="6"/>
      <c r="V258" s="6"/>
      <c r="W258" s="6"/>
      <c r="X258" s="6"/>
      <c r="Y258" s="6"/>
      <c r="Z258" s="6"/>
    </row>
    <row r="259" spans="1:26" ht="18" customHeight="1" x14ac:dyDescent="0.3">
      <c r="A259" s="142"/>
      <c r="B259" s="143"/>
      <c r="C259" s="144" t="str">
        <f>IF(B259="","",IFERROR(INDEX('12 P6 activities'!$B$7:$B$206,MATCH(B259,'12 P6 activities'!$A$7:$A$206,0)),"⚠ not in P6 list"))</f>
        <v/>
      </c>
      <c r="D259" s="144" t="str">
        <f>IF(B259="","",IFERROR(INDEX('12 P6 activities'!$C$7:$C$206,MATCH(B259,'12 P6 activities'!$A$7:$A$206,0)),"⚠ not in P6 list"))</f>
        <v/>
      </c>
      <c r="E259" s="145"/>
      <c r="F259" s="146"/>
      <c r="G259" s="147"/>
      <c r="H259" s="148"/>
      <c r="I259" s="149"/>
      <c r="J259" s="150" t="str">
        <f t="shared" si="3"/>
        <v/>
      </c>
      <c r="K259" s="149"/>
      <c r="L259" s="149"/>
      <c r="M259" s="6"/>
      <c r="N259" s="6"/>
      <c r="O259" s="6"/>
      <c r="P259" s="6"/>
      <c r="Q259" s="6"/>
      <c r="R259" s="6"/>
      <c r="S259" s="6"/>
      <c r="T259" s="6"/>
      <c r="U259" s="6"/>
      <c r="V259" s="6"/>
      <c r="W259" s="6"/>
      <c r="X259" s="6"/>
      <c r="Y259" s="6"/>
      <c r="Z259" s="6"/>
    </row>
    <row r="260" spans="1:26" ht="18" customHeight="1" x14ac:dyDescent="0.3">
      <c r="A260" s="142"/>
      <c r="B260" s="143"/>
      <c r="C260" s="144" t="str">
        <f>IF(B260="","",IFERROR(INDEX('12 P6 activities'!$B$7:$B$206,MATCH(B260,'12 P6 activities'!$A$7:$A$206,0)),"⚠ not in P6 list"))</f>
        <v/>
      </c>
      <c r="D260" s="144" t="str">
        <f>IF(B260="","",IFERROR(INDEX('12 P6 activities'!$C$7:$C$206,MATCH(B260,'12 P6 activities'!$A$7:$A$206,0)),"⚠ not in P6 list"))</f>
        <v/>
      </c>
      <c r="E260" s="145"/>
      <c r="F260" s="146"/>
      <c r="G260" s="147"/>
      <c r="H260" s="148"/>
      <c r="I260" s="149"/>
      <c r="J260" s="150" t="str">
        <f t="shared" si="3"/>
        <v/>
      </c>
      <c r="K260" s="149"/>
      <c r="L260" s="149"/>
      <c r="M260" s="6"/>
      <c r="N260" s="6"/>
      <c r="O260" s="6"/>
      <c r="P260" s="6"/>
      <c r="Q260" s="6"/>
      <c r="R260" s="6"/>
      <c r="S260" s="6"/>
      <c r="T260" s="6"/>
      <c r="U260" s="6"/>
      <c r="V260" s="6"/>
      <c r="W260" s="6"/>
      <c r="X260" s="6"/>
      <c r="Y260" s="6"/>
      <c r="Z260" s="6"/>
    </row>
    <row r="261" spans="1:26" ht="18" customHeight="1" x14ac:dyDescent="0.3">
      <c r="A261" s="142"/>
      <c r="B261" s="143"/>
      <c r="C261" s="144" t="str">
        <f>IF(B261="","",IFERROR(INDEX('12 P6 activities'!$B$7:$B$206,MATCH(B261,'12 P6 activities'!$A$7:$A$206,0)),"⚠ not in P6 list"))</f>
        <v/>
      </c>
      <c r="D261" s="144" t="str">
        <f>IF(B261="","",IFERROR(INDEX('12 P6 activities'!$C$7:$C$206,MATCH(B261,'12 P6 activities'!$A$7:$A$206,0)),"⚠ not in P6 list"))</f>
        <v/>
      </c>
      <c r="E261" s="145"/>
      <c r="F261" s="146"/>
      <c r="G261" s="147"/>
      <c r="H261" s="148"/>
      <c r="I261" s="149"/>
      <c r="J261" s="150" t="str">
        <f t="shared" si="3"/>
        <v/>
      </c>
      <c r="K261" s="149"/>
      <c r="L261" s="149"/>
      <c r="M261" s="6"/>
      <c r="N261" s="6"/>
      <c r="O261" s="6"/>
      <c r="P261" s="6"/>
      <c r="Q261" s="6"/>
      <c r="R261" s="6"/>
      <c r="S261" s="6"/>
      <c r="T261" s="6"/>
      <c r="U261" s="6"/>
      <c r="V261" s="6"/>
      <c r="W261" s="6"/>
      <c r="X261" s="6"/>
      <c r="Y261" s="6"/>
      <c r="Z261" s="6"/>
    </row>
    <row r="262" spans="1:26" ht="18" customHeight="1" x14ac:dyDescent="0.3">
      <c r="A262" s="142"/>
      <c r="B262" s="143"/>
      <c r="C262" s="144" t="str">
        <f>IF(B262="","",IFERROR(INDEX('12 P6 activities'!$B$7:$B$206,MATCH(B262,'12 P6 activities'!$A$7:$A$206,0)),"⚠ not in P6 list"))</f>
        <v/>
      </c>
      <c r="D262" s="144" t="str">
        <f>IF(B262="","",IFERROR(INDEX('12 P6 activities'!$C$7:$C$206,MATCH(B262,'12 P6 activities'!$A$7:$A$206,0)),"⚠ not in P6 list"))</f>
        <v/>
      </c>
      <c r="E262" s="145"/>
      <c r="F262" s="146"/>
      <c r="G262" s="147"/>
      <c r="H262" s="148"/>
      <c r="I262" s="149"/>
      <c r="J262" s="150" t="str">
        <f t="shared" si="3"/>
        <v/>
      </c>
      <c r="K262" s="149"/>
      <c r="L262" s="149"/>
      <c r="M262" s="6"/>
      <c r="N262" s="6"/>
      <c r="O262" s="6"/>
      <c r="P262" s="6"/>
      <c r="Q262" s="6"/>
      <c r="R262" s="6"/>
      <c r="S262" s="6"/>
      <c r="T262" s="6"/>
      <c r="U262" s="6"/>
      <c r="V262" s="6"/>
      <c r="W262" s="6"/>
      <c r="X262" s="6"/>
      <c r="Y262" s="6"/>
      <c r="Z262" s="6"/>
    </row>
    <row r="263" spans="1:26" ht="18" customHeight="1" x14ac:dyDescent="0.3">
      <c r="A263" s="142"/>
      <c r="B263" s="143"/>
      <c r="C263" s="144" t="str">
        <f>IF(B263="","",IFERROR(INDEX('12 P6 activities'!$B$7:$B$206,MATCH(B263,'12 P6 activities'!$A$7:$A$206,0)),"⚠ not in P6 list"))</f>
        <v/>
      </c>
      <c r="D263" s="144" t="str">
        <f>IF(B263="","",IFERROR(INDEX('12 P6 activities'!$C$7:$C$206,MATCH(B263,'12 P6 activities'!$A$7:$A$206,0)),"⚠ not in P6 list"))</f>
        <v/>
      </c>
      <c r="E263" s="145"/>
      <c r="F263" s="146"/>
      <c r="G263" s="147"/>
      <c r="H263" s="148"/>
      <c r="I263" s="149"/>
      <c r="J263" s="150" t="str">
        <f t="shared" si="3"/>
        <v/>
      </c>
      <c r="K263" s="149"/>
      <c r="L263" s="149"/>
      <c r="M263" s="6"/>
      <c r="N263" s="6"/>
      <c r="O263" s="6"/>
      <c r="P263" s="6"/>
      <c r="Q263" s="6"/>
      <c r="R263" s="6"/>
      <c r="S263" s="6"/>
      <c r="T263" s="6"/>
      <c r="U263" s="6"/>
      <c r="V263" s="6"/>
      <c r="W263" s="6"/>
      <c r="X263" s="6"/>
      <c r="Y263" s="6"/>
      <c r="Z263" s="6"/>
    </row>
    <row r="264" spans="1:26" ht="18" customHeight="1" x14ac:dyDescent="0.3">
      <c r="A264" s="142"/>
      <c r="B264" s="143"/>
      <c r="C264" s="144" t="str">
        <f>IF(B264="","",IFERROR(INDEX('12 P6 activities'!$B$7:$B$206,MATCH(B264,'12 P6 activities'!$A$7:$A$206,0)),"⚠ not in P6 list"))</f>
        <v/>
      </c>
      <c r="D264" s="144" t="str">
        <f>IF(B264="","",IFERROR(INDEX('12 P6 activities'!$C$7:$C$206,MATCH(B264,'12 P6 activities'!$A$7:$A$206,0)),"⚠ not in P6 list"))</f>
        <v/>
      </c>
      <c r="E264" s="145"/>
      <c r="F264" s="146"/>
      <c r="G264" s="147"/>
      <c r="H264" s="148"/>
      <c r="I264" s="149"/>
      <c r="J264" s="150" t="str">
        <f t="shared" ref="J264:J327" si="4">IF(OR(H264="",I264=""),"",H264*I264)</f>
        <v/>
      </c>
      <c r="K264" s="149"/>
      <c r="L264" s="149"/>
      <c r="M264" s="6"/>
      <c r="N264" s="6"/>
      <c r="O264" s="6"/>
      <c r="P264" s="6"/>
      <c r="Q264" s="6"/>
      <c r="R264" s="6"/>
      <c r="S264" s="6"/>
      <c r="T264" s="6"/>
      <c r="U264" s="6"/>
      <c r="V264" s="6"/>
      <c r="W264" s="6"/>
      <c r="X264" s="6"/>
      <c r="Y264" s="6"/>
      <c r="Z264" s="6"/>
    </row>
    <row r="265" spans="1:26" ht="18" customHeight="1" x14ac:dyDescent="0.3">
      <c r="A265" s="142"/>
      <c r="B265" s="143"/>
      <c r="C265" s="144" t="str">
        <f>IF(B265="","",IFERROR(INDEX('12 P6 activities'!$B$7:$B$206,MATCH(B265,'12 P6 activities'!$A$7:$A$206,0)),"⚠ not in P6 list"))</f>
        <v/>
      </c>
      <c r="D265" s="144" t="str">
        <f>IF(B265="","",IFERROR(INDEX('12 P6 activities'!$C$7:$C$206,MATCH(B265,'12 P6 activities'!$A$7:$A$206,0)),"⚠ not in P6 list"))</f>
        <v/>
      </c>
      <c r="E265" s="145"/>
      <c r="F265" s="146"/>
      <c r="G265" s="147"/>
      <c r="H265" s="148"/>
      <c r="I265" s="149"/>
      <c r="J265" s="150" t="str">
        <f t="shared" si="4"/>
        <v/>
      </c>
      <c r="K265" s="149"/>
      <c r="L265" s="149"/>
      <c r="M265" s="6"/>
      <c r="N265" s="6"/>
      <c r="O265" s="6"/>
      <c r="P265" s="6"/>
      <c r="Q265" s="6"/>
      <c r="R265" s="6"/>
      <c r="S265" s="6"/>
      <c r="T265" s="6"/>
      <c r="U265" s="6"/>
      <c r="V265" s="6"/>
      <c r="W265" s="6"/>
      <c r="X265" s="6"/>
      <c r="Y265" s="6"/>
      <c r="Z265" s="6"/>
    </row>
    <row r="266" spans="1:26" ht="18" customHeight="1" x14ac:dyDescent="0.3">
      <c r="A266" s="142"/>
      <c r="B266" s="143"/>
      <c r="C266" s="144" t="str">
        <f>IF(B266="","",IFERROR(INDEX('12 P6 activities'!$B$7:$B$206,MATCH(B266,'12 P6 activities'!$A$7:$A$206,0)),"⚠ not in P6 list"))</f>
        <v/>
      </c>
      <c r="D266" s="144" t="str">
        <f>IF(B266="","",IFERROR(INDEX('12 P6 activities'!$C$7:$C$206,MATCH(B266,'12 P6 activities'!$A$7:$A$206,0)),"⚠ not in P6 list"))</f>
        <v/>
      </c>
      <c r="E266" s="145"/>
      <c r="F266" s="146"/>
      <c r="G266" s="147"/>
      <c r="H266" s="148"/>
      <c r="I266" s="149"/>
      <c r="J266" s="150" t="str">
        <f t="shared" si="4"/>
        <v/>
      </c>
      <c r="K266" s="149"/>
      <c r="L266" s="149"/>
      <c r="M266" s="6"/>
      <c r="N266" s="6"/>
      <c r="O266" s="6"/>
      <c r="P266" s="6"/>
      <c r="Q266" s="6"/>
      <c r="R266" s="6"/>
      <c r="S266" s="6"/>
      <c r="T266" s="6"/>
      <c r="U266" s="6"/>
      <c r="V266" s="6"/>
      <c r="W266" s="6"/>
      <c r="X266" s="6"/>
      <c r="Y266" s="6"/>
      <c r="Z266" s="6"/>
    </row>
    <row r="267" spans="1:26" ht="18" customHeight="1" x14ac:dyDescent="0.3">
      <c r="A267" s="142"/>
      <c r="B267" s="143"/>
      <c r="C267" s="144" t="str">
        <f>IF(B267="","",IFERROR(INDEX('12 P6 activities'!$B$7:$B$206,MATCH(B267,'12 P6 activities'!$A$7:$A$206,0)),"⚠ not in P6 list"))</f>
        <v/>
      </c>
      <c r="D267" s="144" t="str">
        <f>IF(B267="","",IFERROR(INDEX('12 P6 activities'!$C$7:$C$206,MATCH(B267,'12 P6 activities'!$A$7:$A$206,0)),"⚠ not in P6 list"))</f>
        <v/>
      </c>
      <c r="E267" s="145"/>
      <c r="F267" s="146"/>
      <c r="G267" s="147"/>
      <c r="H267" s="148"/>
      <c r="I267" s="149"/>
      <c r="J267" s="150" t="str">
        <f t="shared" si="4"/>
        <v/>
      </c>
      <c r="K267" s="149"/>
      <c r="L267" s="149"/>
      <c r="M267" s="6"/>
      <c r="N267" s="6"/>
      <c r="O267" s="6"/>
      <c r="P267" s="6"/>
      <c r="Q267" s="6"/>
      <c r="R267" s="6"/>
      <c r="S267" s="6"/>
      <c r="T267" s="6"/>
      <c r="U267" s="6"/>
      <c r="V267" s="6"/>
      <c r="W267" s="6"/>
      <c r="X267" s="6"/>
      <c r="Y267" s="6"/>
      <c r="Z267" s="6"/>
    </row>
    <row r="268" spans="1:26" ht="18" customHeight="1" x14ac:dyDescent="0.3">
      <c r="A268" s="142"/>
      <c r="B268" s="143"/>
      <c r="C268" s="144" t="str">
        <f>IF(B268="","",IFERROR(INDEX('12 P6 activities'!$B$7:$B$206,MATCH(B268,'12 P6 activities'!$A$7:$A$206,0)),"⚠ not in P6 list"))</f>
        <v/>
      </c>
      <c r="D268" s="144" t="str">
        <f>IF(B268="","",IFERROR(INDEX('12 P6 activities'!$C$7:$C$206,MATCH(B268,'12 P6 activities'!$A$7:$A$206,0)),"⚠ not in P6 list"))</f>
        <v/>
      </c>
      <c r="E268" s="145"/>
      <c r="F268" s="146"/>
      <c r="G268" s="147"/>
      <c r="H268" s="148"/>
      <c r="I268" s="149"/>
      <c r="J268" s="150" t="str">
        <f t="shared" si="4"/>
        <v/>
      </c>
      <c r="K268" s="149"/>
      <c r="L268" s="149"/>
      <c r="M268" s="6"/>
      <c r="N268" s="6"/>
      <c r="O268" s="6"/>
      <c r="P268" s="6"/>
      <c r="Q268" s="6"/>
      <c r="R268" s="6"/>
      <c r="S268" s="6"/>
      <c r="T268" s="6"/>
      <c r="U268" s="6"/>
      <c r="V268" s="6"/>
      <c r="W268" s="6"/>
      <c r="X268" s="6"/>
      <c r="Y268" s="6"/>
      <c r="Z268" s="6"/>
    </row>
    <row r="269" spans="1:26" ht="18" customHeight="1" x14ac:dyDescent="0.3">
      <c r="A269" s="142"/>
      <c r="B269" s="143"/>
      <c r="C269" s="144" t="str">
        <f>IF(B269="","",IFERROR(INDEX('12 P6 activities'!$B$7:$B$206,MATCH(B269,'12 P6 activities'!$A$7:$A$206,0)),"⚠ not in P6 list"))</f>
        <v/>
      </c>
      <c r="D269" s="144" t="str">
        <f>IF(B269="","",IFERROR(INDEX('12 P6 activities'!$C$7:$C$206,MATCH(B269,'12 P6 activities'!$A$7:$A$206,0)),"⚠ not in P6 list"))</f>
        <v/>
      </c>
      <c r="E269" s="145"/>
      <c r="F269" s="146"/>
      <c r="G269" s="147"/>
      <c r="H269" s="148"/>
      <c r="I269" s="149"/>
      <c r="J269" s="150" t="str">
        <f t="shared" si="4"/>
        <v/>
      </c>
      <c r="K269" s="149"/>
      <c r="L269" s="149"/>
      <c r="M269" s="6"/>
      <c r="N269" s="6"/>
      <c r="O269" s="6"/>
      <c r="P269" s="6"/>
      <c r="Q269" s="6"/>
      <c r="R269" s="6"/>
      <c r="S269" s="6"/>
      <c r="T269" s="6"/>
      <c r="U269" s="6"/>
      <c r="V269" s="6"/>
      <c r="W269" s="6"/>
      <c r="X269" s="6"/>
      <c r="Y269" s="6"/>
      <c r="Z269" s="6"/>
    </row>
    <row r="270" spans="1:26" ht="18" customHeight="1" x14ac:dyDescent="0.3">
      <c r="A270" s="142"/>
      <c r="B270" s="143"/>
      <c r="C270" s="144" t="str">
        <f>IF(B270="","",IFERROR(INDEX('12 P6 activities'!$B$7:$B$206,MATCH(B270,'12 P6 activities'!$A$7:$A$206,0)),"⚠ not in P6 list"))</f>
        <v/>
      </c>
      <c r="D270" s="144" t="str">
        <f>IF(B270="","",IFERROR(INDEX('12 P6 activities'!$C$7:$C$206,MATCH(B270,'12 P6 activities'!$A$7:$A$206,0)),"⚠ not in P6 list"))</f>
        <v/>
      </c>
      <c r="E270" s="145"/>
      <c r="F270" s="146"/>
      <c r="G270" s="147"/>
      <c r="H270" s="148"/>
      <c r="I270" s="149"/>
      <c r="J270" s="150" t="str">
        <f t="shared" si="4"/>
        <v/>
      </c>
      <c r="K270" s="149"/>
      <c r="L270" s="149"/>
      <c r="M270" s="6"/>
      <c r="N270" s="6"/>
      <c r="O270" s="6"/>
      <c r="P270" s="6"/>
      <c r="Q270" s="6"/>
      <c r="R270" s="6"/>
      <c r="S270" s="6"/>
      <c r="T270" s="6"/>
      <c r="U270" s="6"/>
      <c r="V270" s="6"/>
      <c r="W270" s="6"/>
      <c r="X270" s="6"/>
      <c r="Y270" s="6"/>
      <c r="Z270" s="6"/>
    </row>
    <row r="271" spans="1:26" ht="18" customHeight="1" x14ac:dyDescent="0.3">
      <c r="A271" s="142"/>
      <c r="B271" s="143"/>
      <c r="C271" s="144" t="str">
        <f>IF(B271="","",IFERROR(INDEX('12 P6 activities'!$B$7:$B$206,MATCH(B271,'12 P6 activities'!$A$7:$A$206,0)),"⚠ not in P6 list"))</f>
        <v/>
      </c>
      <c r="D271" s="144" t="str">
        <f>IF(B271="","",IFERROR(INDEX('12 P6 activities'!$C$7:$C$206,MATCH(B271,'12 P6 activities'!$A$7:$A$206,0)),"⚠ not in P6 list"))</f>
        <v/>
      </c>
      <c r="E271" s="145"/>
      <c r="F271" s="146"/>
      <c r="G271" s="147"/>
      <c r="H271" s="148"/>
      <c r="I271" s="149"/>
      <c r="J271" s="150" t="str">
        <f t="shared" si="4"/>
        <v/>
      </c>
      <c r="K271" s="149"/>
      <c r="L271" s="149"/>
      <c r="M271" s="6"/>
      <c r="N271" s="6"/>
      <c r="O271" s="6"/>
      <c r="P271" s="6"/>
      <c r="Q271" s="6"/>
      <c r="R271" s="6"/>
      <c r="S271" s="6"/>
      <c r="T271" s="6"/>
      <c r="U271" s="6"/>
      <c r="V271" s="6"/>
      <c r="W271" s="6"/>
      <c r="X271" s="6"/>
      <c r="Y271" s="6"/>
      <c r="Z271" s="6"/>
    </row>
    <row r="272" spans="1:26" ht="18" customHeight="1" x14ac:dyDescent="0.3">
      <c r="A272" s="142"/>
      <c r="B272" s="143"/>
      <c r="C272" s="144" t="str">
        <f>IF(B272="","",IFERROR(INDEX('12 P6 activities'!$B$7:$B$206,MATCH(B272,'12 P6 activities'!$A$7:$A$206,0)),"⚠ not in P6 list"))</f>
        <v/>
      </c>
      <c r="D272" s="144" t="str">
        <f>IF(B272="","",IFERROR(INDEX('12 P6 activities'!$C$7:$C$206,MATCH(B272,'12 P6 activities'!$A$7:$A$206,0)),"⚠ not in P6 list"))</f>
        <v/>
      </c>
      <c r="E272" s="145"/>
      <c r="F272" s="146"/>
      <c r="G272" s="147"/>
      <c r="H272" s="148"/>
      <c r="I272" s="149"/>
      <c r="J272" s="150" t="str">
        <f t="shared" si="4"/>
        <v/>
      </c>
      <c r="K272" s="149"/>
      <c r="L272" s="149"/>
      <c r="M272" s="6"/>
      <c r="N272" s="6"/>
      <c r="O272" s="6"/>
      <c r="P272" s="6"/>
      <c r="Q272" s="6"/>
      <c r="R272" s="6"/>
      <c r="S272" s="6"/>
      <c r="T272" s="6"/>
      <c r="U272" s="6"/>
      <c r="V272" s="6"/>
      <c r="W272" s="6"/>
      <c r="X272" s="6"/>
      <c r="Y272" s="6"/>
      <c r="Z272" s="6"/>
    </row>
    <row r="273" spans="1:26" ht="18" customHeight="1" x14ac:dyDescent="0.3">
      <c r="A273" s="142"/>
      <c r="B273" s="143"/>
      <c r="C273" s="144" t="str">
        <f>IF(B273="","",IFERROR(INDEX('12 P6 activities'!$B$7:$B$206,MATCH(B273,'12 P6 activities'!$A$7:$A$206,0)),"⚠ not in P6 list"))</f>
        <v/>
      </c>
      <c r="D273" s="144" t="str">
        <f>IF(B273="","",IFERROR(INDEX('12 P6 activities'!$C$7:$C$206,MATCH(B273,'12 P6 activities'!$A$7:$A$206,0)),"⚠ not in P6 list"))</f>
        <v/>
      </c>
      <c r="E273" s="145"/>
      <c r="F273" s="146"/>
      <c r="G273" s="147"/>
      <c r="H273" s="148"/>
      <c r="I273" s="149"/>
      <c r="J273" s="150" t="str">
        <f t="shared" si="4"/>
        <v/>
      </c>
      <c r="K273" s="149"/>
      <c r="L273" s="149"/>
      <c r="M273" s="6"/>
      <c r="N273" s="6"/>
      <c r="O273" s="6"/>
      <c r="P273" s="6"/>
      <c r="Q273" s="6"/>
      <c r="R273" s="6"/>
      <c r="S273" s="6"/>
      <c r="T273" s="6"/>
      <c r="U273" s="6"/>
      <c r="V273" s="6"/>
      <c r="W273" s="6"/>
      <c r="X273" s="6"/>
      <c r="Y273" s="6"/>
      <c r="Z273" s="6"/>
    </row>
    <row r="274" spans="1:26" ht="18" customHeight="1" x14ac:dyDescent="0.3">
      <c r="A274" s="142"/>
      <c r="B274" s="143"/>
      <c r="C274" s="144" t="str">
        <f>IF(B274="","",IFERROR(INDEX('12 P6 activities'!$B$7:$B$206,MATCH(B274,'12 P6 activities'!$A$7:$A$206,0)),"⚠ not in P6 list"))</f>
        <v/>
      </c>
      <c r="D274" s="144" t="str">
        <f>IF(B274="","",IFERROR(INDEX('12 P6 activities'!$C$7:$C$206,MATCH(B274,'12 P6 activities'!$A$7:$A$206,0)),"⚠ not in P6 list"))</f>
        <v/>
      </c>
      <c r="E274" s="145"/>
      <c r="F274" s="146"/>
      <c r="G274" s="147"/>
      <c r="H274" s="148"/>
      <c r="I274" s="149"/>
      <c r="J274" s="150" t="str">
        <f t="shared" si="4"/>
        <v/>
      </c>
      <c r="K274" s="149"/>
      <c r="L274" s="149"/>
      <c r="M274" s="6"/>
      <c r="N274" s="6"/>
      <c r="O274" s="6"/>
      <c r="P274" s="6"/>
      <c r="Q274" s="6"/>
      <c r="R274" s="6"/>
      <c r="S274" s="6"/>
      <c r="T274" s="6"/>
      <c r="U274" s="6"/>
      <c r="V274" s="6"/>
      <c r="W274" s="6"/>
      <c r="X274" s="6"/>
      <c r="Y274" s="6"/>
      <c r="Z274" s="6"/>
    </row>
    <row r="275" spans="1:26" ht="18" customHeight="1" x14ac:dyDescent="0.3">
      <c r="A275" s="142"/>
      <c r="B275" s="143"/>
      <c r="C275" s="144" t="str">
        <f>IF(B275="","",IFERROR(INDEX('12 P6 activities'!$B$7:$B$206,MATCH(B275,'12 P6 activities'!$A$7:$A$206,0)),"⚠ not in P6 list"))</f>
        <v/>
      </c>
      <c r="D275" s="144" t="str">
        <f>IF(B275="","",IFERROR(INDEX('12 P6 activities'!$C$7:$C$206,MATCH(B275,'12 P6 activities'!$A$7:$A$206,0)),"⚠ not in P6 list"))</f>
        <v/>
      </c>
      <c r="E275" s="145"/>
      <c r="F275" s="146"/>
      <c r="G275" s="147"/>
      <c r="H275" s="148"/>
      <c r="I275" s="149"/>
      <c r="J275" s="150" t="str">
        <f t="shared" si="4"/>
        <v/>
      </c>
      <c r="K275" s="149"/>
      <c r="L275" s="149"/>
      <c r="M275" s="6"/>
      <c r="N275" s="6"/>
      <c r="O275" s="6"/>
      <c r="P275" s="6"/>
      <c r="Q275" s="6"/>
      <c r="R275" s="6"/>
      <c r="S275" s="6"/>
      <c r="T275" s="6"/>
      <c r="U275" s="6"/>
      <c r="V275" s="6"/>
      <c r="W275" s="6"/>
      <c r="X275" s="6"/>
      <c r="Y275" s="6"/>
      <c r="Z275" s="6"/>
    </row>
    <row r="276" spans="1:26" ht="18" customHeight="1" x14ac:dyDescent="0.3">
      <c r="A276" s="142"/>
      <c r="B276" s="143"/>
      <c r="C276" s="144" t="str">
        <f>IF(B276="","",IFERROR(INDEX('12 P6 activities'!$B$7:$B$206,MATCH(B276,'12 P6 activities'!$A$7:$A$206,0)),"⚠ not in P6 list"))</f>
        <v/>
      </c>
      <c r="D276" s="144" t="str">
        <f>IF(B276="","",IFERROR(INDEX('12 P6 activities'!$C$7:$C$206,MATCH(B276,'12 P6 activities'!$A$7:$A$206,0)),"⚠ not in P6 list"))</f>
        <v/>
      </c>
      <c r="E276" s="145"/>
      <c r="F276" s="146"/>
      <c r="G276" s="147"/>
      <c r="H276" s="148"/>
      <c r="I276" s="149"/>
      <c r="J276" s="150" t="str">
        <f t="shared" si="4"/>
        <v/>
      </c>
      <c r="K276" s="149"/>
      <c r="L276" s="149"/>
      <c r="M276" s="6"/>
      <c r="N276" s="6"/>
      <c r="O276" s="6"/>
      <c r="P276" s="6"/>
      <c r="Q276" s="6"/>
      <c r="R276" s="6"/>
      <c r="S276" s="6"/>
      <c r="T276" s="6"/>
      <c r="U276" s="6"/>
      <c r="V276" s="6"/>
      <c r="W276" s="6"/>
      <c r="X276" s="6"/>
      <c r="Y276" s="6"/>
      <c r="Z276" s="6"/>
    </row>
    <row r="277" spans="1:26" ht="18" customHeight="1" x14ac:dyDescent="0.3">
      <c r="A277" s="142"/>
      <c r="B277" s="143"/>
      <c r="C277" s="144" t="str">
        <f>IF(B277="","",IFERROR(INDEX('12 P6 activities'!$B$7:$B$206,MATCH(B277,'12 P6 activities'!$A$7:$A$206,0)),"⚠ not in P6 list"))</f>
        <v/>
      </c>
      <c r="D277" s="144" t="str">
        <f>IF(B277="","",IFERROR(INDEX('12 P6 activities'!$C$7:$C$206,MATCH(B277,'12 P6 activities'!$A$7:$A$206,0)),"⚠ not in P6 list"))</f>
        <v/>
      </c>
      <c r="E277" s="145"/>
      <c r="F277" s="146"/>
      <c r="G277" s="147"/>
      <c r="H277" s="148"/>
      <c r="I277" s="149"/>
      <c r="J277" s="150" t="str">
        <f t="shared" si="4"/>
        <v/>
      </c>
      <c r="K277" s="149"/>
      <c r="L277" s="149"/>
      <c r="M277" s="6"/>
      <c r="N277" s="6"/>
      <c r="O277" s="6"/>
      <c r="P277" s="6"/>
      <c r="Q277" s="6"/>
      <c r="R277" s="6"/>
      <c r="S277" s="6"/>
      <c r="T277" s="6"/>
      <c r="U277" s="6"/>
      <c r="V277" s="6"/>
      <c r="W277" s="6"/>
      <c r="X277" s="6"/>
      <c r="Y277" s="6"/>
      <c r="Z277" s="6"/>
    </row>
    <row r="278" spans="1:26" ht="18" customHeight="1" x14ac:dyDescent="0.3">
      <c r="A278" s="142"/>
      <c r="B278" s="143"/>
      <c r="C278" s="144" t="str">
        <f>IF(B278="","",IFERROR(INDEX('12 P6 activities'!$B$7:$B$206,MATCH(B278,'12 P6 activities'!$A$7:$A$206,0)),"⚠ not in P6 list"))</f>
        <v/>
      </c>
      <c r="D278" s="144" t="str">
        <f>IF(B278="","",IFERROR(INDEX('12 P6 activities'!$C$7:$C$206,MATCH(B278,'12 P6 activities'!$A$7:$A$206,0)),"⚠ not in P6 list"))</f>
        <v/>
      </c>
      <c r="E278" s="145"/>
      <c r="F278" s="146"/>
      <c r="G278" s="147"/>
      <c r="H278" s="148"/>
      <c r="I278" s="149"/>
      <c r="J278" s="150" t="str">
        <f t="shared" si="4"/>
        <v/>
      </c>
      <c r="K278" s="149"/>
      <c r="L278" s="149"/>
      <c r="M278" s="6"/>
      <c r="N278" s="6"/>
      <c r="O278" s="6"/>
      <c r="P278" s="6"/>
      <c r="Q278" s="6"/>
      <c r="R278" s="6"/>
      <c r="S278" s="6"/>
      <c r="T278" s="6"/>
      <c r="U278" s="6"/>
      <c r="V278" s="6"/>
      <c r="W278" s="6"/>
      <c r="X278" s="6"/>
      <c r="Y278" s="6"/>
      <c r="Z278" s="6"/>
    </row>
    <row r="279" spans="1:26" ht="18" customHeight="1" x14ac:dyDescent="0.3">
      <c r="A279" s="142"/>
      <c r="B279" s="143"/>
      <c r="C279" s="144" t="str">
        <f>IF(B279="","",IFERROR(INDEX('12 P6 activities'!$B$7:$B$206,MATCH(B279,'12 P6 activities'!$A$7:$A$206,0)),"⚠ not in P6 list"))</f>
        <v/>
      </c>
      <c r="D279" s="144" t="str">
        <f>IF(B279="","",IFERROR(INDEX('12 P6 activities'!$C$7:$C$206,MATCH(B279,'12 P6 activities'!$A$7:$A$206,0)),"⚠ not in P6 list"))</f>
        <v/>
      </c>
      <c r="E279" s="145"/>
      <c r="F279" s="146"/>
      <c r="G279" s="147"/>
      <c r="H279" s="148"/>
      <c r="I279" s="149"/>
      <c r="J279" s="150" t="str">
        <f t="shared" si="4"/>
        <v/>
      </c>
      <c r="K279" s="149"/>
      <c r="L279" s="149"/>
      <c r="M279" s="6"/>
      <c r="N279" s="6"/>
      <c r="O279" s="6"/>
      <c r="P279" s="6"/>
      <c r="Q279" s="6"/>
      <c r="R279" s="6"/>
      <c r="S279" s="6"/>
      <c r="T279" s="6"/>
      <c r="U279" s="6"/>
      <c r="V279" s="6"/>
      <c r="W279" s="6"/>
      <c r="X279" s="6"/>
      <c r="Y279" s="6"/>
      <c r="Z279" s="6"/>
    </row>
    <row r="280" spans="1:26" ht="18" customHeight="1" x14ac:dyDescent="0.3">
      <c r="A280" s="142"/>
      <c r="B280" s="143"/>
      <c r="C280" s="144" t="str">
        <f>IF(B280="","",IFERROR(INDEX('12 P6 activities'!$B$7:$B$206,MATCH(B280,'12 P6 activities'!$A$7:$A$206,0)),"⚠ not in P6 list"))</f>
        <v/>
      </c>
      <c r="D280" s="144" t="str">
        <f>IF(B280="","",IFERROR(INDEX('12 P6 activities'!$C$7:$C$206,MATCH(B280,'12 P6 activities'!$A$7:$A$206,0)),"⚠ not in P6 list"))</f>
        <v/>
      </c>
      <c r="E280" s="145"/>
      <c r="F280" s="146"/>
      <c r="G280" s="147"/>
      <c r="H280" s="148"/>
      <c r="I280" s="149"/>
      <c r="J280" s="150" t="str">
        <f t="shared" si="4"/>
        <v/>
      </c>
      <c r="K280" s="149"/>
      <c r="L280" s="149"/>
      <c r="M280" s="6"/>
      <c r="N280" s="6"/>
      <c r="O280" s="6"/>
      <c r="P280" s="6"/>
      <c r="Q280" s="6"/>
      <c r="R280" s="6"/>
      <c r="S280" s="6"/>
      <c r="T280" s="6"/>
      <c r="U280" s="6"/>
      <c r="V280" s="6"/>
      <c r="W280" s="6"/>
      <c r="X280" s="6"/>
      <c r="Y280" s="6"/>
      <c r="Z280" s="6"/>
    </row>
    <row r="281" spans="1:26" ht="18" customHeight="1" x14ac:dyDescent="0.3">
      <c r="A281" s="142"/>
      <c r="B281" s="143"/>
      <c r="C281" s="144" t="str">
        <f>IF(B281="","",IFERROR(INDEX('12 P6 activities'!$B$7:$B$206,MATCH(B281,'12 P6 activities'!$A$7:$A$206,0)),"⚠ not in P6 list"))</f>
        <v/>
      </c>
      <c r="D281" s="144" t="str">
        <f>IF(B281="","",IFERROR(INDEX('12 P6 activities'!$C$7:$C$206,MATCH(B281,'12 P6 activities'!$A$7:$A$206,0)),"⚠ not in P6 list"))</f>
        <v/>
      </c>
      <c r="E281" s="145"/>
      <c r="F281" s="146"/>
      <c r="G281" s="147"/>
      <c r="H281" s="148"/>
      <c r="I281" s="149"/>
      <c r="J281" s="150" t="str">
        <f t="shared" si="4"/>
        <v/>
      </c>
      <c r="K281" s="149"/>
      <c r="L281" s="149"/>
      <c r="M281" s="6"/>
      <c r="N281" s="6"/>
      <c r="O281" s="6"/>
      <c r="P281" s="6"/>
      <c r="Q281" s="6"/>
      <c r="R281" s="6"/>
      <c r="S281" s="6"/>
      <c r="T281" s="6"/>
      <c r="U281" s="6"/>
      <c r="V281" s="6"/>
      <c r="W281" s="6"/>
      <c r="X281" s="6"/>
      <c r="Y281" s="6"/>
      <c r="Z281" s="6"/>
    </row>
    <row r="282" spans="1:26" ht="18" customHeight="1" x14ac:dyDescent="0.3">
      <c r="A282" s="142"/>
      <c r="B282" s="143"/>
      <c r="C282" s="144" t="str">
        <f>IF(B282="","",IFERROR(INDEX('12 P6 activities'!$B$7:$B$206,MATCH(B282,'12 P6 activities'!$A$7:$A$206,0)),"⚠ not in P6 list"))</f>
        <v/>
      </c>
      <c r="D282" s="144" t="str">
        <f>IF(B282="","",IFERROR(INDEX('12 P6 activities'!$C$7:$C$206,MATCH(B282,'12 P6 activities'!$A$7:$A$206,0)),"⚠ not in P6 list"))</f>
        <v/>
      </c>
      <c r="E282" s="145"/>
      <c r="F282" s="146"/>
      <c r="G282" s="147"/>
      <c r="H282" s="148"/>
      <c r="I282" s="149"/>
      <c r="J282" s="150" t="str">
        <f t="shared" si="4"/>
        <v/>
      </c>
      <c r="K282" s="149"/>
      <c r="L282" s="149"/>
      <c r="M282" s="6"/>
      <c r="N282" s="6"/>
      <c r="O282" s="6"/>
      <c r="P282" s="6"/>
      <c r="Q282" s="6"/>
      <c r="R282" s="6"/>
      <c r="S282" s="6"/>
      <c r="T282" s="6"/>
      <c r="U282" s="6"/>
      <c r="V282" s="6"/>
      <c r="W282" s="6"/>
      <c r="X282" s="6"/>
      <c r="Y282" s="6"/>
      <c r="Z282" s="6"/>
    </row>
    <row r="283" spans="1:26" ht="18" customHeight="1" x14ac:dyDescent="0.3">
      <c r="A283" s="142"/>
      <c r="B283" s="143"/>
      <c r="C283" s="144" t="str">
        <f>IF(B283="","",IFERROR(INDEX('12 P6 activities'!$B$7:$B$206,MATCH(B283,'12 P6 activities'!$A$7:$A$206,0)),"⚠ not in P6 list"))</f>
        <v/>
      </c>
      <c r="D283" s="144" t="str">
        <f>IF(B283="","",IFERROR(INDEX('12 P6 activities'!$C$7:$C$206,MATCH(B283,'12 P6 activities'!$A$7:$A$206,0)),"⚠ not in P6 list"))</f>
        <v/>
      </c>
      <c r="E283" s="145"/>
      <c r="F283" s="146"/>
      <c r="G283" s="147"/>
      <c r="H283" s="148"/>
      <c r="I283" s="149"/>
      <c r="J283" s="150" t="str">
        <f t="shared" si="4"/>
        <v/>
      </c>
      <c r="K283" s="149"/>
      <c r="L283" s="149"/>
      <c r="M283" s="6"/>
      <c r="N283" s="6"/>
      <c r="O283" s="6"/>
      <c r="P283" s="6"/>
      <c r="Q283" s="6"/>
      <c r="R283" s="6"/>
      <c r="S283" s="6"/>
      <c r="T283" s="6"/>
      <c r="U283" s="6"/>
      <c r="V283" s="6"/>
      <c r="W283" s="6"/>
      <c r="X283" s="6"/>
      <c r="Y283" s="6"/>
      <c r="Z283" s="6"/>
    </row>
    <row r="284" spans="1:26" ht="18" customHeight="1" x14ac:dyDescent="0.3">
      <c r="A284" s="142"/>
      <c r="B284" s="143"/>
      <c r="C284" s="144" t="str">
        <f>IF(B284="","",IFERROR(INDEX('12 P6 activities'!$B$7:$B$206,MATCH(B284,'12 P6 activities'!$A$7:$A$206,0)),"⚠ not in P6 list"))</f>
        <v/>
      </c>
      <c r="D284" s="144" t="str">
        <f>IF(B284="","",IFERROR(INDEX('12 P6 activities'!$C$7:$C$206,MATCH(B284,'12 P6 activities'!$A$7:$A$206,0)),"⚠ not in P6 list"))</f>
        <v/>
      </c>
      <c r="E284" s="145"/>
      <c r="F284" s="146"/>
      <c r="G284" s="147"/>
      <c r="H284" s="148"/>
      <c r="I284" s="149"/>
      <c r="J284" s="150" t="str">
        <f t="shared" si="4"/>
        <v/>
      </c>
      <c r="K284" s="149"/>
      <c r="L284" s="149"/>
      <c r="M284" s="6"/>
      <c r="N284" s="6"/>
      <c r="O284" s="6"/>
      <c r="P284" s="6"/>
      <c r="Q284" s="6"/>
      <c r="R284" s="6"/>
      <c r="S284" s="6"/>
      <c r="T284" s="6"/>
      <c r="U284" s="6"/>
      <c r="V284" s="6"/>
      <c r="W284" s="6"/>
      <c r="X284" s="6"/>
      <c r="Y284" s="6"/>
      <c r="Z284" s="6"/>
    </row>
    <row r="285" spans="1:26" ht="18" customHeight="1" x14ac:dyDescent="0.3">
      <c r="A285" s="142"/>
      <c r="B285" s="143"/>
      <c r="C285" s="144" t="str">
        <f>IF(B285="","",IFERROR(INDEX('12 P6 activities'!$B$7:$B$206,MATCH(B285,'12 P6 activities'!$A$7:$A$206,0)),"⚠ not in P6 list"))</f>
        <v/>
      </c>
      <c r="D285" s="144" t="str">
        <f>IF(B285="","",IFERROR(INDEX('12 P6 activities'!$C$7:$C$206,MATCH(B285,'12 P6 activities'!$A$7:$A$206,0)),"⚠ not in P6 list"))</f>
        <v/>
      </c>
      <c r="E285" s="145"/>
      <c r="F285" s="146"/>
      <c r="G285" s="147"/>
      <c r="H285" s="148"/>
      <c r="I285" s="149"/>
      <c r="J285" s="150" t="str">
        <f t="shared" si="4"/>
        <v/>
      </c>
      <c r="K285" s="149"/>
      <c r="L285" s="149"/>
      <c r="M285" s="6"/>
      <c r="N285" s="6"/>
      <c r="O285" s="6"/>
      <c r="P285" s="6"/>
      <c r="Q285" s="6"/>
      <c r="R285" s="6"/>
      <c r="S285" s="6"/>
      <c r="T285" s="6"/>
      <c r="U285" s="6"/>
      <c r="V285" s="6"/>
      <c r="W285" s="6"/>
      <c r="X285" s="6"/>
      <c r="Y285" s="6"/>
      <c r="Z285" s="6"/>
    </row>
    <row r="286" spans="1:26" ht="18" customHeight="1" x14ac:dyDescent="0.3">
      <c r="A286" s="142"/>
      <c r="B286" s="143"/>
      <c r="C286" s="144" t="str">
        <f>IF(B286="","",IFERROR(INDEX('12 P6 activities'!$B$7:$B$206,MATCH(B286,'12 P6 activities'!$A$7:$A$206,0)),"⚠ not in P6 list"))</f>
        <v/>
      </c>
      <c r="D286" s="144" t="str">
        <f>IF(B286="","",IFERROR(INDEX('12 P6 activities'!$C$7:$C$206,MATCH(B286,'12 P6 activities'!$A$7:$A$206,0)),"⚠ not in P6 list"))</f>
        <v/>
      </c>
      <c r="E286" s="145"/>
      <c r="F286" s="146"/>
      <c r="G286" s="147"/>
      <c r="H286" s="148"/>
      <c r="I286" s="149"/>
      <c r="J286" s="150" t="str">
        <f t="shared" si="4"/>
        <v/>
      </c>
      <c r="K286" s="149"/>
      <c r="L286" s="149"/>
      <c r="M286" s="6"/>
      <c r="N286" s="6"/>
      <c r="O286" s="6"/>
      <c r="P286" s="6"/>
      <c r="Q286" s="6"/>
      <c r="R286" s="6"/>
      <c r="S286" s="6"/>
      <c r="T286" s="6"/>
      <c r="U286" s="6"/>
      <c r="V286" s="6"/>
      <c r="W286" s="6"/>
      <c r="X286" s="6"/>
      <c r="Y286" s="6"/>
      <c r="Z286" s="6"/>
    </row>
    <row r="287" spans="1:26" ht="18" customHeight="1" x14ac:dyDescent="0.3">
      <c r="A287" s="142"/>
      <c r="B287" s="143"/>
      <c r="C287" s="144" t="str">
        <f>IF(B287="","",IFERROR(INDEX('12 P6 activities'!$B$7:$B$206,MATCH(B287,'12 P6 activities'!$A$7:$A$206,0)),"⚠ not in P6 list"))</f>
        <v/>
      </c>
      <c r="D287" s="144" t="str">
        <f>IF(B287="","",IFERROR(INDEX('12 P6 activities'!$C$7:$C$206,MATCH(B287,'12 P6 activities'!$A$7:$A$206,0)),"⚠ not in P6 list"))</f>
        <v/>
      </c>
      <c r="E287" s="145"/>
      <c r="F287" s="146"/>
      <c r="G287" s="147"/>
      <c r="H287" s="148"/>
      <c r="I287" s="149"/>
      <c r="J287" s="150" t="str">
        <f t="shared" si="4"/>
        <v/>
      </c>
      <c r="K287" s="149"/>
      <c r="L287" s="149"/>
      <c r="M287" s="6"/>
      <c r="N287" s="6"/>
      <c r="O287" s="6"/>
      <c r="P287" s="6"/>
      <c r="Q287" s="6"/>
      <c r="R287" s="6"/>
      <c r="S287" s="6"/>
      <c r="T287" s="6"/>
      <c r="U287" s="6"/>
      <c r="V287" s="6"/>
      <c r="W287" s="6"/>
      <c r="X287" s="6"/>
      <c r="Y287" s="6"/>
      <c r="Z287" s="6"/>
    </row>
    <row r="288" spans="1:26" ht="18" customHeight="1" x14ac:dyDescent="0.3">
      <c r="A288" s="142"/>
      <c r="B288" s="143"/>
      <c r="C288" s="144" t="str">
        <f>IF(B288="","",IFERROR(INDEX('12 P6 activities'!$B$7:$B$206,MATCH(B288,'12 P6 activities'!$A$7:$A$206,0)),"⚠ not in P6 list"))</f>
        <v/>
      </c>
      <c r="D288" s="144" t="str">
        <f>IF(B288="","",IFERROR(INDEX('12 P6 activities'!$C$7:$C$206,MATCH(B288,'12 P6 activities'!$A$7:$A$206,0)),"⚠ not in P6 list"))</f>
        <v/>
      </c>
      <c r="E288" s="145"/>
      <c r="F288" s="146"/>
      <c r="G288" s="147"/>
      <c r="H288" s="148"/>
      <c r="I288" s="149"/>
      <c r="J288" s="150" t="str">
        <f t="shared" si="4"/>
        <v/>
      </c>
      <c r="K288" s="149"/>
      <c r="L288" s="149"/>
      <c r="M288" s="6"/>
      <c r="N288" s="6"/>
      <c r="O288" s="6"/>
      <c r="P288" s="6"/>
      <c r="Q288" s="6"/>
      <c r="R288" s="6"/>
      <c r="S288" s="6"/>
      <c r="T288" s="6"/>
      <c r="U288" s="6"/>
      <c r="V288" s="6"/>
      <c r="W288" s="6"/>
      <c r="X288" s="6"/>
      <c r="Y288" s="6"/>
      <c r="Z288" s="6"/>
    </row>
    <row r="289" spans="1:26" ht="18" customHeight="1" x14ac:dyDescent="0.3">
      <c r="A289" s="142"/>
      <c r="B289" s="143"/>
      <c r="C289" s="144" t="str">
        <f>IF(B289="","",IFERROR(INDEX('12 P6 activities'!$B$7:$B$206,MATCH(B289,'12 P6 activities'!$A$7:$A$206,0)),"⚠ not in P6 list"))</f>
        <v/>
      </c>
      <c r="D289" s="144" t="str">
        <f>IF(B289="","",IFERROR(INDEX('12 P6 activities'!$C$7:$C$206,MATCH(B289,'12 P6 activities'!$A$7:$A$206,0)),"⚠ not in P6 list"))</f>
        <v/>
      </c>
      <c r="E289" s="145"/>
      <c r="F289" s="146"/>
      <c r="G289" s="147"/>
      <c r="H289" s="148"/>
      <c r="I289" s="149"/>
      <c r="J289" s="150" t="str">
        <f t="shared" si="4"/>
        <v/>
      </c>
      <c r="K289" s="149"/>
      <c r="L289" s="149"/>
      <c r="M289" s="6"/>
      <c r="N289" s="6"/>
      <c r="O289" s="6"/>
      <c r="P289" s="6"/>
      <c r="Q289" s="6"/>
      <c r="R289" s="6"/>
      <c r="S289" s="6"/>
      <c r="T289" s="6"/>
      <c r="U289" s="6"/>
      <c r="V289" s="6"/>
      <c r="W289" s="6"/>
      <c r="X289" s="6"/>
      <c r="Y289" s="6"/>
      <c r="Z289" s="6"/>
    </row>
    <row r="290" spans="1:26" ht="18" customHeight="1" x14ac:dyDescent="0.3">
      <c r="A290" s="142"/>
      <c r="B290" s="143"/>
      <c r="C290" s="144" t="str">
        <f>IF(B290="","",IFERROR(INDEX('12 P6 activities'!$B$7:$B$206,MATCH(B290,'12 P6 activities'!$A$7:$A$206,0)),"⚠ not in P6 list"))</f>
        <v/>
      </c>
      <c r="D290" s="144" t="str">
        <f>IF(B290="","",IFERROR(INDEX('12 P6 activities'!$C$7:$C$206,MATCH(B290,'12 P6 activities'!$A$7:$A$206,0)),"⚠ not in P6 list"))</f>
        <v/>
      </c>
      <c r="E290" s="145"/>
      <c r="F290" s="146"/>
      <c r="G290" s="147"/>
      <c r="H290" s="148"/>
      <c r="I290" s="149"/>
      <c r="J290" s="150" t="str">
        <f t="shared" si="4"/>
        <v/>
      </c>
      <c r="K290" s="149"/>
      <c r="L290" s="149"/>
      <c r="M290" s="6"/>
      <c r="N290" s="6"/>
      <c r="O290" s="6"/>
      <c r="P290" s="6"/>
      <c r="Q290" s="6"/>
      <c r="R290" s="6"/>
      <c r="S290" s="6"/>
      <c r="T290" s="6"/>
      <c r="U290" s="6"/>
      <c r="V290" s="6"/>
      <c r="W290" s="6"/>
      <c r="X290" s="6"/>
      <c r="Y290" s="6"/>
      <c r="Z290" s="6"/>
    </row>
    <row r="291" spans="1:26" ht="18" customHeight="1" x14ac:dyDescent="0.3">
      <c r="A291" s="142"/>
      <c r="B291" s="143"/>
      <c r="C291" s="144" t="str">
        <f>IF(B291="","",IFERROR(INDEX('12 P6 activities'!$B$7:$B$206,MATCH(B291,'12 P6 activities'!$A$7:$A$206,0)),"⚠ not in P6 list"))</f>
        <v/>
      </c>
      <c r="D291" s="144" t="str">
        <f>IF(B291="","",IFERROR(INDEX('12 P6 activities'!$C$7:$C$206,MATCH(B291,'12 P6 activities'!$A$7:$A$206,0)),"⚠ not in P6 list"))</f>
        <v/>
      </c>
      <c r="E291" s="145"/>
      <c r="F291" s="146"/>
      <c r="G291" s="147"/>
      <c r="H291" s="148"/>
      <c r="I291" s="149"/>
      <c r="J291" s="150" t="str">
        <f t="shared" si="4"/>
        <v/>
      </c>
      <c r="K291" s="149"/>
      <c r="L291" s="149"/>
      <c r="M291" s="6"/>
      <c r="N291" s="6"/>
      <c r="O291" s="6"/>
      <c r="P291" s="6"/>
      <c r="Q291" s="6"/>
      <c r="R291" s="6"/>
      <c r="S291" s="6"/>
      <c r="T291" s="6"/>
      <c r="U291" s="6"/>
      <c r="V291" s="6"/>
      <c r="W291" s="6"/>
      <c r="X291" s="6"/>
      <c r="Y291" s="6"/>
      <c r="Z291" s="6"/>
    </row>
    <row r="292" spans="1:26" ht="18" customHeight="1" x14ac:dyDescent="0.3">
      <c r="A292" s="142"/>
      <c r="B292" s="143"/>
      <c r="C292" s="144" t="str">
        <f>IF(B292="","",IFERROR(INDEX('12 P6 activities'!$B$7:$B$206,MATCH(B292,'12 P6 activities'!$A$7:$A$206,0)),"⚠ not in P6 list"))</f>
        <v/>
      </c>
      <c r="D292" s="144" t="str">
        <f>IF(B292="","",IFERROR(INDEX('12 P6 activities'!$C$7:$C$206,MATCH(B292,'12 P6 activities'!$A$7:$A$206,0)),"⚠ not in P6 list"))</f>
        <v/>
      </c>
      <c r="E292" s="145"/>
      <c r="F292" s="146"/>
      <c r="G292" s="147"/>
      <c r="H292" s="148"/>
      <c r="I292" s="149"/>
      <c r="J292" s="150" t="str">
        <f t="shared" si="4"/>
        <v/>
      </c>
      <c r="K292" s="149"/>
      <c r="L292" s="149"/>
      <c r="M292" s="6"/>
      <c r="N292" s="6"/>
      <c r="O292" s="6"/>
      <c r="P292" s="6"/>
      <c r="Q292" s="6"/>
      <c r="R292" s="6"/>
      <c r="S292" s="6"/>
      <c r="T292" s="6"/>
      <c r="U292" s="6"/>
      <c r="V292" s="6"/>
      <c r="W292" s="6"/>
      <c r="X292" s="6"/>
      <c r="Y292" s="6"/>
      <c r="Z292" s="6"/>
    </row>
    <row r="293" spans="1:26" ht="18" customHeight="1" x14ac:dyDescent="0.3">
      <c r="A293" s="142"/>
      <c r="B293" s="143"/>
      <c r="C293" s="144" t="str">
        <f>IF(B293="","",IFERROR(INDEX('12 P6 activities'!$B$7:$B$206,MATCH(B293,'12 P6 activities'!$A$7:$A$206,0)),"⚠ not in P6 list"))</f>
        <v/>
      </c>
      <c r="D293" s="144" t="str">
        <f>IF(B293="","",IFERROR(INDEX('12 P6 activities'!$C$7:$C$206,MATCH(B293,'12 P6 activities'!$A$7:$A$206,0)),"⚠ not in P6 list"))</f>
        <v/>
      </c>
      <c r="E293" s="145"/>
      <c r="F293" s="146"/>
      <c r="G293" s="147"/>
      <c r="H293" s="148"/>
      <c r="I293" s="149"/>
      <c r="J293" s="150" t="str">
        <f t="shared" si="4"/>
        <v/>
      </c>
      <c r="K293" s="149"/>
      <c r="L293" s="149"/>
      <c r="M293" s="6"/>
      <c r="N293" s="6"/>
      <c r="O293" s="6"/>
      <c r="P293" s="6"/>
      <c r="Q293" s="6"/>
      <c r="R293" s="6"/>
      <c r="S293" s="6"/>
      <c r="T293" s="6"/>
      <c r="U293" s="6"/>
      <c r="V293" s="6"/>
      <c r="W293" s="6"/>
      <c r="X293" s="6"/>
      <c r="Y293" s="6"/>
      <c r="Z293" s="6"/>
    </row>
    <row r="294" spans="1:26" ht="18" customHeight="1" x14ac:dyDescent="0.3">
      <c r="A294" s="142"/>
      <c r="B294" s="143"/>
      <c r="C294" s="144" t="str">
        <f>IF(B294="","",IFERROR(INDEX('12 P6 activities'!$B$7:$B$206,MATCH(B294,'12 P6 activities'!$A$7:$A$206,0)),"⚠ not in P6 list"))</f>
        <v/>
      </c>
      <c r="D294" s="144" t="str">
        <f>IF(B294="","",IFERROR(INDEX('12 P6 activities'!$C$7:$C$206,MATCH(B294,'12 P6 activities'!$A$7:$A$206,0)),"⚠ not in P6 list"))</f>
        <v/>
      </c>
      <c r="E294" s="145"/>
      <c r="F294" s="146"/>
      <c r="G294" s="147"/>
      <c r="H294" s="148"/>
      <c r="I294" s="149"/>
      <c r="J294" s="150" t="str">
        <f t="shared" si="4"/>
        <v/>
      </c>
      <c r="K294" s="149"/>
      <c r="L294" s="149"/>
      <c r="M294" s="6"/>
      <c r="N294" s="6"/>
      <c r="O294" s="6"/>
      <c r="P294" s="6"/>
      <c r="Q294" s="6"/>
      <c r="R294" s="6"/>
      <c r="S294" s="6"/>
      <c r="T294" s="6"/>
      <c r="U294" s="6"/>
      <c r="V294" s="6"/>
      <c r="W294" s="6"/>
      <c r="X294" s="6"/>
      <c r="Y294" s="6"/>
      <c r="Z294" s="6"/>
    </row>
    <row r="295" spans="1:26" ht="18" customHeight="1" x14ac:dyDescent="0.3">
      <c r="A295" s="142"/>
      <c r="B295" s="143"/>
      <c r="C295" s="144" t="str">
        <f>IF(B295="","",IFERROR(INDEX('12 P6 activities'!$B$7:$B$206,MATCH(B295,'12 P6 activities'!$A$7:$A$206,0)),"⚠ not in P6 list"))</f>
        <v/>
      </c>
      <c r="D295" s="144" t="str">
        <f>IF(B295="","",IFERROR(INDEX('12 P6 activities'!$C$7:$C$206,MATCH(B295,'12 P6 activities'!$A$7:$A$206,0)),"⚠ not in P6 list"))</f>
        <v/>
      </c>
      <c r="E295" s="145"/>
      <c r="F295" s="146"/>
      <c r="G295" s="147"/>
      <c r="H295" s="148"/>
      <c r="I295" s="149"/>
      <c r="J295" s="150" t="str">
        <f t="shared" si="4"/>
        <v/>
      </c>
      <c r="K295" s="149"/>
      <c r="L295" s="149"/>
      <c r="M295" s="6"/>
      <c r="N295" s="6"/>
      <c r="O295" s="6"/>
      <c r="P295" s="6"/>
      <c r="Q295" s="6"/>
      <c r="R295" s="6"/>
      <c r="S295" s="6"/>
      <c r="T295" s="6"/>
      <c r="U295" s="6"/>
      <c r="V295" s="6"/>
      <c r="W295" s="6"/>
      <c r="X295" s="6"/>
      <c r="Y295" s="6"/>
      <c r="Z295" s="6"/>
    </row>
    <row r="296" spans="1:26" ht="18" customHeight="1" x14ac:dyDescent="0.3">
      <c r="A296" s="142"/>
      <c r="B296" s="143"/>
      <c r="C296" s="144" t="str">
        <f>IF(B296="","",IFERROR(INDEX('12 P6 activities'!$B$7:$B$206,MATCH(B296,'12 P6 activities'!$A$7:$A$206,0)),"⚠ not in P6 list"))</f>
        <v/>
      </c>
      <c r="D296" s="144" t="str">
        <f>IF(B296="","",IFERROR(INDEX('12 P6 activities'!$C$7:$C$206,MATCH(B296,'12 P6 activities'!$A$7:$A$206,0)),"⚠ not in P6 list"))</f>
        <v/>
      </c>
      <c r="E296" s="145"/>
      <c r="F296" s="146"/>
      <c r="G296" s="147"/>
      <c r="H296" s="148"/>
      <c r="I296" s="149"/>
      <c r="J296" s="150" t="str">
        <f t="shared" si="4"/>
        <v/>
      </c>
      <c r="K296" s="149"/>
      <c r="L296" s="149"/>
      <c r="M296" s="6"/>
      <c r="N296" s="6"/>
      <c r="O296" s="6"/>
      <c r="P296" s="6"/>
      <c r="Q296" s="6"/>
      <c r="R296" s="6"/>
      <c r="S296" s="6"/>
      <c r="T296" s="6"/>
      <c r="U296" s="6"/>
      <c r="V296" s="6"/>
      <c r="W296" s="6"/>
      <c r="X296" s="6"/>
      <c r="Y296" s="6"/>
      <c r="Z296" s="6"/>
    </row>
    <row r="297" spans="1:26" ht="18" customHeight="1" x14ac:dyDescent="0.3">
      <c r="A297" s="142"/>
      <c r="B297" s="143"/>
      <c r="C297" s="144" t="str">
        <f>IF(B297="","",IFERROR(INDEX('12 P6 activities'!$B$7:$B$206,MATCH(B297,'12 P6 activities'!$A$7:$A$206,0)),"⚠ not in P6 list"))</f>
        <v/>
      </c>
      <c r="D297" s="144" t="str">
        <f>IF(B297="","",IFERROR(INDEX('12 P6 activities'!$C$7:$C$206,MATCH(B297,'12 P6 activities'!$A$7:$A$206,0)),"⚠ not in P6 list"))</f>
        <v/>
      </c>
      <c r="E297" s="145"/>
      <c r="F297" s="146"/>
      <c r="G297" s="147"/>
      <c r="H297" s="148"/>
      <c r="I297" s="149"/>
      <c r="J297" s="150" t="str">
        <f t="shared" si="4"/>
        <v/>
      </c>
      <c r="K297" s="149"/>
      <c r="L297" s="149"/>
      <c r="M297" s="6"/>
      <c r="N297" s="6"/>
      <c r="O297" s="6"/>
      <c r="P297" s="6"/>
      <c r="Q297" s="6"/>
      <c r="R297" s="6"/>
      <c r="S297" s="6"/>
      <c r="T297" s="6"/>
      <c r="U297" s="6"/>
      <c r="V297" s="6"/>
      <c r="W297" s="6"/>
      <c r="X297" s="6"/>
      <c r="Y297" s="6"/>
      <c r="Z297" s="6"/>
    </row>
    <row r="298" spans="1:26" ht="18" customHeight="1" x14ac:dyDescent="0.3">
      <c r="A298" s="142"/>
      <c r="B298" s="143"/>
      <c r="C298" s="144" t="str">
        <f>IF(B298="","",IFERROR(INDEX('12 P6 activities'!$B$7:$B$206,MATCH(B298,'12 P6 activities'!$A$7:$A$206,0)),"⚠ not in P6 list"))</f>
        <v/>
      </c>
      <c r="D298" s="144" t="str">
        <f>IF(B298="","",IFERROR(INDEX('12 P6 activities'!$C$7:$C$206,MATCH(B298,'12 P6 activities'!$A$7:$A$206,0)),"⚠ not in P6 list"))</f>
        <v/>
      </c>
      <c r="E298" s="145"/>
      <c r="F298" s="146"/>
      <c r="G298" s="147"/>
      <c r="H298" s="148"/>
      <c r="I298" s="149"/>
      <c r="J298" s="150" t="str">
        <f t="shared" si="4"/>
        <v/>
      </c>
      <c r="K298" s="149"/>
      <c r="L298" s="149"/>
      <c r="M298" s="6"/>
      <c r="N298" s="6"/>
      <c r="O298" s="6"/>
      <c r="P298" s="6"/>
      <c r="Q298" s="6"/>
      <c r="R298" s="6"/>
      <c r="S298" s="6"/>
      <c r="T298" s="6"/>
      <c r="U298" s="6"/>
      <c r="V298" s="6"/>
      <c r="W298" s="6"/>
      <c r="X298" s="6"/>
      <c r="Y298" s="6"/>
      <c r="Z298" s="6"/>
    </row>
    <row r="299" spans="1:26" ht="18" customHeight="1" x14ac:dyDescent="0.3">
      <c r="A299" s="142"/>
      <c r="B299" s="143"/>
      <c r="C299" s="144" t="str">
        <f>IF(B299="","",IFERROR(INDEX('12 P6 activities'!$B$7:$B$206,MATCH(B299,'12 P6 activities'!$A$7:$A$206,0)),"⚠ not in P6 list"))</f>
        <v/>
      </c>
      <c r="D299" s="144" t="str">
        <f>IF(B299="","",IFERROR(INDEX('12 P6 activities'!$C$7:$C$206,MATCH(B299,'12 P6 activities'!$A$7:$A$206,0)),"⚠ not in P6 list"))</f>
        <v/>
      </c>
      <c r="E299" s="145"/>
      <c r="F299" s="146"/>
      <c r="G299" s="147"/>
      <c r="H299" s="148"/>
      <c r="I299" s="149"/>
      <c r="J299" s="150" t="str">
        <f t="shared" si="4"/>
        <v/>
      </c>
      <c r="K299" s="149"/>
      <c r="L299" s="149"/>
      <c r="M299" s="6"/>
      <c r="N299" s="6"/>
      <c r="O299" s="6"/>
      <c r="P299" s="6"/>
      <c r="Q299" s="6"/>
      <c r="R299" s="6"/>
      <c r="S299" s="6"/>
      <c r="T299" s="6"/>
      <c r="U299" s="6"/>
      <c r="V299" s="6"/>
      <c r="W299" s="6"/>
      <c r="X299" s="6"/>
      <c r="Y299" s="6"/>
      <c r="Z299" s="6"/>
    </row>
    <row r="300" spans="1:26" ht="18" customHeight="1" x14ac:dyDescent="0.3">
      <c r="A300" s="142"/>
      <c r="B300" s="143"/>
      <c r="C300" s="144" t="str">
        <f>IF(B300="","",IFERROR(INDEX('12 P6 activities'!$B$7:$B$206,MATCH(B300,'12 P6 activities'!$A$7:$A$206,0)),"⚠ not in P6 list"))</f>
        <v/>
      </c>
      <c r="D300" s="144" t="str">
        <f>IF(B300="","",IFERROR(INDEX('12 P6 activities'!$C$7:$C$206,MATCH(B300,'12 P6 activities'!$A$7:$A$206,0)),"⚠ not in P6 list"))</f>
        <v/>
      </c>
      <c r="E300" s="145"/>
      <c r="F300" s="146"/>
      <c r="G300" s="147"/>
      <c r="H300" s="148"/>
      <c r="I300" s="149"/>
      <c r="J300" s="150" t="str">
        <f t="shared" si="4"/>
        <v/>
      </c>
      <c r="K300" s="149"/>
      <c r="L300" s="149"/>
      <c r="M300" s="6"/>
      <c r="N300" s="6"/>
      <c r="O300" s="6"/>
      <c r="P300" s="6"/>
      <c r="Q300" s="6"/>
      <c r="R300" s="6"/>
      <c r="S300" s="6"/>
      <c r="T300" s="6"/>
      <c r="U300" s="6"/>
      <c r="V300" s="6"/>
      <c r="W300" s="6"/>
      <c r="X300" s="6"/>
      <c r="Y300" s="6"/>
      <c r="Z300" s="6"/>
    </row>
    <row r="301" spans="1:26" ht="18" customHeight="1" x14ac:dyDescent="0.3">
      <c r="A301" s="142"/>
      <c r="B301" s="143"/>
      <c r="C301" s="144" t="str">
        <f>IF(B301="","",IFERROR(INDEX('12 P6 activities'!$B$7:$B$206,MATCH(B301,'12 P6 activities'!$A$7:$A$206,0)),"⚠ not in P6 list"))</f>
        <v/>
      </c>
      <c r="D301" s="144" t="str">
        <f>IF(B301="","",IFERROR(INDEX('12 P6 activities'!$C$7:$C$206,MATCH(B301,'12 P6 activities'!$A$7:$A$206,0)),"⚠ not in P6 list"))</f>
        <v/>
      </c>
      <c r="E301" s="145"/>
      <c r="F301" s="146"/>
      <c r="G301" s="147"/>
      <c r="H301" s="148"/>
      <c r="I301" s="149"/>
      <c r="J301" s="150" t="str">
        <f t="shared" si="4"/>
        <v/>
      </c>
      <c r="K301" s="149"/>
      <c r="L301" s="149"/>
      <c r="M301" s="6"/>
      <c r="N301" s="6"/>
      <c r="O301" s="6"/>
      <c r="P301" s="6"/>
      <c r="Q301" s="6"/>
      <c r="R301" s="6"/>
      <c r="S301" s="6"/>
      <c r="T301" s="6"/>
      <c r="U301" s="6"/>
      <c r="V301" s="6"/>
      <c r="W301" s="6"/>
      <c r="X301" s="6"/>
      <c r="Y301" s="6"/>
      <c r="Z301" s="6"/>
    </row>
    <row r="302" spans="1:26" ht="18" customHeight="1" x14ac:dyDescent="0.3">
      <c r="A302" s="142"/>
      <c r="B302" s="143"/>
      <c r="C302" s="144" t="str">
        <f>IF(B302="","",IFERROR(INDEX('12 P6 activities'!$B$7:$B$206,MATCH(B302,'12 P6 activities'!$A$7:$A$206,0)),"⚠ not in P6 list"))</f>
        <v/>
      </c>
      <c r="D302" s="144" t="str">
        <f>IF(B302="","",IFERROR(INDEX('12 P6 activities'!$C$7:$C$206,MATCH(B302,'12 P6 activities'!$A$7:$A$206,0)),"⚠ not in P6 list"))</f>
        <v/>
      </c>
      <c r="E302" s="145"/>
      <c r="F302" s="146"/>
      <c r="G302" s="147"/>
      <c r="H302" s="148"/>
      <c r="I302" s="149"/>
      <c r="J302" s="150" t="str">
        <f t="shared" si="4"/>
        <v/>
      </c>
      <c r="K302" s="149"/>
      <c r="L302" s="149"/>
      <c r="M302" s="6"/>
      <c r="N302" s="6"/>
      <c r="O302" s="6"/>
      <c r="P302" s="6"/>
      <c r="Q302" s="6"/>
      <c r="R302" s="6"/>
      <c r="S302" s="6"/>
      <c r="T302" s="6"/>
      <c r="U302" s="6"/>
      <c r="V302" s="6"/>
      <c r="W302" s="6"/>
      <c r="X302" s="6"/>
      <c r="Y302" s="6"/>
      <c r="Z302" s="6"/>
    </row>
    <row r="303" spans="1:26" ht="18" customHeight="1" x14ac:dyDescent="0.3">
      <c r="A303" s="142"/>
      <c r="B303" s="143"/>
      <c r="C303" s="144" t="str">
        <f>IF(B303="","",IFERROR(INDEX('12 P6 activities'!$B$7:$B$206,MATCH(B303,'12 P6 activities'!$A$7:$A$206,0)),"⚠ not in P6 list"))</f>
        <v/>
      </c>
      <c r="D303" s="144" t="str">
        <f>IF(B303="","",IFERROR(INDEX('12 P6 activities'!$C$7:$C$206,MATCH(B303,'12 P6 activities'!$A$7:$A$206,0)),"⚠ not in P6 list"))</f>
        <v/>
      </c>
      <c r="E303" s="145"/>
      <c r="F303" s="146"/>
      <c r="G303" s="147"/>
      <c r="H303" s="148"/>
      <c r="I303" s="149"/>
      <c r="J303" s="150" t="str">
        <f t="shared" si="4"/>
        <v/>
      </c>
      <c r="K303" s="149"/>
      <c r="L303" s="149"/>
      <c r="M303" s="6"/>
      <c r="N303" s="6"/>
      <c r="O303" s="6"/>
      <c r="P303" s="6"/>
      <c r="Q303" s="6"/>
      <c r="R303" s="6"/>
      <c r="S303" s="6"/>
      <c r="T303" s="6"/>
      <c r="U303" s="6"/>
      <c r="V303" s="6"/>
      <c r="W303" s="6"/>
      <c r="X303" s="6"/>
      <c r="Y303" s="6"/>
      <c r="Z303" s="6"/>
    </row>
    <row r="304" spans="1:26" ht="18" customHeight="1" x14ac:dyDescent="0.3">
      <c r="A304" s="142"/>
      <c r="B304" s="143"/>
      <c r="C304" s="144" t="str">
        <f>IF(B304="","",IFERROR(INDEX('12 P6 activities'!$B$7:$B$206,MATCH(B304,'12 P6 activities'!$A$7:$A$206,0)),"⚠ not in P6 list"))</f>
        <v/>
      </c>
      <c r="D304" s="144" t="str">
        <f>IF(B304="","",IFERROR(INDEX('12 P6 activities'!$C$7:$C$206,MATCH(B304,'12 P6 activities'!$A$7:$A$206,0)),"⚠ not in P6 list"))</f>
        <v/>
      </c>
      <c r="E304" s="145"/>
      <c r="F304" s="146"/>
      <c r="G304" s="147"/>
      <c r="H304" s="148"/>
      <c r="I304" s="149"/>
      <c r="J304" s="150" t="str">
        <f t="shared" si="4"/>
        <v/>
      </c>
      <c r="K304" s="149"/>
      <c r="L304" s="149"/>
      <c r="M304" s="6"/>
      <c r="N304" s="6"/>
      <c r="O304" s="6"/>
      <c r="P304" s="6"/>
      <c r="Q304" s="6"/>
      <c r="R304" s="6"/>
      <c r="S304" s="6"/>
      <c r="T304" s="6"/>
      <c r="U304" s="6"/>
      <c r="V304" s="6"/>
      <c r="W304" s="6"/>
      <c r="X304" s="6"/>
      <c r="Y304" s="6"/>
      <c r="Z304" s="6"/>
    </row>
    <row r="305" spans="1:26" ht="18" customHeight="1" x14ac:dyDescent="0.3">
      <c r="A305" s="142"/>
      <c r="B305" s="143"/>
      <c r="C305" s="144" t="str">
        <f>IF(B305="","",IFERROR(INDEX('12 P6 activities'!$B$7:$B$206,MATCH(B305,'12 P6 activities'!$A$7:$A$206,0)),"⚠ not in P6 list"))</f>
        <v/>
      </c>
      <c r="D305" s="144" t="str">
        <f>IF(B305="","",IFERROR(INDEX('12 P6 activities'!$C$7:$C$206,MATCH(B305,'12 P6 activities'!$A$7:$A$206,0)),"⚠ not in P6 list"))</f>
        <v/>
      </c>
      <c r="E305" s="145"/>
      <c r="F305" s="146"/>
      <c r="G305" s="147"/>
      <c r="H305" s="148"/>
      <c r="I305" s="149"/>
      <c r="J305" s="150" t="str">
        <f t="shared" si="4"/>
        <v/>
      </c>
      <c r="K305" s="149"/>
      <c r="L305" s="149"/>
      <c r="M305" s="6"/>
      <c r="N305" s="6"/>
      <c r="O305" s="6"/>
      <c r="P305" s="6"/>
      <c r="Q305" s="6"/>
      <c r="R305" s="6"/>
      <c r="S305" s="6"/>
      <c r="T305" s="6"/>
      <c r="U305" s="6"/>
      <c r="V305" s="6"/>
      <c r="W305" s="6"/>
      <c r="X305" s="6"/>
      <c r="Y305" s="6"/>
      <c r="Z305" s="6"/>
    </row>
    <row r="306" spans="1:26" ht="18" customHeight="1" x14ac:dyDescent="0.3">
      <c r="A306" s="142"/>
      <c r="B306" s="143"/>
      <c r="C306" s="144" t="str">
        <f>IF(B306="","",IFERROR(INDEX('12 P6 activities'!$B$7:$B$206,MATCH(B306,'12 P6 activities'!$A$7:$A$206,0)),"⚠ not in P6 list"))</f>
        <v/>
      </c>
      <c r="D306" s="144" t="str">
        <f>IF(B306="","",IFERROR(INDEX('12 P6 activities'!$C$7:$C$206,MATCH(B306,'12 P6 activities'!$A$7:$A$206,0)),"⚠ not in P6 list"))</f>
        <v/>
      </c>
      <c r="E306" s="145"/>
      <c r="F306" s="146"/>
      <c r="G306" s="147"/>
      <c r="H306" s="148"/>
      <c r="I306" s="149"/>
      <c r="J306" s="150" t="str">
        <f t="shared" si="4"/>
        <v/>
      </c>
      <c r="K306" s="149"/>
      <c r="L306" s="149"/>
      <c r="M306" s="6"/>
      <c r="N306" s="6"/>
      <c r="O306" s="6"/>
      <c r="P306" s="6"/>
      <c r="Q306" s="6"/>
      <c r="R306" s="6"/>
      <c r="S306" s="6"/>
      <c r="T306" s="6"/>
      <c r="U306" s="6"/>
      <c r="V306" s="6"/>
      <c r="W306" s="6"/>
      <c r="X306" s="6"/>
      <c r="Y306" s="6"/>
      <c r="Z306" s="6"/>
    </row>
    <row r="307" spans="1:26" ht="18" customHeight="1" x14ac:dyDescent="0.3">
      <c r="A307" s="142"/>
      <c r="B307" s="143"/>
      <c r="C307" s="144" t="str">
        <f>IF(B307="","",IFERROR(INDEX('12 P6 activities'!$B$7:$B$206,MATCH(B307,'12 P6 activities'!$A$7:$A$206,0)),"⚠ not in P6 list"))</f>
        <v/>
      </c>
      <c r="D307" s="144" t="str">
        <f>IF(B307="","",IFERROR(INDEX('12 P6 activities'!$C$7:$C$206,MATCH(B307,'12 P6 activities'!$A$7:$A$206,0)),"⚠ not in P6 list"))</f>
        <v/>
      </c>
      <c r="E307" s="145"/>
      <c r="F307" s="146"/>
      <c r="G307" s="147"/>
      <c r="H307" s="148"/>
      <c r="I307" s="149"/>
      <c r="J307" s="150" t="str">
        <f t="shared" si="4"/>
        <v/>
      </c>
      <c r="K307" s="149"/>
      <c r="L307" s="149"/>
      <c r="M307" s="6"/>
      <c r="N307" s="6"/>
      <c r="O307" s="6"/>
      <c r="P307" s="6"/>
      <c r="Q307" s="6"/>
      <c r="R307" s="6"/>
      <c r="S307" s="6"/>
      <c r="T307" s="6"/>
      <c r="U307" s="6"/>
      <c r="V307" s="6"/>
      <c r="W307" s="6"/>
      <c r="X307" s="6"/>
      <c r="Y307" s="6"/>
      <c r="Z307" s="6"/>
    </row>
    <row r="308" spans="1:26" ht="18" customHeight="1" x14ac:dyDescent="0.3">
      <c r="A308" s="142"/>
      <c r="B308" s="143"/>
      <c r="C308" s="144" t="str">
        <f>IF(B308="","",IFERROR(INDEX('12 P6 activities'!$B$7:$B$206,MATCH(B308,'12 P6 activities'!$A$7:$A$206,0)),"⚠ not in P6 list"))</f>
        <v/>
      </c>
      <c r="D308" s="144" t="str">
        <f>IF(B308="","",IFERROR(INDEX('12 P6 activities'!$C$7:$C$206,MATCH(B308,'12 P6 activities'!$A$7:$A$206,0)),"⚠ not in P6 list"))</f>
        <v/>
      </c>
      <c r="E308" s="145"/>
      <c r="F308" s="146"/>
      <c r="G308" s="147"/>
      <c r="H308" s="148"/>
      <c r="I308" s="149"/>
      <c r="J308" s="150" t="str">
        <f t="shared" si="4"/>
        <v/>
      </c>
      <c r="K308" s="149"/>
      <c r="L308" s="149"/>
      <c r="M308" s="6"/>
      <c r="N308" s="6"/>
      <c r="O308" s="6"/>
      <c r="P308" s="6"/>
      <c r="Q308" s="6"/>
      <c r="R308" s="6"/>
      <c r="S308" s="6"/>
      <c r="T308" s="6"/>
      <c r="U308" s="6"/>
      <c r="V308" s="6"/>
      <c r="W308" s="6"/>
      <c r="X308" s="6"/>
      <c r="Y308" s="6"/>
      <c r="Z308" s="6"/>
    </row>
    <row r="309" spans="1:26" ht="18" customHeight="1" x14ac:dyDescent="0.3">
      <c r="A309" s="142"/>
      <c r="B309" s="143"/>
      <c r="C309" s="144" t="str">
        <f>IF(B309="","",IFERROR(INDEX('12 P6 activities'!$B$7:$B$206,MATCH(B309,'12 P6 activities'!$A$7:$A$206,0)),"⚠ not in P6 list"))</f>
        <v/>
      </c>
      <c r="D309" s="144" t="str">
        <f>IF(B309="","",IFERROR(INDEX('12 P6 activities'!$C$7:$C$206,MATCH(B309,'12 P6 activities'!$A$7:$A$206,0)),"⚠ not in P6 list"))</f>
        <v/>
      </c>
      <c r="E309" s="145"/>
      <c r="F309" s="146"/>
      <c r="G309" s="147"/>
      <c r="H309" s="148"/>
      <c r="I309" s="149"/>
      <c r="J309" s="150" t="str">
        <f t="shared" si="4"/>
        <v/>
      </c>
      <c r="K309" s="149"/>
      <c r="L309" s="149"/>
      <c r="M309" s="6"/>
      <c r="N309" s="6"/>
      <c r="O309" s="6"/>
      <c r="P309" s="6"/>
      <c r="Q309" s="6"/>
      <c r="R309" s="6"/>
      <c r="S309" s="6"/>
      <c r="T309" s="6"/>
      <c r="U309" s="6"/>
      <c r="V309" s="6"/>
      <c r="W309" s="6"/>
      <c r="X309" s="6"/>
      <c r="Y309" s="6"/>
      <c r="Z309" s="6"/>
    </row>
    <row r="310" spans="1:26" ht="18" customHeight="1" x14ac:dyDescent="0.3">
      <c r="A310" s="142"/>
      <c r="B310" s="143"/>
      <c r="C310" s="144" t="str">
        <f>IF(B310="","",IFERROR(INDEX('12 P6 activities'!$B$7:$B$206,MATCH(B310,'12 P6 activities'!$A$7:$A$206,0)),"⚠ not in P6 list"))</f>
        <v/>
      </c>
      <c r="D310" s="144" t="str">
        <f>IF(B310="","",IFERROR(INDEX('12 P6 activities'!$C$7:$C$206,MATCH(B310,'12 P6 activities'!$A$7:$A$206,0)),"⚠ not in P6 list"))</f>
        <v/>
      </c>
      <c r="E310" s="145"/>
      <c r="F310" s="146"/>
      <c r="G310" s="147"/>
      <c r="H310" s="148"/>
      <c r="I310" s="149"/>
      <c r="J310" s="150" t="str">
        <f t="shared" si="4"/>
        <v/>
      </c>
      <c r="K310" s="149"/>
      <c r="L310" s="149"/>
      <c r="M310" s="6"/>
      <c r="N310" s="6"/>
      <c r="O310" s="6"/>
      <c r="P310" s="6"/>
      <c r="Q310" s="6"/>
      <c r="R310" s="6"/>
      <c r="S310" s="6"/>
      <c r="T310" s="6"/>
      <c r="U310" s="6"/>
      <c r="V310" s="6"/>
      <c r="W310" s="6"/>
      <c r="X310" s="6"/>
      <c r="Y310" s="6"/>
      <c r="Z310" s="6"/>
    </row>
    <row r="311" spans="1:26" ht="18" customHeight="1" x14ac:dyDescent="0.3">
      <c r="A311" s="142"/>
      <c r="B311" s="143"/>
      <c r="C311" s="144" t="str">
        <f>IF(B311="","",IFERROR(INDEX('12 P6 activities'!$B$7:$B$206,MATCH(B311,'12 P6 activities'!$A$7:$A$206,0)),"⚠ not in P6 list"))</f>
        <v/>
      </c>
      <c r="D311" s="144" t="str">
        <f>IF(B311="","",IFERROR(INDEX('12 P6 activities'!$C$7:$C$206,MATCH(B311,'12 P6 activities'!$A$7:$A$206,0)),"⚠ not in P6 list"))</f>
        <v/>
      </c>
      <c r="E311" s="145"/>
      <c r="F311" s="146"/>
      <c r="G311" s="147"/>
      <c r="H311" s="148"/>
      <c r="I311" s="149"/>
      <c r="J311" s="150" t="str">
        <f t="shared" si="4"/>
        <v/>
      </c>
      <c r="K311" s="149"/>
      <c r="L311" s="149"/>
      <c r="M311" s="6"/>
      <c r="N311" s="6"/>
      <c r="O311" s="6"/>
      <c r="P311" s="6"/>
      <c r="Q311" s="6"/>
      <c r="R311" s="6"/>
      <c r="S311" s="6"/>
      <c r="T311" s="6"/>
      <c r="U311" s="6"/>
      <c r="V311" s="6"/>
      <c r="W311" s="6"/>
      <c r="X311" s="6"/>
      <c r="Y311" s="6"/>
      <c r="Z311" s="6"/>
    </row>
    <row r="312" spans="1:26" ht="18" customHeight="1" x14ac:dyDescent="0.3">
      <c r="A312" s="142"/>
      <c r="B312" s="143"/>
      <c r="C312" s="144" t="str">
        <f>IF(B312="","",IFERROR(INDEX('12 P6 activities'!$B$7:$B$206,MATCH(B312,'12 P6 activities'!$A$7:$A$206,0)),"⚠ not in P6 list"))</f>
        <v/>
      </c>
      <c r="D312" s="144" t="str">
        <f>IF(B312="","",IFERROR(INDEX('12 P6 activities'!$C$7:$C$206,MATCH(B312,'12 P6 activities'!$A$7:$A$206,0)),"⚠ not in P6 list"))</f>
        <v/>
      </c>
      <c r="E312" s="145"/>
      <c r="F312" s="146"/>
      <c r="G312" s="147"/>
      <c r="H312" s="148"/>
      <c r="I312" s="149"/>
      <c r="J312" s="150" t="str">
        <f t="shared" si="4"/>
        <v/>
      </c>
      <c r="K312" s="149"/>
      <c r="L312" s="149"/>
      <c r="M312" s="6"/>
      <c r="N312" s="6"/>
      <c r="O312" s="6"/>
      <c r="P312" s="6"/>
      <c r="Q312" s="6"/>
      <c r="R312" s="6"/>
      <c r="S312" s="6"/>
      <c r="T312" s="6"/>
      <c r="U312" s="6"/>
      <c r="V312" s="6"/>
      <c r="W312" s="6"/>
      <c r="X312" s="6"/>
      <c r="Y312" s="6"/>
      <c r="Z312" s="6"/>
    </row>
    <row r="313" spans="1:26" ht="18" customHeight="1" x14ac:dyDescent="0.3">
      <c r="A313" s="142"/>
      <c r="B313" s="143"/>
      <c r="C313" s="144" t="str">
        <f>IF(B313="","",IFERROR(INDEX('12 P6 activities'!$B$7:$B$206,MATCH(B313,'12 P6 activities'!$A$7:$A$206,0)),"⚠ not in P6 list"))</f>
        <v/>
      </c>
      <c r="D313" s="144" t="str">
        <f>IF(B313="","",IFERROR(INDEX('12 P6 activities'!$C$7:$C$206,MATCH(B313,'12 P6 activities'!$A$7:$A$206,0)),"⚠ not in P6 list"))</f>
        <v/>
      </c>
      <c r="E313" s="145"/>
      <c r="F313" s="146"/>
      <c r="G313" s="147"/>
      <c r="H313" s="148"/>
      <c r="I313" s="149"/>
      <c r="J313" s="150" t="str">
        <f t="shared" si="4"/>
        <v/>
      </c>
      <c r="K313" s="149"/>
      <c r="L313" s="149"/>
      <c r="M313" s="6"/>
      <c r="N313" s="6"/>
      <c r="O313" s="6"/>
      <c r="P313" s="6"/>
      <c r="Q313" s="6"/>
      <c r="R313" s="6"/>
      <c r="S313" s="6"/>
      <c r="T313" s="6"/>
      <c r="U313" s="6"/>
      <c r="V313" s="6"/>
      <c r="W313" s="6"/>
      <c r="X313" s="6"/>
      <c r="Y313" s="6"/>
      <c r="Z313" s="6"/>
    </row>
    <row r="314" spans="1:26" ht="18" customHeight="1" x14ac:dyDescent="0.3">
      <c r="A314" s="142"/>
      <c r="B314" s="143"/>
      <c r="C314" s="144" t="str">
        <f>IF(B314="","",IFERROR(INDEX('12 P6 activities'!$B$7:$B$206,MATCH(B314,'12 P6 activities'!$A$7:$A$206,0)),"⚠ not in P6 list"))</f>
        <v/>
      </c>
      <c r="D314" s="144" t="str">
        <f>IF(B314="","",IFERROR(INDEX('12 P6 activities'!$C$7:$C$206,MATCH(B314,'12 P6 activities'!$A$7:$A$206,0)),"⚠ not in P6 list"))</f>
        <v/>
      </c>
      <c r="E314" s="145"/>
      <c r="F314" s="146"/>
      <c r="G314" s="147"/>
      <c r="H314" s="148"/>
      <c r="I314" s="149"/>
      <c r="J314" s="150" t="str">
        <f t="shared" si="4"/>
        <v/>
      </c>
      <c r="K314" s="149"/>
      <c r="L314" s="149"/>
      <c r="M314" s="6"/>
      <c r="N314" s="6"/>
      <c r="O314" s="6"/>
      <c r="P314" s="6"/>
      <c r="Q314" s="6"/>
      <c r="R314" s="6"/>
      <c r="S314" s="6"/>
      <c r="T314" s="6"/>
      <c r="U314" s="6"/>
      <c r="V314" s="6"/>
      <c r="W314" s="6"/>
      <c r="X314" s="6"/>
      <c r="Y314" s="6"/>
      <c r="Z314" s="6"/>
    </row>
    <row r="315" spans="1:26" ht="18" customHeight="1" x14ac:dyDescent="0.3">
      <c r="A315" s="142"/>
      <c r="B315" s="143"/>
      <c r="C315" s="144" t="str">
        <f>IF(B315="","",IFERROR(INDEX('12 P6 activities'!$B$7:$B$206,MATCH(B315,'12 P6 activities'!$A$7:$A$206,0)),"⚠ not in P6 list"))</f>
        <v/>
      </c>
      <c r="D315" s="144" t="str">
        <f>IF(B315="","",IFERROR(INDEX('12 P6 activities'!$C$7:$C$206,MATCH(B315,'12 P6 activities'!$A$7:$A$206,0)),"⚠ not in P6 list"))</f>
        <v/>
      </c>
      <c r="E315" s="145"/>
      <c r="F315" s="146"/>
      <c r="G315" s="147"/>
      <c r="H315" s="148"/>
      <c r="I315" s="149"/>
      <c r="J315" s="150" t="str">
        <f t="shared" si="4"/>
        <v/>
      </c>
      <c r="K315" s="149"/>
      <c r="L315" s="149"/>
      <c r="M315" s="6"/>
      <c r="N315" s="6"/>
      <c r="O315" s="6"/>
      <c r="P315" s="6"/>
      <c r="Q315" s="6"/>
      <c r="R315" s="6"/>
      <c r="S315" s="6"/>
      <c r="T315" s="6"/>
      <c r="U315" s="6"/>
      <c r="V315" s="6"/>
      <c r="W315" s="6"/>
      <c r="X315" s="6"/>
      <c r="Y315" s="6"/>
      <c r="Z315" s="6"/>
    </row>
    <row r="316" spans="1:26" ht="18" customHeight="1" x14ac:dyDescent="0.3">
      <c r="A316" s="142"/>
      <c r="B316" s="143"/>
      <c r="C316" s="144" t="str">
        <f>IF(B316="","",IFERROR(INDEX('12 P6 activities'!$B$7:$B$206,MATCH(B316,'12 P6 activities'!$A$7:$A$206,0)),"⚠ not in P6 list"))</f>
        <v/>
      </c>
      <c r="D316" s="144" t="str">
        <f>IF(B316="","",IFERROR(INDEX('12 P6 activities'!$C$7:$C$206,MATCH(B316,'12 P6 activities'!$A$7:$A$206,0)),"⚠ not in P6 list"))</f>
        <v/>
      </c>
      <c r="E316" s="145"/>
      <c r="F316" s="146"/>
      <c r="G316" s="147"/>
      <c r="H316" s="148"/>
      <c r="I316" s="149"/>
      <c r="J316" s="150" t="str">
        <f t="shared" si="4"/>
        <v/>
      </c>
      <c r="K316" s="149"/>
      <c r="L316" s="149"/>
      <c r="M316" s="6"/>
      <c r="N316" s="6"/>
      <c r="O316" s="6"/>
      <c r="P316" s="6"/>
      <c r="Q316" s="6"/>
      <c r="R316" s="6"/>
      <c r="S316" s="6"/>
      <c r="T316" s="6"/>
      <c r="U316" s="6"/>
      <c r="V316" s="6"/>
      <c r="W316" s="6"/>
      <c r="X316" s="6"/>
      <c r="Y316" s="6"/>
      <c r="Z316" s="6"/>
    </row>
    <row r="317" spans="1:26" ht="18" customHeight="1" x14ac:dyDescent="0.3">
      <c r="A317" s="142"/>
      <c r="B317" s="143"/>
      <c r="C317" s="144" t="str">
        <f>IF(B317="","",IFERROR(INDEX('12 P6 activities'!$B$7:$B$206,MATCH(B317,'12 P6 activities'!$A$7:$A$206,0)),"⚠ not in P6 list"))</f>
        <v/>
      </c>
      <c r="D317" s="144" t="str">
        <f>IF(B317="","",IFERROR(INDEX('12 P6 activities'!$C$7:$C$206,MATCH(B317,'12 P6 activities'!$A$7:$A$206,0)),"⚠ not in P6 list"))</f>
        <v/>
      </c>
      <c r="E317" s="145"/>
      <c r="F317" s="146"/>
      <c r="G317" s="147"/>
      <c r="H317" s="148"/>
      <c r="I317" s="149"/>
      <c r="J317" s="150" t="str">
        <f t="shared" si="4"/>
        <v/>
      </c>
      <c r="K317" s="149"/>
      <c r="L317" s="149"/>
      <c r="M317" s="6"/>
      <c r="N317" s="6"/>
      <c r="O317" s="6"/>
      <c r="P317" s="6"/>
      <c r="Q317" s="6"/>
      <c r="R317" s="6"/>
      <c r="S317" s="6"/>
      <c r="T317" s="6"/>
      <c r="U317" s="6"/>
      <c r="V317" s="6"/>
      <c r="W317" s="6"/>
      <c r="X317" s="6"/>
      <c r="Y317" s="6"/>
      <c r="Z317" s="6"/>
    </row>
    <row r="318" spans="1:26" ht="18" customHeight="1" x14ac:dyDescent="0.3">
      <c r="A318" s="142"/>
      <c r="B318" s="143"/>
      <c r="C318" s="144" t="str">
        <f>IF(B318="","",IFERROR(INDEX('12 P6 activities'!$B$7:$B$206,MATCH(B318,'12 P6 activities'!$A$7:$A$206,0)),"⚠ not in P6 list"))</f>
        <v/>
      </c>
      <c r="D318" s="144" t="str">
        <f>IF(B318="","",IFERROR(INDEX('12 P6 activities'!$C$7:$C$206,MATCH(B318,'12 P6 activities'!$A$7:$A$206,0)),"⚠ not in P6 list"))</f>
        <v/>
      </c>
      <c r="E318" s="145"/>
      <c r="F318" s="146"/>
      <c r="G318" s="147"/>
      <c r="H318" s="148"/>
      <c r="I318" s="149"/>
      <c r="J318" s="150" t="str">
        <f t="shared" si="4"/>
        <v/>
      </c>
      <c r="K318" s="149"/>
      <c r="L318" s="149"/>
      <c r="M318" s="6"/>
      <c r="N318" s="6"/>
      <c r="O318" s="6"/>
      <c r="P318" s="6"/>
      <c r="Q318" s="6"/>
      <c r="R318" s="6"/>
      <c r="S318" s="6"/>
      <c r="T318" s="6"/>
      <c r="U318" s="6"/>
      <c r="V318" s="6"/>
      <c r="W318" s="6"/>
      <c r="X318" s="6"/>
      <c r="Y318" s="6"/>
      <c r="Z318" s="6"/>
    </row>
    <row r="319" spans="1:26" ht="18" customHeight="1" x14ac:dyDescent="0.3">
      <c r="A319" s="142"/>
      <c r="B319" s="143"/>
      <c r="C319" s="144" t="str">
        <f>IF(B319="","",IFERROR(INDEX('12 P6 activities'!$B$7:$B$206,MATCH(B319,'12 P6 activities'!$A$7:$A$206,0)),"⚠ not in P6 list"))</f>
        <v/>
      </c>
      <c r="D319" s="144" t="str">
        <f>IF(B319="","",IFERROR(INDEX('12 P6 activities'!$C$7:$C$206,MATCH(B319,'12 P6 activities'!$A$7:$A$206,0)),"⚠ not in P6 list"))</f>
        <v/>
      </c>
      <c r="E319" s="145"/>
      <c r="F319" s="146"/>
      <c r="G319" s="147"/>
      <c r="H319" s="148"/>
      <c r="I319" s="149"/>
      <c r="J319" s="150" t="str">
        <f t="shared" si="4"/>
        <v/>
      </c>
      <c r="K319" s="149"/>
      <c r="L319" s="149"/>
      <c r="M319" s="6"/>
      <c r="N319" s="6"/>
      <c r="O319" s="6"/>
      <c r="P319" s="6"/>
      <c r="Q319" s="6"/>
      <c r="R319" s="6"/>
      <c r="S319" s="6"/>
      <c r="T319" s="6"/>
      <c r="U319" s="6"/>
      <c r="V319" s="6"/>
      <c r="W319" s="6"/>
      <c r="X319" s="6"/>
      <c r="Y319" s="6"/>
      <c r="Z319" s="6"/>
    </row>
    <row r="320" spans="1:26" ht="18" customHeight="1" x14ac:dyDescent="0.3">
      <c r="A320" s="142"/>
      <c r="B320" s="143"/>
      <c r="C320" s="144" t="str">
        <f>IF(B320="","",IFERROR(INDEX('12 P6 activities'!$B$7:$B$206,MATCH(B320,'12 P6 activities'!$A$7:$A$206,0)),"⚠ not in P6 list"))</f>
        <v/>
      </c>
      <c r="D320" s="144" t="str">
        <f>IF(B320="","",IFERROR(INDEX('12 P6 activities'!$C$7:$C$206,MATCH(B320,'12 P6 activities'!$A$7:$A$206,0)),"⚠ not in P6 list"))</f>
        <v/>
      </c>
      <c r="E320" s="145"/>
      <c r="F320" s="146"/>
      <c r="G320" s="147"/>
      <c r="H320" s="148"/>
      <c r="I320" s="149"/>
      <c r="J320" s="150" t="str">
        <f t="shared" si="4"/>
        <v/>
      </c>
      <c r="K320" s="149"/>
      <c r="L320" s="149"/>
      <c r="M320" s="6"/>
      <c r="N320" s="6"/>
      <c r="O320" s="6"/>
      <c r="P320" s="6"/>
      <c r="Q320" s="6"/>
      <c r="R320" s="6"/>
      <c r="S320" s="6"/>
      <c r="T320" s="6"/>
      <c r="U320" s="6"/>
      <c r="V320" s="6"/>
      <c r="W320" s="6"/>
      <c r="X320" s="6"/>
      <c r="Y320" s="6"/>
      <c r="Z320" s="6"/>
    </row>
    <row r="321" spans="1:26" ht="18" customHeight="1" x14ac:dyDescent="0.3">
      <c r="A321" s="142"/>
      <c r="B321" s="143"/>
      <c r="C321" s="144" t="str">
        <f>IF(B321="","",IFERROR(INDEX('12 P6 activities'!$B$7:$B$206,MATCH(B321,'12 P6 activities'!$A$7:$A$206,0)),"⚠ not in P6 list"))</f>
        <v/>
      </c>
      <c r="D321" s="144" t="str">
        <f>IF(B321="","",IFERROR(INDEX('12 P6 activities'!$C$7:$C$206,MATCH(B321,'12 P6 activities'!$A$7:$A$206,0)),"⚠ not in P6 list"))</f>
        <v/>
      </c>
      <c r="E321" s="145"/>
      <c r="F321" s="146"/>
      <c r="G321" s="147"/>
      <c r="H321" s="148"/>
      <c r="I321" s="149"/>
      <c r="J321" s="150" t="str">
        <f t="shared" si="4"/>
        <v/>
      </c>
      <c r="K321" s="149"/>
      <c r="L321" s="149"/>
      <c r="M321" s="6"/>
      <c r="N321" s="6"/>
      <c r="O321" s="6"/>
      <c r="P321" s="6"/>
      <c r="Q321" s="6"/>
      <c r="R321" s="6"/>
      <c r="S321" s="6"/>
      <c r="T321" s="6"/>
      <c r="U321" s="6"/>
      <c r="V321" s="6"/>
      <c r="W321" s="6"/>
      <c r="X321" s="6"/>
      <c r="Y321" s="6"/>
      <c r="Z321" s="6"/>
    </row>
    <row r="322" spans="1:26" ht="18" customHeight="1" x14ac:dyDescent="0.3">
      <c r="A322" s="142"/>
      <c r="B322" s="143"/>
      <c r="C322" s="144" t="str">
        <f>IF(B322="","",IFERROR(INDEX('12 P6 activities'!$B$7:$B$206,MATCH(B322,'12 P6 activities'!$A$7:$A$206,0)),"⚠ not in P6 list"))</f>
        <v/>
      </c>
      <c r="D322" s="144" t="str">
        <f>IF(B322="","",IFERROR(INDEX('12 P6 activities'!$C$7:$C$206,MATCH(B322,'12 P6 activities'!$A$7:$A$206,0)),"⚠ not in P6 list"))</f>
        <v/>
      </c>
      <c r="E322" s="145"/>
      <c r="F322" s="146"/>
      <c r="G322" s="147"/>
      <c r="H322" s="148"/>
      <c r="I322" s="149"/>
      <c r="J322" s="150" t="str">
        <f t="shared" si="4"/>
        <v/>
      </c>
      <c r="K322" s="149"/>
      <c r="L322" s="149"/>
      <c r="M322" s="6"/>
      <c r="N322" s="6"/>
      <c r="O322" s="6"/>
      <c r="P322" s="6"/>
      <c r="Q322" s="6"/>
      <c r="R322" s="6"/>
      <c r="S322" s="6"/>
      <c r="T322" s="6"/>
      <c r="U322" s="6"/>
      <c r="V322" s="6"/>
      <c r="W322" s="6"/>
      <c r="X322" s="6"/>
      <c r="Y322" s="6"/>
      <c r="Z322" s="6"/>
    </row>
    <row r="323" spans="1:26" ht="18" customHeight="1" x14ac:dyDescent="0.3">
      <c r="A323" s="142"/>
      <c r="B323" s="143"/>
      <c r="C323" s="144" t="str">
        <f>IF(B323="","",IFERROR(INDEX('12 P6 activities'!$B$7:$B$206,MATCH(B323,'12 P6 activities'!$A$7:$A$206,0)),"⚠ not in P6 list"))</f>
        <v/>
      </c>
      <c r="D323" s="144" t="str">
        <f>IF(B323="","",IFERROR(INDEX('12 P6 activities'!$C$7:$C$206,MATCH(B323,'12 P6 activities'!$A$7:$A$206,0)),"⚠ not in P6 list"))</f>
        <v/>
      </c>
      <c r="E323" s="145"/>
      <c r="F323" s="146"/>
      <c r="G323" s="147"/>
      <c r="H323" s="148"/>
      <c r="I323" s="149"/>
      <c r="J323" s="150" t="str">
        <f t="shared" si="4"/>
        <v/>
      </c>
      <c r="K323" s="149"/>
      <c r="L323" s="149"/>
      <c r="M323" s="6"/>
      <c r="N323" s="6"/>
      <c r="O323" s="6"/>
      <c r="P323" s="6"/>
      <c r="Q323" s="6"/>
      <c r="R323" s="6"/>
      <c r="S323" s="6"/>
      <c r="T323" s="6"/>
      <c r="U323" s="6"/>
      <c r="V323" s="6"/>
      <c r="W323" s="6"/>
      <c r="X323" s="6"/>
      <c r="Y323" s="6"/>
      <c r="Z323" s="6"/>
    </row>
    <row r="324" spans="1:26" ht="18" customHeight="1" x14ac:dyDescent="0.3">
      <c r="A324" s="142"/>
      <c r="B324" s="143"/>
      <c r="C324" s="144" t="str">
        <f>IF(B324="","",IFERROR(INDEX('12 P6 activities'!$B$7:$B$206,MATCH(B324,'12 P6 activities'!$A$7:$A$206,0)),"⚠ not in P6 list"))</f>
        <v/>
      </c>
      <c r="D324" s="144" t="str">
        <f>IF(B324="","",IFERROR(INDEX('12 P6 activities'!$C$7:$C$206,MATCH(B324,'12 P6 activities'!$A$7:$A$206,0)),"⚠ not in P6 list"))</f>
        <v/>
      </c>
      <c r="E324" s="145"/>
      <c r="F324" s="146"/>
      <c r="G324" s="147"/>
      <c r="H324" s="148"/>
      <c r="I324" s="149"/>
      <c r="J324" s="150" t="str">
        <f t="shared" si="4"/>
        <v/>
      </c>
      <c r="K324" s="149"/>
      <c r="L324" s="149"/>
      <c r="M324" s="6"/>
      <c r="N324" s="6"/>
      <c r="O324" s="6"/>
      <c r="P324" s="6"/>
      <c r="Q324" s="6"/>
      <c r="R324" s="6"/>
      <c r="S324" s="6"/>
      <c r="T324" s="6"/>
      <c r="U324" s="6"/>
      <c r="V324" s="6"/>
      <c r="W324" s="6"/>
      <c r="X324" s="6"/>
      <c r="Y324" s="6"/>
      <c r="Z324" s="6"/>
    </row>
    <row r="325" spans="1:26" ht="18" customHeight="1" x14ac:dyDescent="0.3">
      <c r="A325" s="142"/>
      <c r="B325" s="143"/>
      <c r="C325" s="144" t="str">
        <f>IF(B325="","",IFERROR(INDEX('12 P6 activities'!$B$7:$B$206,MATCH(B325,'12 P6 activities'!$A$7:$A$206,0)),"⚠ not in P6 list"))</f>
        <v/>
      </c>
      <c r="D325" s="144" t="str">
        <f>IF(B325="","",IFERROR(INDEX('12 P6 activities'!$C$7:$C$206,MATCH(B325,'12 P6 activities'!$A$7:$A$206,0)),"⚠ not in P6 list"))</f>
        <v/>
      </c>
      <c r="E325" s="145"/>
      <c r="F325" s="146"/>
      <c r="G325" s="147"/>
      <c r="H325" s="148"/>
      <c r="I325" s="149"/>
      <c r="J325" s="150" t="str">
        <f t="shared" si="4"/>
        <v/>
      </c>
      <c r="K325" s="149"/>
      <c r="L325" s="149"/>
      <c r="M325" s="6"/>
      <c r="N325" s="6"/>
      <c r="O325" s="6"/>
      <c r="P325" s="6"/>
      <c r="Q325" s="6"/>
      <c r="R325" s="6"/>
      <c r="S325" s="6"/>
      <c r="T325" s="6"/>
      <c r="U325" s="6"/>
      <c r="V325" s="6"/>
      <c r="W325" s="6"/>
      <c r="X325" s="6"/>
      <c r="Y325" s="6"/>
      <c r="Z325" s="6"/>
    </row>
    <row r="326" spans="1:26" ht="18" customHeight="1" x14ac:dyDescent="0.3">
      <c r="A326" s="142"/>
      <c r="B326" s="143"/>
      <c r="C326" s="144" t="str">
        <f>IF(B326="","",IFERROR(INDEX('12 P6 activities'!$B$7:$B$206,MATCH(B326,'12 P6 activities'!$A$7:$A$206,0)),"⚠ not in P6 list"))</f>
        <v/>
      </c>
      <c r="D326" s="144" t="str">
        <f>IF(B326="","",IFERROR(INDEX('12 P6 activities'!$C$7:$C$206,MATCH(B326,'12 P6 activities'!$A$7:$A$206,0)),"⚠ not in P6 list"))</f>
        <v/>
      </c>
      <c r="E326" s="145"/>
      <c r="F326" s="146"/>
      <c r="G326" s="147"/>
      <c r="H326" s="148"/>
      <c r="I326" s="149"/>
      <c r="J326" s="150" t="str">
        <f t="shared" si="4"/>
        <v/>
      </c>
      <c r="K326" s="149"/>
      <c r="L326" s="149"/>
      <c r="M326" s="6"/>
      <c r="N326" s="6"/>
      <c r="O326" s="6"/>
      <c r="P326" s="6"/>
      <c r="Q326" s="6"/>
      <c r="R326" s="6"/>
      <c r="S326" s="6"/>
      <c r="T326" s="6"/>
      <c r="U326" s="6"/>
      <c r="V326" s="6"/>
      <c r="W326" s="6"/>
      <c r="X326" s="6"/>
      <c r="Y326" s="6"/>
      <c r="Z326" s="6"/>
    </row>
    <row r="327" spans="1:26" ht="18" customHeight="1" x14ac:dyDescent="0.3">
      <c r="A327" s="142"/>
      <c r="B327" s="143"/>
      <c r="C327" s="144" t="str">
        <f>IF(B327="","",IFERROR(INDEX('12 P6 activities'!$B$7:$B$206,MATCH(B327,'12 P6 activities'!$A$7:$A$206,0)),"⚠ not in P6 list"))</f>
        <v/>
      </c>
      <c r="D327" s="144" t="str">
        <f>IF(B327="","",IFERROR(INDEX('12 P6 activities'!$C$7:$C$206,MATCH(B327,'12 P6 activities'!$A$7:$A$206,0)),"⚠ not in P6 list"))</f>
        <v/>
      </c>
      <c r="E327" s="145"/>
      <c r="F327" s="146"/>
      <c r="G327" s="147"/>
      <c r="H327" s="148"/>
      <c r="I327" s="149"/>
      <c r="J327" s="150" t="str">
        <f t="shared" si="4"/>
        <v/>
      </c>
      <c r="K327" s="149"/>
      <c r="L327" s="149"/>
      <c r="M327" s="6"/>
      <c r="N327" s="6"/>
      <c r="O327" s="6"/>
      <c r="P327" s="6"/>
      <c r="Q327" s="6"/>
      <c r="R327" s="6"/>
      <c r="S327" s="6"/>
      <c r="T327" s="6"/>
      <c r="U327" s="6"/>
      <c r="V327" s="6"/>
      <c r="W327" s="6"/>
      <c r="X327" s="6"/>
      <c r="Y327" s="6"/>
      <c r="Z327" s="6"/>
    </row>
    <row r="328" spans="1:26" ht="18" customHeight="1" x14ac:dyDescent="0.3">
      <c r="A328" s="142"/>
      <c r="B328" s="143"/>
      <c r="C328" s="144" t="str">
        <f>IF(B328="","",IFERROR(INDEX('12 P6 activities'!$B$7:$B$206,MATCH(B328,'12 P6 activities'!$A$7:$A$206,0)),"⚠ not in P6 list"))</f>
        <v/>
      </c>
      <c r="D328" s="144" t="str">
        <f>IF(B328="","",IFERROR(INDEX('12 P6 activities'!$C$7:$C$206,MATCH(B328,'12 P6 activities'!$A$7:$A$206,0)),"⚠ not in P6 list"))</f>
        <v/>
      </c>
      <c r="E328" s="145"/>
      <c r="F328" s="146"/>
      <c r="G328" s="147"/>
      <c r="H328" s="148"/>
      <c r="I328" s="149"/>
      <c r="J328" s="150" t="str">
        <f t="shared" ref="J328:J391" si="5">IF(OR(H328="",I328=""),"",H328*I328)</f>
        <v/>
      </c>
      <c r="K328" s="149"/>
      <c r="L328" s="149"/>
      <c r="M328" s="6"/>
      <c r="N328" s="6"/>
      <c r="O328" s="6"/>
      <c r="P328" s="6"/>
      <c r="Q328" s="6"/>
      <c r="R328" s="6"/>
      <c r="S328" s="6"/>
      <c r="T328" s="6"/>
      <c r="U328" s="6"/>
      <c r="V328" s="6"/>
      <c r="W328" s="6"/>
      <c r="X328" s="6"/>
      <c r="Y328" s="6"/>
      <c r="Z328" s="6"/>
    </row>
    <row r="329" spans="1:26" ht="18" customHeight="1" x14ac:dyDescent="0.3">
      <c r="A329" s="142"/>
      <c r="B329" s="143"/>
      <c r="C329" s="144" t="str">
        <f>IF(B329="","",IFERROR(INDEX('12 P6 activities'!$B$7:$B$206,MATCH(B329,'12 P6 activities'!$A$7:$A$206,0)),"⚠ not in P6 list"))</f>
        <v/>
      </c>
      <c r="D329" s="144" t="str">
        <f>IF(B329="","",IFERROR(INDEX('12 P6 activities'!$C$7:$C$206,MATCH(B329,'12 P6 activities'!$A$7:$A$206,0)),"⚠ not in P6 list"))</f>
        <v/>
      </c>
      <c r="E329" s="145"/>
      <c r="F329" s="146"/>
      <c r="G329" s="147"/>
      <c r="H329" s="148"/>
      <c r="I329" s="149"/>
      <c r="J329" s="150" t="str">
        <f t="shared" si="5"/>
        <v/>
      </c>
      <c r="K329" s="149"/>
      <c r="L329" s="149"/>
      <c r="M329" s="6"/>
      <c r="N329" s="6"/>
      <c r="O329" s="6"/>
      <c r="P329" s="6"/>
      <c r="Q329" s="6"/>
      <c r="R329" s="6"/>
      <c r="S329" s="6"/>
      <c r="T329" s="6"/>
      <c r="U329" s="6"/>
      <c r="V329" s="6"/>
      <c r="W329" s="6"/>
      <c r="X329" s="6"/>
      <c r="Y329" s="6"/>
      <c r="Z329" s="6"/>
    </row>
    <row r="330" spans="1:26" ht="18" customHeight="1" x14ac:dyDescent="0.3">
      <c r="A330" s="142"/>
      <c r="B330" s="143"/>
      <c r="C330" s="144" t="str">
        <f>IF(B330="","",IFERROR(INDEX('12 P6 activities'!$B$7:$B$206,MATCH(B330,'12 P6 activities'!$A$7:$A$206,0)),"⚠ not in P6 list"))</f>
        <v/>
      </c>
      <c r="D330" s="144" t="str">
        <f>IF(B330="","",IFERROR(INDEX('12 P6 activities'!$C$7:$C$206,MATCH(B330,'12 P6 activities'!$A$7:$A$206,0)),"⚠ not in P6 list"))</f>
        <v/>
      </c>
      <c r="E330" s="145"/>
      <c r="F330" s="146"/>
      <c r="G330" s="147"/>
      <c r="H330" s="148"/>
      <c r="I330" s="149"/>
      <c r="J330" s="150" t="str">
        <f t="shared" si="5"/>
        <v/>
      </c>
      <c r="K330" s="149"/>
      <c r="L330" s="149"/>
      <c r="M330" s="6"/>
      <c r="N330" s="6"/>
      <c r="O330" s="6"/>
      <c r="P330" s="6"/>
      <c r="Q330" s="6"/>
      <c r="R330" s="6"/>
      <c r="S330" s="6"/>
      <c r="T330" s="6"/>
      <c r="U330" s="6"/>
      <c r="V330" s="6"/>
      <c r="W330" s="6"/>
      <c r="X330" s="6"/>
      <c r="Y330" s="6"/>
      <c r="Z330" s="6"/>
    </row>
    <row r="331" spans="1:26" ht="18" customHeight="1" x14ac:dyDescent="0.3">
      <c r="A331" s="142"/>
      <c r="B331" s="143"/>
      <c r="C331" s="144" t="str">
        <f>IF(B331="","",IFERROR(INDEX('12 P6 activities'!$B$7:$B$206,MATCH(B331,'12 P6 activities'!$A$7:$A$206,0)),"⚠ not in P6 list"))</f>
        <v/>
      </c>
      <c r="D331" s="144" t="str">
        <f>IF(B331="","",IFERROR(INDEX('12 P6 activities'!$C$7:$C$206,MATCH(B331,'12 P6 activities'!$A$7:$A$206,0)),"⚠ not in P6 list"))</f>
        <v/>
      </c>
      <c r="E331" s="145"/>
      <c r="F331" s="146"/>
      <c r="G331" s="147"/>
      <c r="H331" s="148"/>
      <c r="I331" s="149"/>
      <c r="J331" s="150" t="str">
        <f t="shared" si="5"/>
        <v/>
      </c>
      <c r="K331" s="149"/>
      <c r="L331" s="149"/>
      <c r="M331" s="6"/>
      <c r="N331" s="6"/>
      <c r="O331" s="6"/>
      <c r="P331" s="6"/>
      <c r="Q331" s="6"/>
      <c r="R331" s="6"/>
      <c r="S331" s="6"/>
      <c r="T331" s="6"/>
      <c r="U331" s="6"/>
      <c r="V331" s="6"/>
      <c r="W331" s="6"/>
      <c r="X331" s="6"/>
      <c r="Y331" s="6"/>
      <c r="Z331" s="6"/>
    </row>
    <row r="332" spans="1:26" ht="18" customHeight="1" x14ac:dyDescent="0.3">
      <c r="A332" s="142"/>
      <c r="B332" s="143"/>
      <c r="C332" s="144" t="str">
        <f>IF(B332="","",IFERROR(INDEX('12 P6 activities'!$B$7:$B$206,MATCH(B332,'12 P6 activities'!$A$7:$A$206,0)),"⚠ not in P6 list"))</f>
        <v/>
      </c>
      <c r="D332" s="144" t="str">
        <f>IF(B332="","",IFERROR(INDEX('12 P6 activities'!$C$7:$C$206,MATCH(B332,'12 P6 activities'!$A$7:$A$206,0)),"⚠ not in P6 list"))</f>
        <v/>
      </c>
      <c r="E332" s="145"/>
      <c r="F332" s="146"/>
      <c r="G332" s="147"/>
      <c r="H332" s="148"/>
      <c r="I332" s="149"/>
      <c r="J332" s="150" t="str">
        <f t="shared" si="5"/>
        <v/>
      </c>
      <c r="K332" s="149"/>
      <c r="L332" s="149"/>
      <c r="M332" s="6"/>
      <c r="N332" s="6"/>
      <c r="O332" s="6"/>
      <c r="P332" s="6"/>
      <c r="Q332" s="6"/>
      <c r="R332" s="6"/>
      <c r="S332" s="6"/>
      <c r="T332" s="6"/>
      <c r="U332" s="6"/>
      <c r="V332" s="6"/>
      <c r="W332" s="6"/>
      <c r="X332" s="6"/>
      <c r="Y332" s="6"/>
      <c r="Z332" s="6"/>
    </row>
    <row r="333" spans="1:26" ht="18" customHeight="1" x14ac:dyDescent="0.3">
      <c r="A333" s="142"/>
      <c r="B333" s="143"/>
      <c r="C333" s="144" t="str">
        <f>IF(B333="","",IFERROR(INDEX('12 P6 activities'!$B$7:$B$206,MATCH(B333,'12 P6 activities'!$A$7:$A$206,0)),"⚠ not in P6 list"))</f>
        <v/>
      </c>
      <c r="D333" s="144" t="str">
        <f>IF(B333="","",IFERROR(INDEX('12 P6 activities'!$C$7:$C$206,MATCH(B333,'12 P6 activities'!$A$7:$A$206,0)),"⚠ not in P6 list"))</f>
        <v/>
      </c>
      <c r="E333" s="145"/>
      <c r="F333" s="146"/>
      <c r="G333" s="147"/>
      <c r="H333" s="148"/>
      <c r="I333" s="149"/>
      <c r="J333" s="150" t="str">
        <f t="shared" si="5"/>
        <v/>
      </c>
      <c r="K333" s="149"/>
      <c r="L333" s="149"/>
      <c r="M333" s="6"/>
      <c r="N333" s="6"/>
      <c r="O333" s="6"/>
      <c r="P333" s="6"/>
      <c r="Q333" s="6"/>
      <c r="R333" s="6"/>
      <c r="S333" s="6"/>
      <c r="T333" s="6"/>
      <c r="U333" s="6"/>
      <c r="V333" s="6"/>
      <c r="W333" s="6"/>
      <c r="X333" s="6"/>
      <c r="Y333" s="6"/>
      <c r="Z333" s="6"/>
    </row>
    <row r="334" spans="1:26" ht="18" customHeight="1" x14ac:dyDescent="0.3">
      <c r="A334" s="142"/>
      <c r="B334" s="143"/>
      <c r="C334" s="144" t="str">
        <f>IF(B334="","",IFERROR(INDEX('12 P6 activities'!$B$7:$B$206,MATCH(B334,'12 P6 activities'!$A$7:$A$206,0)),"⚠ not in P6 list"))</f>
        <v/>
      </c>
      <c r="D334" s="144" t="str">
        <f>IF(B334="","",IFERROR(INDEX('12 P6 activities'!$C$7:$C$206,MATCH(B334,'12 P6 activities'!$A$7:$A$206,0)),"⚠ not in P6 list"))</f>
        <v/>
      </c>
      <c r="E334" s="145"/>
      <c r="F334" s="146"/>
      <c r="G334" s="147"/>
      <c r="H334" s="148"/>
      <c r="I334" s="149"/>
      <c r="J334" s="150" t="str">
        <f t="shared" si="5"/>
        <v/>
      </c>
      <c r="K334" s="149"/>
      <c r="L334" s="149"/>
      <c r="M334" s="6"/>
      <c r="N334" s="6"/>
      <c r="O334" s="6"/>
      <c r="P334" s="6"/>
      <c r="Q334" s="6"/>
      <c r="R334" s="6"/>
      <c r="S334" s="6"/>
      <c r="T334" s="6"/>
      <c r="U334" s="6"/>
      <c r="V334" s="6"/>
      <c r="W334" s="6"/>
      <c r="X334" s="6"/>
      <c r="Y334" s="6"/>
      <c r="Z334" s="6"/>
    </row>
    <row r="335" spans="1:26" ht="18" customHeight="1" x14ac:dyDescent="0.3">
      <c r="A335" s="142"/>
      <c r="B335" s="143"/>
      <c r="C335" s="144" t="str">
        <f>IF(B335="","",IFERROR(INDEX('12 P6 activities'!$B$7:$B$206,MATCH(B335,'12 P6 activities'!$A$7:$A$206,0)),"⚠ not in P6 list"))</f>
        <v/>
      </c>
      <c r="D335" s="144" t="str">
        <f>IF(B335="","",IFERROR(INDEX('12 P6 activities'!$C$7:$C$206,MATCH(B335,'12 P6 activities'!$A$7:$A$206,0)),"⚠ not in P6 list"))</f>
        <v/>
      </c>
      <c r="E335" s="145"/>
      <c r="F335" s="146"/>
      <c r="G335" s="147"/>
      <c r="H335" s="148"/>
      <c r="I335" s="149"/>
      <c r="J335" s="150" t="str">
        <f t="shared" si="5"/>
        <v/>
      </c>
      <c r="K335" s="149"/>
      <c r="L335" s="149"/>
      <c r="M335" s="6"/>
      <c r="N335" s="6"/>
      <c r="O335" s="6"/>
      <c r="P335" s="6"/>
      <c r="Q335" s="6"/>
      <c r="R335" s="6"/>
      <c r="S335" s="6"/>
      <c r="T335" s="6"/>
      <c r="U335" s="6"/>
      <c r="V335" s="6"/>
      <c r="W335" s="6"/>
      <c r="X335" s="6"/>
      <c r="Y335" s="6"/>
      <c r="Z335" s="6"/>
    </row>
    <row r="336" spans="1:26" ht="18" customHeight="1" x14ac:dyDescent="0.3">
      <c r="A336" s="142"/>
      <c r="B336" s="143"/>
      <c r="C336" s="144" t="str">
        <f>IF(B336="","",IFERROR(INDEX('12 P6 activities'!$B$7:$B$206,MATCH(B336,'12 P6 activities'!$A$7:$A$206,0)),"⚠ not in P6 list"))</f>
        <v/>
      </c>
      <c r="D336" s="144" t="str">
        <f>IF(B336="","",IFERROR(INDEX('12 P6 activities'!$C$7:$C$206,MATCH(B336,'12 P6 activities'!$A$7:$A$206,0)),"⚠ not in P6 list"))</f>
        <v/>
      </c>
      <c r="E336" s="145"/>
      <c r="F336" s="146"/>
      <c r="G336" s="147"/>
      <c r="H336" s="148"/>
      <c r="I336" s="149"/>
      <c r="J336" s="150" t="str">
        <f t="shared" si="5"/>
        <v/>
      </c>
      <c r="K336" s="149"/>
      <c r="L336" s="149"/>
      <c r="M336" s="6"/>
      <c r="N336" s="6"/>
      <c r="O336" s="6"/>
      <c r="P336" s="6"/>
      <c r="Q336" s="6"/>
      <c r="R336" s="6"/>
      <c r="S336" s="6"/>
      <c r="T336" s="6"/>
      <c r="U336" s="6"/>
      <c r="V336" s="6"/>
      <c r="W336" s="6"/>
      <c r="X336" s="6"/>
      <c r="Y336" s="6"/>
      <c r="Z336" s="6"/>
    </row>
    <row r="337" spans="1:26" ht="18" customHeight="1" x14ac:dyDescent="0.3">
      <c r="A337" s="142"/>
      <c r="B337" s="143"/>
      <c r="C337" s="144" t="str">
        <f>IF(B337="","",IFERROR(INDEX('12 P6 activities'!$B$7:$B$206,MATCH(B337,'12 P6 activities'!$A$7:$A$206,0)),"⚠ not in P6 list"))</f>
        <v/>
      </c>
      <c r="D337" s="144" t="str">
        <f>IF(B337="","",IFERROR(INDEX('12 P6 activities'!$C$7:$C$206,MATCH(B337,'12 P6 activities'!$A$7:$A$206,0)),"⚠ not in P6 list"))</f>
        <v/>
      </c>
      <c r="E337" s="145"/>
      <c r="F337" s="146"/>
      <c r="G337" s="147"/>
      <c r="H337" s="148"/>
      <c r="I337" s="149"/>
      <c r="J337" s="150" t="str">
        <f t="shared" si="5"/>
        <v/>
      </c>
      <c r="K337" s="149"/>
      <c r="L337" s="149"/>
      <c r="M337" s="6"/>
      <c r="N337" s="6"/>
      <c r="O337" s="6"/>
      <c r="P337" s="6"/>
      <c r="Q337" s="6"/>
      <c r="R337" s="6"/>
      <c r="S337" s="6"/>
      <c r="T337" s="6"/>
      <c r="U337" s="6"/>
      <c r="V337" s="6"/>
      <c r="W337" s="6"/>
      <c r="X337" s="6"/>
      <c r="Y337" s="6"/>
      <c r="Z337" s="6"/>
    </row>
    <row r="338" spans="1:26" ht="18" customHeight="1" x14ac:dyDescent="0.3">
      <c r="A338" s="142"/>
      <c r="B338" s="143"/>
      <c r="C338" s="144" t="str">
        <f>IF(B338="","",IFERROR(INDEX('12 P6 activities'!$B$7:$B$206,MATCH(B338,'12 P6 activities'!$A$7:$A$206,0)),"⚠ not in P6 list"))</f>
        <v/>
      </c>
      <c r="D338" s="144" t="str">
        <f>IF(B338="","",IFERROR(INDEX('12 P6 activities'!$C$7:$C$206,MATCH(B338,'12 P6 activities'!$A$7:$A$206,0)),"⚠ not in P6 list"))</f>
        <v/>
      </c>
      <c r="E338" s="145"/>
      <c r="F338" s="146"/>
      <c r="G338" s="147"/>
      <c r="H338" s="148"/>
      <c r="I338" s="149"/>
      <c r="J338" s="150" t="str">
        <f t="shared" si="5"/>
        <v/>
      </c>
      <c r="K338" s="149"/>
      <c r="L338" s="149"/>
      <c r="M338" s="6"/>
      <c r="N338" s="6"/>
      <c r="O338" s="6"/>
      <c r="P338" s="6"/>
      <c r="Q338" s="6"/>
      <c r="R338" s="6"/>
      <c r="S338" s="6"/>
      <c r="T338" s="6"/>
      <c r="U338" s="6"/>
      <c r="V338" s="6"/>
      <c r="W338" s="6"/>
      <c r="X338" s="6"/>
      <c r="Y338" s="6"/>
      <c r="Z338" s="6"/>
    </row>
    <row r="339" spans="1:26" ht="18" customHeight="1" x14ac:dyDescent="0.3">
      <c r="A339" s="142"/>
      <c r="B339" s="143"/>
      <c r="C339" s="144" t="str">
        <f>IF(B339="","",IFERROR(INDEX('12 P6 activities'!$B$7:$B$206,MATCH(B339,'12 P6 activities'!$A$7:$A$206,0)),"⚠ not in P6 list"))</f>
        <v/>
      </c>
      <c r="D339" s="144" t="str">
        <f>IF(B339="","",IFERROR(INDEX('12 P6 activities'!$C$7:$C$206,MATCH(B339,'12 P6 activities'!$A$7:$A$206,0)),"⚠ not in P6 list"))</f>
        <v/>
      </c>
      <c r="E339" s="145"/>
      <c r="F339" s="146"/>
      <c r="G339" s="147"/>
      <c r="H339" s="148"/>
      <c r="I339" s="149"/>
      <c r="J339" s="150" t="str">
        <f t="shared" si="5"/>
        <v/>
      </c>
      <c r="K339" s="149"/>
      <c r="L339" s="149"/>
      <c r="M339" s="6"/>
      <c r="N339" s="6"/>
      <c r="O339" s="6"/>
      <c r="P339" s="6"/>
      <c r="Q339" s="6"/>
      <c r="R339" s="6"/>
      <c r="S339" s="6"/>
      <c r="T339" s="6"/>
      <c r="U339" s="6"/>
      <c r="V339" s="6"/>
      <c r="W339" s="6"/>
      <c r="X339" s="6"/>
      <c r="Y339" s="6"/>
      <c r="Z339" s="6"/>
    </row>
    <row r="340" spans="1:26" ht="18" customHeight="1" x14ac:dyDescent="0.3">
      <c r="A340" s="142"/>
      <c r="B340" s="143"/>
      <c r="C340" s="144" t="str">
        <f>IF(B340="","",IFERROR(INDEX('12 P6 activities'!$B$7:$B$206,MATCH(B340,'12 P6 activities'!$A$7:$A$206,0)),"⚠ not in P6 list"))</f>
        <v/>
      </c>
      <c r="D340" s="144" t="str">
        <f>IF(B340="","",IFERROR(INDEX('12 P6 activities'!$C$7:$C$206,MATCH(B340,'12 P6 activities'!$A$7:$A$206,0)),"⚠ not in P6 list"))</f>
        <v/>
      </c>
      <c r="E340" s="145"/>
      <c r="F340" s="146"/>
      <c r="G340" s="147"/>
      <c r="H340" s="148"/>
      <c r="I340" s="149"/>
      <c r="J340" s="150" t="str">
        <f t="shared" si="5"/>
        <v/>
      </c>
      <c r="K340" s="149"/>
      <c r="L340" s="149"/>
      <c r="M340" s="6"/>
      <c r="N340" s="6"/>
      <c r="O340" s="6"/>
      <c r="P340" s="6"/>
      <c r="Q340" s="6"/>
      <c r="R340" s="6"/>
      <c r="S340" s="6"/>
      <c r="T340" s="6"/>
      <c r="U340" s="6"/>
      <c r="V340" s="6"/>
      <c r="W340" s="6"/>
      <c r="X340" s="6"/>
      <c r="Y340" s="6"/>
      <c r="Z340" s="6"/>
    </row>
    <row r="341" spans="1:26" ht="18" customHeight="1" x14ac:dyDescent="0.3">
      <c r="A341" s="142"/>
      <c r="B341" s="143"/>
      <c r="C341" s="144" t="str">
        <f>IF(B341="","",IFERROR(INDEX('12 P6 activities'!$B$7:$B$206,MATCH(B341,'12 P6 activities'!$A$7:$A$206,0)),"⚠ not in P6 list"))</f>
        <v/>
      </c>
      <c r="D341" s="144" t="str">
        <f>IF(B341="","",IFERROR(INDEX('12 P6 activities'!$C$7:$C$206,MATCH(B341,'12 P6 activities'!$A$7:$A$206,0)),"⚠ not in P6 list"))</f>
        <v/>
      </c>
      <c r="E341" s="145"/>
      <c r="F341" s="146"/>
      <c r="G341" s="147"/>
      <c r="H341" s="148"/>
      <c r="I341" s="149"/>
      <c r="J341" s="150" t="str">
        <f t="shared" si="5"/>
        <v/>
      </c>
      <c r="K341" s="149"/>
      <c r="L341" s="149"/>
      <c r="M341" s="6"/>
      <c r="N341" s="6"/>
      <c r="O341" s="6"/>
      <c r="P341" s="6"/>
      <c r="Q341" s="6"/>
      <c r="R341" s="6"/>
      <c r="S341" s="6"/>
      <c r="T341" s="6"/>
      <c r="U341" s="6"/>
      <c r="V341" s="6"/>
      <c r="W341" s="6"/>
      <c r="X341" s="6"/>
      <c r="Y341" s="6"/>
      <c r="Z341" s="6"/>
    </row>
    <row r="342" spans="1:26" ht="18" customHeight="1" x14ac:dyDescent="0.3">
      <c r="A342" s="142"/>
      <c r="B342" s="143"/>
      <c r="C342" s="144" t="str">
        <f>IF(B342="","",IFERROR(INDEX('12 P6 activities'!$B$7:$B$206,MATCH(B342,'12 P6 activities'!$A$7:$A$206,0)),"⚠ not in P6 list"))</f>
        <v/>
      </c>
      <c r="D342" s="144" t="str">
        <f>IF(B342="","",IFERROR(INDEX('12 P6 activities'!$C$7:$C$206,MATCH(B342,'12 P6 activities'!$A$7:$A$206,0)),"⚠ not in P6 list"))</f>
        <v/>
      </c>
      <c r="E342" s="145"/>
      <c r="F342" s="146"/>
      <c r="G342" s="147"/>
      <c r="H342" s="148"/>
      <c r="I342" s="149"/>
      <c r="J342" s="150" t="str">
        <f t="shared" si="5"/>
        <v/>
      </c>
      <c r="K342" s="149"/>
      <c r="L342" s="149"/>
      <c r="M342" s="6"/>
      <c r="N342" s="6"/>
      <c r="O342" s="6"/>
      <c r="P342" s="6"/>
      <c r="Q342" s="6"/>
      <c r="R342" s="6"/>
      <c r="S342" s="6"/>
      <c r="T342" s="6"/>
      <c r="U342" s="6"/>
      <c r="V342" s="6"/>
      <c r="W342" s="6"/>
      <c r="X342" s="6"/>
      <c r="Y342" s="6"/>
      <c r="Z342" s="6"/>
    </row>
    <row r="343" spans="1:26" ht="18" customHeight="1" x14ac:dyDescent="0.3">
      <c r="A343" s="142"/>
      <c r="B343" s="143"/>
      <c r="C343" s="144" t="str">
        <f>IF(B343="","",IFERROR(INDEX('12 P6 activities'!$B$7:$B$206,MATCH(B343,'12 P6 activities'!$A$7:$A$206,0)),"⚠ not in P6 list"))</f>
        <v/>
      </c>
      <c r="D343" s="144" t="str">
        <f>IF(B343="","",IFERROR(INDEX('12 P6 activities'!$C$7:$C$206,MATCH(B343,'12 P6 activities'!$A$7:$A$206,0)),"⚠ not in P6 list"))</f>
        <v/>
      </c>
      <c r="E343" s="145"/>
      <c r="F343" s="146"/>
      <c r="G343" s="147"/>
      <c r="H343" s="148"/>
      <c r="I343" s="149"/>
      <c r="J343" s="150" t="str">
        <f t="shared" si="5"/>
        <v/>
      </c>
      <c r="K343" s="149"/>
      <c r="L343" s="149"/>
      <c r="M343" s="6"/>
      <c r="N343" s="6"/>
      <c r="O343" s="6"/>
      <c r="P343" s="6"/>
      <c r="Q343" s="6"/>
      <c r="R343" s="6"/>
      <c r="S343" s="6"/>
      <c r="T343" s="6"/>
      <c r="U343" s="6"/>
      <c r="V343" s="6"/>
      <c r="W343" s="6"/>
      <c r="X343" s="6"/>
      <c r="Y343" s="6"/>
      <c r="Z343" s="6"/>
    </row>
    <row r="344" spans="1:26" ht="18" customHeight="1" x14ac:dyDescent="0.3">
      <c r="A344" s="142"/>
      <c r="B344" s="143"/>
      <c r="C344" s="144" t="str">
        <f>IF(B344="","",IFERROR(INDEX('12 P6 activities'!$B$7:$B$206,MATCH(B344,'12 P6 activities'!$A$7:$A$206,0)),"⚠ not in P6 list"))</f>
        <v/>
      </c>
      <c r="D344" s="144" t="str">
        <f>IF(B344="","",IFERROR(INDEX('12 P6 activities'!$C$7:$C$206,MATCH(B344,'12 P6 activities'!$A$7:$A$206,0)),"⚠ not in P6 list"))</f>
        <v/>
      </c>
      <c r="E344" s="145"/>
      <c r="F344" s="146"/>
      <c r="G344" s="147"/>
      <c r="H344" s="148"/>
      <c r="I344" s="149"/>
      <c r="J344" s="150" t="str">
        <f t="shared" si="5"/>
        <v/>
      </c>
      <c r="K344" s="149"/>
      <c r="L344" s="149"/>
      <c r="M344" s="6"/>
      <c r="N344" s="6"/>
      <c r="O344" s="6"/>
      <c r="P344" s="6"/>
      <c r="Q344" s="6"/>
      <c r="R344" s="6"/>
      <c r="S344" s="6"/>
      <c r="T344" s="6"/>
      <c r="U344" s="6"/>
      <c r="V344" s="6"/>
      <c r="W344" s="6"/>
      <c r="X344" s="6"/>
      <c r="Y344" s="6"/>
      <c r="Z344" s="6"/>
    </row>
    <row r="345" spans="1:26" ht="18" customHeight="1" x14ac:dyDescent="0.3">
      <c r="A345" s="142"/>
      <c r="B345" s="143"/>
      <c r="C345" s="144" t="str">
        <f>IF(B345="","",IFERROR(INDEX('12 P6 activities'!$B$7:$B$206,MATCH(B345,'12 P6 activities'!$A$7:$A$206,0)),"⚠ not in P6 list"))</f>
        <v/>
      </c>
      <c r="D345" s="144" t="str">
        <f>IF(B345="","",IFERROR(INDEX('12 P6 activities'!$C$7:$C$206,MATCH(B345,'12 P6 activities'!$A$7:$A$206,0)),"⚠ not in P6 list"))</f>
        <v/>
      </c>
      <c r="E345" s="145"/>
      <c r="F345" s="146"/>
      <c r="G345" s="147"/>
      <c r="H345" s="148"/>
      <c r="I345" s="149"/>
      <c r="J345" s="150" t="str">
        <f t="shared" si="5"/>
        <v/>
      </c>
      <c r="K345" s="149"/>
      <c r="L345" s="149"/>
      <c r="M345" s="6"/>
      <c r="N345" s="6"/>
      <c r="O345" s="6"/>
      <c r="P345" s="6"/>
      <c r="Q345" s="6"/>
      <c r="R345" s="6"/>
      <c r="S345" s="6"/>
      <c r="T345" s="6"/>
      <c r="U345" s="6"/>
      <c r="V345" s="6"/>
      <c r="W345" s="6"/>
      <c r="X345" s="6"/>
      <c r="Y345" s="6"/>
      <c r="Z345" s="6"/>
    </row>
    <row r="346" spans="1:26" ht="18" customHeight="1" x14ac:dyDescent="0.3">
      <c r="A346" s="142"/>
      <c r="B346" s="143"/>
      <c r="C346" s="144" t="str">
        <f>IF(B346="","",IFERROR(INDEX('12 P6 activities'!$B$7:$B$206,MATCH(B346,'12 P6 activities'!$A$7:$A$206,0)),"⚠ not in P6 list"))</f>
        <v/>
      </c>
      <c r="D346" s="144" t="str">
        <f>IF(B346="","",IFERROR(INDEX('12 P6 activities'!$C$7:$C$206,MATCH(B346,'12 P6 activities'!$A$7:$A$206,0)),"⚠ not in P6 list"))</f>
        <v/>
      </c>
      <c r="E346" s="145"/>
      <c r="F346" s="146"/>
      <c r="G346" s="147"/>
      <c r="H346" s="148"/>
      <c r="I346" s="149"/>
      <c r="J346" s="150" t="str">
        <f t="shared" si="5"/>
        <v/>
      </c>
      <c r="K346" s="149"/>
      <c r="L346" s="149"/>
      <c r="M346" s="6"/>
      <c r="N346" s="6"/>
      <c r="O346" s="6"/>
      <c r="P346" s="6"/>
      <c r="Q346" s="6"/>
      <c r="R346" s="6"/>
      <c r="S346" s="6"/>
      <c r="T346" s="6"/>
      <c r="U346" s="6"/>
      <c r="V346" s="6"/>
      <c r="W346" s="6"/>
      <c r="X346" s="6"/>
      <c r="Y346" s="6"/>
      <c r="Z346" s="6"/>
    </row>
    <row r="347" spans="1:26" ht="18" customHeight="1" x14ac:dyDescent="0.3">
      <c r="A347" s="142"/>
      <c r="B347" s="143"/>
      <c r="C347" s="144" t="str">
        <f>IF(B347="","",IFERROR(INDEX('12 P6 activities'!$B$7:$B$206,MATCH(B347,'12 P6 activities'!$A$7:$A$206,0)),"⚠ not in P6 list"))</f>
        <v/>
      </c>
      <c r="D347" s="144" t="str">
        <f>IF(B347="","",IFERROR(INDEX('12 P6 activities'!$C$7:$C$206,MATCH(B347,'12 P6 activities'!$A$7:$A$206,0)),"⚠ not in P6 list"))</f>
        <v/>
      </c>
      <c r="E347" s="145"/>
      <c r="F347" s="146"/>
      <c r="G347" s="147"/>
      <c r="H347" s="148"/>
      <c r="I347" s="149"/>
      <c r="J347" s="150" t="str">
        <f t="shared" si="5"/>
        <v/>
      </c>
      <c r="K347" s="149"/>
      <c r="L347" s="149"/>
      <c r="M347" s="6"/>
      <c r="N347" s="6"/>
      <c r="O347" s="6"/>
      <c r="P347" s="6"/>
      <c r="Q347" s="6"/>
      <c r="R347" s="6"/>
      <c r="S347" s="6"/>
      <c r="T347" s="6"/>
      <c r="U347" s="6"/>
      <c r="V347" s="6"/>
      <c r="W347" s="6"/>
      <c r="X347" s="6"/>
      <c r="Y347" s="6"/>
      <c r="Z347" s="6"/>
    </row>
    <row r="348" spans="1:26" ht="18" customHeight="1" x14ac:dyDescent="0.3">
      <c r="A348" s="142"/>
      <c r="B348" s="143"/>
      <c r="C348" s="144" t="str">
        <f>IF(B348="","",IFERROR(INDEX('12 P6 activities'!$B$7:$B$206,MATCH(B348,'12 P6 activities'!$A$7:$A$206,0)),"⚠ not in P6 list"))</f>
        <v/>
      </c>
      <c r="D348" s="144" t="str">
        <f>IF(B348="","",IFERROR(INDEX('12 P6 activities'!$C$7:$C$206,MATCH(B348,'12 P6 activities'!$A$7:$A$206,0)),"⚠ not in P6 list"))</f>
        <v/>
      </c>
      <c r="E348" s="145"/>
      <c r="F348" s="146"/>
      <c r="G348" s="147"/>
      <c r="H348" s="148"/>
      <c r="I348" s="149"/>
      <c r="J348" s="150" t="str">
        <f t="shared" si="5"/>
        <v/>
      </c>
      <c r="K348" s="149"/>
      <c r="L348" s="149"/>
      <c r="M348" s="6"/>
      <c r="N348" s="6"/>
      <c r="O348" s="6"/>
      <c r="P348" s="6"/>
      <c r="Q348" s="6"/>
      <c r="R348" s="6"/>
      <c r="S348" s="6"/>
      <c r="T348" s="6"/>
      <c r="U348" s="6"/>
      <c r="V348" s="6"/>
      <c r="W348" s="6"/>
      <c r="X348" s="6"/>
      <c r="Y348" s="6"/>
      <c r="Z348" s="6"/>
    </row>
    <row r="349" spans="1:26" ht="18" customHeight="1" x14ac:dyDescent="0.3">
      <c r="A349" s="142"/>
      <c r="B349" s="143"/>
      <c r="C349" s="144" t="str">
        <f>IF(B349="","",IFERROR(INDEX('12 P6 activities'!$B$7:$B$206,MATCH(B349,'12 P6 activities'!$A$7:$A$206,0)),"⚠ not in P6 list"))</f>
        <v/>
      </c>
      <c r="D349" s="144" t="str">
        <f>IF(B349="","",IFERROR(INDEX('12 P6 activities'!$C$7:$C$206,MATCH(B349,'12 P6 activities'!$A$7:$A$206,0)),"⚠ not in P6 list"))</f>
        <v/>
      </c>
      <c r="E349" s="145"/>
      <c r="F349" s="146"/>
      <c r="G349" s="147"/>
      <c r="H349" s="148"/>
      <c r="I349" s="149"/>
      <c r="J349" s="150" t="str">
        <f t="shared" si="5"/>
        <v/>
      </c>
      <c r="K349" s="149"/>
      <c r="L349" s="149"/>
      <c r="M349" s="6"/>
      <c r="N349" s="6"/>
      <c r="O349" s="6"/>
      <c r="P349" s="6"/>
      <c r="Q349" s="6"/>
      <c r="R349" s="6"/>
      <c r="S349" s="6"/>
      <c r="T349" s="6"/>
      <c r="U349" s="6"/>
      <c r="V349" s="6"/>
      <c r="W349" s="6"/>
      <c r="X349" s="6"/>
      <c r="Y349" s="6"/>
      <c r="Z349" s="6"/>
    </row>
    <row r="350" spans="1:26" ht="18" customHeight="1" x14ac:dyDescent="0.3">
      <c r="A350" s="142"/>
      <c r="B350" s="143"/>
      <c r="C350" s="144" t="str">
        <f>IF(B350="","",IFERROR(INDEX('12 P6 activities'!$B$7:$B$206,MATCH(B350,'12 P6 activities'!$A$7:$A$206,0)),"⚠ not in P6 list"))</f>
        <v/>
      </c>
      <c r="D350" s="144" t="str">
        <f>IF(B350="","",IFERROR(INDEX('12 P6 activities'!$C$7:$C$206,MATCH(B350,'12 P6 activities'!$A$7:$A$206,0)),"⚠ not in P6 list"))</f>
        <v/>
      </c>
      <c r="E350" s="145"/>
      <c r="F350" s="146"/>
      <c r="G350" s="147"/>
      <c r="H350" s="148"/>
      <c r="I350" s="149"/>
      <c r="J350" s="150" t="str">
        <f t="shared" si="5"/>
        <v/>
      </c>
      <c r="K350" s="149"/>
      <c r="L350" s="149"/>
      <c r="M350" s="6"/>
      <c r="N350" s="6"/>
      <c r="O350" s="6"/>
      <c r="P350" s="6"/>
      <c r="Q350" s="6"/>
      <c r="R350" s="6"/>
      <c r="S350" s="6"/>
      <c r="T350" s="6"/>
      <c r="U350" s="6"/>
      <c r="V350" s="6"/>
      <c r="W350" s="6"/>
      <c r="X350" s="6"/>
      <c r="Y350" s="6"/>
      <c r="Z350" s="6"/>
    </row>
    <row r="351" spans="1:26" ht="18" customHeight="1" x14ac:dyDescent="0.3">
      <c r="A351" s="142"/>
      <c r="B351" s="143"/>
      <c r="C351" s="144" t="str">
        <f>IF(B351="","",IFERROR(INDEX('12 P6 activities'!$B$7:$B$206,MATCH(B351,'12 P6 activities'!$A$7:$A$206,0)),"⚠ not in P6 list"))</f>
        <v/>
      </c>
      <c r="D351" s="144" t="str">
        <f>IF(B351="","",IFERROR(INDEX('12 P6 activities'!$C$7:$C$206,MATCH(B351,'12 P6 activities'!$A$7:$A$206,0)),"⚠ not in P6 list"))</f>
        <v/>
      </c>
      <c r="E351" s="145"/>
      <c r="F351" s="146"/>
      <c r="G351" s="147"/>
      <c r="H351" s="148"/>
      <c r="I351" s="149"/>
      <c r="J351" s="150" t="str">
        <f t="shared" si="5"/>
        <v/>
      </c>
      <c r="K351" s="149"/>
      <c r="L351" s="149"/>
      <c r="M351" s="6"/>
      <c r="N351" s="6"/>
      <c r="O351" s="6"/>
      <c r="P351" s="6"/>
      <c r="Q351" s="6"/>
      <c r="R351" s="6"/>
      <c r="S351" s="6"/>
      <c r="T351" s="6"/>
      <c r="U351" s="6"/>
      <c r="V351" s="6"/>
      <c r="W351" s="6"/>
      <c r="X351" s="6"/>
      <c r="Y351" s="6"/>
      <c r="Z351" s="6"/>
    </row>
    <row r="352" spans="1:26" ht="18" customHeight="1" x14ac:dyDescent="0.3">
      <c r="A352" s="142"/>
      <c r="B352" s="143"/>
      <c r="C352" s="144" t="str">
        <f>IF(B352="","",IFERROR(INDEX('12 P6 activities'!$B$7:$B$206,MATCH(B352,'12 P6 activities'!$A$7:$A$206,0)),"⚠ not in P6 list"))</f>
        <v/>
      </c>
      <c r="D352" s="144" t="str">
        <f>IF(B352="","",IFERROR(INDEX('12 P6 activities'!$C$7:$C$206,MATCH(B352,'12 P6 activities'!$A$7:$A$206,0)),"⚠ not in P6 list"))</f>
        <v/>
      </c>
      <c r="E352" s="145"/>
      <c r="F352" s="146"/>
      <c r="G352" s="147"/>
      <c r="H352" s="148"/>
      <c r="I352" s="149"/>
      <c r="J352" s="150" t="str">
        <f t="shared" si="5"/>
        <v/>
      </c>
      <c r="K352" s="149"/>
      <c r="L352" s="149"/>
      <c r="M352" s="6"/>
      <c r="N352" s="6"/>
      <c r="O352" s="6"/>
      <c r="P352" s="6"/>
      <c r="Q352" s="6"/>
      <c r="R352" s="6"/>
      <c r="S352" s="6"/>
      <c r="T352" s="6"/>
      <c r="U352" s="6"/>
      <c r="V352" s="6"/>
      <c r="W352" s="6"/>
      <c r="X352" s="6"/>
      <c r="Y352" s="6"/>
      <c r="Z352" s="6"/>
    </row>
    <row r="353" spans="1:26" ht="18" customHeight="1" x14ac:dyDescent="0.3">
      <c r="A353" s="142"/>
      <c r="B353" s="143"/>
      <c r="C353" s="144" t="str">
        <f>IF(B353="","",IFERROR(INDEX('12 P6 activities'!$B$7:$B$206,MATCH(B353,'12 P6 activities'!$A$7:$A$206,0)),"⚠ not in P6 list"))</f>
        <v/>
      </c>
      <c r="D353" s="144" t="str">
        <f>IF(B353="","",IFERROR(INDEX('12 P6 activities'!$C$7:$C$206,MATCH(B353,'12 P6 activities'!$A$7:$A$206,0)),"⚠ not in P6 list"))</f>
        <v/>
      </c>
      <c r="E353" s="145"/>
      <c r="F353" s="146"/>
      <c r="G353" s="147"/>
      <c r="H353" s="148"/>
      <c r="I353" s="149"/>
      <c r="J353" s="150" t="str">
        <f t="shared" si="5"/>
        <v/>
      </c>
      <c r="K353" s="149"/>
      <c r="L353" s="149"/>
      <c r="M353" s="6"/>
      <c r="N353" s="6"/>
      <c r="O353" s="6"/>
      <c r="P353" s="6"/>
      <c r="Q353" s="6"/>
      <c r="R353" s="6"/>
      <c r="S353" s="6"/>
      <c r="T353" s="6"/>
      <c r="U353" s="6"/>
      <c r="V353" s="6"/>
      <c r="W353" s="6"/>
      <c r="X353" s="6"/>
      <c r="Y353" s="6"/>
      <c r="Z353" s="6"/>
    </row>
    <row r="354" spans="1:26" ht="18" customHeight="1" x14ac:dyDescent="0.3">
      <c r="A354" s="142"/>
      <c r="B354" s="143"/>
      <c r="C354" s="144" t="str">
        <f>IF(B354="","",IFERROR(INDEX('12 P6 activities'!$B$7:$B$206,MATCH(B354,'12 P6 activities'!$A$7:$A$206,0)),"⚠ not in P6 list"))</f>
        <v/>
      </c>
      <c r="D354" s="144" t="str">
        <f>IF(B354="","",IFERROR(INDEX('12 P6 activities'!$C$7:$C$206,MATCH(B354,'12 P6 activities'!$A$7:$A$206,0)),"⚠ not in P6 list"))</f>
        <v/>
      </c>
      <c r="E354" s="145"/>
      <c r="F354" s="146"/>
      <c r="G354" s="147"/>
      <c r="H354" s="148"/>
      <c r="I354" s="149"/>
      <c r="J354" s="150" t="str">
        <f t="shared" si="5"/>
        <v/>
      </c>
      <c r="K354" s="149"/>
      <c r="L354" s="149"/>
      <c r="M354" s="6"/>
      <c r="N354" s="6"/>
      <c r="O354" s="6"/>
      <c r="P354" s="6"/>
      <c r="Q354" s="6"/>
      <c r="R354" s="6"/>
      <c r="S354" s="6"/>
      <c r="T354" s="6"/>
      <c r="U354" s="6"/>
      <c r="V354" s="6"/>
      <c r="W354" s="6"/>
      <c r="X354" s="6"/>
      <c r="Y354" s="6"/>
      <c r="Z354" s="6"/>
    </row>
    <row r="355" spans="1:26" ht="18" customHeight="1" x14ac:dyDescent="0.3">
      <c r="A355" s="142"/>
      <c r="B355" s="143"/>
      <c r="C355" s="144" t="str">
        <f>IF(B355="","",IFERROR(INDEX('12 P6 activities'!$B$7:$B$206,MATCH(B355,'12 P6 activities'!$A$7:$A$206,0)),"⚠ not in P6 list"))</f>
        <v/>
      </c>
      <c r="D355" s="144" t="str">
        <f>IF(B355="","",IFERROR(INDEX('12 P6 activities'!$C$7:$C$206,MATCH(B355,'12 P6 activities'!$A$7:$A$206,0)),"⚠ not in P6 list"))</f>
        <v/>
      </c>
      <c r="E355" s="145"/>
      <c r="F355" s="146"/>
      <c r="G355" s="147"/>
      <c r="H355" s="148"/>
      <c r="I355" s="149"/>
      <c r="J355" s="150" t="str">
        <f t="shared" si="5"/>
        <v/>
      </c>
      <c r="K355" s="149"/>
      <c r="L355" s="149"/>
      <c r="M355" s="6"/>
      <c r="N355" s="6"/>
      <c r="O355" s="6"/>
      <c r="P355" s="6"/>
      <c r="Q355" s="6"/>
      <c r="R355" s="6"/>
      <c r="S355" s="6"/>
      <c r="T355" s="6"/>
      <c r="U355" s="6"/>
      <c r="V355" s="6"/>
      <c r="W355" s="6"/>
      <c r="X355" s="6"/>
      <c r="Y355" s="6"/>
      <c r="Z355" s="6"/>
    </row>
    <row r="356" spans="1:26" ht="18" customHeight="1" x14ac:dyDescent="0.3">
      <c r="A356" s="142"/>
      <c r="B356" s="143"/>
      <c r="C356" s="144" t="str">
        <f>IF(B356="","",IFERROR(INDEX('12 P6 activities'!$B$7:$B$206,MATCH(B356,'12 P6 activities'!$A$7:$A$206,0)),"⚠ not in P6 list"))</f>
        <v/>
      </c>
      <c r="D356" s="144" t="str">
        <f>IF(B356="","",IFERROR(INDEX('12 P6 activities'!$C$7:$C$206,MATCH(B356,'12 P6 activities'!$A$7:$A$206,0)),"⚠ not in P6 list"))</f>
        <v/>
      </c>
      <c r="E356" s="145"/>
      <c r="F356" s="146"/>
      <c r="G356" s="147"/>
      <c r="H356" s="148"/>
      <c r="I356" s="149"/>
      <c r="J356" s="150" t="str">
        <f t="shared" si="5"/>
        <v/>
      </c>
      <c r="K356" s="149"/>
      <c r="L356" s="149"/>
      <c r="M356" s="6"/>
      <c r="N356" s="6"/>
      <c r="O356" s="6"/>
      <c r="P356" s="6"/>
      <c r="Q356" s="6"/>
      <c r="R356" s="6"/>
      <c r="S356" s="6"/>
      <c r="T356" s="6"/>
      <c r="U356" s="6"/>
      <c r="V356" s="6"/>
      <c r="W356" s="6"/>
      <c r="X356" s="6"/>
      <c r="Y356" s="6"/>
      <c r="Z356" s="6"/>
    </row>
    <row r="357" spans="1:26" ht="18" customHeight="1" x14ac:dyDescent="0.3">
      <c r="A357" s="142"/>
      <c r="B357" s="143"/>
      <c r="C357" s="144" t="str">
        <f>IF(B357="","",IFERROR(INDEX('12 P6 activities'!$B$7:$B$206,MATCH(B357,'12 P6 activities'!$A$7:$A$206,0)),"⚠ not in P6 list"))</f>
        <v/>
      </c>
      <c r="D357" s="144" t="str">
        <f>IF(B357="","",IFERROR(INDEX('12 P6 activities'!$C$7:$C$206,MATCH(B357,'12 P6 activities'!$A$7:$A$206,0)),"⚠ not in P6 list"))</f>
        <v/>
      </c>
      <c r="E357" s="145"/>
      <c r="F357" s="146"/>
      <c r="G357" s="147"/>
      <c r="H357" s="148"/>
      <c r="I357" s="149"/>
      <c r="J357" s="150" t="str">
        <f t="shared" si="5"/>
        <v/>
      </c>
      <c r="K357" s="149"/>
      <c r="L357" s="149"/>
      <c r="M357" s="6"/>
      <c r="N357" s="6"/>
      <c r="O357" s="6"/>
      <c r="P357" s="6"/>
      <c r="Q357" s="6"/>
      <c r="R357" s="6"/>
      <c r="S357" s="6"/>
      <c r="T357" s="6"/>
      <c r="U357" s="6"/>
      <c r="V357" s="6"/>
      <c r="W357" s="6"/>
      <c r="X357" s="6"/>
      <c r="Y357" s="6"/>
      <c r="Z357" s="6"/>
    </row>
    <row r="358" spans="1:26" ht="18" customHeight="1" x14ac:dyDescent="0.3">
      <c r="A358" s="142"/>
      <c r="B358" s="143"/>
      <c r="C358" s="144" t="str">
        <f>IF(B358="","",IFERROR(INDEX('12 P6 activities'!$B$7:$B$206,MATCH(B358,'12 P6 activities'!$A$7:$A$206,0)),"⚠ not in P6 list"))</f>
        <v/>
      </c>
      <c r="D358" s="144" t="str">
        <f>IF(B358="","",IFERROR(INDEX('12 P6 activities'!$C$7:$C$206,MATCH(B358,'12 P6 activities'!$A$7:$A$206,0)),"⚠ not in P6 list"))</f>
        <v/>
      </c>
      <c r="E358" s="145"/>
      <c r="F358" s="146"/>
      <c r="G358" s="147"/>
      <c r="H358" s="148"/>
      <c r="I358" s="149"/>
      <c r="J358" s="150" t="str">
        <f t="shared" si="5"/>
        <v/>
      </c>
      <c r="K358" s="149"/>
      <c r="L358" s="149"/>
      <c r="M358" s="6"/>
      <c r="N358" s="6"/>
      <c r="O358" s="6"/>
      <c r="P358" s="6"/>
      <c r="Q358" s="6"/>
      <c r="R358" s="6"/>
      <c r="S358" s="6"/>
      <c r="T358" s="6"/>
      <c r="U358" s="6"/>
      <c r="V358" s="6"/>
      <c r="W358" s="6"/>
      <c r="X358" s="6"/>
      <c r="Y358" s="6"/>
      <c r="Z358" s="6"/>
    </row>
    <row r="359" spans="1:26" ht="18" customHeight="1" x14ac:dyDescent="0.3">
      <c r="A359" s="142"/>
      <c r="B359" s="143"/>
      <c r="C359" s="144" t="str">
        <f>IF(B359="","",IFERROR(INDEX('12 P6 activities'!$B$7:$B$206,MATCH(B359,'12 P6 activities'!$A$7:$A$206,0)),"⚠ not in P6 list"))</f>
        <v/>
      </c>
      <c r="D359" s="144" t="str">
        <f>IF(B359="","",IFERROR(INDEX('12 P6 activities'!$C$7:$C$206,MATCH(B359,'12 P6 activities'!$A$7:$A$206,0)),"⚠ not in P6 list"))</f>
        <v/>
      </c>
      <c r="E359" s="145"/>
      <c r="F359" s="146"/>
      <c r="G359" s="147"/>
      <c r="H359" s="148"/>
      <c r="I359" s="149"/>
      <c r="J359" s="150" t="str">
        <f t="shared" si="5"/>
        <v/>
      </c>
      <c r="K359" s="149"/>
      <c r="L359" s="149"/>
      <c r="M359" s="6"/>
      <c r="N359" s="6"/>
      <c r="O359" s="6"/>
      <c r="P359" s="6"/>
      <c r="Q359" s="6"/>
      <c r="R359" s="6"/>
      <c r="S359" s="6"/>
      <c r="T359" s="6"/>
      <c r="U359" s="6"/>
      <c r="V359" s="6"/>
      <c r="W359" s="6"/>
      <c r="X359" s="6"/>
      <c r="Y359" s="6"/>
      <c r="Z359" s="6"/>
    </row>
    <row r="360" spans="1:26" ht="18" customHeight="1" x14ac:dyDescent="0.3">
      <c r="A360" s="142"/>
      <c r="B360" s="143"/>
      <c r="C360" s="144" t="str">
        <f>IF(B360="","",IFERROR(INDEX('12 P6 activities'!$B$7:$B$206,MATCH(B360,'12 P6 activities'!$A$7:$A$206,0)),"⚠ not in P6 list"))</f>
        <v/>
      </c>
      <c r="D360" s="144" t="str">
        <f>IF(B360="","",IFERROR(INDEX('12 P6 activities'!$C$7:$C$206,MATCH(B360,'12 P6 activities'!$A$7:$A$206,0)),"⚠ not in P6 list"))</f>
        <v/>
      </c>
      <c r="E360" s="145"/>
      <c r="F360" s="146"/>
      <c r="G360" s="147"/>
      <c r="H360" s="148"/>
      <c r="I360" s="149"/>
      <c r="J360" s="150" t="str">
        <f t="shared" si="5"/>
        <v/>
      </c>
      <c r="K360" s="149"/>
      <c r="L360" s="149"/>
      <c r="M360" s="6"/>
      <c r="N360" s="6"/>
      <c r="O360" s="6"/>
      <c r="P360" s="6"/>
      <c r="Q360" s="6"/>
      <c r="R360" s="6"/>
      <c r="S360" s="6"/>
      <c r="T360" s="6"/>
      <c r="U360" s="6"/>
      <c r="V360" s="6"/>
      <c r="W360" s="6"/>
      <c r="X360" s="6"/>
      <c r="Y360" s="6"/>
      <c r="Z360" s="6"/>
    </row>
    <row r="361" spans="1:26" ht="18" customHeight="1" x14ac:dyDescent="0.3">
      <c r="A361" s="142"/>
      <c r="B361" s="143"/>
      <c r="C361" s="144" t="str">
        <f>IF(B361="","",IFERROR(INDEX('12 P6 activities'!$B$7:$B$206,MATCH(B361,'12 P6 activities'!$A$7:$A$206,0)),"⚠ not in P6 list"))</f>
        <v/>
      </c>
      <c r="D361" s="144" t="str">
        <f>IF(B361="","",IFERROR(INDEX('12 P6 activities'!$C$7:$C$206,MATCH(B361,'12 P6 activities'!$A$7:$A$206,0)),"⚠ not in P6 list"))</f>
        <v/>
      </c>
      <c r="E361" s="145"/>
      <c r="F361" s="146"/>
      <c r="G361" s="147"/>
      <c r="H361" s="148"/>
      <c r="I361" s="149"/>
      <c r="J361" s="150" t="str">
        <f t="shared" si="5"/>
        <v/>
      </c>
      <c r="K361" s="149"/>
      <c r="L361" s="149"/>
      <c r="M361" s="6"/>
      <c r="N361" s="6"/>
      <c r="O361" s="6"/>
      <c r="P361" s="6"/>
      <c r="Q361" s="6"/>
      <c r="R361" s="6"/>
      <c r="S361" s="6"/>
      <c r="T361" s="6"/>
      <c r="U361" s="6"/>
      <c r="V361" s="6"/>
      <c r="W361" s="6"/>
      <c r="X361" s="6"/>
      <c r="Y361" s="6"/>
      <c r="Z361" s="6"/>
    </row>
    <row r="362" spans="1:26" ht="18" customHeight="1" x14ac:dyDescent="0.3">
      <c r="A362" s="142"/>
      <c r="B362" s="143"/>
      <c r="C362" s="144" t="str">
        <f>IF(B362="","",IFERROR(INDEX('12 P6 activities'!$B$7:$B$206,MATCH(B362,'12 P6 activities'!$A$7:$A$206,0)),"⚠ not in P6 list"))</f>
        <v/>
      </c>
      <c r="D362" s="144" t="str">
        <f>IF(B362="","",IFERROR(INDEX('12 P6 activities'!$C$7:$C$206,MATCH(B362,'12 P6 activities'!$A$7:$A$206,0)),"⚠ not in P6 list"))</f>
        <v/>
      </c>
      <c r="E362" s="145"/>
      <c r="F362" s="146"/>
      <c r="G362" s="147"/>
      <c r="H362" s="148"/>
      <c r="I362" s="149"/>
      <c r="J362" s="150" t="str">
        <f t="shared" si="5"/>
        <v/>
      </c>
      <c r="K362" s="149"/>
      <c r="L362" s="149"/>
      <c r="M362" s="6"/>
      <c r="N362" s="6"/>
      <c r="O362" s="6"/>
      <c r="P362" s="6"/>
      <c r="Q362" s="6"/>
      <c r="R362" s="6"/>
      <c r="S362" s="6"/>
      <c r="T362" s="6"/>
      <c r="U362" s="6"/>
      <c r="V362" s="6"/>
      <c r="W362" s="6"/>
      <c r="X362" s="6"/>
      <c r="Y362" s="6"/>
      <c r="Z362" s="6"/>
    </row>
    <row r="363" spans="1:26" ht="18" customHeight="1" x14ac:dyDescent="0.3">
      <c r="A363" s="142"/>
      <c r="B363" s="143"/>
      <c r="C363" s="144" t="str">
        <f>IF(B363="","",IFERROR(INDEX('12 P6 activities'!$B$7:$B$206,MATCH(B363,'12 P6 activities'!$A$7:$A$206,0)),"⚠ not in P6 list"))</f>
        <v/>
      </c>
      <c r="D363" s="144" t="str">
        <f>IF(B363="","",IFERROR(INDEX('12 P6 activities'!$C$7:$C$206,MATCH(B363,'12 P6 activities'!$A$7:$A$206,0)),"⚠ not in P6 list"))</f>
        <v/>
      </c>
      <c r="E363" s="145"/>
      <c r="F363" s="146"/>
      <c r="G363" s="147"/>
      <c r="H363" s="148"/>
      <c r="I363" s="149"/>
      <c r="J363" s="150" t="str">
        <f t="shared" si="5"/>
        <v/>
      </c>
      <c r="K363" s="149"/>
      <c r="L363" s="149"/>
      <c r="M363" s="6"/>
      <c r="N363" s="6"/>
      <c r="O363" s="6"/>
      <c r="P363" s="6"/>
      <c r="Q363" s="6"/>
      <c r="R363" s="6"/>
      <c r="S363" s="6"/>
      <c r="T363" s="6"/>
      <c r="U363" s="6"/>
      <c r="V363" s="6"/>
      <c r="W363" s="6"/>
      <c r="X363" s="6"/>
      <c r="Y363" s="6"/>
      <c r="Z363" s="6"/>
    </row>
    <row r="364" spans="1:26" ht="18" customHeight="1" x14ac:dyDescent="0.3">
      <c r="A364" s="142"/>
      <c r="B364" s="143"/>
      <c r="C364" s="144" t="str">
        <f>IF(B364="","",IFERROR(INDEX('12 P6 activities'!$B$7:$B$206,MATCH(B364,'12 P6 activities'!$A$7:$A$206,0)),"⚠ not in P6 list"))</f>
        <v/>
      </c>
      <c r="D364" s="144" t="str">
        <f>IF(B364="","",IFERROR(INDEX('12 P6 activities'!$C$7:$C$206,MATCH(B364,'12 P6 activities'!$A$7:$A$206,0)),"⚠ not in P6 list"))</f>
        <v/>
      </c>
      <c r="E364" s="145"/>
      <c r="F364" s="146"/>
      <c r="G364" s="147"/>
      <c r="H364" s="148"/>
      <c r="I364" s="149"/>
      <c r="J364" s="150" t="str">
        <f t="shared" si="5"/>
        <v/>
      </c>
      <c r="K364" s="149"/>
      <c r="L364" s="149"/>
      <c r="M364" s="6"/>
      <c r="N364" s="6"/>
      <c r="O364" s="6"/>
      <c r="P364" s="6"/>
      <c r="Q364" s="6"/>
      <c r="R364" s="6"/>
      <c r="S364" s="6"/>
      <c r="T364" s="6"/>
      <c r="U364" s="6"/>
      <c r="V364" s="6"/>
      <c r="W364" s="6"/>
      <c r="X364" s="6"/>
      <c r="Y364" s="6"/>
      <c r="Z364" s="6"/>
    </row>
    <row r="365" spans="1:26" ht="18" customHeight="1" x14ac:dyDescent="0.3">
      <c r="A365" s="142"/>
      <c r="B365" s="143"/>
      <c r="C365" s="144" t="str">
        <f>IF(B365="","",IFERROR(INDEX('12 P6 activities'!$B$7:$B$206,MATCH(B365,'12 P6 activities'!$A$7:$A$206,0)),"⚠ not in P6 list"))</f>
        <v/>
      </c>
      <c r="D365" s="144" t="str">
        <f>IF(B365="","",IFERROR(INDEX('12 P6 activities'!$C$7:$C$206,MATCH(B365,'12 P6 activities'!$A$7:$A$206,0)),"⚠ not in P6 list"))</f>
        <v/>
      </c>
      <c r="E365" s="145"/>
      <c r="F365" s="146"/>
      <c r="G365" s="147"/>
      <c r="H365" s="148"/>
      <c r="I365" s="149"/>
      <c r="J365" s="150" t="str">
        <f t="shared" si="5"/>
        <v/>
      </c>
      <c r="K365" s="149"/>
      <c r="L365" s="149"/>
      <c r="M365" s="6"/>
      <c r="N365" s="6"/>
      <c r="O365" s="6"/>
      <c r="P365" s="6"/>
      <c r="Q365" s="6"/>
      <c r="R365" s="6"/>
      <c r="S365" s="6"/>
      <c r="T365" s="6"/>
      <c r="U365" s="6"/>
      <c r="V365" s="6"/>
      <c r="W365" s="6"/>
      <c r="X365" s="6"/>
      <c r="Y365" s="6"/>
      <c r="Z365" s="6"/>
    </row>
    <row r="366" spans="1:26" ht="18" customHeight="1" x14ac:dyDescent="0.3">
      <c r="A366" s="142"/>
      <c r="B366" s="143"/>
      <c r="C366" s="144" t="str">
        <f>IF(B366="","",IFERROR(INDEX('12 P6 activities'!$B$7:$B$206,MATCH(B366,'12 P6 activities'!$A$7:$A$206,0)),"⚠ not in P6 list"))</f>
        <v/>
      </c>
      <c r="D366" s="144" t="str">
        <f>IF(B366="","",IFERROR(INDEX('12 P6 activities'!$C$7:$C$206,MATCH(B366,'12 P6 activities'!$A$7:$A$206,0)),"⚠ not in P6 list"))</f>
        <v/>
      </c>
      <c r="E366" s="145"/>
      <c r="F366" s="146"/>
      <c r="G366" s="147"/>
      <c r="H366" s="148"/>
      <c r="I366" s="149"/>
      <c r="J366" s="150" t="str">
        <f t="shared" si="5"/>
        <v/>
      </c>
      <c r="K366" s="149"/>
      <c r="L366" s="149"/>
      <c r="M366" s="6"/>
      <c r="N366" s="6"/>
      <c r="O366" s="6"/>
      <c r="P366" s="6"/>
      <c r="Q366" s="6"/>
      <c r="R366" s="6"/>
      <c r="S366" s="6"/>
      <c r="T366" s="6"/>
      <c r="U366" s="6"/>
      <c r="V366" s="6"/>
      <c r="W366" s="6"/>
      <c r="X366" s="6"/>
      <c r="Y366" s="6"/>
      <c r="Z366" s="6"/>
    </row>
    <row r="367" spans="1:26" ht="18" customHeight="1" x14ac:dyDescent="0.3">
      <c r="A367" s="142"/>
      <c r="B367" s="143"/>
      <c r="C367" s="144" t="str">
        <f>IF(B367="","",IFERROR(INDEX('12 P6 activities'!$B$7:$B$206,MATCH(B367,'12 P6 activities'!$A$7:$A$206,0)),"⚠ not in P6 list"))</f>
        <v/>
      </c>
      <c r="D367" s="144" t="str">
        <f>IF(B367="","",IFERROR(INDEX('12 P6 activities'!$C$7:$C$206,MATCH(B367,'12 P6 activities'!$A$7:$A$206,0)),"⚠ not in P6 list"))</f>
        <v/>
      </c>
      <c r="E367" s="145"/>
      <c r="F367" s="146"/>
      <c r="G367" s="147"/>
      <c r="H367" s="148"/>
      <c r="I367" s="149"/>
      <c r="J367" s="150" t="str">
        <f t="shared" si="5"/>
        <v/>
      </c>
      <c r="K367" s="149"/>
      <c r="L367" s="149"/>
      <c r="M367" s="6"/>
      <c r="N367" s="6"/>
      <c r="O367" s="6"/>
      <c r="P367" s="6"/>
      <c r="Q367" s="6"/>
      <c r="R367" s="6"/>
      <c r="S367" s="6"/>
      <c r="T367" s="6"/>
      <c r="U367" s="6"/>
      <c r="V367" s="6"/>
      <c r="W367" s="6"/>
      <c r="X367" s="6"/>
      <c r="Y367" s="6"/>
      <c r="Z367" s="6"/>
    </row>
    <row r="368" spans="1:26" ht="18" customHeight="1" x14ac:dyDescent="0.3">
      <c r="A368" s="142"/>
      <c r="B368" s="143"/>
      <c r="C368" s="144" t="str">
        <f>IF(B368="","",IFERROR(INDEX('12 P6 activities'!$B$7:$B$206,MATCH(B368,'12 P6 activities'!$A$7:$A$206,0)),"⚠ not in P6 list"))</f>
        <v/>
      </c>
      <c r="D368" s="144" t="str">
        <f>IF(B368="","",IFERROR(INDEX('12 P6 activities'!$C$7:$C$206,MATCH(B368,'12 P6 activities'!$A$7:$A$206,0)),"⚠ not in P6 list"))</f>
        <v/>
      </c>
      <c r="E368" s="145"/>
      <c r="F368" s="146"/>
      <c r="G368" s="147"/>
      <c r="H368" s="148"/>
      <c r="I368" s="149"/>
      <c r="J368" s="150" t="str">
        <f t="shared" si="5"/>
        <v/>
      </c>
      <c r="K368" s="149"/>
      <c r="L368" s="149"/>
      <c r="M368" s="6"/>
      <c r="N368" s="6"/>
      <c r="O368" s="6"/>
      <c r="P368" s="6"/>
      <c r="Q368" s="6"/>
      <c r="R368" s="6"/>
      <c r="S368" s="6"/>
      <c r="T368" s="6"/>
      <c r="U368" s="6"/>
      <c r="V368" s="6"/>
      <c r="W368" s="6"/>
      <c r="X368" s="6"/>
      <c r="Y368" s="6"/>
      <c r="Z368" s="6"/>
    </row>
    <row r="369" spans="1:26" ht="18" customHeight="1" x14ac:dyDescent="0.3">
      <c r="A369" s="142"/>
      <c r="B369" s="143"/>
      <c r="C369" s="144" t="str">
        <f>IF(B369="","",IFERROR(INDEX('12 P6 activities'!$B$7:$B$206,MATCH(B369,'12 P6 activities'!$A$7:$A$206,0)),"⚠ not in P6 list"))</f>
        <v/>
      </c>
      <c r="D369" s="144" t="str">
        <f>IF(B369="","",IFERROR(INDEX('12 P6 activities'!$C$7:$C$206,MATCH(B369,'12 P6 activities'!$A$7:$A$206,0)),"⚠ not in P6 list"))</f>
        <v/>
      </c>
      <c r="E369" s="145"/>
      <c r="F369" s="146"/>
      <c r="G369" s="147"/>
      <c r="H369" s="148"/>
      <c r="I369" s="149"/>
      <c r="J369" s="150" t="str">
        <f t="shared" si="5"/>
        <v/>
      </c>
      <c r="K369" s="149"/>
      <c r="L369" s="149"/>
      <c r="M369" s="6"/>
      <c r="N369" s="6"/>
      <c r="O369" s="6"/>
      <c r="P369" s="6"/>
      <c r="Q369" s="6"/>
      <c r="R369" s="6"/>
      <c r="S369" s="6"/>
      <c r="T369" s="6"/>
      <c r="U369" s="6"/>
      <c r="V369" s="6"/>
      <c r="W369" s="6"/>
      <c r="X369" s="6"/>
      <c r="Y369" s="6"/>
      <c r="Z369" s="6"/>
    </row>
    <row r="370" spans="1:26" ht="18" customHeight="1" x14ac:dyDescent="0.3">
      <c r="A370" s="142"/>
      <c r="B370" s="143"/>
      <c r="C370" s="144" t="str">
        <f>IF(B370="","",IFERROR(INDEX('12 P6 activities'!$B$7:$B$206,MATCH(B370,'12 P6 activities'!$A$7:$A$206,0)),"⚠ not in P6 list"))</f>
        <v/>
      </c>
      <c r="D370" s="144" t="str">
        <f>IF(B370="","",IFERROR(INDEX('12 P6 activities'!$C$7:$C$206,MATCH(B370,'12 P6 activities'!$A$7:$A$206,0)),"⚠ not in P6 list"))</f>
        <v/>
      </c>
      <c r="E370" s="145"/>
      <c r="F370" s="146"/>
      <c r="G370" s="147"/>
      <c r="H370" s="148"/>
      <c r="I370" s="149"/>
      <c r="J370" s="150" t="str">
        <f t="shared" si="5"/>
        <v/>
      </c>
      <c r="K370" s="149"/>
      <c r="L370" s="149"/>
      <c r="M370" s="6"/>
      <c r="N370" s="6"/>
      <c r="O370" s="6"/>
      <c r="P370" s="6"/>
      <c r="Q370" s="6"/>
      <c r="R370" s="6"/>
      <c r="S370" s="6"/>
      <c r="T370" s="6"/>
      <c r="U370" s="6"/>
      <c r="V370" s="6"/>
      <c r="W370" s="6"/>
      <c r="X370" s="6"/>
      <c r="Y370" s="6"/>
      <c r="Z370" s="6"/>
    </row>
    <row r="371" spans="1:26" ht="18" customHeight="1" x14ac:dyDescent="0.3">
      <c r="A371" s="142"/>
      <c r="B371" s="143"/>
      <c r="C371" s="144" t="str">
        <f>IF(B371="","",IFERROR(INDEX('12 P6 activities'!$B$7:$B$206,MATCH(B371,'12 P6 activities'!$A$7:$A$206,0)),"⚠ not in P6 list"))</f>
        <v/>
      </c>
      <c r="D371" s="144" t="str">
        <f>IF(B371="","",IFERROR(INDEX('12 P6 activities'!$C$7:$C$206,MATCH(B371,'12 P6 activities'!$A$7:$A$206,0)),"⚠ not in P6 list"))</f>
        <v/>
      </c>
      <c r="E371" s="145"/>
      <c r="F371" s="146"/>
      <c r="G371" s="147"/>
      <c r="H371" s="148"/>
      <c r="I371" s="149"/>
      <c r="J371" s="150" t="str">
        <f t="shared" si="5"/>
        <v/>
      </c>
      <c r="K371" s="149"/>
      <c r="L371" s="149"/>
      <c r="M371" s="6"/>
      <c r="N371" s="6"/>
      <c r="O371" s="6"/>
      <c r="P371" s="6"/>
      <c r="Q371" s="6"/>
      <c r="R371" s="6"/>
      <c r="S371" s="6"/>
      <c r="T371" s="6"/>
      <c r="U371" s="6"/>
      <c r="V371" s="6"/>
      <c r="W371" s="6"/>
      <c r="X371" s="6"/>
      <c r="Y371" s="6"/>
      <c r="Z371" s="6"/>
    </row>
    <row r="372" spans="1:26" ht="18" customHeight="1" x14ac:dyDescent="0.3">
      <c r="A372" s="142"/>
      <c r="B372" s="143"/>
      <c r="C372" s="144" t="str">
        <f>IF(B372="","",IFERROR(INDEX('12 P6 activities'!$B$7:$B$206,MATCH(B372,'12 P6 activities'!$A$7:$A$206,0)),"⚠ not in P6 list"))</f>
        <v/>
      </c>
      <c r="D372" s="144" t="str">
        <f>IF(B372="","",IFERROR(INDEX('12 P6 activities'!$C$7:$C$206,MATCH(B372,'12 P6 activities'!$A$7:$A$206,0)),"⚠ not in P6 list"))</f>
        <v/>
      </c>
      <c r="E372" s="145"/>
      <c r="F372" s="146"/>
      <c r="G372" s="147"/>
      <c r="H372" s="148"/>
      <c r="I372" s="149"/>
      <c r="J372" s="150" t="str">
        <f t="shared" si="5"/>
        <v/>
      </c>
      <c r="K372" s="149"/>
      <c r="L372" s="149"/>
      <c r="M372" s="6"/>
      <c r="N372" s="6"/>
      <c r="O372" s="6"/>
      <c r="P372" s="6"/>
      <c r="Q372" s="6"/>
      <c r="R372" s="6"/>
      <c r="S372" s="6"/>
      <c r="T372" s="6"/>
      <c r="U372" s="6"/>
      <c r="V372" s="6"/>
      <c r="W372" s="6"/>
      <c r="X372" s="6"/>
      <c r="Y372" s="6"/>
      <c r="Z372" s="6"/>
    </row>
    <row r="373" spans="1:26" ht="18" customHeight="1" x14ac:dyDescent="0.3">
      <c r="A373" s="142"/>
      <c r="B373" s="143"/>
      <c r="C373" s="144" t="str">
        <f>IF(B373="","",IFERROR(INDEX('12 P6 activities'!$B$7:$B$206,MATCH(B373,'12 P6 activities'!$A$7:$A$206,0)),"⚠ not in P6 list"))</f>
        <v/>
      </c>
      <c r="D373" s="144" t="str">
        <f>IF(B373="","",IFERROR(INDEX('12 P6 activities'!$C$7:$C$206,MATCH(B373,'12 P6 activities'!$A$7:$A$206,0)),"⚠ not in P6 list"))</f>
        <v/>
      </c>
      <c r="E373" s="145"/>
      <c r="F373" s="146"/>
      <c r="G373" s="147"/>
      <c r="H373" s="148"/>
      <c r="I373" s="149"/>
      <c r="J373" s="150" t="str">
        <f t="shared" si="5"/>
        <v/>
      </c>
      <c r="K373" s="149"/>
      <c r="L373" s="149"/>
      <c r="M373" s="6"/>
      <c r="N373" s="6"/>
      <c r="O373" s="6"/>
      <c r="P373" s="6"/>
      <c r="Q373" s="6"/>
      <c r="R373" s="6"/>
      <c r="S373" s="6"/>
      <c r="T373" s="6"/>
      <c r="U373" s="6"/>
      <c r="V373" s="6"/>
      <c r="W373" s="6"/>
      <c r="X373" s="6"/>
      <c r="Y373" s="6"/>
      <c r="Z373" s="6"/>
    </row>
    <row r="374" spans="1:26" ht="18" customHeight="1" x14ac:dyDescent="0.3">
      <c r="A374" s="142"/>
      <c r="B374" s="143"/>
      <c r="C374" s="144" t="str">
        <f>IF(B374="","",IFERROR(INDEX('12 P6 activities'!$B$7:$B$206,MATCH(B374,'12 P6 activities'!$A$7:$A$206,0)),"⚠ not in P6 list"))</f>
        <v/>
      </c>
      <c r="D374" s="144" t="str">
        <f>IF(B374="","",IFERROR(INDEX('12 P6 activities'!$C$7:$C$206,MATCH(B374,'12 P6 activities'!$A$7:$A$206,0)),"⚠ not in P6 list"))</f>
        <v/>
      </c>
      <c r="E374" s="145"/>
      <c r="F374" s="146"/>
      <c r="G374" s="147"/>
      <c r="H374" s="148"/>
      <c r="I374" s="149"/>
      <c r="J374" s="150" t="str">
        <f t="shared" si="5"/>
        <v/>
      </c>
      <c r="K374" s="149"/>
      <c r="L374" s="149"/>
      <c r="M374" s="6"/>
      <c r="N374" s="6"/>
      <c r="O374" s="6"/>
      <c r="P374" s="6"/>
      <c r="Q374" s="6"/>
      <c r="R374" s="6"/>
      <c r="S374" s="6"/>
      <c r="T374" s="6"/>
      <c r="U374" s="6"/>
      <c r="V374" s="6"/>
      <c r="W374" s="6"/>
      <c r="X374" s="6"/>
      <c r="Y374" s="6"/>
      <c r="Z374" s="6"/>
    </row>
    <row r="375" spans="1:26" ht="18" customHeight="1" x14ac:dyDescent="0.3">
      <c r="A375" s="142"/>
      <c r="B375" s="143"/>
      <c r="C375" s="144" t="str">
        <f>IF(B375="","",IFERROR(INDEX('12 P6 activities'!$B$7:$B$206,MATCH(B375,'12 P6 activities'!$A$7:$A$206,0)),"⚠ not in P6 list"))</f>
        <v/>
      </c>
      <c r="D375" s="144" t="str">
        <f>IF(B375="","",IFERROR(INDEX('12 P6 activities'!$C$7:$C$206,MATCH(B375,'12 P6 activities'!$A$7:$A$206,0)),"⚠ not in P6 list"))</f>
        <v/>
      </c>
      <c r="E375" s="145"/>
      <c r="F375" s="146"/>
      <c r="G375" s="147"/>
      <c r="H375" s="148"/>
      <c r="I375" s="149"/>
      <c r="J375" s="150" t="str">
        <f t="shared" si="5"/>
        <v/>
      </c>
      <c r="K375" s="149"/>
      <c r="L375" s="149"/>
      <c r="M375" s="6"/>
      <c r="N375" s="6"/>
      <c r="O375" s="6"/>
      <c r="P375" s="6"/>
      <c r="Q375" s="6"/>
      <c r="R375" s="6"/>
      <c r="S375" s="6"/>
      <c r="T375" s="6"/>
      <c r="U375" s="6"/>
      <c r="V375" s="6"/>
      <c r="W375" s="6"/>
      <c r="X375" s="6"/>
      <c r="Y375" s="6"/>
      <c r="Z375" s="6"/>
    </row>
    <row r="376" spans="1:26" ht="18" customHeight="1" x14ac:dyDescent="0.3">
      <c r="A376" s="142"/>
      <c r="B376" s="143"/>
      <c r="C376" s="144" t="str">
        <f>IF(B376="","",IFERROR(INDEX('12 P6 activities'!$B$7:$B$206,MATCH(B376,'12 P6 activities'!$A$7:$A$206,0)),"⚠ not in P6 list"))</f>
        <v/>
      </c>
      <c r="D376" s="144" t="str">
        <f>IF(B376="","",IFERROR(INDEX('12 P6 activities'!$C$7:$C$206,MATCH(B376,'12 P6 activities'!$A$7:$A$206,0)),"⚠ not in P6 list"))</f>
        <v/>
      </c>
      <c r="E376" s="145"/>
      <c r="F376" s="146"/>
      <c r="G376" s="147"/>
      <c r="H376" s="148"/>
      <c r="I376" s="149"/>
      <c r="J376" s="150" t="str">
        <f t="shared" si="5"/>
        <v/>
      </c>
      <c r="K376" s="149"/>
      <c r="L376" s="149"/>
      <c r="M376" s="6"/>
      <c r="N376" s="6"/>
      <c r="O376" s="6"/>
      <c r="P376" s="6"/>
      <c r="Q376" s="6"/>
      <c r="R376" s="6"/>
      <c r="S376" s="6"/>
      <c r="T376" s="6"/>
      <c r="U376" s="6"/>
      <c r="V376" s="6"/>
      <c r="W376" s="6"/>
      <c r="X376" s="6"/>
      <c r="Y376" s="6"/>
      <c r="Z376" s="6"/>
    </row>
    <row r="377" spans="1:26" ht="18" customHeight="1" x14ac:dyDescent="0.3">
      <c r="A377" s="142"/>
      <c r="B377" s="143"/>
      <c r="C377" s="144" t="str">
        <f>IF(B377="","",IFERROR(INDEX('12 P6 activities'!$B$7:$B$206,MATCH(B377,'12 P6 activities'!$A$7:$A$206,0)),"⚠ not in P6 list"))</f>
        <v/>
      </c>
      <c r="D377" s="144" t="str">
        <f>IF(B377="","",IFERROR(INDEX('12 P6 activities'!$C$7:$C$206,MATCH(B377,'12 P6 activities'!$A$7:$A$206,0)),"⚠ not in P6 list"))</f>
        <v/>
      </c>
      <c r="E377" s="145"/>
      <c r="F377" s="146"/>
      <c r="G377" s="147"/>
      <c r="H377" s="148"/>
      <c r="I377" s="149"/>
      <c r="J377" s="150" t="str">
        <f t="shared" si="5"/>
        <v/>
      </c>
      <c r="K377" s="149"/>
      <c r="L377" s="149"/>
      <c r="M377" s="6"/>
      <c r="N377" s="6"/>
      <c r="O377" s="6"/>
      <c r="P377" s="6"/>
      <c r="Q377" s="6"/>
      <c r="R377" s="6"/>
      <c r="S377" s="6"/>
      <c r="T377" s="6"/>
      <c r="U377" s="6"/>
      <c r="V377" s="6"/>
      <c r="W377" s="6"/>
      <c r="X377" s="6"/>
      <c r="Y377" s="6"/>
      <c r="Z377" s="6"/>
    </row>
    <row r="378" spans="1:26" ht="18" customHeight="1" x14ac:dyDescent="0.3">
      <c r="A378" s="142"/>
      <c r="B378" s="143"/>
      <c r="C378" s="144" t="str">
        <f>IF(B378="","",IFERROR(INDEX('12 P6 activities'!$B$7:$B$206,MATCH(B378,'12 P6 activities'!$A$7:$A$206,0)),"⚠ not in P6 list"))</f>
        <v/>
      </c>
      <c r="D378" s="144" t="str">
        <f>IF(B378="","",IFERROR(INDEX('12 P6 activities'!$C$7:$C$206,MATCH(B378,'12 P6 activities'!$A$7:$A$206,0)),"⚠ not in P6 list"))</f>
        <v/>
      </c>
      <c r="E378" s="145"/>
      <c r="F378" s="146"/>
      <c r="G378" s="147"/>
      <c r="H378" s="148"/>
      <c r="I378" s="149"/>
      <c r="J378" s="150" t="str">
        <f t="shared" si="5"/>
        <v/>
      </c>
      <c r="K378" s="149"/>
      <c r="L378" s="149"/>
      <c r="M378" s="6"/>
      <c r="N378" s="6"/>
      <c r="O378" s="6"/>
      <c r="P378" s="6"/>
      <c r="Q378" s="6"/>
      <c r="R378" s="6"/>
      <c r="S378" s="6"/>
      <c r="T378" s="6"/>
      <c r="U378" s="6"/>
      <c r="V378" s="6"/>
      <c r="W378" s="6"/>
      <c r="X378" s="6"/>
      <c r="Y378" s="6"/>
      <c r="Z378" s="6"/>
    </row>
    <row r="379" spans="1:26" ht="18" customHeight="1" x14ac:dyDescent="0.3">
      <c r="A379" s="142"/>
      <c r="B379" s="143"/>
      <c r="C379" s="144" t="str">
        <f>IF(B379="","",IFERROR(INDEX('12 P6 activities'!$B$7:$B$206,MATCH(B379,'12 P6 activities'!$A$7:$A$206,0)),"⚠ not in P6 list"))</f>
        <v/>
      </c>
      <c r="D379" s="144" t="str">
        <f>IF(B379="","",IFERROR(INDEX('12 P6 activities'!$C$7:$C$206,MATCH(B379,'12 P6 activities'!$A$7:$A$206,0)),"⚠ not in P6 list"))</f>
        <v/>
      </c>
      <c r="E379" s="145"/>
      <c r="F379" s="146"/>
      <c r="G379" s="147"/>
      <c r="H379" s="148"/>
      <c r="I379" s="149"/>
      <c r="J379" s="150" t="str">
        <f t="shared" si="5"/>
        <v/>
      </c>
      <c r="K379" s="149"/>
      <c r="L379" s="149"/>
      <c r="M379" s="6"/>
      <c r="N379" s="6"/>
      <c r="O379" s="6"/>
      <c r="P379" s="6"/>
      <c r="Q379" s="6"/>
      <c r="R379" s="6"/>
      <c r="S379" s="6"/>
      <c r="T379" s="6"/>
      <c r="U379" s="6"/>
      <c r="V379" s="6"/>
      <c r="W379" s="6"/>
      <c r="X379" s="6"/>
      <c r="Y379" s="6"/>
      <c r="Z379" s="6"/>
    </row>
    <row r="380" spans="1:26" ht="18" customHeight="1" x14ac:dyDescent="0.3">
      <c r="A380" s="142"/>
      <c r="B380" s="143"/>
      <c r="C380" s="144" t="str">
        <f>IF(B380="","",IFERROR(INDEX('12 P6 activities'!$B$7:$B$206,MATCH(B380,'12 P6 activities'!$A$7:$A$206,0)),"⚠ not in P6 list"))</f>
        <v/>
      </c>
      <c r="D380" s="144" t="str">
        <f>IF(B380="","",IFERROR(INDEX('12 P6 activities'!$C$7:$C$206,MATCH(B380,'12 P6 activities'!$A$7:$A$206,0)),"⚠ not in P6 list"))</f>
        <v/>
      </c>
      <c r="E380" s="145"/>
      <c r="F380" s="146"/>
      <c r="G380" s="147"/>
      <c r="H380" s="148"/>
      <c r="I380" s="149"/>
      <c r="J380" s="150" t="str">
        <f t="shared" si="5"/>
        <v/>
      </c>
      <c r="K380" s="149"/>
      <c r="L380" s="149"/>
      <c r="M380" s="6"/>
      <c r="N380" s="6"/>
      <c r="O380" s="6"/>
      <c r="P380" s="6"/>
      <c r="Q380" s="6"/>
      <c r="R380" s="6"/>
      <c r="S380" s="6"/>
      <c r="T380" s="6"/>
      <c r="U380" s="6"/>
      <c r="V380" s="6"/>
      <c r="W380" s="6"/>
      <c r="X380" s="6"/>
      <c r="Y380" s="6"/>
      <c r="Z380" s="6"/>
    </row>
    <row r="381" spans="1:26" ht="18" customHeight="1" x14ac:dyDescent="0.3">
      <c r="A381" s="142"/>
      <c r="B381" s="143"/>
      <c r="C381" s="144" t="str">
        <f>IF(B381="","",IFERROR(INDEX('12 P6 activities'!$B$7:$B$206,MATCH(B381,'12 P6 activities'!$A$7:$A$206,0)),"⚠ not in P6 list"))</f>
        <v/>
      </c>
      <c r="D381" s="144" t="str">
        <f>IF(B381="","",IFERROR(INDEX('12 P6 activities'!$C$7:$C$206,MATCH(B381,'12 P6 activities'!$A$7:$A$206,0)),"⚠ not in P6 list"))</f>
        <v/>
      </c>
      <c r="E381" s="145"/>
      <c r="F381" s="146"/>
      <c r="G381" s="147"/>
      <c r="H381" s="148"/>
      <c r="I381" s="149"/>
      <c r="J381" s="150" t="str">
        <f t="shared" si="5"/>
        <v/>
      </c>
      <c r="K381" s="149"/>
      <c r="L381" s="149"/>
      <c r="M381" s="6"/>
      <c r="N381" s="6"/>
      <c r="O381" s="6"/>
      <c r="P381" s="6"/>
      <c r="Q381" s="6"/>
      <c r="R381" s="6"/>
      <c r="S381" s="6"/>
      <c r="T381" s="6"/>
      <c r="U381" s="6"/>
      <c r="V381" s="6"/>
      <c r="W381" s="6"/>
      <c r="X381" s="6"/>
      <c r="Y381" s="6"/>
      <c r="Z381" s="6"/>
    </row>
    <row r="382" spans="1:26" ht="18" customHeight="1" x14ac:dyDescent="0.3">
      <c r="A382" s="142"/>
      <c r="B382" s="143"/>
      <c r="C382" s="144" t="str">
        <f>IF(B382="","",IFERROR(INDEX('12 P6 activities'!$B$7:$B$206,MATCH(B382,'12 P6 activities'!$A$7:$A$206,0)),"⚠ not in P6 list"))</f>
        <v/>
      </c>
      <c r="D382" s="144" t="str">
        <f>IF(B382="","",IFERROR(INDEX('12 P6 activities'!$C$7:$C$206,MATCH(B382,'12 P6 activities'!$A$7:$A$206,0)),"⚠ not in P6 list"))</f>
        <v/>
      </c>
      <c r="E382" s="145"/>
      <c r="F382" s="146"/>
      <c r="G382" s="147"/>
      <c r="H382" s="148"/>
      <c r="I382" s="149"/>
      <c r="J382" s="150" t="str">
        <f t="shared" si="5"/>
        <v/>
      </c>
      <c r="K382" s="149"/>
      <c r="L382" s="149"/>
      <c r="M382" s="6"/>
      <c r="N382" s="6"/>
      <c r="O382" s="6"/>
      <c r="P382" s="6"/>
      <c r="Q382" s="6"/>
      <c r="R382" s="6"/>
      <c r="S382" s="6"/>
      <c r="T382" s="6"/>
      <c r="U382" s="6"/>
      <c r="V382" s="6"/>
      <c r="W382" s="6"/>
      <c r="X382" s="6"/>
      <c r="Y382" s="6"/>
      <c r="Z382" s="6"/>
    </row>
    <row r="383" spans="1:26" ht="18" customHeight="1" x14ac:dyDescent="0.3">
      <c r="A383" s="142"/>
      <c r="B383" s="143"/>
      <c r="C383" s="144" t="str">
        <f>IF(B383="","",IFERROR(INDEX('12 P6 activities'!$B$7:$B$206,MATCH(B383,'12 P6 activities'!$A$7:$A$206,0)),"⚠ not in P6 list"))</f>
        <v/>
      </c>
      <c r="D383" s="144" t="str">
        <f>IF(B383="","",IFERROR(INDEX('12 P6 activities'!$C$7:$C$206,MATCH(B383,'12 P6 activities'!$A$7:$A$206,0)),"⚠ not in P6 list"))</f>
        <v/>
      </c>
      <c r="E383" s="145"/>
      <c r="F383" s="146"/>
      <c r="G383" s="147"/>
      <c r="H383" s="148"/>
      <c r="I383" s="149"/>
      <c r="J383" s="150" t="str">
        <f t="shared" si="5"/>
        <v/>
      </c>
      <c r="K383" s="149"/>
      <c r="L383" s="149"/>
      <c r="M383" s="6"/>
      <c r="N383" s="6"/>
      <c r="O383" s="6"/>
      <c r="P383" s="6"/>
      <c r="Q383" s="6"/>
      <c r="R383" s="6"/>
      <c r="S383" s="6"/>
      <c r="T383" s="6"/>
      <c r="U383" s="6"/>
      <c r="V383" s="6"/>
      <c r="W383" s="6"/>
      <c r="X383" s="6"/>
      <c r="Y383" s="6"/>
      <c r="Z383" s="6"/>
    </row>
    <row r="384" spans="1:26" ht="18" customHeight="1" x14ac:dyDescent="0.3">
      <c r="A384" s="142"/>
      <c r="B384" s="143"/>
      <c r="C384" s="144" t="str">
        <f>IF(B384="","",IFERROR(INDEX('12 P6 activities'!$B$7:$B$206,MATCH(B384,'12 P6 activities'!$A$7:$A$206,0)),"⚠ not in P6 list"))</f>
        <v/>
      </c>
      <c r="D384" s="144" t="str">
        <f>IF(B384="","",IFERROR(INDEX('12 P6 activities'!$C$7:$C$206,MATCH(B384,'12 P6 activities'!$A$7:$A$206,0)),"⚠ not in P6 list"))</f>
        <v/>
      </c>
      <c r="E384" s="145"/>
      <c r="F384" s="146"/>
      <c r="G384" s="147"/>
      <c r="H384" s="148"/>
      <c r="I384" s="149"/>
      <c r="J384" s="150" t="str">
        <f t="shared" si="5"/>
        <v/>
      </c>
      <c r="K384" s="149"/>
      <c r="L384" s="149"/>
      <c r="M384" s="6"/>
      <c r="N384" s="6"/>
      <c r="O384" s="6"/>
      <c r="P384" s="6"/>
      <c r="Q384" s="6"/>
      <c r="R384" s="6"/>
      <c r="S384" s="6"/>
      <c r="T384" s="6"/>
      <c r="U384" s="6"/>
      <c r="V384" s="6"/>
      <c r="W384" s="6"/>
      <c r="X384" s="6"/>
      <c r="Y384" s="6"/>
      <c r="Z384" s="6"/>
    </row>
    <row r="385" spans="1:26" ht="18" customHeight="1" x14ac:dyDescent="0.3">
      <c r="A385" s="142"/>
      <c r="B385" s="143"/>
      <c r="C385" s="144" t="str">
        <f>IF(B385="","",IFERROR(INDEX('12 P6 activities'!$B$7:$B$206,MATCH(B385,'12 P6 activities'!$A$7:$A$206,0)),"⚠ not in P6 list"))</f>
        <v/>
      </c>
      <c r="D385" s="144" t="str">
        <f>IF(B385="","",IFERROR(INDEX('12 P6 activities'!$C$7:$C$206,MATCH(B385,'12 P6 activities'!$A$7:$A$206,0)),"⚠ not in P6 list"))</f>
        <v/>
      </c>
      <c r="E385" s="145"/>
      <c r="F385" s="146"/>
      <c r="G385" s="147"/>
      <c r="H385" s="148"/>
      <c r="I385" s="149"/>
      <c r="J385" s="150" t="str">
        <f t="shared" si="5"/>
        <v/>
      </c>
      <c r="K385" s="149"/>
      <c r="L385" s="149"/>
      <c r="M385" s="6"/>
      <c r="N385" s="6"/>
      <c r="O385" s="6"/>
      <c r="P385" s="6"/>
      <c r="Q385" s="6"/>
      <c r="R385" s="6"/>
      <c r="S385" s="6"/>
      <c r="T385" s="6"/>
      <c r="U385" s="6"/>
      <c r="V385" s="6"/>
      <c r="W385" s="6"/>
      <c r="X385" s="6"/>
      <c r="Y385" s="6"/>
      <c r="Z385" s="6"/>
    </row>
    <row r="386" spans="1:26" ht="18" customHeight="1" x14ac:dyDescent="0.3">
      <c r="A386" s="142"/>
      <c r="B386" s="143"/>
      <c r="C386" s="144" t="str">
        <f>IF(B386="","",IFERROR(INDEX('12 P6 activities'!$B$7:$B$206,MATCH(B386,'12 P6 activities'!$A$7:$A$206,0)),"⚠ not in P6 list"))</f>
        <v/>
      </c>
      <c r="D386" s="144" t="str">
        <f>IF(B386="","",IFERROR(INDEX('12 P6 activities'!$C$7:$C$206,MATCH(B386,'12 P6 activities'!$A$7:$A$206,0)),"⚠ not in P6 list"))</f>
        <v/>
      </c>
      <c r="E386" s="145"/>
      <c r="F386" s="146"/>
      <c r="G386" s="147"/>
      <c r="H386" s="148"/>
      <c r="I386" s="149"/>
      <c r="J386" s="150" t="str">
        <f t="shared" si="5"/>
        <v/>
      </c>
      <c r="K386" s="149"/>
      <c r="L386" s="149"/>
      <c r="M386" s="6"/>
      <c r="N386" s="6"/>
      <c r="O386" s="6"/>
      <c r="P386" s="6"/>
      <c r="Q386" s="6"/>
      <c r="R386" s="6"/>
      <c r="S386" s="6"/>
      <c r="T386" s="6"/>
      <c r="U386" s="6"/>
      <c r="V386" s="6"/>
      <c r="W386" s="6"/>
      <c r="X386" s="6"/>
      <c r="Y386" s="6"/>
      <c r="Z386" s="6"/>
    </row>
    <row r="387" spans="1:26" ht="18" customHeight="1" x14ac:dyDescent="0.3">
      <c r="A387" s="142"/>
      <c r="B387" s="143"/>
      <c r="C387" s="144" t="str">
        <f>IF(B387="","",IFERROR(INDEX('12 P6 activities'!$B$7:$B$206,MATCH(B387,'12 P6 activities'!$A$7:$A$206,0)),"⚠ not in P6 list"))</f>
        <v/>
      </c>
      <c r="D387" s="144" t="str">
        <f>IF(B387="","",IFERROR(INDEX('12 P6 activities'!$C$7:$C$206,MATCH(B387,'12 P6 activities'!$A$7:$A$206,0)),"⚠ not in P6 list"))</f>
        <v/>
      </c>
      <c r="E387" s="145"/>
      <c r="F387" s="146"/>
      <c r="G387" s="147"/>
      <c r="H387" s="148"/>
      <c r="I387" s="149"/>
      <c r="J387" s="150" t="str">
        <f t="shared" si="5"/>
        <v/>
      </c>
      <c r="K387" s="149"/>
      <c r="L387" s="149"/>
      <c r="M387" s="6"/>
      <c r="N387" s="6"/>
      <c r="O387" s="6"/>
      <c r="P387" s="6"/>
      <c r="Q387" s="6"/>
      <c r="R387" s="6"/>
      <c r="S387" s="6"/>
      <c r="T387" s="6"/>
      <c r="U387" s="6"/>
      <c r="V387" s="6"/>
      <c r="W387" s="6"/>
      <c r="X387" s="6"/>
      <c r="Y387" s="6"/>
      <c r="Z387" s="6"/>
    </row>
    <row r="388" spans="1:26" ht="18" customHeight="1" x14ac:dyDescent="0.3">
      <c r="A388" s="142"/>
      <c r="B388" s="143"/>
      <c r="C388" s="144" t="str">
        <f>IF(B388="","",IFERROR(INDEX('12 P6 activities'!$B$7:$B$206,MATCH(B388,'12 P6 activities'!$A$7:$A$206,0)),"⚠ not in P6 list"))</f>
        <v/>
      </c>
      <c r="D388" s="144" t="str">
        <f>IF(B388="","",IFERROR(INDEX('12 P6 activities'!$C$7:$C$206,MATCH(B388,'12 P6 activities'!$A$7:$A$206,0)),"⚠ not in P6 list"))</f>
        <v/>
      </c>
      <c r="E388" s="145"/>
      <c r="F388" s="146"/>
      <c r="G388" s="147"/>
      <c r="H388" s="148"/>
      <c r="I388" s="149"/>
      <c r="J388" s="150" t="str">
        <f t="shared" si="5"/>
        <v/>
      </c>
      <c r="K388" s="149"/>
      <c r="L388" s="149"/>
      <c r="M388" s="6"/>
      <c r="N388" s="6"/>
      <c r="O388" s="6"/>
      <c r="P388" s="6"/>
      <c r="Q388" s="6"/>
      <c r="R388" s="6"/>
      <c r="S388" s="6"/>
      <c r="T388" s="6"/>
      <c r="U388" s="6"/>
      <c r="V388" s="6"/>
      <c r="W388" s="6"/>
      <c r="X388" s="6"/>
      <c r="Y388" s="6"/>
      <c r="Z388" s="6"/>
    </row>
    <row r="389" spans="1:26" ht="18" customHeight="1" x14ac:dyDescent="0.3">
      <c r="A389" s="142"/>
      <c r="B389" s="143"/>
      <c r="C389" s="144" t="str">
        <f>IF(B389="","",IFERROR(INDEX('12 P6 activities'!$B$7:$B$206,MATCH(B389,'12 P6 activities'!$A$7:$A$206,0)),"⚠ not in P6 list"))</f>
        <v/>
      </c>
      <c r="D389" s="144" t="str">
        <f>IF(B389="","",IFERROR(INDEX('12 P6 activities'!$C$7:$C$206,MATCH(B389,'12 P6 activities'!$A$7:$A$206,0)),"⚠ not in P6 list"))</f>
        <v/>
      </c>
      <c r="E389" s="145"/>
      <c r="F389" s="146"/>
      <c r="G389" s="147"/>
      <c r="H389" s="148"/>
      <c r="I389" s="149"/>
      <c r="J389" s="150" t="str">
        <f t="shared" si="5"/>
        <v/>
      </c>
      <c r="K389" s="149"/>
      <c r="L389" s="149"/>
      <c r="M389" s="6"/>
      <c r="N389" s="6"/>
      <c r="O389" s="6"/>
      <c r="P389" s="6"/>
      <c r="Q389" s="6"/>
      <c r="R389" s="6"/>
      <c r="S389" s="6"/>
      <c r="T389" s="6"/>
      <c r="U389" s="6"/>
      <c r="V389" s="6"/>
      <c r="W389" s="6"/>
      <c r="X389" s="6"/>
      <c r="Y389" s="6"/>
      <c r="Z389" s="6"/>
    </row>
    <row r="390" spans="1:26" ht="18" customHeight="1" x14ac:dyDescent="0.3">
      <c r="A390" s="142"/>
      <c r="B390" s="143"/>
      <c r="C390" s="144" t="str">
        <f>IF(B390="","",IFERROR(INDEX('12 P6 activities'!$B$7:$B$206,MATCH(B390,'12 P6 activities'!$A$7:$A$206,0)),"⚠ not in P6 list"))</f>
        <v/>
      </c>
      <c r="D390" s="144" t="str">
        <f>IF(B390="","",IFERROR(INDEX('12 P6 activities'!$C$7:$C$206,MATCH(B390,'12 P6 activities'!$A$7:$A$206,0)),"⚠ not in P6 list"))</f>
        <v/>
      </c>
      <c r="E390" s="145"/>
      <c r="F390" s="146"/>
      <c r="G390" s="147"/>
      <c r="H390" s="148"/>
      <c r="I390" s="149"/>
      <c r="J390" s="150" t="str">
        <f t="shared" si="5"/>
        <v/>
      </c>
      <c r="K390" s="149"/>
      <c r="L390" s="149"/>
      <c r="M390" s="6"/>
      <c r="N390" s="6"/>
      <c r="O390" s="6"/>
      <c r="P390" s="6"/>
      <c r="Q390" s="6"/>
      <c r="R390" s="6"/>
      <c r="S390" s="6"/>
      <c r="T390" s="6"/>
      <c r="U390" s="6"/>
      <c r="V390" s="6"/>
      <c r="W390" s="6"/>
      <c r="X390" s="6"/>
      <c r="Y390" s="6"/>
      <c r="Z390" s="6"/>
    </row>
    <row r="391" spans="1:26" ht="18" customHeight="1" x14ac:dyDescent="0.3">
      <c r="A391" s="142"/>
      <c r="B391" s="143"/>
      <c r="C391" s="144" t="str">
        <f>IF(B391="","",IFERROR(INDEX('12 P6 activities'!$B$7:$B$206,MATCH(B391,'12 P6 activities'!$A$7:$A$206,0)),"⚠ not in P6 list"))</f>
        <v/>
      </c>
      <c r="D391" s="144" t="str">
        <f>IF(B391="","",IFERROR(INDEX('12 P6 activities'!$C$7:$C$206,MATCH(B391,'12 P6 activities'!$A$7:$A$206,0)),"⚠ not in P6 list"))</f>
        <v/>
      </c>
      <c r="E391" s="145"/>
      <c r="F391" s="146"/>
      <c r="G391" s="147"/>
      <c r="H391" s="148"/>
      <c r="I391" s="149"/>
      <c r="J391" s="150" t="str">
        <f t="shared" si="5"/>
        <v/>
      </c>
      <c r="K391" s="149"/>
      <c r="L391" s="149"/>
      <c r="M391" s="6"/>
      <c r="N391" s="6"/>
      <c r="O391" s="6"/>
      <c r="P391" s="6"/>
      <c r="Q391" s="6"/>
      <c r="R391" s="6"/>
      <c r="S391" s="6"/>
      <c r="T391" s="6"/>
      <c r="U391" s="6"/>
      <c r="V391" s="6"/>
      <c r="W391" s="6"/>
      <c r="X391" s="6"/>
      <c r="Y391" s="6"/>
      <c r="Z391" s="6"/>
    </row>
    <row r="392" spans="1:26" ht="18" customHeight="1" x14ac:dyDescent="0.3">
      <c r="A392" s="142"/>
      <c r="B392" s="143"/>
      <c r="C392" s="144" t="str">
        <f>IF(B392="","",IFERROR(INDEX('12 P6 activities'!$B$7:$B$206,MATCH(B392,'12 P6 activities'!$A$7:$A$206,0)),"⚠ not in P6 list"))</f>
        <v/>
      </c>
      <c r="D392" s="144" t="str">
        <f>IF(B392="","",IFERROR(INDEX('12 P6 activities'!$C$7:$C$206,MATCH(B392,'12 P6 activities'!$A$7:$A$206,0)),"⚠ not in P6 list"))</f>
        <v/>
      </c>
      <c r="E392" s="145"/>
      <c r="F392" s="146"/>
      <c r="G392" s="147"/>
      <c r="H392" s="148"/>
      <c r="I392" s="149"/>
      <c r="J392" s="150" t="str">
        <f t="shared" ref="J392:J455" si="6">IF(OR(H392="",I392=""),"",H392*I392)</f>
        <v/>
      </c>
      <c r="K392" s="149"/>
      <c r="L392" s="149"/>
      <c r="M392" s="6"/>
      <c r="N392" s="6"/>
      <c r="O392" s="6"/>
      <c r="P392" s="6"/>
      <c r="Q392" s="6"/>
      <c r="R392" s="6"/>
      <c r="S392" s="6"/>
      <c r="T392" s="6"/>
      <c r="U392" s="6"/>
      <c r="V392" s="6"/>
      <c r="W392" s="6"/>
      <c r="X392" s="6"/>
      <c r="Y392" s="6"/>
      <c r="Z392" s="6"/>
    </row>
    <row r="393" spans="1:26" ht="18" customHeight="1" x14ac:dyDescent="0.3">
      <c r="A393" s="142"/>
      <c r="B393" s="143"/>
      <c r="C393" s="144" t="str">
        <f>IF(B393="","",IFERROR(INDEX('12 P6 activities'!$B$7:$B$206,MATCH(B393,'12 P6 activities'!$A$7:$A$206,0)),"⚠ not in P6 list"))</f>
        <v/>
      </c>
      <c r="D393" s="144" t="str">
        <f>IF(B393="","",IFERROR(INDEX('12 P6 activities'!$C$7:$C$206,MATCH(B393,'12 P6 activities'!$A$7:$A$206,0)),"⚠ not in P6 list"))</f>
        <v/>
      </c>
      <c r="E393" s="145"/>
      <c r="F393" s="146"/>
      <c r="G393" s="147"/>
      <c r="H393" s="148"/>
      <c r="I393" s="149"/>
      <c r="J393" s="150" t="str">
        <f t="shared" si="6"/>
        <v/>
      </c>
      <c r="K393" s="149"/>
      <c r="L393" s="149"/>
      <c r="M393" s="6"/>
      <c r="N393" s="6"/>
      <c r="O393" s="6"/>
      <c r="P393" s="6"/>
      <c r="Q393" s="6"/>
      <c r="R393" s="6"/>
      <c r="S393" s="6"/>
      <c r="T393" s="6"/>
      <c r="U393" s="6"/>
      <c r="V393" s="6"/>
      <c r="W393" s="6"/>
      <c r="X393" s="6"/>
      <c r="Y393" s="6"/>
      <c r="Z393" s="6"/>
    </row>
    <row r="394" spans="1:26" ht="18" customHeight="1" x14ac:dyDescent="0.3">
      <c r="A394" s="142"/>
      <c r="B394" s="143"/>
      <c r="C394" s="144" t="str">
        <f>IF(B394="","",IFERROR(INDEX('12 P6 activities'!$B$7:$B$206,MATCH(B394,'12 P6 activities'!$A$7:$A$206,0)),"⚠ not in P6 list"))</f>
        <v/>
      </c>
      <c r="D394" s="144" t="str">
        <f>IF(B394="","",IFERROR(INDEX('12 P6 activities'!$C$7:$C$206,MATCH(B394,'12 P6 activities'!$A$7:$A$206,0)),"⚠ not in P6 list"))</f>
        <v/>
      </c>
      <c r="E394" s="145"/>
      <c r="F394" s="146"/>
      <c r="G394" s="147"/>
      <c r="H394" s="148"/>
      <c r="I394" s="149"/>
      <c r="J394" s="150" t="str">
        <f t="shared" si="6"/>
        <v/>
      </c>
      <c r="K394" s="149"/>
      <c r="L394" s="149"/>
      <c r="M394" s="6"/>
      <c r="N394" s="6"/>
      <c r="O394" s="6"/>
      <c r="P394" s="6"/>
      <c r="Q394" s="6"/>
      <c r="R394" s="6"/>
      <c r="S394" s="6"/>
      <c r="T394" s="6"/>
      <c r="U394" s="6"/>
      <c r="V394" s="6"/>
      <c r="W394" s="6"/>
      <c r="X394" s="6"/>
      <c r="Y394" s="6"/>
      <c r="Z394" s="6"/>
    </row>
    <row r="395" spans="1:26" ht="18" customHeight="1" x14ac:dyDescent="0.3">
      <c r="A395" s="142"/>
      <c r="B395" s="143"/>
      <c r="C395" s="144" t="str">
        <f>IF(B395="","",IFERROR(INDEX('12 P6 activities'!$B$7:$B$206,MATCH(B395,'12 P6 activities'!$A$7:$A$206,0)),"⚠ not in P6 list"))</f>
        <v/>
      </c>
      <c r="D395" s="144" t="str">
        <f>IF(B395="","",IFERROR(INDEX('12 P6 activities'!$C$7:$C$206,MATCH(B395,'12 P6 activities'!$A$7:$A$206,0)),"⚠ not in P6 list"))</f>
        <v/>
      </c>
      <c r="E395" s="145"/>
      <c r="F395" s="146"/>
      <c r="G395" s="147"/>
      <c r="H395" s="148"/>
      <c r="I395" s="149"/>
      <c r="J395" s="150" t="str">
        <f t="shared" si="6"/>
        <v/>
      </c>
      <c r="K395" s="149"/>
      <c r="L395" s="149"/>
      <c r="M395" s="6"/>
      <c r="N395" s="6"/>
      <c r="O395" s="6"/>
      <c r="P395" s="6"/>
      <c r="Q395" s="6"/>
      <c r="R395" s="6"/>
      <c r="S395" s="6"/>
      <c r="T395" s="6"/>
      <c r="U395" s="6"/>
      <c r="V395" s="6"/>
      <c r="W395" s="6"/>
      <c r="X395" s="6"/>
      <c r="Y395" s="6"/>
      <c r="Z395" s="6"/>
    </row>
    <row r="396" spans="1:26" ht="18" customHeight="1" x14ac:dyDescent="0.3">
      <c r="A396" s="142"/>
      <c r="B396" s="143"/>
      <c r="C396" s="144" t="str">
        <f>IF(B396="","",IFERROR(INDEX('12 P6 activities'!$B$7:$B$206,MATCH(B396,'12 P6 activities'!$A$7:$A$206,0)),"⚠ not in P6 list"))</f>
        <v/>
      </c>
      <c r="D396" s="144" t="str">
        <f>IF(B396="","",IFERROR(INDEX('12 P6 activities'!$C$7:$C$206,MATCH(B396,'12 P6 activities'!$A$7:$A$206,0)),"⚠ not in P6 list"))</f>
        <v/>
      </c>
      <c r="E396" s="145"/>
      <c r="F396" s="146"/>
      <c r="G396" s="147"/>
      <c r="H396" s="148"/>
      <c r="I396" s="149"/>
      <c r="J396" s="150" t="str">
        <f t="shared" si="6"/>
        <v/>
      </c>
      <c r="K396" s="149"/>
      <c r="L396" s="149"/>
      <c r="M396" s="6"/>
      <c r="N396" s="6"/>
      <c r="O396" s="6"/>
      <c r="P396" s="6"/>
      <c r="Q396" s="6"/>
      <c r="R396" s="6"/>
      <c r="S396" s="6"/>
      <c r="T396" s="6"/>
      <c r="U396" s="6"/>
      <c r="V396" s="6"/>
      <c r="W396" s="6"/>
      <c r="X396" s="6"/>
      <c r="Y396" s="6"/>
      <c r="Z396" s="6"/>
    </row>
    <row r="397" spans="1:26" ht="18" customHeight="1" x14ac:dyDescent="0.3">
      <c r="A397" s="142"/>
      <c r="B397" s="143"/>
      <c r="C397" s="144" t="str">
        <f>IF(B397="","",IFERROR(INDEX('12 P6 activities'!$B$7:$B$206,MATCH(B397,'12 P6 activities'!$A$7:$A$206,0)),"⚠ not in P6 list"))</f>
        <v/>
      </c>
      <c r="D397" s="144" t="str">
        <f>IF(B397="","",IFERROR(INDEX('12 P6 activities'!$C$7:$C$206,MATCH(B397,'12 P6 activities'!$A$7:$A$206,0)),"⚠ not in P6 list"))</f>
        <v/>
      </c>
      <c r="E397" s="145"/>
      <c r="F397" s="146"/>
      <c r="G397" s="147"/>
      <c r="H397" s="148"/>
      <c r="I397" s="149"/>
      <c r="J397" s="150" t="str">
        <f t="shared" si="6"/>
        <v/>
      </c>
      <c r="K397" s="149"/>
      <c r="L397" s="149"/>
      <c r="M397" s="6"/>
      <c r="N397" s="6"/>
      <c r="O397" s="6"/>
      <c r="P397" s="6"/>
      <c r="Q397" s="6"/>
      <c r="R397" s="6"/>
      <c r="S397" s="6"/>
      <c r="T397" s="6"/>
      <c r="U397" s="6"/>
      <c r="V397" s="6"/>
      <c r="W397" s="6"/>
      <c r="X397" s="6"/>
      <c r="Y397" s="6"/>
      <c r="Z397" s="6"/>
    </row>
    <row r="398" spans="1:26" ht="18" customHeight="1" x14ac:dyDescent="0.3">
      <c r="A398" s="142"/>
      <c r="B398" s="143"/>
      <c r="C398" s="144" t="str">
        <f>IF(B398="","",IFERROR(INDEX('12 P6 activities'!$B$7:$B$206,MATCH(B398,'12 P6 activities'!$A$7:$A$206,0)),"⚠ not in P6 list"))</f>
        <v/>
      </c>
      <c r="D398" s="144" t="str">
        <f>IF(B398="","",IFERROR(INDEX('12 P6 activities'!$C$7:$C$206,MATCH(B398,'12 P6 activities'!$A$7:$A$206,0)),"⚠ not in P6 list"))</f>
        <v/>
      </c>
      <c r="E398" s="145"/>
      <c r="F398" s="146"/>
      <c r="G398" s="147"/>
      <c r="H398" s="148"/>
      <c r="I398" s="149"/>
      <c r="J398" s="150" t="str">
        <f t="shared" si="6"/>
        <v/>
      </c>
      <c r="K398" s="149"/>
      <c r="L398" s="149"/>
      <c r="M398" s="6"/>
      <c r="N398" s="6"/>
      <c r="O398" s="6"/>
      <c r="P398" s="6"/>
      <c r="Q398" s="6"/>
      <c r="R398" s="6"/>
      <c r="S398" s="6"/>
      <c r="T398" s="6"/>
      <c r="U398" s="6"/>
      <c r="V398" s="6"/>
      <c r="W398" s="6"/>
      <c r="X398" s="6"/>
      <c r="Y398" s="6"/>
      <c r="Z398" s="6"/>
    </row>
    <row r="399" spans="1:26" ht="18" customHeight="1" x14ac:dyDescent="0.3">
      <c r="A399" s="142"/>
      <c r="B399" s="143"/>
      <c r="C399" s="144" t="str">
        <f>IF(B399="","",IFERROR(INDEX('12 P6 activities'!$B$7:$B$206,MATCH(B399,'12 P6 activities'!$A$7:$A$206,0)),"⚠ not in P6 list"))</f>
        <v/>
      </c>
      <c r="D399" s="144" t="str">
        <f>IF(B399="","",IFERROR(INDEX('12 P6 activities'!$C$7:$C$206,MATCH(B399,'12 P6 activities'!$A$7:$A$206,0)),"⚠ not in P6 list"))</f>
        <v/>
      </c>
      <c r="E399" s="145"/>
      <c r="F399" s="146"/>
      <c r="G399" s="147"/>
      <c r="H399" s="148"/>
      <c r="I399" s="149"/>
      <c r="J399" s="150" t="str">
        <f t="shared" si="6"/>
        <v/>
      </c>
      <c r="K399" s="149"/>
      <c r="L399" s="149"/>
      <c r="M399" s="6"/>
      <c r="N399" s="6"/>
      <c r="O399" s="6"/>
      <c r="P399" s="6"/>
      <c r="Q399" s="6"/>
      <c r="R399" s="6"/>
      <c r="S399" s="6"/>
      <c r="T399" s="6"/>
      <c r="U399" s="6"/>
      <c r="V399" s="6"/>
      <c r="W399" s="6"/>
      <c r="X399" s="6"/>
      <c r="Y399" s="6"/>
      <c r="Z399" s="6"/>
    </row>
    <row r="400" spans="1:26" ht="18" customHeight="1" x14ac:dyDescent="0.3">
      <c r="A400" s="142"/>
      <c r="B400" s="143"/>
      <c r="C400" s="144" t="str">
        <f>IF(B400="","",IFERROR(INDEX('12 P6 activities'!$B$7:$B$206,MATCH(B400,'12 P6 activities'!$A$7:$A$206,0)),"⚠ not in P6 list"))</f>
        <v/>
      </c>
      <c r="D400" s="144" t="str">
        <f>IF(B400="","",IFERROR(INDEX('12 P6 activities'!$C$7:$C$206,MATCH(B400,'12 P6 activities'!$A$7:$A$206,0)),"⚠ not in P6 list"))</f>
        <v/>
      </c>
      <c r="E400" s="145"/>
      <c r="F400" s="146"/>
      <c r="G400" s="147"/>
      <c r="H400" s="148"/>
      <c r="I400" s="149"/>
      <c r="J400" s="150" t="str">
        <f t="shared" si="6"/>
        <v/>
      </c>
      <c r="K400" s="149"/>
      <c r="L400" s="149"/>
      <c r="M400" s="6"/>
      <c r="N400" s="6"/>
      <c r="O400" s="6"/>
      <c r="P400" s="6"/>
      <c r="Q400" s="6"/>
      <c r="R400" s="6"/>
      <c r="S400" s="6"/>
      <c r="T400" s="6"/>
      <c r="U400" s="6"/>
      <c r="V400" s="6"/>
      <c r="W400" s="6"/>
      <c r="X400" s="6"/>
      <c r="Y400" s="6"/>
      <c r="Z400" s="6"/>
    </row>
    <row r="401" spans="1:26" ht="18" customHeight="1" x14ac:dyDescent="0.3">
      <c r="A401" s="142"/>
      <c r="B401" s="143"/>
      <c r="C401" s="144" t="str">
        <f>IF(B401="","",IFERROR(INDEX('12 P6 activities'!$B$7:$B$206,MATCH(B401,'12 P6 activities'!$A$7:$A$206,0)),"⚠ not in P6 list"))</f>
        <v/>
      </c>
      <c r="D401" s="144" t="str">
        <f>IF(B401="","",IFERROR(INDEX('12 P6 activities'!$C$7:$C$206,MATCH(B401,'12 P6 activities'!$A$7:$A$206,0)),"⚠ not in P6 list"))</f>
        <v/>
      </c>
      <c r="E401" s="145"/>
      <c r="F401" s="146"/>
      <c r="G401" s="147"/>
      <c r="H401" s="148"/>
      <c r="I401" s="149"/>
      <c r="J401" s="150" t="str">
        <f t="shared" si="6"/>
        <v/>
      </c>
      <c r="K401" s="149"/>
      <c r="L401" s="149"/>
      <c r="M401" s="6"/>
      <c r="N401" s="6"/>
      <c r="O401" s="6"/>
      <c r="P401" s="6"/>
      <c r="Q401" s="6"/>
      <c r="R401" s="6"/>
      <c r="S401" s="6"/>
      <c r="T401" s="6"/>
      <c r="U401" s="6"/>
      <c r="V401" s="6"/>
      <c r="W401" s="6"/>
      <c r="X401" s="6"/>
      <c r="Y401" s="6"/>
      <c r="Z401" s="6"/>
    </row>
    <row r="402" spans="1:26" ht="18" customHeight="1" x14ac:dyDescent="0.3">
      <c r="A402" s="142"/>
      <c r="B402" s="143"/>
      <c r="C402" s="144" t="str">
        <f>IF(B402="","",IFERROR(INDEX('12 P6 activities'!$B$7:$B$206,MATCH(B402,'12 P6 activities'!$A$7:$A$206,0)),"⚠ not in P6 list"))</f>
        <v/>
      </c>
      <c r="D402" s="144" t="str">
        <f>IF(B402="","",IFERROR(INDEX('12 P6 activities'!$C$7:$C$206,MATCH(B402,'12 P6 activities'!$A$7:$A$206,0)),"⚠ not in P6 list"))</f>
        <v/>
      </c>
      <c r="E402" s="145"/>
      <c r="F402" s="146"/>
      <c r="G402" s="147"/>
      <c r="H402" s="148"/>
      <c r="I402" s="149"/>
      <c r="J402" s="150" t="str">
        <f t="shared" si="6"/>
        <v/>
      </c>
      <c r="K402" s="149"/>
      <c r="L402" s="149"/>
      <c r="M402" s="6"/>
      <c r="N402" s="6"/>
      <c r="O402" s="6"/>
      <c r="P402" s="6"/>
      <c r="Q402" s="6"/>
      <c r="R402" s="6"/>
      <c r="S402" s="6"/>
      <c r="T402" s="6"/>
      <c r="U402" s="6"/>
      <c r="V402" s="6"/>
      <c r="W402" s="6"/>
      <c r="X402" s="6"/>
      <c r="Y402" s="6"/>
      <c r="Z402" s="6"/>
    </row>
    <row r="403" spans="1:26" ht="18" customHeight="1" x14ac:dyDescent="0.3">
      <c r="A403" s="142"/>
      <c r="B403" s="143"/>
      <c r="C403" s="144" t="str">
        <f>IF(B403="","",IFERROR(INDEX('12 P6 activities'!$B$7:$B$206,MATCH(B403,'12 P6 activities'!$A$7:$A$206,0)),"⚠ not in P6 list"))</f>
        <v/>
      </c>
      <c r="D403" s="144" t="str">
        <f>IF(B403="","",IFERROR(INDEX('12 P6 activities'!$C$7:$C$206,MATCH(B403,'12 P6 activities'!$A$7:$A$206,0)),"⚠ not in P6 list"))</f>
        <v/>
      </c>
      <c r="E403" s="145"/>
      <c r="F403" s="146"/>
      <c r="G403" s="147"/>
      <c r="H403" s="148"/>
      <c r="I403" s="149"/>
      <c r="J403" s="150" t="str">
        <f t="shared" si="6"/>
        <v/>
      </c>
      <c r="K403" s="149"/>
      <c r="L403" s="149"/>
      <c r="M403" s="6"/>
      <c r="N403" s="6"/>
      <c r="O403" s="6"/>
      <c r="P403" s="6"/>
      <c r="Q403" s="6"/>
      <c r="R403" s="6"/>
      <c r="S403" s="6"/>
      <c r="T403" s="6"/>
      <c r="U403" s="6"/>
      <c r="V403" s="6"/>
      <c r="W403" s="6"/>
      <c r="X403" s="6"/>
      <c r="Y403" s="6"/>
      <c r="Z403" s="6"/>
    </row>
    <row r="404" spans="1:26" ht="18" customHeight="1" x14ac:dyDescent="0.3">
      <c r="A404" s="142"/>
      <c r="B404" s="143"/>
      <c r="C404" s="144" t="str">
        <f>IF(B404="","",IFERROR(INDEX('12 P6 activities'!$B$7:$B$206,MATCH(B404,'12 P6 activities'!$A$7:$A$206,0)),"⚠ not in P6 list"))</f>
        <v/>
      </c>
      <c r="D404" s="144" t="str">
        <f>IF(B404="","",IFERROR(INDEX('12 P6 activities'!$C$7:$C$206,MATCH(B404,'12 P6 activities'!$A$7:$A$206,0)),"⚠ not in P6 list"))</f>
        <v/>
      </c>
      <c r="E404" s="145"/>
      <c r="F404" s="146"/>
      <c r="G404" s="147"/>
      <c r="H404" s="148"/>
      <c r="I404" s="149"/>
      <c r="J404" s="150" t="str">
        <f t="shared" si="6"/>
        <v/>
      </c>
      <c r="K404" s="149"/>
      <c r="L404" s="149"/>
      <c r="M404" s="6"/>
      <c r="N404" s="6"/>
      <c r="O404" s="6"/>
      <c r="P404" s="6"/>
      <c r="Q404" s="6"/>
      <c r="R404" s="6"/>
      <c r="S404" s="6"/>
      <c r="T404" s="6"/>
      <c r="U404" s="6"/>
      <c r="V404" s="6"/>
      <c r="W404" s="6"/>
      <c r="X404" s="6"/>
      <c r="Y404" s="6"/>
      <c r="Z404" s="6"/>
    </row>
    <row r="405" spans="1:26" ht="18" customHeight="1" x14ac:dyDescent="0.3">
      <c r="A405" s="142"/>
      <c r="B405" s="143"/>
      <c r="C405" s="144" t="str">
        <f>IF(B405="","",IFERROR(INDEX('12 P6 activities'!$B$7:$B$206,MATCH(B405,'12 P6 activities'!$A$7:$A$206,0)),"⚠ not in P6 list"))</f>
        <v/>
      </c>
      <c r="D405" s="144" t="str">
        <f>IF(B405="","",IFERROR(INDEX('12 P6 activities'!$C$7:$C$206,MATCH(B405,'12 P6 activities'!$A$7:$A$206,0)),"⚠ not in P6 list"))</f>
        <v/>
      </c>
      <c r="E405" s="145"/>
      <c r="F405" s="146"/>
      <c r="G405" s="147"/>
      <c r="H405" s="148"/>
      <c r="I405" s="149"/>
      <c r="J405" s="150" t="str">
        <f t="shared" si="6"/>
        <v/>
      </c>
      <c r="K405" s="149"/>
      <c r="L405" s="149"/>
      <c r="M405" s="6"/>
      <c r="N405" s="6"/>
      <c r="O405" s="6"/>
      <c r="P405" s="6"/>
      <c r="Q405" s="6"/>
      <c r="R405" s="6"/>
      <c r="S405" s="6"/>
      <c r="T405" s="6"/>
      <c r="U405" s="6"/>
      <c r="V405" s="6"/>
      <c r="W405" s="6"/>
      <c r="X405" s="6"/>
      <c r="Y405" s="6"/>
      <c r="Z405" s="6"/>
    </row>
    <row r="406" spans="1:26" ht="18" customHeight="1" x14ac:dyDescent="0.3">
      <c r="A406" s="142"/>
      <c r="B406" s="143"/>
      <c r="C406" s="144" t="str">
        <f>IF(B406="","",IFERROR(INDEX('12 P6 activities'!$B$7:$B$206,MATCH(B406,'12 P6 activities'!$A$7:$A$206,0)),"⚠ not in P6 list"))</f>
        <v/>
      </c>
      <c r="D406" s="144" t="str">
        <f>IF(B406="","",IFERROR(INDEX('12 P6 activities'!$C$7:$C$206,MATCH(B406,'12 P6 activities'!$A$7:$A$206,0)),"⚠ not in P6 list"))</f>
        <v/>
      </c>
      <c r="E406" s="145"/>
      <c r="F406" s="146"/>
      <c r="G406" s="147"/>
      <c r="H406" s="148"/>
      <c r="I406" s="149"/>
      <c r="J406" s="150" t="str">
        <f t="shared" si="6"/>
        <v/>
      </c>
      <c r="K406" s="149"/>
      <c r="L406" s="149"/>
      <c r="M406" s="6"/>
      <c r="N406" s="6"/>
      <c r="O406" s="6"/>
      <c r="P406" s="6"/>
      <c r="Q406" s="6"/>
      <c r="R406" s="6"/>
      <c r="S406" s="6"/>
      <c r="T406" s="6"/>
      <c r="U406" s="6"/>
      <c r="V406" s="6"/>
      <c r="W406" s="6"/>
      <c r="X406" s="6"/>
      <c r="Y406" s="6"/>
      <c r="Z406" s="6"/>
    </row>
    <row r="407" spans="1:26" ht="18" customHeight="1" x14ac:dyDescent="0.3">
      <c r="A407" s="142"/>
      <c r="B407" s="143"/>
      <c r="C407" s="144" t="str">
        <f>IF(B407="","",IFERROR(INDEX('12 P6 activities'!$B$7:$B$206,MATCH(B407,'12 P6 activities'!$A$7:$A$206,0)),"⚠ not in P6 list"))</f>
        <v/>
      </c>
      <c r="D407" s="144" t="str">
        <f>IF(B407="","",IFERROR(INDEX('12 P6 activities'!$C$7:$C$206,MATCH(B407,'12 P6 activities'!$A$7:$A$206,0)),"⚠ not in P6 list"))</f>
        <v/>
      </c>
      <c r="E407" s="145"/>
      <c r="F407" s="146"/>
      <c r="G407" s="147"/>
      <c r="H407" s="148"/>
      <c r="I407" s="149"/>
      <c r="J407" s="150" t="str">
        <f t="shared" si="6"/>
        <v/>
      </c>
      <c r="K407" s="149"/>
      <c r="L407" s="149"/>
      <c r="M407" s="6"/>
      <c r="N407" s="6"/>
      <c r="O407" s="6"/>
      <c r="P407" s="6"/>
      <c r="Q407" s="6"/>
      <c r="R407" s="6"/>
      <c r="S407" s="6"/>
      <c r="T407" s="6"/>
      <c r="U407" s="6"/>
      <c r="V407" s="6"/>
      <c r="W407" s="6"/>
      <c r="X407" s="6"/>
      <c r="Y407" s="6"/>
      <c r="Z407" s="6"/>
    </row>
    <row r="408" spans="1:26" ht="18" customHeight="1" x14ac:dyDescent="0.3">
      <c r="A408" s="142"/>
      <c r="B408" s="143"/>
      <c r="C408" s="144" t="str">
        <f>IF(B408="","",IFERROR(INDEX('12 P6 activities'!$B$7:$B$206,MATCH(B408,'12 P6 activities'!$A$7:$A$206,0)),"⚠ not in P6 list"))</f>
        <v/>
      </c>
      <c r="D408" s="144" t="str">
        <f>IF(B408="","",IFERROR(INDEX('12 P6 activities'!$C$7:$C$206,MATCH(B408,'12 P6 activities'!$A$7:$A$206,0)),"⚠ not in P6 list"))</f>
        <v/>
      </c>
      <c r="E408" s="145"/>
      <c r="F408" s="146"/>
      <c r="G408" s="147"/>
      <c r="H408" s="148"/>
      <c r="I408" s="149"/>
      <c r="J408" s="150" t="str">
        <f t="shared" si="6"/>
        <v/>
      </c>
      <c r="K408" s="149"/>
      <c r="L408" s="149"/>
      <c r="M408" s="6"/>
      <c r="N408" s="6"/>
      <c r="O408" s="6"/>
      <c r="P408" s="6"/>
      <c r="Q408" s="6"/>
      <c r="R408" s="6"/>
      <c r="S408" s="6"/>
      <c r="T408" s="6"/>
      <c r="U408" s="6"/>
      <c r="V408" s="6"/>
      <c r="W408" s="6"/>
      <c r="X408" s="6"/>
      <c r="Y408" s="6"/>
      <c r="Z408" s="6"/>
    </row>
    <row r="409" spans="1:26" ht="18" customHeight="1" x14ac:dyDescent="0.3">
      <c r="A409" s="142"/>
      <c r="B409" s="143"/>
      <c r="C409" s="144" t="str">
        <f>IF(B409="","",IFERROR(INDEX('12 P6 activities'!$B$7:$B$206,MATCH(B409,'12 P6 activities'!$A$7:$A$206,0)),"⚠ not in P6 list"))</f>
        <v/>
      </c>
      <c r="D409" s="144" t="str">
        <f>IF(B409="","",IFERROR(INDEX('12 P6 activities'!$C$7:$C$206,MATCH(B409,'12 P6 activities'!$A$7:$A$206,0)),"⚠ not in P6 list"))</f>
        <v/>
      </c>
      <c r="E409" s="145"/>
      <c r="F409" s="146"/>
      <c r="G409" s="147"/>
      <c r="H409" s="148"/>
      <c r="I409" s="149"/>
      <c r="J409" s="150" t="str">
        <f t="shared" si="6"/>
        <v/>
      </c>
      <c r="K409" s="149"/>
      <c r="L409" s="149"/>
      <c r="M409" s="6"/>
      <c r="N409" s="6"/>
      <c r="O409" s="6"/>
      <c r="P409" s="6"/>
      <c r="Q409" s="6"/>
      <c r="R409" s="6"/>
      <c r="S409" s="6"/>
      <c r="T409" s="6"/>
      <c r="U409" s="6"/>
      <c r="V409" s="6"/>
      <c r="W409" s="6"/>
      <c r="X409" s="6"/>
      <c r="Y409" s="6"/>
      <c r="Z409" s="6"/>
    </row>
    <row r="410" spans="1:26" ht="18" customHeight="1" x14ac:dyDescent="0.3">
      <c r="A410" s="142"/>
      <c r="B410" s="143"/>
      <c r="C410" s="144" t="str">
        <f>IF(B410="","",IFERROR(INDEX('12 P6 activities'!$B$7:$B$206,MATCH(B410,'12 P6 activities'!$A$7:$A$206,0)),"⚠ not in P6 list"))</f>
        <v/>
      </c>
      <c r="D410" s="144" t="str">
        <f>IF(B410="","",IFERROR(INDEX('12 P6 activities'!$C$7:$C$206,MATCH(B410,'12 P6 activities'!$A$7:$A$206,0)),"⚠ not in P6 list"))</f>
        <v/>
      </c>
      <c r="E410" s="145"/>
      <c r="F410" s="146"/>
      <c r="G410" s="147"/>
      <c r="H410" s="148"/>
      <c r="I410" s="149"/>
      <c r="J410" s="150" t="str">
        <f t="shared" si="6"/>
        <v/>
      </c>
      <c r="K410" s="149"/>
      <c r="L410" s="149"/>
      <c r="M410" s="6"/>
      <c r="N410" s="6"/>
      <c r="O410" s="6"/>
      <c r="P410" s="6"/>
      <c r="Q410" s="6"/>
      <c r="R410" s="6"/>
      <c r="S410" s="6"/>
      <c r="T410" s="6"/>
      <c r="U410" s="6"/>
      <c r="V410" s="6"/>
      <c r="W410" s="6"/>
      <c r="X410" s="6"/>
      <c r="Y410" s="6"/>
      <c r="Z410" s="6"/>
    </row>
    <row r="411" spans="1:26" ht="18" customHeight="1" x14ac:dyDescent="0.3">
      <c r="A411" s="142"/>
      <c r="B411" s="143"/>
      <c r="C411" s="144" t="str">
        <f>IF(B411="","",IFERROR(INDEX('12 P6 activities'!$B$7:$B$206,MATCH(B411,'12 P6 activities'!$A$7:$A$206,0)),"⚠ not in P6 list"))</f>
        <v/>
      </c>
      <c r="D411" s="144" t="str">
        <f>IF(B411="","",IFERROR(INDEX('12 P6 activities'!$C$7:$C$206,MATCH(B411,'12 P6 activities'!$A$7:$A$206,0)),"⚠ not in P6 list"))</f>
        <v/>
      </c>
      <c r="E411" s="145"/>
      <c r="F411" s="146"/>
      <c r="G411" s="147"/>
      <c r="H411" s="148"/>
      <c r="I411" s="149"/>
      <c r="J411" s="150" t="str">
        <f t="shared" si="6"/>
        <v/>
      </c>
      <c r="K411" s="149"/>
      <c r="L411" s="149"/>
      <c r="M411" s="6"/>
      <c r="N411" s="6"/>
      <c r="O411" s="6"/>
      <c r="P411" s="6"/>
      <c r="Q411" s="6"/>
      <c r="R411" s="6"/>
      <c r="S411" s="6"/>
      <c r="T411" s="6"/>
      <c r="U411" s="6"/>
      <c r="V411" s="6"/>
      <c r="W411" s="6"/>
      <c r="X411" s="6"/>
      <c r="Y411" s="6"/>
      <c r="Z411" s="6"/>
    </row>
    <row r="412" spans="1:26" ht="18" customHeight="1" x14ac:dyDescent="0.3">
      <c r="A412" s="142"/>
      <c r="B412" s="143"/>
      <c r="C412" s="144" t="str">
        <f>IF(B412="","",IFERROR(INDEX('12 P6 activities'!$B$7:$B$206,MATCH(B412,'12 P6 activities'!$A$7:$A$206,0)),"⚠ not in P6 list"))</f>
        <v/>
      </c>
      <c r="D412" s="144" t="str">
        <f>IF(B412="","",IFERROR(INDEX('12 P6 activities'!$C$7:$C$206,MATCH(B412,'12 P6 activities'!$A$7:$A$206,0)),"⚠ not in P6 list"))</f>
        <v/>
      </c>
      <c r="E412" s="145"/>
      <c r="F412" s="146"/>
      <c r="G412" s="147"/>
      <c r="H412" s="148"/>
      <c r="I412" s="149"/>
      <c r="J412" s="150" t="str">
        <f t="shared" si="6"/>
        <v/>
      </c>
      <c r="K412" s="149"/>
      <c r="L412" s="149"/>
      <c r="M412" s="6"/>
      <c r="N412" s="6"/>
      <c r="O412" s="6"/>
      <c r="P412" s="6"/>
      <c r="Q412" s="6"/>
      <c r="R412" s="6"/>
      <c r="S412" s="6"/>
      <c r="T412" s="6"/>
      <c r="U412" s="6"/>
      <c r="V412" s="6"/>
      <c r="W412" s="6"/>
      <c r="X412" s="6"/>
      <c r="Y412" s="6"/>
      <c r="Z412" s="6"/>
    </row>
    <row r="413" spans="1:26" ht="18" customHeight="1" x14ac:dyDescent="0.3">
      <c r="A413" s="142"/>
      <c r="B413" s="143"/>
      <c r="C413" s="144" t="str">
        <f>IF(B413="","",IFERROR(INDEX('12 P6 activities'!$B$7:$B$206,MATCH(B413,'12 P6 activities'!$A$7:$A$206,0)),"⚠ not in P6 list"))</f>
        <v/>
      </c>
      <c r="D413" s="144" t="str">
        <f>IF(B413="","",IFERROR(INDEX('12 P6 activities'!$C$7:$C$206,MATCH(B413,'12 P6 activities'!$A$7:$A$206,0)),"⚠ not in P6 list"))</f>
        <v/>
      </c>
      <c r="E413" s="145"/>
      <c r="F413" s="146"/>
      <c r="G413" s="147"/>
      <c r="H413" s="148"/>
      <c r="I413" s="149"/>
      <c r="J413" s="150" t="str">
        <f t="shared" si="6"/>
        <v/>
      </c>
      <c r="K413" s="149"/>
      <c r="L413" s="149"/>
      <c r="M413" s="6"/>
      <c r="N413" s="6"/>
      <c r="O413" s="6"/>
      <c r="P413" s="6"/>
      <c r="Q413" s="6"/>
      <c r="R413" s="6"/>
      <c r="S413" s="6"/>
      <c r="T413" s="6"/>
      <c r="U413" s="6"/>
      <c r="V413" s="6"/>
      <c r="W413" s="6"/>
      <c r="X413" s="6"/>
      <c r="Y413" s="6"/>
      <c r="Z413" s="6"/>
    </row>
    <row r="414" spans="1:26" ht="18" customHeight="1" x14ac:dyDescent="0.3">
      <c r="A414" s="142"/>
      <c r="B414" s="143"/>
      <c r="C414" s="144" t="str">
        <f>IF(B414="","",IFERROR(INDEX('12 P6 activities'!$B$7:$B$206,MATCH(B414,'12 P6 activities'!$A$7:$A$206,0)),"⚠ not in P6 list"))</f>
        <v/>
      </c>
      <c r="D414" s="144" t="str">
        <f>IF(B414="","",IFERROR(INDEX('12 P6 activities'!$C$7:$C$206,MATCH(B414,'12 P6 activities'!$A$7:$A$206,0)),"⚠ not in P6 list"))</f>
        <v/>
      </c>
      <c r="E414" s="145"/>
      <c r="F414" s="146"/>
      <c r="G414" s="147"/>
      <c r="H414" s="148"/>
      <c r="I414" s="149"/>
      <c r="J414" s="150" t="str">
        <f t="shared" si="6"/>
        <v/>
      </c>
      <c r="K414" s="149"/>
      <c r="L414" s="149"/>
      <c r="M414" s="6"/>
      <c r="N414" s="6"/>
      <c r="O414" s="6"/>
      <c r="P414" s="6"/>
      <c r="Q414" s="6"/>
      <c r="R414" s="6"/>
      <c r="S414" s="6"/>
      <c r="T414" s="6"/>
      <c r="U414" s="6"/>
      <c r="V414" s="6"/>
      <c r="W414" s="6"/>
      <c r="X414" s="6"/>
      <c r="Y414" s="6"/>
      <c r="Z414" s="6"/>
    </row>
    <row r="415" spans="1:26" ht="18" customHeight="1" x14ac:dyDescent="0.3">
      <c r="A415" s="142"/>
      <c r="B415" s="143"/>
      <c r="C415" s="144" t="str">
        <f>IF(B415="","",IFERROR(INDEX('12 P6 activities'!$B$7:$B$206,MATCH(B415,'12 P6 activities'!$A$7:$A$206,0)),"⚠ not in P6 list"))</f>
        <v/>
      </c>
      <c r="D415" s="144" t="str">
        <f>IF(B415="","",IFERROR(INDEX('12 P6 activities'!$C$7:$C$206,MATCH(B415,'12 P6 activities'!$A$7:$A$206,0)),"⚠ not in P6 list"))</f>
        <v/>
      </c>
      <c r="E415" s="145"/>
      <c r="F415" s="146"/>
      <c r="G415" s="147"/>
      <c r="H415" s="148"/>
      <c r="I415" s="149"/>
      <c r="J415" s="150" t="str">
        <f t="shared" si="6"/>
        <v/>
      </c>
      <c r="K415" s="149"/>
      <c r="L415" s="149"/>
      <c r="M415" s="6"/>
      <c r="N415" s="6"/>
      <c r="O415" s="6"/>
      <c r="P415" s="6"/>
      <c r="Q415" s="6"/>
      <c r="R415" s="6"/>
      <c r="S415" s="6"/>
      <c r="T415" s="6"/>
      <c r="U415" s="6"/>
      <c r="V415" s="6"/>
      <c r="W415" s="6"/>
      <c r="X415" s="6"/>
      <c r="Y415" s="6"/>
      <c r="Z415" s="6"/>
    </row>
    <row r="416" spans="1:26" ht="18" customHeight="1" x14ac:dyDescent="0.3">
      <c r="A416" s="142"/>
      <c r="B416" s="143"/>
      <c r="C416" s="144" t="str">
        <f>IF(B416="","",IFERROR(INDEX('12 P6 activities'!$B$7:$B$206,MATCH(B416,'12 P6 activities'!$A$7:$A$206,0)),"⚠ not in P6 list"))</f>
        <v/>
      </c>
      <c r="D416" s="144" t="str">
        <f>IF(B416="","",IFERROR(INDEX('12 P6 activities'!$C$7:$C$206,MATCH(B416,'12 P6 activities'!$A$7:$A$206,0)),"⚠ not in P6 list"))</f>
        <v/>
      </c>
      <c r="E416" s="145"/>
      <c r="F416" s="146"/>
      <c r="G416" s="147"/>
      <c r="H416" s="148"/>
      <c r="I416" s="149"/>
      <c r="J416" s="150" t="str">
        <f t="shared" si="6"/>
        <v/>
      </c>
      <c r="K416" s="149"/>
      <c r="L416" s="149"/>
      <c r="M416" s="6"/>
      <c r="N416" s="6"/>
      <c r="O416" s="6"/>
      <c r="P416" s="6"/>
      <c r="Q416" s="6"/>
      <c r="R416" s="6"/>
      <c r="S416" s="6"/>
      <c r="T416" s="6"/>
      <c r="U416" s="6"/>
      <c r="V416" s="6"/>
      <c r="W416" s="6"/>
      <c r="X416" s="6"/>
      <c r="Y416" s="6"/>
      <c r="Z416" s="6"/>
    </row>
    <row r="417" spans="1:26" ht="18" customHeight="1" x14ac:dyDescent="0.3">
      <c r="A417" s="142"/>
      <c r="B417" s="143"/>
      <c r="C417" s="144" t="str">
        <f>IF(B417="","",IFERROR(INDEX('12 P6 activities'!$B$7:$B$206,MATCH(B417,'12 P6 activities'!$A$7:$A$206,0)),"⚠ not in P6 list"))</f>
        <v/>
      </c>
      <c r="D417" s="144" t="str">
        <f>IF(B417="","",IFERROR(INDEX('12 P6 activities'!$C$7:$C$206,MATCH(B417,'12 P6 activities'!$A$7:$A$206,0)),"⚠ not in P6 list"))</f>
        <v/>
      </c>
      <c r="E417" s="145"/>
      <c r="F417" s="146"/>
      <c r="G417" s="147"/>
      <c r="H417" s="148"/>
      <c r="I417" s="149"/>
      <c r="J417" s="150" t="str">
        <f t="shared" si="6"/>
        <v/>
      </c>
      <c r="K417" s="149"/>
      <c r="L417" s="149"/>
      <c r="M417" s="6"/>
      <c r="N417" s="6"/>
      <c r="O417" s="6"/>
      <c r="P417" s="6"/>
      <c r="Q417" s="6"/>
      <c r="R417" s="6"/>
      <c r="S417" s="6"/>
      <c r="T417" s="6"/>
      <c r="U417" s="6"/>
      <c r="V417" s="6"/>
      <c r="W417" s="6"/>
      <c r="X417" s="6"/>
      <c r="Y417" s="6"/>
      <c r="Z417" s="6"/>
    </row>
    <row r="418" spans="1:26" ht="18" customHeight="1" x14ac:dyDescent="0.3">
      <c r="A418" s="142"/>
      <c r="B418" s="143"/>
      <c r="C418" s="144" t="str">
        <f>IF(B418="","",IFERROR(INDEX('12 P6 activities'!$B$7:$B$206,MATCH(B418,'12 P6 activities'!$A$7:$A$206,0)),"⚠ not in P6 list"))</f>
        <v/>
      </c>
      <c r="D418" s="144" t="str">
        <f>IF(B418="","",IFERROR(INDEX('12 P6 activities'!$C$7:$C$206,MATCH(B418,'12 P6 activities'!$A$7:$A$206,0)),"⚠ not in P6 list"))</f>
        <v/>
      </c>
      <c r="E418" s="145"/>
      <c r="F418" s="146"/>
      <c r="G418" s="147"/>
      <c r="H418" s="148"/>
      <c r="I418" s="149"/>
      <c r="J418" s="150" t="str">
        <f t="shared" si="6"/>
        <v/>
      </c>
      <c r="K418" s="149"/>
      <c r="L418" s="149"/>
      <c r="M418" s="6"/>
      <c r="N418" s="6"/>
      <c r="O418" s="6"/>
      <c r="P418" s="6"/>
      <c r="Q418" s="6"/>
      <c r="R418" s="6"/>
      <c r="S418" s="6"/>
      <c r="T418" s="6"/>
      <c r="U418" s="6"/>
      <c r="V418" s="6"/>
      <c r="W418" s="6"/>
      <c r="X418" s="6"/>
      <c r="Y418" s="6"/>
      <c r="Z418" s="6"/>
    </row>
    <row r="419" spans="1:26" ht="18" customHeight="1" x14ac:dyDescent="0.3">
      <c r="A419" s="142"/>
      <c r="B419" s="143"/>
      <c r="C419" s="144" t="str">
        <f>IF(B419="","",IFERROR(INDEX('12 P6 activities'!$B$7:$B$206,MATCH(B419,'12 P6 activities'!$A$7:$A$206,0)),"⚠ not in P6 list"))</f>
        <v/>
      </c>
      <c r="D419" s="144" t="str">
        <f>IF(B419="","",IFERROR(INDEX('12 P6 activities'!$C$7:$C$206,MATCH(B419,'12 P6 activities'!$A$7:$A$206,0)),"⚠ not in P6 list"))</f>
        <v/>
      </c>
      <c r="E419" s="145"/>
      <c r="F419" s="146"/>
      <c r="G419" s="147"/>
      <c r="H419" s="148"/>
      <c r="I419" s="149"/>
      <c r="J419" s="150" t="str">
        <f t="shared" si="6"/>
        <v/>
      </c>
      <c r="K419" s="149"/>
      <c r="L419" s="149"/>
      <c r="M419" s="6"/>
      <c r="N419" s="6"/>
      <c r="O419" s="6"/>
      <c r="P419" s="6"/>
      <c r="Q419" s="6"/>
      <c r="R419" s="6"/>
      <c r="S419" s="6"/>
      <c r="T419" s="6"/>
      <c r="U419" s="6"/>
      <c r="V419" s="6"/>
      <c r="W419" s="6"/>
      <c r="X419" s="6"/>
      <c r="Y419" s="6"/>
      <c r="Z419" s="6"/>
    </row>
    <row r="420" spans="1:26" ht="18" customHeight="1" x14ac:dyDescent="0.3">
      <c r="A420" s="142"/>
      <c r="B420" s="143"/>
      <c r="C420" s="144" t="str">
        <f>IF(B420="","",IFERROR(INDEX('12 P6 activities'!$B$7:$B$206,MATCH(B420,'12 P6 activities'!$A$7:$A$206,0)),"⚠ not in P6 list"))</f>
        <v/>
      </c>
      <c r="D420" s="144" t="str">
        <f>IF(B420="","",IFERROR(INDEX('12 P6 activities'!$C$7:$C$206,MATCH(B420,'12 P6 activities'!$A$7:$A$206,0)),"⚠ not in P6 list"))</f>
        <v/>
      </c>
      <c r="E420" s="145"/>
      <c r="F420" s="146"/>
      <c r="G420" s="147"/>
      <c r="H420" s="148"/>
      <c r="I420" s="149"/>
      <c r="J420" s="150" t="str">
        <f t="shared" si="6"/>
        <v/>
      </c>
      <c r="K420" s="149"/>
      <c r="L420" s="149"/>
      <c r="M420" s="6"/>
      <c r="N420" s="6"/>
      <c r="O420" s="6"/>
      <c r="P420" s="6"/>
      <c r="Q420" s="6"/>
      <c r="R420" s="6"/>
      <c r="S420" s="6"/>
      <c r="T420" s="6"/>
      <c r="U420" s="6"/>
      <c r="V420" s="6"/>
      <c r="W420" s="6"/>
      <c r="X420" s="6"/>
      <c r="Y420" s="6"/>
      <c r="Z420" s="6"/>
    </row>
    <row r="421" spans="1:26" ht="18" customHeight="1" x14ac:dyDescent="0.3">
      <c r="A421" s="142"/>
      <c r="B421" s="143"/>
      <c r="C421" s="144" t="str">
        <f>IF(B421="","",IFERROR(INDEX('12 P6 activities'!$B$7:$B$206,MATCH(B421,'12 P6 activities'!$A$7:$A$206,0)),"⚠ not in P6 list"))</f>
        <v/>
      </c>
      <c r="D421" s="144" t="str">
        <f>IF(B421="","",IFERROR(INDEX('12 P6 activities'!$C$7:$C$206,MATCH(B421,'12 P6 activities'!$A$7:$A$206,0)),"⚠ not in P6 list"))</f>
        <v/>
      </c>
      <c r="E421" s="145"/>
      <c r="F421" s="146"/>
      <c r="G421" s="147"/>
      <c r="H421" s="148"/>
      <c r="I421" s="149"/>
      <c r="J421" s="150" t="str">
        <f t="shared" si="6"/>
        <v/>
      </c>
      <c r="K421" s="149"/>
      <c r="L421" s="149"/>
      <c r="M421" s="6"/>
      <c r="N421" s="6"/>
      <c r="O421" s="6"/>
      <c r="P421" s="6"/>
      <c r="Q421" s="6"/>
      <c r="R421" s="6"/>
      <c r="S421" s="6"/>
      <c r="T421" s="6"/>
      <c r="U421" s="6"/>
      <c r="V421" s="6"/>
      <c r="W421" s="6"/>
      <c r="X421" s="6"/>
      <c r="Y421" s="6"/>
      <c r="Z421" s="6"/>
    </row>
    <row r="422" spans="1:26" ht="18" customHeight="1" x14ac:dyDescent="0.3">
      <c r="A422" s="142"/>
      <c r="B422" s="143"/>
      <c r="C422" s="144" t="str">
        <f>IF(B422="","",IFERROR(INDEX('12 P6 activities'!$B$7:$B$206,MATCH(B422,'12 P6 activities'!$A$7:$A$206,0)),"⚠ not in P6 list"))</f>
        <v/>
      </c>
      <c r="D422" s="144" t="str">
        <f>IF(B422="","",IFERROR(INDEX('12 P6 activities'!$C$7:$C$206,MATCH(B422,'12 P6 activities'!$A$7:$A$206,0)),"⚠ not in P6 list"))</f>
        <v/>
      </c>
      <c r="E422" s="145"/>
      <c r="F422" s="146"/>
      <c r="G422" s="147"/>
      <c r="H422" s="148"/>
      <c r="I422" s="149"/>
      <c r="J422" s="150" t="str">
        <f t="shared" si="6"/>
        <v/>
      </c>
      <c r="K422" s="149"/>
      <c r="L422" s="149"/>
      <c r="M422" s="6"/>
      <c r="N422" s="6"/>
      <c r="O422" s="6"/>
      <c r="P422" s="6"/>
      <c r="Q422" s="6"/>
      <c r="R422" s="6"/>
      <c r="S422" s="6"/>
      <c r="T422" s="6"/>
      <c r="U422" s="6"/>
      <c r="V422" s="6"/>
      <c r="W422" s="6"/>
      <c r="X422" s="6"/>
      <c r="Y422" s="6"/>
      <c r="Z422" s="6"/>
    </row>
    <row r="423" spans="1:26" ht="18" customHeight="1" x14ac:dyDescent="0.3">
      <c r="A423" s="142"/>
      <c r="B423" s="143"/>
      <c r="C423" s="144" t="str">
        <f>IF(B423="","",IFERROR(INDEX('12 P6 activities'!$B$7:$B$206,MATCH(B423,'12 P6 activities'!$A$7:$A$206,0)),"⚠ not in P6 list"))</f>
        <v/>
      </c>
      <c r="D423" s="144" t="str">
        <f>IF(B423="","",IFERROR(INDEX('12 P6 activities'!$C$7:$C$206,MATCH(B423,'12 P6 activities'!$A$7:$A$206,0)),"⚠ not in P6 list"))</f>
        <v/>
      </c>
      <c r="E423" s="145"/>
      <c r="F423" s="146"/>
      <c r="G423" s="147"/>
      <c r="H423" s="148"/>
      <c r="I423" s="149"/>
      <c r="J423" s="150" t="str">
        <f t="shared" si="6"/>
        <v/>
      </c>
      <c r="K423" s="149"/>
      <c r="L423" s="149"/>
      <c r="M423" s="6"/>
      <c r="N423" s="6"/>
      <c r="O423" s="6"/>
      <c r="P423" s="6"/>
      <c r="Q423" s="6"/>
      <c r="R423" s="6"/>
      <c r="S423" s="6"/>
      <c r="T423" s="6"/>
      <c r="U423" s="6"/>
      <c r="V423" s="6"/>
      <c r="W423" s="6"/>
      <c r="X423" s="6"/>
      <c r="Y423" s="6"/>
      <c r="Z423" s="6"/>
    </row>
    <row r="424" spans="1:26" ht="18" customHeight="1" x14ac:dyDescent="0.3">
      <c r="A424" s="142"/>
      <c r="B424" s="143"/>
      <c r="C424" s="144" t="str">
        <f>IF(B424="","",IFERROR(INDEX('12 P6 activities'!$B$7:$B$206,MATCH(B424,'12 P6 activities'!$A$7:$A$206,0)),"⚠ not in P6 list"))</f>
        <v/>
      </c>
      <c r="D424" s="144" t="str">
        <f>IF(B424="","",IFERROR(INDEX('12 P6 activities'!$C$7:$C$206,MATCH(B424,'12 P6 activities'!$A$7:$A$206,0)),"⚠ not in P6 list"))</f>
        <v/>
      </c>
      <c r="E424" s="145"/>
      <c r="F424" s="146"/>
      <c r="G424" s="147"/>
      <c r="H424" s="148"/>
      <c r="I424" s="149"/>
      <c r="J424" s="150" t="str">
        <f t="shared" si="6"/>
        <v/>
      </c>
      <c r="K424" s="149"/>
      <c r="L424" s="149"/>
      <c r="M424" s="6"/>
      <c r="N424" s="6"/>
      <c r="O424" s="6"/>
      <c r="P424" s="6"/>
      <c r="Q424" s="6"/>
      <c r="R424" s="6"/>
      <c r="S424" s="6"/>
      <c r="T424" s="6"/>
      <c r="U424" s="6"/>
      <c r="V424" s="6"/>
      <c r="W424" s="6"/>
      <c r="X424" s="6"/>
      <c r="Y424" s="6"/>
      <c r="Z424" s="6"/>
    </row>
    <row r="425" spans="1:26" ht="18" customHeight="1" x14ac:dyDescent="0.3">
      <c r="A425" s="142"/>
      <c r="B425" s="143"/>
      <c r="C425" s="144" t="str">
        <f>IF(B425="","",IFERROR(INDEX('12 P6 activities'!$B$7:$B$206,MATCH(B425,'12 P6 activities'!$A$7:$A$206,0)),"⚠ not in P6 list"))</f>
        <v/>
      </c>
      <c r="D425" s="144" t="str">
        <f>IF(B425="","",IFERROR(INDEX('12 P6 activities'!$C$7:$C$206,MATCH(B425,'12 P6 activities'!$A$7:$A$206,0)),"⚠ not in P6 list"))</f>
        <v/>
      </c>
      <c r="E425" s="145"/>
      <c r="F425" s="146"/>
      <c r="G425" s="147"/>
      <c r="H425" s="148"/>
      <c r="I425" s="149"/>
      <c r="J425" s="150" t="str">
        <f t="shared" si="6"/>
        <v/>
      </c>
      <c r="K425" s="149"/>
      <c r="L425" s="149"/>
      <c r="M425" s="6"/>
      <c r="N425" s="6"/>
      <c r="O425" s="6"/>
      <c r="P425" s="6"/>
      <c r="Q425" s="6"/>
      <c r="R425" s="6"/>
      <c r="S425" s="6"/>
      <c r="T425" s="6"/>
      <c r="U425" s="6"/>
      <c r="V425" s="6"/>
      <c r="W425" s="6"/>
      <c r="X425" s="6"/>
      <c r="Y425" s="6"/>
      <c r="Z425" s="6"/>
    </row>
    <row r="426" spans="1:26" ht="18" customHeight="1" x14ac:dyDescent="0.3">
      <c r="A426" s="142"/>
      <c r="B426" s="143"/>
      <c r="C426" s="144" t="str">
        <f>IF(B426="","",IFERROR(INDEX('12 P6 activities'!$B$7:$B$206,MATCH(B426,'12 P6 activities'!$A$7:$A$206,0)),"⚠ not in P6 list"))</f>
        <v/>
      </c>
      <c r="D426" s="144" t="str">
        <f>IF(B426="","",IFERROR(INDEX('12 P6 activities'!$C$7:$C$206,MATCH(B426,'12 P6 activities'!$A$7:$A$206,0)),"⚠ not in P6 list"))</f>
        <v/>
      </c>
      <c r="E426" s="145"/>
      <c r="F426" s="146"/>
      <c r="G426" s="147"/>
      <c r="H426" s="148"/>
      <c r="I426" s="149"/>
      <c r="J426" s="150" t="str">
        <f t="shared" si="6"/>
        <v/>
      </c>
      <c r="K426" s="149"/>
      <c r="L426" s="149"/>
      <c r="M426" s="6"/>
      <c r="N426" s="6"/>
      <c r="O426" s="6"/>
      <c r="P426" s="6"/>
      <c r="Q426" s="6"/>
      <c r="R426" s="6"/>
      <c r="S426" s="6"/>
      <c r="T426" s="6"/>
      <c r="U426" s="6"/>
      <c r="V426" s="6"/>
      <c r="W426" s="6"/>
      <c r="X426" s="6"/>
      <c r="Y426" s="6"/>
      <c r="Z426" s="6"/>
    </row>
    <row r="427" spans="1:26" ht="18" customHeight="1" x14ac:dyDescent="0.3">
      <c r="A427" s="142"/>
      <c r="B427" s="143"/>
      <c r="C427" s="144" t="str">
        <f>IF(B427="","",IFERROR(INDEX('12 P6 activities'!$B$7:$B$206,MATCH(B427,'12 P6 activities'!$A$7:$A$206,0)),"⚠ not in P6 list"))</f>
        <v/>
      </c>
      <c r="D427" s="144" t="str">
        <f>IF(B427="","",IFERROR(INDEX('12 P6 activities'!$C$7:$C$206,MATCH(B427,'12 P6 activities'!$A$7:$A$206,0)),"⚠ not in P6 list"))</f>
        <v/>
      </c>
      <c r="E427" s="145"/>
      <c r="F427" s="146"/>
      <c r="G427" s="147"/>
      <c r="H427" s="148"/>
      <c r="I427" s="149"/>
      <c r="J427" s="150" t="str">
        <f t="shared" si="6"/>
        <v/>
      </c>
      <c r="K427" s="149"/>
      <c r="L427" s="149"/>
      <c r="M427" s="6"/>
      <c r="N427" s="6"/>
      <c r="O427" s="6"/>
      <c r="P427" s="6"/>
      <c r="Q427" s="6"/>
      <c r="R427" s="6"/>
      <c r="S427" s="6"/>
      <c r="T427" s="6"/>
      <c r="U427" s="6"/>
      <c r="V427" s="6"/>
      <c r="W427" s="6"/>
      <c r="X427" s="6"/>
      <c r="Y427" s="6"/>
      <c r="Z427" s="6"/>
    </row>
    <row r="428" spans="1:26" ht="18" customHeight="1" x14ac:dyDescent="0.3">
      <c r="A428" s="142"/>
      <c r="B428" s="143"/>
      <c r="C428" s="144" t="str">
        <f>IF(B428="","",IFERROR(INDEX('12 P6 activities'!$B$7:$B$206,MATCH(B428,'12 P6 activities'!$A$7:$A$206,0)),"⚠ not in P6 list"))</f>
        <v/>
      </c>
      <c r="D428" s="144" t="str">
        <f>IF(B428="","",IFERROR(INDEX('12 P6 activities'!$C$7:$C$206,MATCH(B428,'12 P6 activities'!$A$7:$A$206,0)),"⚠ not in P6 list"))</f>
        <v/>
      </c>
      <c r="E428" s="145"/>
      <c r="F428" s="146"/>
      <c r="G428" s="147"/>
      <c r="H428" s="148"/>
      <c r="I428" s="149"/>
      <c r="J428" s="150" t="str">
        <f t="shared" si="6"/>
        <v/>
      </c>
      <c r="K428" s="149"/>
      <c r="L428" s="149"/>
      <c r="M428" s="6"/>
      <c r="N428" s="6"/>
      <c r="O428" s="6"/>
      <c r="P428" s="6"/>
      <c r="Q428" s="6"/>
      <c r="R428" s="6"/>
      <c r="S428" s="6"/>
      <c r="T428" s="6"/>
      <c r="U428" s="6"/>
      <c r="V428" s="6"/>
      <c r="W428" s="6"/>
      <c r="X428" s="6"/>
      <c r="Y428" s="6"/>
      <c r="Z428" s="6"/>
    </row>
    <row r="429" spans="1:26" ht="18" customHeight="1" x14ac:dyDescent="0.3">
      <c r="A429" s="142"/>
      <c r="B429" s="143"/>
      <c r="C429" s="144" t="str">
        <f>IF(B429="","",IFERROR(INDEX('12 P6 activities'!$B$7:$B$206,MATCH(B429,'12 P6 activities'!$A$7:$A$206,0)),"⚠ not in P6 list"))</f>
        <v/>
      </c>
      <c r="D429" s="144" t="str">
        <f>IF(B429="","",IFERROR(INDEX('12 P6 activities'!$C$7:$C$206,MATCH(B429,'12 P6 activities'!$A$7:$A$206,0)),"⚠ not in P6 list"))</f>
        <v/>
      </c>
      <c r="E429" s="145"/>
      <c r="F429" s="146"/>
      <c r="G429" s="147"/>
      <c r="H429" s="148"/>
      <c r="I429" s="149"/>
      <c r="J429" s="150" t="str">
        <f t="shared" si="6"/>
        <v/>
      </c>
      <c r="K429" s="149"/>
      <c r="L429" s="149"/>
      <c r="M429" s="6"/>
      <c r="N429" s="6"/>
      <c r="O429" s="6"/>
      <c r="P429" s="6"/>
      <c r="Q429" s="6"/>
      <c r="R429" s="6"/>
      <c r="S429" s="6"/>
      <c r="T429" s="6"/>
      <c r="U429" s="6"/>
      <c r="V429" s="6"/>
      <c r="W429" s="6"/>
      <c r="X429" s="6"/>
      <c r="Y429" s="6"/>
      <c r="Z429" s="6"/>
    </row>
    <row r="430" spans="1:26" ht="18" customHeight="1" x14ac:dyDescent="0.3">
      <c r="A430" s="142"/>
      <c r="B430" s="143"/>
      <c r="C430" s="144" t="str">
        <f>IF(B430="","",IFERROR(INDEX('12 P6 activities'!$B$7:$B$206,MATCH(B430,'12 P6 activities'!$A$7:$A$206,0)),"⚠ not in P6 list"))</f>
        <v/>
      </c>
      <c r="D430" s="144" t="str">
        <f>IF(B430="","",IFERROR(INDEX('12 P6 activities'!$C$7:$C$206,MATCH(B430,'12 P6 activities'!$A$7:$A$206,0)),"⚠ not in P6 list"))</f>
        <v/>
      </c>
      <c r="E430" s="145"/>
      <c r="F430" s="146"/>
      <c r="G430" s="147"/>
      <c r="H430" s="148"/>
      <c r="I430" s="149"/>
      <c r="J430" s="150" t="str">
        <f t="shared" si="6"/>
        <v/>
      </c>
      <c r="K430" s="149"/>
      <c r="L430" s="149"/>
      <c r="M430" s="6"/>
      <c r="N430" s="6"/>
      <c r="O430" s="6"/>
      <c r="P430" s="6"/>
      <c r="Q430" s="6"/>
      <c r="R430" s="6"/>
      <c r="S430" s="6"/>
      <c r="T430" s="6"/>
      <c r="U430" s="6"/>
      <c r="V430" s="6"/>
      <c r="W430" s="6"/>
      <c r="X430" s="6"/>
      <c r="Y430" s="6"/>
      <c r="Z430" s="6"/>
    </row>
    <row r="431" spans="1:26" ht="18" customHeight="1" x14ac:dyDescent="0.3">
      <c r="A431" s="142"/>
      <c r="B431" s="143"/>
      <c r="C431" s="144" t="str">
        <f>IF(B431="","",IFERROR(INDEX('12 P6 activities'!$B$7:$B$206,MATCH(B431,'12 P6 activities'!$A$7:$A$206,0)),"⚠ not in P6 list"))</f>
        <v/>
      </c>
      <c r="D431" s="144" t="str">
        <f>IF(B431="","",IFERROR(INDEX('12 P6 activities'!$C$7:$C$206,MATCH(B431,'12 P6 activities'!$A$7:$A$206,0)),"⚠ not in P6 list"))</f>
        <v/>
      </c>
      <c r="E431" s="145"/>
      <c r="F431" s="146"/>
      <c r="G431" s="147"/>
      <c r="H431" s="148"/>
      <c r="I431" s="149"/>
      <c r="J431" s="150" t="str">
        <f t="shared" si="6"/>
        <v/>
      </c>
      <c r="K431" s="149"/>
      <c r="L431" s="149"/>
      <c r="M431" s="6"/>
      <c r="N431" s="6"/>
      <c r="O431" s="6"/>
      <c r="P431" s="6"/>
      <c r="Q431" s="6"/>
      <c r="R431" s="6"/>
      <c r="S431" s="6"/>
      <c r="T431" s="6"/>
      <c r="U431" s="6"/>
      <c r="V431" s="6"/>
      <c r="W431" s="6"/>
      <c r="X431" s="6"/>
      <c r="Y431" s="6"/>
      <c r="Z431" s="6"/>
    </row>
    <row r="432" spans="1:26" ht="18" customHeight="1" x14ac:dyDescent="0.3">
      <c r="A432" s="142"/>
      <c r="B432" s="143"/>
      <c r="C432" s="144" t="str">
        <f>IF(B432="","",IFERROR(INDEX('12 P6 activities'!$B$7:$B$206,MATCH(B432,'12 P6 activities'!$A$7:$A$206,0)),"⚠ not in P6 list"))</f>
        <v/>
      </c>
      <c r="D432" s="144" t="str">
        <f>IF(B432="","",IFERROR(INDEX('12 P6 activities'!$C$7:$C$206,MATCH(B432,'12 P6 activities'!$A$7:$A$206,0)),"⚠ not in P6 list"))</f>
        <v/>
      </c>
      <c r="E432" s="145"/>
      <c r="F432" s="146"/>
      <c r="G432" s="147"/>
      <c r="H432" s="148"/>
      <c r="I432" s="149"/>
      <c r="J432" s="150" t="str">
        <f t="shared" si="6"/>
        <v/>
      </c>
      <c r="K432" s="149"/>
      <c r="L432" s="149"/>
      <c r="M432" s="6"/>
      <c r="N432" s="6"/>
      <c r="O432" s="6"/>
      <c r="P432" s="6"/>
      <c r="Q432" s="6"/>
      <c r="R432" s="6"/>
      <c r="S432" s="6"/>
      <c r="T432" s="6"/>
      <c r="U432" s="6"/>
      <c r="V432" s="6"/>
      <c r="W432" s="6"/>
      <c r="X432" s="6"/>
      <c r="Y432" s="6"/>
      <c r="Z432" s="6"/>
    </row>
    <row r="433" spans="1:26" ht="18" customHeight="1" x14ac:dyDescent="0.3">
      <c r="A433" s="142"/>
      <c r="B433" s="143"/>
      <c r="C433" s="144" t="str">
        <f>IF(B433="","",IFERROR(INDEX('12 P6 activities'!$B$7:$B$206,MATCH(B433,'12 P6 activities'!$A$7:$A$206,0)),"⚠ not in P6 list"))</f>
        <v/>
      </c>
      <c r="D433" s="144" t="str">
        <f>IF(B433="","",IFERROR(INDEX('12 P6 activities'!$C$7:$C$206,MATCH(B433,'12 P6 activities'!$A$7:$A$206,0)),"⚠ not in P6 list"))</f>
        <v/>
      </c>
      <c r="E433" s="145"/>
      <c r="F433" s="146"/>
      <c r="G433" s="147"/>
      <c r="H433" s="148"/>
      <c r="I433" s="149"/>
      <c r="J433" s="150" t="str">
        <f t="shared" si="6"/>
        <v/>
      </c>
      <c r="K433" s="149"/>
      <c r="L433" s="149"/>
      <c r="M433" s="6"/>
      <c r="N433" s="6"/>
      <c r="O433" s="6"/>
      <c r="P433" s="6"/>
      <c r="Q433" s="6"/>
      <c r="R433" s="6"/>
      <c r="S433" s="6"/>
      <c r="T433" s="6"/>
      <c r="U433" s="6"/>
      <c r="V433" s="6"/>
      <c r="W433" s="6"/>
      <c r="X433" s="6"/>
      <c r="Y433" s="6"/>
      <c r="Z433" s="6"/>
    </row>
    <row r="434" spans="1:26" ht="18" customHeight="1" x14ac:dyDescent="0.3">
      <c r="A434" s="142"/>
      <c r="B434" s="143"/>
      <c r="C434" s="144" t="str">
        <f>IF(B434="","",IFERROR(INDEX('12 P6 activities'!$B$7:$B$206,MATCH(B434,'12 P6 activities'!$A$7:$A$206,0)),"⚠ not in P6 list"))</f>
        <v/>
      </c>
      <c r="D434" s="144" t="str">
        <f>IF(B434="","",IFERROR(INDEX('12 P6 activities'!$C$7:$C$206,MATCH(B434,'12 P6 activities'!$A$7:$A$206,0)),"⚠ not in P6 list"))</f>
        <v/>
      </c>
      <c r="E434" s="145"/>
      <c r="F434" s="146"/>
      <c r="G434" s="147"/>
      <c r="H434" s="148"/>
      <c r="I434" s="149"/>
      <c r="J434" s="150" t="str">
        <f t="shared" si="6"/>
        <v/>
      </c>
      <c r="K434" s="149"/>
      <c r="L434" s="149"/>
      <c r="M434" s="6"/>
      <c r="N434" s="6"/>
      <c r="O434" s="6"/>
      <c r="P434" s="6"/>
      <c r="Q434" s="6"/>
      <c r="R434" s="6"/>
      <c r="S434" s="6"/>
      <c r="T434" s="6"/>
      <c r="U434" s="6"/>
      <c r="V434" s="6"/>
      <c r="W434" s="6"/>
      <c r="X434" s="6"/>
      <c r="Y434" s="6"/>
      <c r="Z434" s="6"/>
    </row>
    <row r="435" spans="1:26" ht="18" customHeight="1" x14ac:dyDescent="0.3">
      <c r="A435" s="142"/>
      <c r="B435" s="143"/>
      <c r="C435" s="144" t="str">
        <f>IF(B435="","",IFERROR(INDEX('12 P6 activities'!$B$7:$B$206,MATCH(B435,'12 P6 activities'!$A$7:$A$206,0)),"⚠ not in P6 list"))</f>
        <v/>
      </c>
      <c r="D435" s="144" t="str">
        <f>IF(B435="","",IFERROR(INDEX('12 P6 activities'!$C$7:$C$206,MATCH(B435,'12 P6 activities'!$A$7:$A$206,0)),"⚠ not in P6 list"))</f>
        <v/>
      </c>
      <c r="E435" s="145"/>
      <c r="F435" s="146"/>
      <c r="G435" s="147"/>
      <c r="H435" s="148"/>
      <c r="I435" s="149"/>
      <c r="J435" s="150" t="str">
        <f t="shared" si="6"/>
        <v/>
      </c>
      <c r="K435" s="149"/>
      <c r="L435" s="149"/>
      <c r="M435" s="6"/>
      <c r="N435" s="6"/>
      <c r="O435" s="6"/>
      <c r="P435" s="6"/>
      <c r="Q435" s="6"/>
      <c r="R435" s="6"/>
      <c r="S435" s="6"/>
      <c r="T435" s="6"/>
      <c r="U435" s="6"/>
      <c r="V435" s="6"/>
      <c r="W435" s="6"/>
      <c r="X435" s="6"/>
      <c r="Y435" s="6"/>
      <c r="Z435" s="6"/>
    </row>
    <row r="436" spans="1:26" ht="18" customHeight="1" x14ac:dyDescent="0.3">
      <c r="A436" s="142"/>
      <c r="B436" s="143"/>
      <c r="C436" s="144" t="str">
        <f>IF(B436="","",IFERROR(INDEX('12 P6 activities'!$B$7:$B$206,MATCH(B436,'12 P6 activities'!$A$7:$A$206,0)),"⚠ not in P6 list"))</f>
        <v/>
      </c>
      <c r="D436" s="144" t="str">
        <f>IF(B436="","",IFERROR(INDEX('12 P6 activities'!$C$7:$C$206,MATCH(B436,'12 P6 activities'!$A$7:$A$206,0)),"⚠ not in P6 list"))</f>
        <v/>
      </c>
      <c r="E436" s="145"/>
      <c r="F436" s="146"/>
      <c r="G436" s="147"/>
      <c r="H436" s="148"/>
      <c r="I436" s="149"/>
      <c r="J436" s="150" t="str">
        <f t="shared" si="6"/>
        <v/>
      </c>
      <c r="K436" s="149"/>
      <c r="L436" s="149"/>
      <c r="M436" s="6"/>
      <c r="N436" s="6"/>
      <c r="O436" s="6"/>
      <c r="P436" s="6"/>
      <c r="Q436" s="6"/>
      <c r="R436" s="6"/>
      <c r="S436" s="6"/>
      <c r="T436" s="6"/>
      <c r="U436" s="6"/>
      <c r="V436" s="6"/>
      <c r="W436" s="6"/>
      <c r="X436" s="6"/>
      <c r="Y436" s="6"/>
      <c r="Z436" s="6"/>
    </row>
    <row r="437" spans="1:26" ht="18" customHeight="1" x14ac:dyDescent="0.3">
      <c r="A437" s="142"/>
      <c r="B437" s="143"/>
      <c r="C437" s="144" t="str">
        <f>IF(B437="","",IFERROR(INDEX('12 P6 activities'!$B$7:$B$206,MATCH(B437,'12 P6 activities'!$A$7:$A$206,0)),"⚠ not in P6 list"))</f>
        <v/>
      </c>
      <c r="D437" s="144" t="str">
        <f>IF(B437="","",IFERROR(INDEX('12 P6 activities'!$C$7:$C$206,MATCH(B437,'12 P6 activities'!$A$7:$A$206,0)),"⚠ not in P6 list"))</f>
        <v/>
      </c>
      <c r="E437" s="145"/>
      <c r="F437" s="146"/>
      <c r="G437" s="147"/>
      <c r="H437" s="148"/>
      <c r="I437" s="149"/>
      <c r="J437" s="150" t="str">
        <f t="shared" si="6"/>
        <v/>
      </c>
      <c r="K437" s="149"/>
      <c r="L437" s="149"/>
      <c r="M437" s="6"/>
      <c r="N437" s="6"/>
      <c r="O437" s="6"/>
      <c r="P437" s="6"/>
      <c r="Q437" s="6"/>
      <c r="R437" s="6"/>
      <c r="S437" s="6"/>
      <c r="T437" s="6"/>
      <c r="U437" s="6"/>
      <c r="V437" s="6"/>
      <c r="W437" s="6"/>
      <c r="X437" s="6"/>
      <c r="Y437" s="6"/>
      <c r="Z437" s="6"/>
    </row>
    <row r="438" spans="1:26" ht="18" customHeight="1" x14ac:dyDescent="0.3">
      <c r="A438" s="142"/>
      <c r="B438" s="143"/>
      <c r="C438" s="144" t="str">
        <f>IF(B438="","",IFERROR(INDEX('12 P6 activities'!$B$7:$B$206,MATCH(B438,'12 P6 activities'!$A$7:$A$206,0)),"⚠ not in P6 list"))</f>
        <v/>
      </c>
      <c r="D438" s="144" t="str">
        <f>IF(B438="","",IFERROR(INDEX('12 P6 activities'!$C$7:$C$206,MATCH(B438,'12 P6 activities'!$A$7:$A$206,0)),"⚠ not in P6 list"))</f>
        <v/>
      </c>
      <c r="E438" s="145"/>
      <c r="F438" s="146"/>
      <c r="G438" s="147"/>
      <c r="H438" s="148"/>
      <c r="I438" s="149"/>
      <c r="J438" s="150" t="str">
        <f t="shared" si="6"/>
        <v/>
      </c>
      <c r="K438" s="149"/>
      <c r="L438" s="149"/>
      <c r="M438" s="6"/>
      <c r="N438" s="6"/>
      <c r="O438" s="6"/>
      <c r="P438" s="6"/>
      <c r="Q438" s="6"/>
      <c r="R438" s="6"/>
      <c r="S438" s="6"/>
      <c r="T438" s="6"/>
      <c r="U438" s="6"/>
      <c r="V438" s="6"/>
      <c r="W438" s="6"/>
      <c r="X438" s="6"/>
      <c r="Y438" s="6"/>
      <c r="Z438" s="6"/>
    </row>
    <row r="439" spans="1:26" ht="18" customHeight="1" x14ac:dyDescent="0.3">
      <c r="A439" s="142"/>
      <c r="B439" s="143"/>
      <c r="C439" s="144" t="str">
        <f>IF(B439="","",IFERROR(INDEX('12 P6 activities'!$B$7:$B$206,MATCH(B439,'12 P6 activities'!$A$7:$A$206,0)),"⚠ not in P6 list"))</f>
        <v/>
      </c>
      <c r="D439" s="144" t="str">
        <f>IF(B439="","",IFERROR(INDEX('12 P6 activities'!$C$7:$C$206,MATCH(B439,'12 P6 activities'!$A$7:$A$206,0)),"⚠ not in P6 list"))</f>
        <v/>
      </c>
      <c r="E439" s="145"/>
      <c r="F439" s="146"/>
      <c r="G439" s="147"/>
      <c r="H439" s="148"/>
      <c r="I439" s="149"/>
      <c r="J439" s="150" t="str">
        <f t="shared" si="6"/>
        <v/>
      </c>
      <c r="K439" s="149"/>
      <c r="L439" s="149"/>
      <c r="M439" s="6"/>
      <c r="N439" s="6"/>
      <c r="O439" s="6"/>
      <c r="P439" s="6"/>
      <c r="Q439" s="6"/>
      <c r="R439" s="6"/>
      <c r="S439" s="6"/>
      <c r="T439" s="6"/>
      <c r="U439" s="6"/>
      <c r="V439" s="6"/>
      <c r="W439" s="6"/>
      <c r="X439" s="6"/>
      <c r="Y439" s="6"/>
      <c r="Z439" s="6"/>
    </row>
    <row r="440" spans="1:26" ht="18" customHeight="1" x14ac:dyDescent="0.3">
      <c r="A440" s="142"/>
      <c r="B440" s="143"/>
      <c r="C440" s="144" t="str">
        <f>IF(B440="","",IFERROR(INDEX('12 P6 activities'!$B$7:$B$206,MATCH(B440,'12 P6 activities'!$A$7:$A$206,0)),"⚠ not in P6 list"))</f>
        <v/>
      </c>
      <c r="D440" s="144" t="str">
        <f>IF(B440="","",IFERROR(INDEX('12 P6 activities'!$C$7:$C$206,MATCH(B440,'12 P6 activities'!$A$7:$A$206,0)),"⚠ not in P6 list"))</f>
        <v/>
      </c>
      <c r="E440" s="145"/>
      <c r="F440" s="146"/>
      <c r="G440" s="147"/>
      <c r="H440" s="148"/>
      <c r="I440" s="149"/>
      <c r="J440" s="150" t="str">
        <f t="shared" si="6"/>
        <v/>
      </c>
      <c r="K440" s="149"/>
      <c r="L440" s="149"/>
      <c r="M440" s="6"/>
      <c r="N440" s="6"/>
      <c r="O440" s="6"/>
      <c r="P440" s="6"/>
      <c r="Q440" s="6"/>
      <c r="R440" s="6"/>
      <c r="S440" s="6"/>
      <c r="T440" s="6"/>
      <c r="U440" s="6"/>
      <c r="V440" s="6"/>
      <c r="W440" s="6"/>
      <c r="X440" s="6"/>
      <c r="Y440" s="6"/>
      <c r="Z440" s="6"/>
    </row>
    <row r="441" spans="1:26" ht="18" customHeight="1" x14ac:dyDescent="0.3">
      <c r="A441" s="142"/>
      <c r="B441" s="143"/>
      <c r="C441" s="144" t="str">
        <f>IF(B441="","",IFERROR(INDEX('12 P6 activities'!$B$7:$B$206,MATCH(B441,'12 P6 activities'!$A$7:$A$206,0)),"⚠ not in P6 list"))</f>
        <v/>
      </c>
      <c r="D441" s="144" t="str">
        <f>IF(B441="","",IFERROR(INDEX('12 P6 activities'!$C$7:$C$206,MATCH(B441,'12 P6 activities'!$A$7:$A$206,0)),"⚠ not in P6 list"))</f>
        <v/>
      </c>
      <c r="E441" s="145"/>
      <c r="F441" s="146"/>
      <c r="G441" s="147"/>
      <c r="H441" s="148"/>
      <c r="I441" s="149"/>
      <c r="J441" s="150" t="str">
        <f t="shared" si="6"/>
        <v/>
      </c>
      <c r="K441" s="149"/>
      <c r="L441" s="149"/>
      <c r="M441" s="6"/>
      <c r="N441" s="6"/>
      <c r="O441" s="6"/>
      <c r="P441" s="6"/>
      <c r="Q441" s="6"/>
      <c r="R441" s="6"/>
      <c r="S441" s="6"/>
      <c r="T441" s="6"/>
      <c r="U441" s="6"/>
      <c r="V441" s="6"/>
      <c r="W441" s="6"/>
      <c r="X441" s="6"/>
      <c r="Y441" s="6"/>
      <c r="Z441" s="6"/>
    </row>
    <row r="442" spans="1:26" ht="18" customHeight="1" x14ac:dyDescent="0.3">
      <c r="A442" s="142"/>
      <c r="B442" s="143"/>
      <c r="C442" s="144" t="str">
        <f>IF(B442="","",IFERROR(INDEX('12 P6 activities'!$B$7:$B$206,MATCH(B442,'12 P6 activities'!$A$7:$A$206,0)),"⚠ not in P6 list"))</f>
        <v/>
      </c>
      <c r="D442" s="144" t="str">
        <f>IF(B442="","",IFERROR(INDEX('12 P6 activities'!$C$7:$C$206,MATCH(B442,'12 P6 activities'!$A$7:$A$206,0)),"⚠ not in P6 list"))</f>
        <v/>
      </c>
      <c r="E442" s="145"/>
      <c r="F442" s="146"/>
      <c r="G442" s="147"/>
      <c r="H442" s="148"/>
      <c r="I442" s="149"/>
      <c r="J442" s="150" t="str">
        <f t="shared" si="6"/>
        <v/>
      </c>
      <c r="K442" s="149"/>
      <c r="L442" s="149"/>
      <c r="M442" s="6"/>
      <c r="N442" s="6"/>
      <c r="O442" s="6"/>
      <c r="P442" s="6"/>
      <c r="Q442" s="6"/>
      <c r="R442" s="6"/>
      <c r="S442" s="6"/>
      <c r="T442" s="6"/>
      <c r="U442" s="6"/>
      <c r="V442" s="6"/>
      <c r="W442" s="6"/>
      <c r="X442" s="6"/>
      <c r="Y442" s="6"/>
      <c r="Z442" s="6"/>
    </row>
    <row r="443" spans="1:26" ht="18" customHeight="1" x14ac:dyDescent="0.3">
      <c r="A443" s="142"/>
      <c r="B443" s="143"/>
      <c r="C443" s="144" t="str">
        <f>IF(B443="","",IFERROR(INDEX('12 P6 activities'!$B$7:$B$206,MATCH(B443,'12 P6 activities'!$A$7:$A$206,0)),"⚠ not in P6 list"))</f>
        <v/>
      </c>
      <c r="D443" s="144" t="str">
        <f>IF(B443="","",IFERROR(INDEX('12 P6 activities'!$C$7:$C$206,MATCH(B443,'12 P6 activities'!$A$7:$A$206,0)),"⚠ not in P6 list"))</f>
        <v/>
      </c>
      <c r="E443" s="145"/>
      <c r="F443" s="146"/>
      <c r="G443" s="147"/>
      <c r="H443" s="148"/>
      <c r="I443" s="149"/>
      <c r="J443" s="150" t="str">
        <f t="shared" si="6"/>
        <v/>
      </c>
      <c r="K443" s="149"/>
      <c r="L443" s="149"/>
      <c r="M443" s="6"/>
      <c r="N443" s="6"/>
      <c r="O443" s="6"/>
      <c r="P443" s="6"/>
      <c r="Q443" s="6"/>
      <c r="R443" s="6"/>
      <c r="S443" s="6"/>
      <c r="T443" s="6"/>
      <c r="U443" s="6"/>
      <c r="V443" s="6"/>
      <c r="W443" s="6"/>
      <c r="X443" s="6"/>
      <c r="Y443" s="6"/>
      <c r="Z443" s="6"/>
    </row>
    <row r="444" spans="1:26" ht="18" customHeight="1" x14ac:dyDescent="0.3">
      <c r="A444" s="142"/>
      <c r="B444" s="143"/>
      <c r="C444" s="144" t="str">
        <f>IF(B444="","",IFERROR(INDEX('12 P6 activities'!$B$7:$B$206,MATCH(B444,'12 P6 activities'!$A$7:$A$206,0)),"⚠ not in P6 list"))</f>
        <v/>
      </c>
      <c r="D444" s="144" t="str">
        <f>IF(B444="","",IFERROR(INDEX('12 P6 activities'!$C$7:$C$206,MATCH(B444,'12 P6 activities'!$A$7:$A$206,0)),"⚠ not in P6 list"))</f>
        <v/>
      </c>
      <c r="E444" s="145"/>
      <c r="F444" s="146"/>
      <c r="G444" s="147"/>
      <c r="H444" s="148"/>
      <c r="I444" s="149"/>
      <c r="J444" s="150" t="str">
        <f t="shared" si="6"/>
        <v/>
      </c>
      <c r="K444" s="149"/>
      <c r="L444" s="149"/>
      <c r="M444" s="6"/>
      <c r="N444" s="6"/>
      <c r="O444" s="6"/>
      <c r="P444" s="6"/>
      <c r="Q444" s="6"/>
      <c r="R444" s="6"/>
      <c r="S444" s="6"/>
      <c r="T444" s="6"/>
      <c r="U444" s="6"/>
      <c r="V444" s="6"/>
      <c r="W444" s="6"/>
      <c r="X444" s="6"/>
      <c r="Y444" s="6"/>
      <c r="Z444" s="6"/>
    </row>
    <row r="445" spans="1:26" ht="18" customHeight="1" x14ac:dyDescent="0.3">
      <c r="A445" s="142"/>
      <c r="B445" s="143"/>
      <c r="C445" s="144" t="str">
        <f>IF(B445="","",IFERROR(INDEX('12 P6 activities'!$B$7:$B$206,MATCH(B445,'12 P6 activities'!$A$7:$A$206,0)),"⚠ not in P6 list"))</f>
        <v/>
      </c>
      <c r="D445" s="144" t="str">
        <f>IF(B445="","",IFERROR(INDEX('12 P6 activities'!$C$7:$C$206,MATCH(B445,'12 P6 activities'!$A$7:$A$206,0)),"⚠ not in P6 list"))</f>
        <v/>
      </c>
      <c r="E445" s="145"/>
      <c r="F445" s="146"/>
      <c r="G445" s="147"/>
      <c r="H445" s="148"/>
      <c r="I445" s="149"/>
      <c r="J445" s="150" t="str">
        <f t="shared" si="6"/>
        <v/>
      </c>
      <c r="K445" s="149"/>
      <c r="L445" s="149"/>
      <c r="M445" s="6"/>
      <c r="N445" s="6"/>
      <c r="O445" s="6"/>
      <c r="P445" s="6"/>
      <c r="Q445" s="6"/>
      <c r="R445" s="6"/>
      <c r="S445" s="6"/>
      <c r="T445" s="6"/>
      <c r="U445" s="6"/>
      <c r="V445" s="6"/>
      <c r="W445" s="6"/>
      <c r="X445" s="6"/>
      <c r="Y445" s="6"/>
      <c r="Z445" s="6"/>
    </row>
    <row r="446" spans="1:26" ht="18" customHeight="1" x14ac:dyDescent="0.3">
      <c r="A446" s="142"/>
      <c r="B446" s="143"/>
      <c r="C446" s="144" t="str">
        <f>IF(B446="","",IFERROR(INDEX('12 P6 activities'!$B$7:$B$206,MATCH(B446,'12 P6 activities'!$A$7:$A$206,0)),"⚠ not in P6 list"))</f>
        <v/>
      </c>
      <c r="D446" s="144" t="str">
        <f>IF(B446="","",IFERROR(INDEX('12 P6 activities'!$C$7:$C$206,MATCH(B446,'12 P6 activities'!$A$7:$A$206,0)),"⚠ not in P6 list"))</f>
        <v/>
      </c>
      <c r="E446" s="145"/>
      <c r="F446" s="146"/>
      <c r="G446" s="147"/>
      <c r="H446" s="148"/>
      <c r="I446" s="149"/>
      <c r="J446" s="150" t="str">
        <f t="shared" si="6"/>
        <v/>
      </c>
      <c r="K446" s="149"/>
      <c r="L446" s="149"/>
      <c r="M446" s="6"/>
      <c r="N446" s="6"/>
      <c r="O446" s="6"/>
      <c r="P446" s="6"/>
      <c r="Q446" s="6"/>
      <c r="R446" s="6"/>
      <c r="S446" s="6"/>
      <c r="T446" s="6"/>
      <c r="U446" s="6"/>
      <c r="V446" s="6"/>
      <c r="W446" s="6"/>
      <c r="X446" s="6"/>
      <c r="Y446" s="6"/>
      <c r="Z446" s="6"/>
    </row>
    <row r="447" spans="1:26" ht="18" customHeight="1" x14ac:dyDescent="0.3">
      <c r="A447" s="142"/>
      <c r="B447" s="143"/>
      <c r="C447" s="144" t="str">
        <f>IF(B447="","",IFERROR(INDEX('12 P6 activities'!$B$7:$B$206,MATCH(B447,'12 P6 activities'!$A$7:$A$206,0)),"⚠ not in P6 list"))</f>
        <v/>
      </c>
      <c r="D447" s="144" t="str">
        <f>IF(B447="","",IFERROR(INDEX('12 P6 activities'!$C$7:$C$206,MATCH(B447,'12 P6 activities'!$A$7:$A$206,0)),"⚠ not in P6 list"))</f>
        <v/>
      </c>
      <c r="E447" s="145"/>
      <c r="F447" s="146"/>
      <c r="G447" s="147"/>
      <c r="H447" s="148"/>
      <c r="I447" s="149"/>
      <c r="J447" s="150" t="str">
        <f t="shared" si="6"/>
        <v/>
      </c>
      <c r="K447" s="149"/>
      <c r="L447" s="149"/>
      <c r="M447" s="6"/>
      <c r="N447" s="6"/>
      <c r="O447" s="6"/>
      <c r="P447" s="6"/>
      <c r="Q447" s="6"/>
      <c r="R447" s="6"/>
      <c r="S447" s="6"/>
      <c r="T447" s="6"/>
      <c r="U447" s="6"/>
      <c r="V447" s="6"/>
      <c r="W447" s="6"/>
      <c r="X447" s="6"/>
      <c r="Y447" s="6"/>
      <c r="Z447" s="6"/>
    </row>
    <row r="448" spans="1:26" ht="18" customHeight="1" x14ac:dyDescent="0.3">
      <c r="A448" s="142"/>
      <c r="B448" s="143"/>
      <c r="C448" s="144" t="str">
        <f>IF(B448="","",IFERROR(INDEX('12 P6 activities'!$B$7:$B$206,MATCH(B448,'12 P6 activities'!$A$7:$A$206,0)),"⚠ not in P6 list"))</f>
        <v/>
      </c>
      <c r="D448" s="144" t="str">
        <f>IF(B448="","",IFERROR(INDEX('12 P6 activities'!$C$7:$C$206,MATCH(B448,'12 P6 activities'!$A$7:$A$206,0)),"⚠ not in P6 list"))</f>
        <v/>
      </c>
      <c r="E448" s="145"/>
      <c r="F448" s="146"/>
      <c r="G448" s="147"/>
      <c r="H448" s="148"/>
      <c r="I448" s="149"/>
      <c r="J448" s="150" t="str">
        <f t="shared" si="6"/>
        <v/>
      </c>
      <c r="K448" s="149"/>
      <c r="L448" s="149"/>
      <c r="M448" s="6"/>
      <c r="N448" s="6"/>
      <c r="O448" s="6"/>
      <c r="P448" s="6"/>
      <c r="Q448" s="6"/>
      <c r="R448" s="6"/>
      <c r="S448" s="6"/>
      <c r="T448" s="6"/>
      <c r="U448" s="6"/>
      <c r="V448" s="6"/>
      <c r="W448" s="6"/>
      <c r="X448" s="6"/>
      <c r="Y448" s="6"/>
      <c r="Z448" s="6"/>
    </row>
    <row r="449" spans="1:26" ht="18" customHeight="1" x14ac:dyDescent="0.3">
      <c r="A449" s="142"/>
      <c r="B449" s="143"/>
      <c r="C449" s="144" t="str">
        <f>IF(B449="","",IFERROR(INDEX('12 P6 activities'!$B$7:$B$206,MATCH(B449,'12 P6 activities'!$A$7:$A$206,0)),"⚠ not in P6 list"))</f>
        <v/>
      </c>
      <c r="D449" s="144" t="str">
        <f>IF(B449="","",IFERROR(INDEX('12 P6 activities'!$C$7:$C$206,MATCH(B449,'12 P6 activities'!$A$7:$A$206,0)),"⚠ not in P6 list"))</f>
        <v/>
      </c>
      <c r="E449" s="145"/>
      <c r="F449" s="146"/>
      <c r="G449" s="147"/>
      <c r="H449" s="148"/>
      <c r="I449" s="149"/>
      <c r="J449" s="150" t="str">
        <f t="shared" si="6"/>
        <v/>
      </c>
      <c r="K449" s="149"/>
      <c r="L449" s="149"/>
      <c r="M449" s="6"/>
      <c r="N449" s="6"/>
      <c r="O449" s="6"/>
      <c r="P449" s="6"/>
      <c r="Q449" s="6"/>
      <c r="R449" s="6"/>
      <c r="S449" s="6"/>
      <c r="T449" s="6"/>
      <c r="U449" s="6"/>
      <c r="V449" s="6"/>
      <c r="W449" s="6"/>
      <c r="X449" s="6"/>
      <c r="Y449" s="6"/>
      <c r="Z449" s="6"/>
    </row>
    <row r="450" spans="1:26" ht="18" customHeight="1" x14ac:dyDescent="0.3">
      <c r="A450" s="142"/>
      <c r="B450" s="143"/>
      <c r="C450" s="144" t="str">
        <f>IF(B450="","",IFERROR(INDEX('12 P6 activities'!$B$7:$B$206,MATCH(B450,'12 P6 activities'!$A$7:$A$206,0)),"⚠ not in P6 list"))</f>
        <v/>
      </c>
      <c r="D450" s="144" t="str">
        <f>IF(B450="","",IFERROR(INDEX('12 P6 activities'!$C$7:$C$206,MATCH(B450,'12 P6 activities'!$A$7:$A$206,0)),"⚠ not in P6 list"))</f>
        <v/>
      </c>
      <c r="E450" s="145"/>
      <c r="F450" s="146"/>
      <c r="G450" s="147"/>
      <c r="H450" s="148"/>
      <c r="I450" s="149"/>
      <c r="J450" s="150" t="str">
        <f t="shared" si="6"/>
        <v/>
      </c>
      <c r="K450" s="149"/>
      <c r="L450" s="149"/>
      <c r="M450" s="6"/>
      <c r="N450" s="6"/>
      <c r="O450" s="6"/>
      <c r="P450" s="6"/>
      <c r="Q450" s="6"/>
      <c r="R450" s="6"/>
      <c r="S450" s="6"/>
      <c r="T450" s="6"/>
      <c r="U450" s="6"/>
      <c r="V450" s="6"/>
      <c r="W450" s="6"/>
      <c r="X450" s="6"/>
      <c r="Y450" s="6"/>
      <c r="Z450" s="6"/>
    </row>
    <row r="451" spans="1:26" ht="18" customHeight="1" x14ac:dyDescent="0.3">
      <c r="A451" s="142"/>
      <c r="B451" s="143"/>
      <c r="C451" s="144" t="str">
        <f>IF(B451="","",IFERROR(INDEX('12 P6 activities'!$B$7:$B$206,MATCH(B451,'12 P6 activities'!$A$7:$A$206,0)),"⚠ not in P6 list"))</f>
        <v/>
      </c>
      <c r="D451" s="144" t="str">
        <f>IF(B451="","",IFERROR(INDEX('12 P6 activities'!$C$7:$C$206,MATCH(B451,'12 P6 activities'!$A$7:$A$206,0)),"⚠ not in P6 list"))</f>
        <v/>
      </c>
      <c r="E451" s="145"/>
      <c r="F451" s="146"/>
      <c r="G451" s="147"/>
      <c r="H451" s="148"/>
      <c r="I451" s="149"/>
      <c r="J451" s="150" t="str">
        <f t="shared" si="6"/>
        <v/>
      </c>
      <c r="K451" s="149"/>
      <c r="L451" s="149"/>
      <c r="M451" s="6"/>
      <c r="N451" s="6"/>
      <c r="O451" s="6"/>
      <c r="P451" s="6"/>
      <c r="Q451" s="6"/>
      <c r="R451" s="6"/>
      <c r="S451" s="6"/>
      <c r="T451" s="6"/>
      <c r="U451" s="6"/>
      <c r="V451" s="6"/>
      <c r="W451" s="6"/>
      <c r="X451" s="6"/>
      <c r="Y451" s="6"/>
      <c r="Z451" s="6"/>
    </row>
    <row r="452" spans="1:26" ht="18" customHeight="1" x14ac:dyDescent="0.3">
      <c r="A452" s="142"/>
      <c r="B452" s="143"/>
      <c r="C452" s="144" t="str">
        <f>IF(B452="","",IFERROR(INDEX('12 P6 activities'!$B$7:$B$206,MATCH(B452,'12 P6 activities'!$A$7:$A$206,0)),"⚠ not in P6 list"))</f>
        <v/>
      </c>
      <c r="D452" s="144" t="str">
        <f>IF(B452="","",IFERROR(INDEX('12 P6 activities'!$C$7:$C$206,MATCH(B452,'12 P6 activities'!$A$7:$A$206,0)),"⚠ not in P6 list"))</f>
        <v/>
      </c>
      <c r="E452" s="145"/>
      <c r="F452" s="146"/>
      <c r="G452" s="147"/>
      <c r="H452" s="148"/>
      <c r="I452" s="149"/>
      <c r="J452" s="150" t="str">
        <f t="shared" si="6"/>
        <v/>
      </c>
      <c r="K452" s="149"/>
      <c r="L452" s="149"/>
      <c r="M452" s="6"/>
      <c r="N452" s="6"/>
      <c r="O452" s="6"/>
      <c r="P452" s="6"/>
      <c r="Q452" s="6"/>
      <c r="R452" s="6"/>
      <c r="S452" s="6"/>
      <c r="T452" s="6"/>
      <c r="U452" s="6"/>
      <c r="V452" s="6"/>
      <c r="W452" s="6"/>
      <c r="X452" s="6"/>
      <c r="Y452" s="6"/>
      <c r="Z452" s="6"/>
    </row>
    <row r="453" spans="1:26" ht="18" customHeight="1" x14ac:dyDescent="0.3">
      <c r="A453" s="142"/>
      <c r="B453" s="143"/>
      <c r="C453" s="144" t="str">
        <f>IF(B453="","",IFERROR(INDEX('12 P6 activities'!$B$7:$B$206,MATCH(B453,'12 P6 activities'!$A$7:$A$206,0)),"⚠ not in P6 list"))</f>
        <v/>
      </c>
      <c r="D453" s="144" t="str">
        <f>IF(B453="","",IFERROR(INDEX('12 P6 activities'!$C$7:$C$206,MATCH(B453,'12 P6 activities'!$A$7:$A$206,0)),"⚠ not in P6 list"))</f>
        <v/>
      </c>
      <c r="E453" s="145"/>
      <c r="F453" s="146"/>
      <c r="G453" s="147"/>
      <c r="H453" s="148"/>
      <c r="I453" s="149"/>
      <c r="J453" s="150" t="str">
        <f t="shared" si="6"/>
        <v/>
      </c>
      <c r="K453" s="149"/>
      <c r="L453" s="149"/>
      <c r="M453" s="6"/>
      <c r="N453" s="6"/>
      <c r="O453" s="6"/>
      <c r="P453" s="6"/>
      <c r="Q453" s="6"/>
      <c r="R453" s="6"/>
      <c r="S453" s="6"/>
      <c r="T453" s="6"/>
      <c r="U453" s="6"/>
      <c r="V453" s="6"/>
      <c r="W453" s="6"/>
      <c r="X453" s="6"/>
      <c r="Y453" s="6"/>
      <c r="Z453" s="6"/>
    </row>
    <row r="454" spans="1:26" ht="18" customHeight="1" x14ac:dyDescent="0.3">
      <c r="A454" s="142"/>
      <c r="B454" s="143"/>
      <c r="C454" s="144" t="str">
        <f>IF(B454="","",IFERROR(INDEX('12 P6 activities'!$B$7:$B$206,MATCH(B454,'12 P6 activities'!$A$7:$A$206,0)),"⚠ not in P6 list"))</f>
        <v/>
      </c>
      <c r="D454" s="144" t="str">
        <f>IF(B454="","",IFERROR(INDEX('12 P6 activities'!$C$7:$C$206,MATCH(B454,'12 P6 activities'!$A$7:$A$206,0)),"⚠ not in P6 list"))</f>
        <v/>
      </c>
      <c r="E454" s="145"/>
      <c r="F454" s="146"/>
      <c r="G454" s="147"/>
      <c r="H454" s="148"/>
      <c r="I454" s="149"/>
      <c r="J454" s="150" t="str">
        <f t="shared" si="6"/>
        <v/>
      </c>
      <c r="K454" s="149"/>
      <c r="L454" s="149"/>
      <c r="M454" s="6"/>
      <c r="N454" s="6"/>
      <c r="O454" s="6"/>
      <c r="P454" s="6"/>
      <c r="Q454" s="6"/>
      <c r="R454" s="6"/>
      <c r="S454" s="6"/>
      <c r="T454" s="6"/>
      <c r="U454" s="6"/>
      <c r="V454" s="6"/>
      <c r="W454" s="6"/>
      <c r="X454" s="6"/>
      <c r="Y454" s="6"/>
      <c r="Z454" s="6"/>
    </row>
    <row r="455" spans="1:26" ht="18" customHeight="1" x14ac:dyDescent="0.3">
      <c r="A455" s="142"/>
      <c r="B455" s="143"/>
      <c r="C455" s="144" t="str">
        <f>IF(B455="","",IFERROR(INDEX('12 P6 activities'!$B$7:$B$206,MATCH(B455,'12 P6 activities'!$A$7:$A$206,0)),"⚠ not in P6 list"))</f>
        <v/>
      </c>
      <c r="D455" s="144" t="str">
        <f>IF(B455="","",IFERROR(INDEX('12 P6 activities'!$C$7:$C$206,MATCH(B455,'12 P6 activities'!$A$7:$A$206,0)),"⚠ not in P6 list"))</f>
        <v/>
      </c>
      <c r="E455" s="145"/>
      <c r="F455" s="146"/>
      <c r="G455" s="147"/>
      <c r="H455" s="148"/>
      <c r="I455" s="149"/>
      <c r="J455" s="150" t="str">
        <f t="shared" si="6"/>
        <v/>
      </c>
      <c r="K455" s="149"/>
      <c r="L455" s="149"/>
      <c r="M455" s="6"/>
      <c r="N455" s="6"/>
      <c r="O455" s="6"/>
      <c r="P455" s="6"/>
      <c r="Q455" s="6"/>
      <c r="R455" s="6"/>
      <c r="S455" s="6"/>
      <c r="T455" s="6"/>
      <c r="U455" s="6"/>
      <c r="V455" s="6"/>
      <c r="W455" s="6"/>
      <c r="X455" s="6"/>
      <c r="Y455" s="6"/>
      <c r="Z455" s="6"/>
    </row>
    <row r="456" spans="1:26" ht="18" customHeight="1" x14ac:dyDescent="0.3">
      <c r="A456" s="142"/>
      <c r="B456" s="143"/>
      <c r="C456" s="144" t="str">
        <f>IF(B456="","",IFERROR(INDEX('12 P6 activities'!$B$7:$B$206,MATCH(B456,'12 P6 activities'!$A$7:$A$206,0)),"⚠ not in P6 list"))</f>
        <v/>
      </c>
      <c r="D456" s="144" t="str">
        <f>IF(B456="","",IFERROR(INDEX('12 P6 activities'!$C$7:$C$206,MATCH(B456,'12 P6 activities'!$A$7:$A$206,0)),"⚠ not in P6 list"))</f>
        <v/>
      </c>
      <c r="E456" s="145"/>
      <c r="F456" s="146"/>
      <c r="G456" s="147"/>
      <c r="H456" s="148"/>
      <c r="I456" s="149"/>
      <c r="J456" s="150" t="str">
        <f t="shared" ref="J456:J506" si="7">IF(OR(H456="",I456=""),"",H456*I456)</f>
        <v/>
      </c>
      <c r="K456" s="149"/>
      <c r="L456" s="149"/>
      <c r="M456" s="6"/>
      <c r="N456" s="6"/>
      <c r="O456" s="6"/>
      <c r="P456" s="6"/>
      <c r="Q456" s="6"/>
      <c r="R456" s="6"/>
      <c r="S456" s="6"/>
      <c r="T456" s="6"/>
      <c r="U456" s="6"/>
      <c r="V456" s="6"/>
      <c r="W456" s="6"/>
      <c r="X456" s="6"/>
      <c r="Y456" s="6"/>
      <c r="Z456" s="6"/>
    </row>
    <row r="457" spans="1:26" ht="18" customHeight="1" x14ac:dyDescent="0.3">
      <c r="A457" s="142"/>
      <c r="B457" s="143"/>
      <c r="C457" s="144" t="str">
        <f>IF(B457="","",IFERROR(INDEX('12 P6 activities'!$B$7:$B$206,MATCH(B457,'12 P6 activities'!$A$7:$A$206,0)),"⚠ not in P6 list"))</f>
        <v/>
      </c>
      <c r="D457" s="144" t="str">
        <f>IF(B457="","",IFERROR(INDEX('12 P6 activities'!$C$7:$C$206,MATCH(B457,'12 P6 activities'!$A$7:$A$206,0)),"⚠ not in P6 list"))</f>
        <v/>
      </c>
      <c r="E457" s="145"/>
      <c r="F457" s="146"/>
      <c r="G457" s="147"/>
      <c r="H457" s="148"/>
      <c r="I457" s="149"/>
      <c r="J457" s="150" t="str">
        <f t="shared" si="7"/>
        <v/>
      </c>
      <c r="K457" s="149"/>
      <c r="L457" s="149"/>
      <c r="M457" s="6"/>
      <c r="N457" s="6"/>
      <c r="O457" s="6"/>
      <c r="P457" s="6"/>
      <c r="Q457" s="6"/>
      <c r="R457" s="6"/>
      <c r="S457" s="6"/>
      <c r="T457" s="6"/>
      <c r="U457" s="6"/>
      <c r="V457" s="6"/>
      <c r="W457" s="6"/>
      <c r="X457" s="6"/>
      <c r="Y457" s="6"/>
      <c r="Z457" s="6"/>
    </row>
    <row r="458" spans="1:26" ht="18" customHeight="1" x14ac:dyDescent="0.3">
      <c r="A458" s="142"/>
      <c r="B458" s="143"/>
      <c r="C458" s="144" t="str">
        <f>IF(B458="","",IFERROR(INDEX('12 P6 activities'!$B$7:$B$206,MATCH(B458,'12 P6 activities'!$A$7:$A$206,0)),"⚠ not in P6 list"))</f>
        <v/>
      </c>
      <c r="D458" s="144" t="str">
        <f>IF(B458="","",IFERROR(INDEX('12 P6 activities'!$C$7:$C$206,MATCH(B458,'12 P6 activities'!$A$7:$A$206,0)),"⚠ not in P6 list"))</f>
        <v/>
      </c>
      <c r="E458" s="145"/>
      <c r="F458" s="146"/>
      <c r="G458" s="147"/>
      <c r="H458" s="148"/>
      <c r="I458" s="149"/>
      <c r="J458" s="150" t="str">
        <f t="shared" si="7"/>
        <v/>
      </c>
      <c r="K458" s="149"/>
      <c r="L458" s="149"/>
      <c r="M458" s="6"/>
      <c r="N458" s="6"/>
      <c r="O458" s="6"/>
      <c r="P458" s="6"/>
      <c r="Q458" s="6"/>
      <c r="R458" s="6"/>
      <c r="S458" s="6"/>
      <c r="T458" s="6"/>
      <c r="U458" s="6"/>
      <c r="V458" s="6"/>
      <c r="W458" s="6"/>
      <c r="X458" s="6"/>
      <c r="Y458" s="6"/>
      <c r="Z458" s="6"/>
    </row>
    <row r="459" spans="1:26" ht="18" customHeight="1" x14ac:dyDescent="0.3">
      <c r="A459" s="142"/>
      <c r="B459" s="143"/>
      <c r="C459" s="144" t="str">
        <f>IF(B459="","",IFERROR(INDEX('12 P6 activities'!$B$7:$B$206,MATCH(B459,'12 P6 activities'!$A$7:$A$206,0)),"⚠ not in P6 list"))</f>
        <v/>
      </c>
      <c r="D459" s="144" t="str">
        <f>IF(B459="","",IFERROR(INDEX('12 P6 activities'!$C$7:$C$206,MATCH(B459,'12 P6 activities'!$A$7:$A$206,0)),"⚠ not in P6 list"))</f>
        <v/>
      </c>
      <c r="E459" s="145"/>
      <c r="F459" s="146"/>
      <c r="G459" s="147"/>
      <c r="H459" s="148"/>
      <c r="I459" s="149"/>
      <c r="J459" s="150" t="str">
        <f t="shared" si="7"/>
        <v/>
      </c>
      <c r="K459" s="149"/>
      <c r="L459" s="149"/>
      <c r="M459" s="6"/>
      <c r="N459" s="6"/>
      <c r="O459" s="6"/>
      <c r="P459" s="6"/>
      <c r="Q459" s="6"/>
      <c r="R459" s="6"/>
      <c r="S459" s="6"/>
      <c r="T459" s="6"/>
      <c r="U459" s="6"/>
      <c r="V459" s="6"/>
      <c r="W459" s="6"/>
      <c r="X459" s="6"/>
      <c r="Y459" s="6"/>
      <c r="Z459" s="6"/>
    </row>
    <row r="460" spans="1:26" ht="18" customHeight="1" x14ac:dyDescent="0.3">
      <c r="A460" s="142"/>
      <c r="B460" s="143"/>
      <c r="C460" s="144" t="str">
        <f>IF(B460="","",IFERROR(INDEX('12 P6 activities'!$B$7:$B$206,MATCH(B460,'12 P6 activities'!$A$7:$A$206,0)),"⚠ not in P6 list"))</f>
        <v/>
      </c>
      <c r="D460" s="144" t="str">
        <f>IF(B460="","",IFERROR(INDEX('12 P6 activities'!$C$7:$C$206,MATCH(B460,'12 P6 activities'!$A$7:$A$206,0)),"⚠ not in P6 list"))</f>
        <v/>
      </c>
      <c r="E460" s="145"/>
      <c r="F460" s="146"/>
      <c r="G460" s="147"/>
      <c r="H460" s="148"/>
      <c r="I460" s="149"/>
      <c r="J460" s="150" t="str">
        <f t="shared" si="7"/>
        <v/>
      </c>
      <c r="K460" s="149"/>
      <c r="L460" s="149"/>
      <c r="M460" s="6"/>
      <c r="N460" s="6"/>
      <c r="O460" s="6"/>
      <c r="P460" s="6"/>
      <c r="Q460" s="6"/>
      <c r="R460" s="6"/>
      <c r="S460" s="6"/>
      <c r="T460" s="6"/>
      <c r="U460" s="6"/>
      <c r="V460" s="6"/>
      <c r="W460" s="6"/>
      <c r="X460" s="6"/>
      <c r="Y460" s="6"/>
      <c r="Z460" s="6"/>
    </row>
    <row r="461" spans="1:26" ht="18" customHeight="1" x14ac:dyDescent="0.3">
      <c r="A461" s="142"/>
      <c r="B461" s="143"/>
      <c r="C461" s="144" t="str">
        <f>IF(B461="","",IFERROR(INDEX('12 P6 activities'!$B$7:$B$206,MATCH(B461,'12 P6 activities'!$A$7:$A$206,0)),"⚠ not in P6 list"))</f>
        <v/>
      </c>
      <c r="D461" s="144" t="str">
        <f>IF(B461="","",IFERROR(INDEX('12 P6 activities'!$C$7:$C$206,MATCH(B461,'12 P6 activities'!$A$7:$A$206,0)),"⚠ not in P6 list"))</f>
        <v/>
      </c>
      <c r="E461" s="145"/>
      <c r="F461" s="146"/>
      <c r="G461" s="147"/>
      <c r="H461" s="148"/>
      <c r="I461" s="149"/>
      <c r="J461" s="150" t="str">
        <f t="shared" si="7"/>
        <v/>
      </c>
      <c r="K461" s="149"/>
      <c r="L461" s="149"/>
      <c r="M461" s="6"/>
      <c r="N461" s="6"/>
      <c r="O461" s="6"/>
      <c r="P461" s="6"/>
      <c r="Q461" s="6"/>
      <c r="R461" s="6"/>
      <c r="S461" s="6"/>
      <c r="T461" s="6"/>
      <c r="U461" s="6"/>
      <c r="V461" s="6"/>
      <c r="W461" s="6"/>
      <c r="X461" s="6"/>
      <c r="Y461" s="6"/>
      <c r="Z461" s="6"/>
    </row>
    <row r="462" spans="1:26" ht="18" customHeight="1" x14ac:dyDescent="0.3">
      <c r="A462" s="142"/>
      <c r="B462" s="143"/>
      <c r="C462" s="144" t="str">
        <f>IF(B462="","",IFERROR(INDEX('12 P6 activities'!$B$7:$B$206,MATCH(B462,'12 P6 activities'!$A$7:$A$206,0)),"⚠ not in P6 list"))</f>
        <v/>
      </c>
      <c r="D462" s="144" t="str">
        <f>IF(B462="","",IFERROR(INDEX('12 P6 activities'!$C$7:$C$206,MATCH(B462,'12 P6 activities'!$A$7:$A$206,0)),"⚠ not in P6 list"))</f>
        <v/>
      </c>
      <c r="E462" s="145"/>
      <c r="F462" s="146"/>
      <c r="G462" s="147"/>
      <c r="H462" s="148"/>
      <c r="I462" s="149"/>
      <c r="J462" s="150" t="str">
        <f t="shared" si="7"/>
        <v/>
      </c>
      <c r="K462" s="149"/>
      <c r="L462" s="149"/>
      <c r="M462" s="6"/>
      <c r="N462" s="6"/>
      <c r="O462" s="6"/>
      <c r="P462" s="6"/>
      <c r="Q462" s="6"/>
      <c r="R462" s="6"/>
      <c r="S462" s="6"/>
      <c r="T462" s="6"/>
      <c r="U462" s="6"/>
      <c r="V462" s="6"/>
      <c r="W462" s="6"/>
      <c r="X462" s="6"/>
      <c r="Y462" s="6"/>
      <c r="Z462" s="6"/>
    </row>
    <row r="463" spans="1:26" ht="18" customHeight="1" x14ac:dyDescent="0.3">
      <c r="A463" s="142"/>
      <c r="B463" s="143"/>
      <c r="C463" s="144" t="str">
        <f>IF(B463="","",IFERROR(INDEX('12 P6 activities'!$B$7:$B$206,MATCH(B463,'12 P6 activities'!$A$7:$A$206,0)),"⚠ not in P6 list"))</f>
        <v/>
      </c>
      <c r="D463" s="144" t="str">
        <f>IF(B463="","",IFERROR(INDEX('12 P6 activities'!$C$7:$C$206,MATCH(B463,'12 P6 activities'!$A$7:$A$206,0)),"⚠ not in P6 list"))</f>
        <v/>
      </c>
      <c r="E463" s="145"/>
      <c r="F463" s="146"/>
      <c r="G463" s="147"/>
      <c r="H463" s="148"/>
      <c r="I463" s="149"/>
      <c r="J463" s="150" t="str">
        <f t="shared" si="7"/>
        <v/>
      </c>
      <c r="K463" s="149"/>
      <c r="L463" s="149"/>
      <c r="M463" s="6"/>
      <c r="N463" s="6"/>
      <c r="O463" s="6"/>
      <c r="P463" s="6"/>
      <c r="Q463" s="6"/>
      <c r="R463" s="6"/>
      <c r="S463" s="6"/>
      <c r="T463" s="6"/>
      <c r="U463" s="6"/>
      <c r="V463" s="6"/>
      <c r="W463" s="6"/>
      <c r="X463" s="6"/>
      <c r="Y463" s="6"/>
      <c r="Z463" s="6"/>
    </row>
    <row r="464" spans="1:26" ht="18" customHeight="1" x14ac:dyDescent="0.3">
      <c r="A464" s="142"/>
      <c r="B464" s="143"/>
      <c r="C464" s="144" t="str">
        <f>IF(B464="","",IFERROR(INDEX('12 P6 activities'!$B$7:$B$206,MATCH(B464,'12 P6 activities'!$A$7:$A$206,0)),"⚠ not in P6 list"))</f>
        <v/>
      </c>
      <c r="D464" s="144" t="str">
        <f>IF(B464="","",IFERROR(INDEX('12 P6 activities'!$C$7:$C$206,MATCH(B464,'12 P6 activities'!$A$7:$A$206,0)),"⚠ not in P6 list"))</f>
        <v/>
      </c>
      <c r="E464" s="145"/>
      <c r="F464" s="146"/>
      <c r="G464" s="147"/>
      <c r="H464" s="148"/>
      <c r="I464" s="149"/>
      <c r="J464" s="150" t="str">
        <f t="shared" si="7"/>
        <v/>
      </c>
      <c r="K464" s="149"/>
      <c r="L464" s="149"/>
      <c r="M464" s="6"/>
      <c r="N464" s="6"/>
      <c r="O464" s="6"/>
      <c r="P464" s="6"/>
      <c r="Q464" s="6"/>
      <c r="R464" s="6"/>
      <c r="S464" s="6"/>
      <c r="T464" s="6"/>
      <c r="U464" s="6"/>
      <c r="V464" s="6"/>
      <c r="W464" s="6"/>
      <c r="X464" s="6"/>
      <c r="Y464" s="6"/>
      <c r="Z464" s="6"/>
    </row>
    <row r="465" spans="1:26" ht="18" customHeight="1" x14ac:dyDescent="0.3">
      <c r="A465" s="142"/>
      <c r="B465" s="143"/>
      <c r="C465" s="144" t="str">
        <f>IF(B465="","",IFERROR(INDEX('12 P6 activities'!$B$7:$B$206,MATCH(B465,'12 P6 activities'!$A$7:$A$206,0)),"⚠ not in P6 list"))</f>
        <v/>
      </c>
      <c r="D465" s="144" t="str">
        <f>IF(B465="","",IFERROR(INDEX('12 P6 activities'!$C$7:$C$206,MATCH(B465,'12 P6 activities'!$A$7:$A$206,0)),"⚠ not in P6 list"))</f>
        <v/>
      </c>
      <c r="E465" s="145"/>
      <c r="F465" s="146"/>
      <c r="G465" s="147"/>
      <c r="H465" s="148"/>
      <c r="I465" s="149"/>
      <c r="J465" s="150" t="str">
        <f t="shared" si="7"/>
        <v/>
      </c>
      <c r="K465" s="149"/>
      <c r="L465" s="149"/>
      <c r="M465" s="6"/>
      <c r="N465" s="6"/>
      <c r="O465" s="6"/>
      <c r="P465" s="6"/>
      <c r="Q465" s="6"/>
      <c r="R465" s="6"/>
      <c r="S465" s="6"/>
      <c r="T465" s="6"/>
      <c r="U465" s="6"/>
      <c r="V465" s="6"/>
      <c r="W465" s="6"/>
      <c r="X465" s="6"/>
      <c r="Y465" s="6"/>
      <c r="Z465" s="6"/>
    </row>
    <row r="466" spans="1:26" ht="18" customHeight="1" x14ac:dyDescent="0.3">
      <c r="A466" s="142"/>
      <c r="B466" s="143"/>
      <c r="C466" s="144" t="str">
        <f>IF(B466="","",IFERROR(INDEX('12 P6 activities'!$B$7:$B$206,MATCH(B466,'12 P6 activities'!$A$7:$A$206,0)),"⚠ not in P6 list"))</f>
        <v/>
      </c>
      <c r="D466" s="144" t="str">
        <f>IF(B466="","",IFERROR(INDEX('12 P6 activities'!$C$7:$C$206,MATCH(B466,'12 P6 activities'!$A$7:$A$206,0)),"⚠ not in P6 list"))</f>
        <v/>
      </c>
      <c r="E466" s="145"/>
      <c r="F466" s="146"/>
      <c r="G466" s="147"/>
      <c r="H466" s="148"/>
      <c r="I466" s="149"/>
      <c r="J466" s="150" t="str">
        <f t="shared" si="7"/>
        <v/>
      </c>
      <c r="K466" s="149"/>
      <c r="L466" s="149"/>
      <c r="M466" s="6"/>
      <c r="N466" s="6"/>
      <c r="O466" s="6"/>
      <c r="P466" s="6"/>
      <c r="Q466" s="6"/>
      <c r="R466" s="6"/>
      <c r="S466" s="6"/>
      <c r="T466" s="6"/>
      <c r="U466" s="6"/>
      <c r="V466" s="6"/>
      <c r="W466" s="6"/>
      <c r="X466" s="6"/>
      <c r="Y466" s="6"/>
      <c r="Z466" s="6"/>
    </row>
    <row r="467" spans="1:26" ht="18" customHeight="1" x14ac:dyDescent="0.3">
      <c r="A467" s="142"/>
      <c r="B467" s="143"/>
      <c r="C467" s="144" t="str">
        <f>IF(B467="","",IFERROR(INDEX('12 P6 activities'!$B$7:$B$206,MATCH(B467,'12 P6 activities'!$A$7:$A$206,0)),"⚠ not in P6 list"))</f>
        <v/>
      </c>
      <c r="D467" s="144" t="str">
        <f>IF(B467="","",IFERROR(INDEX('12 P6 activities'!$C$7:$C$206,MATCH(B467,'12 P6 activities'!$A$7:$A$206,0)),"⚠ not in P6 list"))</f>
        <v/>
      </c>
      <c r="E467" s="145"/>
      <c r="F467" s="146"/>
      <c r="G467" s="147"/>
      <c r="H467" s="148"/>
      <c r="I467" s="149"/>
      <c r="J467" s="150" t="str">
        <f t="shared" si="7"/>
        <v/>
      </c>
      <c r="K467" s="149"/>
      <c r="L467" s="149"/>
      <c r="M467" s="6"/>
      <c r="N467" s="6"/>
      <c r="O467" s="6"/>
      <c r="P467" s="6"/>
      <c r="Q467" s="6"/>
      <c r="R467" s="6"/>
      <c r="S467" s="6"/>
      <c r="T467" s="6"/>
      <c r="U467" s="6"/>
      <c r="V467" s="6"/>
      <c r="W467" s="6"/>
      <c r="X467" s="6"/>
      <c r="Y467" s="6"/>
      <c r="Z467" s="6"/>
    </row>
    <row r="468" spans="1:26" ht="18" customHeight="1" x14ac:dyDescent="0.3">
      <c r="A468" s="142"/>
      <c r="B468" s="143"/>
      <c r="C468" s="144" t="str">
        <f>IF(B468="","",IFERROR(INDEX('12 P6 activities'!$B$7:$B$206,MATCH(B468,'12 P6 activities'!$A$7:$A$206,0)),"⚠ not in P6 list"))</f>
        <v/>
      </c>
      <c r="D468" s="144" t="str">
        <f>IF(B468="","",IFERROR(INDEX('12 P6 activities'!$C$7:$C$206,MATCH(B468,'12 P6 activities'!$A$7:$A$206,0)),"⚠ not in P6 list"))</f>
        <v/>
      </c>
      <c r="E468" s="145"/>
      <c r="F468" s="146"/>
      <c r="G468" s="147"/>
      <c r="H468" s="148"/>
      <c r="I468" s="149"/>
      <c r="J468" s="150" t="str">
        <f t="shared" si="7"/>
        <v/>
      </c>
      <c r="K468" s="149"/>
      <c r="L468" s="149"/>
      <c r="M468" s="6"/>
      <c r="N468" s="6"/>
      <c r="O468" s="6"/>
      <c r="P468" s="6"/>
      <c r="Q468" s="6"/>
      <c r="R468" s="6"/>
      <c r="S468" s="6"/>
      <c r="T468" s="6"/>
      <c r="U468" s="6"/>
      <c r="V468" s="6"/>
      <c r="W468" s="6"/>
      <c r="X468" s="6"/>
      <c r="Y468" s="6"/>
      <c r="Z468" s="6"/>
    </row>
    <row r="469" spans="1:26" ht="18" customHeight="1" x14ac:dyDescent="0.3">
      <c r="A469" s="142"/>
      <c r="B469" s="143"/>
      <c r="C469" s="144" t="str">
        <f>IF(B469="","",IFERROR(INDEX('12 P6 activities'!$B$7:$B$206,MATCH(B469,'12 P6 activities'!$A$7:$A$206,0)),"⚠ not in P6 list"))</f>
        <v/>
      </c>
      <c r="D469" s="144" t="str">
        <f>IF(B469="","",IFERROR(INDEX('12 P6 activities'!$C$7:$C$206,MATCH(B469,'12 P6 activities'!$A$7:$A$206,0)),"⚠ not in P6 list"))</f>
        <v/>
      </c>
      <c r="E469" s="145"/>
      <c r="F469" s="146"/>
      <c r="G469" s="147"/>
      <c r="H469" s="148"/>
      <c r="I469" s="149"/>
      <c r="J469" s="150" t="str">
        <f t="shared" si="7"/>
        <v/>
      </c>
      <c r="K469" s="149"/>
      <c r="L469" s="149"/>
      <c r="M469" s="6"/>
      <c r="N469" s="6"/>
      <c r="O469" s="6"/>
      <c r="P469" s="6"/>
      <c r="Q469" s="6"/>
      <c r="R469" s="6"/>
      <c r="S469" s="6"/>
      <c r="T469" s="6"/>
      <c r="U469" s="6"/>
      <c r="V469" s="6"/>
      <c r="W469" s="6"/>
      <c r="X469" s="6"/>
      <c r="Y469" s="6"/>
      <c r="Z469" s="6"/>
    </row>
    <row r="470" spans="1:26" ht="18" customHeight="1" x14ac:dyDescent="0.3">
      <c r="A470" s="142"/>
      <c r="B470" s="143"/>
      <c r="C470" s="144" t="str">
        <f>IF(B470="","",IFERROR(INDEX('12 P6 activities'!$B$7:$B$206,MATCH(B470,'12 P6 activities'!$A$7:$A$206,0)),"⚠ not in P6 list"))</f>
        <v/>
      </c>
      <c r="D470" s="144" t="str">
        <f>IF(B470="","",IFERROR(INDEX('12 P6 activities'!$C$7:$C$206,MATCH(B470,'12 P6 activities'!$A$7:$A$206,0)),"⚠ not in P6 list"))</f>
        <v/>
      </c>
      <c r="E470" s="145"/>
      <c r="F470" s="146"/>
      <c r="G470" s="147"/>
      <c r="H470" s="148"/>
      <c r="I470" s="149"/>
      <c r="J470" s="150" t="str">
        <f t="shared" si="7"/>
        <v/>
      </c>
      <c r="K470" s="149"/>
      <c r="L470" s="149"/>
      <c r="M470" s="6"/>
      <c r="N470" s="6"/>
      <c r="O470" s="6"/>
      <c r="P470" s="6"/>
      <c r="Q470" s="6"/>
      <c r="R470" s="6"/>
      <c r="S470" s="6"/>
      <c r="T470" s="6"/>
      <c r="U470" s="6"/>
      <c r="V470" s="6"/>
      <c r="W470" s="6"/>
      <c r="X470" s="6"/>
      <c r="Y470" s="6"/>
      <c r="Z470" s="6"/>
    </row>
    <row r="471" spans="1:26" ht="18" customHeight="1" x14ac:dyDescent="0.3">
      <c r="A471" s="142"/>
      <c r="B471" s="143"/>
      <c r="C471" s="144" t="str">
        <f>IF(B471="","",IFERROR(INDEX('12 P6 activities'!$B$7:$B$206,MATCH(B471,'12 P6 activities'!$A$7:$A$206,0)),"⚠ not in P6 list"))</f>
        <v/>
      </c>
      <c r="D471" s="144" t="str">
        <f>IF(B471="","",IFERROR(INDEX('12 P6 activities'!$C$7:$C$206,MATCH(B471,'12 P6 activities'!$A$7:$A$206,0)),"⚠ not in P6 list"))</f>
        <v/>
      </c>
      <c r="E471" s="145"/>
      <c r="F471" s="146"/>
      <c r="G471" s="147"/>
      <c r="H471" s="148"/>
      <c r="I471" s="149"/>
      <c r="J471" s="150" t="str">
        <f t="shared" si="7"/>
        <v/>
      </c>
      <c r="K471" s="149"/>
      <c r="L471" s="149"/>
      <c r="M471" s="6"/>
      <c r="N471" s="6"/>
      <c r="O471" s="6"/>
      <c r="P471" s="6"/>
      <c r="Q471" s="6"/>
      <c r="R471" s="6"/>
      <c r="S471" s="6"/>
      <c r="T471" s="6"/>
      <c r="U471" s="6"/>
      <c r="V471" s="6"/>
      <c r="W471" s="6"/>
      <c r="X471" s="6"/>
      <c r="Y471" s="6"/>
      <c r="Z471" s="6"/>
    </row>
    <row r="472" spans="1:26" ht="18" customHeight="1" x14ac:dyDescent="0.3">
      <c r="A472" s="142"/>
      <c r="B472" s="143"/>
      <c r="C472" s="144" t="str">
        <f>IF(B472="","",IFERROR(INDEX('12 P6 activities'!$B$7:$B$206,MATCH(B472,'12 P6 activities'!$A$7:$A$206,0)),"⚠ not in P6 list"))</f>
        <v/>
      </c>
      <c r="D472" s="144" t="str">
        <f>IF(B472="","",IFERROR(INDEX('12 P6 activities'!$C$7:$C$206,MATCH(B472,'12 P6 activities'!$A$7:$A$206,0)),"⚠ not in P6 list"))</f>
        <v/>
      </c>
      <c r="E472" s="145"/>
      <c r="F472" s="146"/>
      <c r="G472" s="147"/>
      <c r="H472" s="148"/>
      <c r="I472" s="149"/>
      <c r="J472" s="150" t="str">
        <f t="shared" si="7"/>
        <v/>
      </c>
      <c r="K472" s="149"/>
      <c r="L472" s="149"/>
      <c r="M472" s="6"/>
      <c r="N472" s="6"/>
      <c r="O472" s="6"/>
      <c r="P472" s="6"/>
      <c r="Q472" s="6"/>
      <c r="R472" s="6"/>
      <c r="S472" s="6"/>
      <c r="T472" s="6"/>
      <c r="U472" s="6"/>
      <c r="V472" s="6"/>
      <c r="W472" s="6"/>
      <c r="X472" s="6"/>
      <c r="Y472" s="6"/>
      <c r="Z472" s="6"/>
    </row>
    <row r="473" spans="1:26" ht="18" customHeight="1" x14ac:dyDescent="0.3">
      <c r="A473" s="142"/>
      <c r="B473" s="143"/>
      <c r="C473" s="144" t="str">
        <f>IF(B473="","",IFERROR(INDEX('12 P6 activities'!$B$7:$B$206,MATCH(B473,'12 P6 activities'!$A$7:$A$206,0)),"⚠ not in P6 list"))</f>
        <v/>
      </c>
      <c r="D473" s="144" t="str">
        <f>IF(B473="","",IFERROR(INDEX('12 P6 activities'!$C$7:$C$206,MATCH(B473,'12 P6 activities'!$A$7:$A$206,0)),"⚠ not in P6 list"))</f>
        <v/>
      </c>
      <c r="E473" s="145"/>
      <c r="F473" s="146"/>
      <c r="G473" s="147"/>
      <c r="H473" s="148"/>
      <c r="I473" s="149"/>
      <c r="J473" s="150" t="str">
        <f t="shared" si="7"/>
        <v/>
      </c>
      <c r="K473" s="149"/>
      <c r="L473" s="149"/>
      <c r="M473" s="6"/>
      <c r="N473" s="6"/>
      <c r="O473" s="6"/>
      <c r="P473" s="6"/>
      <c r="Q473" s="6"/>
      <c r="R473" s="6"/>
      <c r="S473" s="6"/>
      <c r="T473" s="6"/>
      <c r="U473" s="6"/>
      <c r="V473" s="6"/>
      <c r="W473" s="6"/>
      <c r="X473" s="6"/>
      <c r="Y473" s="6"/>
      <c r="Z473" s="6"/>
    </row>
    <row r="474" spans="1:26" ht="18" customHeight="1" x14ac:dyDescent="0.3">
      <c r="A474" s="142"/>
      <c r="B474" s="143"/>
      <c r="C474" s="144" t="str">
        <f>IF(B474="","",IFERROR(INDEX('12 P6 activities'!$B$7:$B$206,MATCH(B474,'12 P6 activities'!$A$7:$A$206,0)),"⚠ not in P6 list"))</f>
        <v/>
      </c>
      <c r="D474" s="144" t="str">
        <f>IF(B474="","",IFERROR(INDEX('12 P6 activities'!$C$7:$C$206,MATCH(B474,'12 P6 activities'!$A$7:$A$206,0)),"⚠ not in P6 list"))</f>
        <v/>
      </c>
      <c r="E474" s="145"/>
      <c r="F474" s="146"/>
      <c r="G474" s="147"/>
      <c r="H474" s="148"/>
      <c r="I474" s="149"/>
      <c r="J474" s="150" t="str">
        <f t="shared" si="7"/>
        <v/>
      </c>
      <c r="K474" s="149"/>
      <c r="L474" s="149"/>
      <c r="M474" s="6"/>
      <c r="N474" s="6"/>
      <c r="O474" s="6"/>
      <c r="P474" s="6"/>
      <c r="Q474" s="6"/>
      <c r="R474" s="6"/>
      <c r="S474" s="6"/>
      <c r="T474" s="6"/>
      <c r="U474" s="6"/>
      <c r="V474" s="6"/>
      <c r="W474" s="6"/>
      <c r="X474" s="6"/>
      <c r="Y474" s="6"/>
      <c r="Z474" s="6"/>
    </row>
    <row r="475" spans="1:26" ht="18" customHeight="1" x14ac:dyDescent="0.3">
      <c r="A475" s="142"/>
      <c r="B475" s="143"/>
      <c r="C475" s="144" t="str">
        <f>IF(B475="","",IFERROR(INDEX('12 P6 activities'!$B$7:$B$206,MATCH(B475,'12 P6 activities'!$A$7:$A$206,0)),"⚠ not in P6 list"))</f>
        <v/>
      </c>
      <c r="D475" s="144" t="str">
        <f>IF(B475="","",IFERROR(INDEX('12 P6 activities'!$C$7:$C$206,MATCH(B475,'12 P6 activities'!$A$7:$A$206,0)),"⚠ not in P6 list"))</f>
        <v/>
      </c>
      <c r="E475" s="145"/>
      <c r="F475" s="146"/>
      <c r="G475" s="147"/>
      <c r="H475" s="148"/>
      <c r="I475" s="149"/>
      <c r="J475" s="150" t="str">
        <f t="shared" si="7"/>
        <v/>
      </c>
      <c r="K475" s="149"/>
      <c r="L475" s="149"/>
      <c r="M475" s="6"/>
      <c r="N475" s="6"/>
      <c r="O475" s="6"/>
      <c r="P475" s="6"/>
      <c r="Q475" s="6"/>
      <c r="R475" s="6"/>
      <c r="S475" s="6"/>
      <c r="T475" s="6"/>
      <c r="U475" s="6"/>
      <c r="V475" s="6"/>
      <c r="W475" s="6"/>
      <c r="X475" s="6"/>
      <c r="Y475" s="6"/>
      <c r="Z475" s="6"/>
    </row>
    <row r="476" spans="1:26" ht="18" customHeight="1" x14ac:dyDescent="0.3">
      <c r="A476" s="142"/>
      <c r="B476" s="143"/>
      <c r="C476" s="144" t="str">
        <f>IF(B476="","",IFERROR(INDEX('12 P6 activities'!$B$7:$B$206,MATCH(B476,'12 P6 activities'!$A$7:$A$206,0)),"⚠ not in P6 list"))</f>
        <v/>
      </c>
      <c r="D476" s="144" t="str">
        <f>IF(B476="","",IFERROR(INDEX('12 P6 activities'!$C$7:$C$206,MATCH(B476,'12 P6 activities'!$A$7:$A$206,0)),"⚠ not in P6 list"))</f>
        <v/>
      </c>
      <c r="E476" s="145"/>
      <c r="F476" s="146"/>
      <c r="G476" s="147"/>
      <c r="H476" s="148"/>
      <c r="I476" s="149"/>
      <c r="J476" s="150" t="str">
        <f t="shared" si="7"/>
        <v/>
      </c>
      <c r="K476" s="149"/>
      <c r="L476" s="149"/>
      <c r="M476" s="6"/>
      <c r="N476" s="6"/>
      <c r="O476" s="6"/>
      <c r="P476" s="6"/>
      <c r="Q476" s="6"/>
      <c r="R476" s="6"/>
      <c r="S476" s="6"/>
      <c r="T476" s="6"/>
      <c r="U476" s="6"/>
      <c r="V476" s="6"/>
      <c r="W476" s="6"/>
      <c r="X476" s="6"/>
      <c r="Y476" s="6"/>
      <c r="Z476" s="6"/>
    </row>
    <row r="477" spans="1:26" ht="18" customHeight="1" x14ac:dyDescent="0.3">
      <c r="A477" s="142"/>
      <c r="B477" s="143"/>
      <c r="C477" s="144" t="str">
        <f>IF(B477="","",IFERROR(INDEX('12 P6 activities'!$B$7:$B$206,MATCH(B477,'12 P6 activities'!$A$7:$A$206,0)),"⚠ not in P6 list"))</f>
        <v/>
      </c>
      <c r="D477" s="144" t="str">
        <f>IF(B477="","",IFERROR(INDEX('12 P6 activities'!$C$7:$C$206,MATCH(B477,'12 P6 activities'!$A$7:$A$206,0)),"⚠ not in P6 list"))</f>
        <v/>
      </c>
      <c r="E477" s="145"/>
      <c r="F477" s="146"/>
      <c r="G477" s="147"/>
      <c r="H477" s="148"/>
      <c r="I477" s="149"/>
      <c r="J477" s="150" t="str">
        <f t="shared" si="7"/>
        <v/>
      </c>
      <c r="K477" s="149"/>
      <c r="L477" s="149"/>
      <c r="M477" s="6"/>
      <c r="N477" s="6"/>
      <c r="O477" s="6"/>
      <c r="P477" s="6"/>
      <c r="Q477" s="6"/>
      <c r="R477" s="6"/>
      <c r="S477" s="6"/>
      <c r="T477" s="6"/>
      <c r="U477" s="6"/>
      <c r="V477" s="6"/>
      <c r="W477" s="6"/>
      <c r="X477" s="6"/>
      <c r="Y477" s="6"/>
      <c r="Z477" s="6"/>
    </row>
    <row r="478" spans="1:26" ht="18" customHeight="1" x14ac:dyDescent="0.3">
      <c r="A478" s="142"/>
      <c r="B478" s="143"/>
      <c r="C478" s="144" t="str">
        <f>IF(B478="","",IFERROR(INDEX('12 P6 activities'!$B$7:$B$206,MATCH(B478,'12 P6 activities'!$A$7:$A$206,0)),"⚠ not in P6 list"))</f>
        <v/>
      </c>
      <c r="D478" s="144" t="str">
        <f>IF(B478="","",IFERROR(INDEX('12 P6 activities'!$C$7:$C$206,MATCH(B478,'12 P6 activities'!$A$7:$A$206,0)),"⚠ not in P6 list"))</f>
        <v/>
      </c>
      <c r="E478" s="145"/>
      <c r="F478" s="146"/>
      <c r="G478" s="147"/>
      <c r="H478" s="148"/>
      <c r="I478" s="149"/>
      <c r="J478" s="150" t="str">
        <f t="shared" si="7"/>
        <v/>
      </c>
      <c r="K478" s="149"/>
      <c r="L478" s="149"/>
      <c r="M478" s="6"/>
      <c r="N478" s="6"/>
      <c r="O478" s="6"/>
      <c r="P478" s="6"/>
      <c r="Q478" s="6"/>
      <c r="R478" s="6"/>
      <c r="S478" s="6"/>
      <c r="T478" s="6"/>
      <c r="U478" s="6"/>
      <c r="V478" s="6"/>
      <c r="W478" s="6"/>
      <c r="X478" s="6"/>
      <c r="Y478" s="6"/>
      <c r="Z478" s="6"/>
    </row>
    <row r="479" spans="1:26" ht="18" customHeight="1" x14ac:dyDescent="0.3">
      <c r="A479" s="142"/>
      <c r="B479" s="143"/>
      <c r="C479" s="144" t="str">
        <f>IF(B479="","",IFERROR(INDEX('12 P6 activities'!$B$7:$B$206,MATCH(B479,'12 P6 activities'!$A$7:$A$206,0)),"⚠ not in P6 list"))</f>
        <v/>
      </c>
      <c r="D479" s="144" t="str">
        <f>IF(B479="","",IFERROR(INDEX('12 P6 activities'!$C$7:$C$206,MATCH(B479,'12 P6 activities'!$A$7:$A$206,0)),"⚠ not in P6 list"))</f>
        <v/>
      </c>
      <c r="E479" s="145"/>
      <c r="F479" s="146"/>
      <c r="G479" s="147"/>
      <c r="H479" s="148"/>
      <c r="I479" s="149"/>
      <c r="J479" s="150" t="str">
        <f t="shared" si="7"/>
        <v/>
      </c>
      <c r="K479" s="149"/>
      <c r="L479" s="149"/>
      <c r="M479" s="6"/>
      <c r="N479" s="6"/>
      <c r="O479" s="6"/>
      <c r="P479" s="6"/>
      <c r="Q479" s="6"/>
      <c r="R479" s="6"/>
      <c r="S479" s="6"/>
      <c r="T479" s="6"/>
      <c r="U479" s="6"/>
      <c r="V479" s="6"/>
      <c r="W479" s="6"/>
      <c r="X479" s="6"/>
      <c r="Y479" s="6"/>
      <c r="Z479" s="6"/>
    </row>
    <row r="480" spans="1:26" ht="18" customHeight="1" x14ac:dyDescent="0.3">
      <c r="A480" s="142"/>
      <c r="B480" s="143"/>
      <c r="C480" s="144" t="str">
        <f>IF(B480="","",IFERROR(INDEX('12 P6 activities'!$B$7:$B$206,MATCH(B480,'12 P6 activities'!$A$7:$A$206,0)),"⚠ not in P6 list"))</f>
        <v/>
      </c>
      <c r="D480" s="144" t="str">
        <f>IF(B480="","",IFERROR(INDEX('12 P6 activities'!$C$7:$C$206,MATCH(B480,'12 P6 activities'!$A$7:$A$206,0)),"⚠ not in P6 list"))</f>
        <v/>
      </c>
      <c r="E480" s="145"/>
      <c r="F480" s="146"/>
      <c r="G480" s="147"/>
      <c r="H480" s="148"/>
      <c r="I480" s="149"/>
      <c r="J480" s="150" t="str">
        <f t="shared" si="7"/>
        <v/>
      </c>
      <c r="K480" s="149"/>
      <c r="L480" s="149"/>
      <c r="M480" s="6"/>
      <c r="N480" s="6"/>
      <c r="O480" s="6"/>
      <c r="P480" s="6"/>
      <c r="Q480" s="6"/>
      <c r="R480" s="6"/>
      <c r="S480" s="6"/>
      <c r="T480" s="6"/>
      <c r="U480" s="6"/>
      <c r="V480" s="6"/>
      <c r="W480" s="6"/>
      <c r="X480" s="6"/>
      <c r="Y480" s="6"/>
      <c r="Z480" s="6"/>
    </row>
    <row r="481" spans="1:26" ht="18" customHeight="1" x14ac:dyDescent="0.3">
      <c r="A481" s="142"/>
      <c r="B481" s="143"/>
      <c r="C481" s="144" t="str">
        <f>IF(B481="","",IFERROR(INDEX('12 P6 activities'!$B$7:$B$206,MATCH(B481,'12 P6 activities'!$A$7:$A$206,0)),"⚠ not in P6 list"))</f>
        <v/>
      </c>
      <c r="D481" s="144" t="str">
        <f>IF(B481="","",IFERROR(INDEX('12 P6 activities'!$C$7:$C$206,MATCH(B481,'12 P6 activities'!$A$7:$A$206,0)),"⚠ not in P6 list"))</f>
        <v/>
      </c>
      <c r="E481" s="145"/>
      <c r="F481" s="146"/>
      <c r="G481" s="147"/>
      <c r="H481" s="148"/>
      <c r="I481" s="149"/>
      <c r="J481" s="150" t="str">
        <f t="shared" si="7"/>
        <v/>
      </c>
      <c r="K481" s="149"/>
      <c r="L481" s="149"/>
      <c r="M481" s="6"/>
      <c r="N481" s="6"/>
      <c r="O481" s="6"/>
      <c r="P481" s="6"/>
      <c r="Q481" s="6"/>
      <c r="R481" s="6"/>
      <c r="S481" s="6"/>
      <c r="T481" s="6"/>
      <c r="U481" s="6"/>
      <c r="V481" s="6"/>
      <c r="W481" s="6"/>
      <c r="X481" s="6"/>
      <c r="Y481" s="6"/>
      <c r="Z481" s="6"/>
    </row>
    <row r="482" spans="1:26" ht="18" customHeight="1" x14ac:dyDescent="0.3">
      <c r="A482" s="142"/>
      <c r="B482" s="143"/>
      <c r="C482" s="144" t="str">
        <f>IF(B482="","",IFERROR(INDEX('12 P6 activities'!$B$7:$B$206,MATCH(B482,'12 P6 activities'!$A$7:$A$206,0)),"⚠ not in P6 list"))</f>
        <v/>
      </c>
      <c r="D482" s="144" t="str">
        <f>IF(B482="","",IFERROR(INDEX('12 P6 activities'!$C$7:$C$206,MATCH(B482,'12 P6 activities'!$A$7:$A$206,0)),"⚠ not in P6 list"))</f>
        <v/>
      </c>
      <c r="E482" s="145"/>
      <c r="F482" s="146"/>
      <c r="G482" s="147"/>
      <c r="H482" s="148"/>
      <c r="I482" s="149"/>
      <c r="J482" s="150" t="str">
        <f t="shared" si="7"/>
        <v/>
      </c>
      <c r="K482" s="149"/>
      <c r="L482" s="149"/>
      <c r="M482" s="6"/>
      <c r="N482" s="6"/>
      <c r="O482" s="6"/>
      <c r="P482" s="6"/>
      <c r="Q482" s="6"/>
      <c r="R482" s="6"/>
      <c r="S482" s="6"/>
      <c r="T482" s="6"/>
      <c r="U482" s="6"/>
      <c r="V482" s="6"/>
      <c r="W482" s="6"/>
      <c r="X482" s="6"/>
      <c r="Y482" s="6"/>
      <c r="Z482" s="6"/>
    </row>
    <row r="483" spans="1:26" ht="18" customHeight="1" x14ac:dyDescent="0.3">
      <c r="A483" s="142"/>
      <c r="B483" s="143"/>
      <c r="C483" s="144" t="str">
        <f>IF(B483="","",IFERROR(INDEX('12 P6 activities'!$B$7:$B$206,MATCH(B483,'12 P6 activities'!$A$7:$A$206,0)),"⚠ not in P6 list"))</f>
        <v/>
      </c>
      <c r="D483" s="144" t="str">
        <f>IF(B483="","",IFERROR(INDEX('12 P6 activities'!$C$7:$C$206,MATCH(B483,'12 P6 activities'!$A$7:$A$206,0)),"⚠ not in P6 list"))</f>
        <v/>
      </c>
      <c r="E483" s="145"/>
      <c r="F483" s="146"/>
      <c r="G483" s="147"/>
      <c r="H483" s="148"/>
      <c r="I483" s="149"/>
      <c r="J483" s="150" t="str">
        <f t="shared" si="7"/>
        <v/>
      </c>
      <c r="K483" s="149"/>
      <c r="L483" s="149"/>
      <c r="M483" s="6"/>
      <c r="N483" s="6"/>
      <c r="O483" s="6"/>
      <c r="P483" s="6"/>
      <c r="Q483" s="6"/>
      <c r="R483" s="6"/>
      <c r="S483" s="6"/>
      <c r="T483" s="6"/>
      <c r="U483" s="6"/>
      <c r="V483" s="6"/>
      <c r="W483" s="6"/>
      <c r="X483" s="6"/>
      <c r="Y483" s="6"/>
      <c r="Z483" s="6"/>
    </row>
    <row r="484" spans="1:26" ht="18" customHeight="1" x14ac:dyDescent="0.3">
      <c r="A484" s="142"/>
      <c r="B484" s="143"/>
      <c r="C484" s="144" t="str">
        <f>IF(B484="","",IFERROR(INDEX('12 P6 activities'!$B$7:$B$206,MATCH(B484,'12 P6 activities'!$A$7:$A$206,0)),"⚠ not in P6 list"))</f>
        <v/>
      </c>
      <c r="D484" s="144" t="str">
        <f>IF(B484="","",IFERROR(INDEX('12 P6 activities'!$C$7:$C$206,MATCH(B484,'12 P6 activities'!$A$7:$A$206,0)),"⚠ not in P6 list"))</f>
        <v/>
      </c>
      <c r="E484" s="145"/>
      <c r="F484" s="146"/>
      <c r="G484" s="147"/>
      <c r="H484" s="148"/>
      <c r="I484" s="149"/>
      <c r="J484" s="150" t="str">
        <f t="shared" si="7"/>
        <v/>
      </c>
      <c r="K484" s="149"/>
      <c r="L484" s="149"/>
      <c r="M484" s="6"/>
      <c r="N484" s="6"/>
      <c r="O484" s="6"/>
      <c r="P484" s="6"/>
      <c r="Q484" s="6"/>
      <c r="R484" s="6"/>
      <c r="S484" s="6"/>
      <c r="T484" s="6"/>
      <c r="U484" s="6"/>
      <c r="V484" s="6"/>
      <c r="W484" s="6"/>
      <c r="X484" s="6"/>
      <c r="Y484" s="6"/>
      <c r="Z484" s="6"/>
    </row>
    <row r="485" spans="1:26" ht="18" customHeight="1" x14ac:dyDescent="0.3">
      <c r="A485" s="142"/>
      <c r="B485" s="143"/>
      <c r="C485" s="144" t="str">
        <f>IF(B485="","",IFERROR(INDEX('12 P6 activities'!$B$7:$B$206,MATCH(B485,'12 P6 activities'!$A$7:$A$206,0)),"⚠ not in P6 list"))</f>
        <v/>
      </c>
      <c r="D485" s="144" t="str">
        <f>IF(B485="","",IFERROR(INDEX('12 P6 activities'!$C$7:$C$206,MATCH(B485,'12 P6 activities'!$A$7:$A$206,0)),"⚠ not in P6 list"))</f>
        <v/>
      </c>
      <c r="E485" s="145"/>
      <c r="F485" s="146"/>
      <c r="G485" s="147"/>
      <c r="H485" s="148"/>
      <c r="I485" s="149"/>
      <c r="J485" s="150" t="str">
        <f t="shared" si="7"/>
        <v/>
      </c>
      <c r="K485" s="149"/>
      <c r="L485" s="149"/>
      <c r="M485" s="6"/>
      <c r="N485" s="6"/>
      <c r="O485" s="6"/>
      <c r="P485" s="6"/>
      <c r="Q485" s="6"/>
      <c r="R485" s="6"/>
      <c r="S485" s="6"/>
      <c r="T485" s="6"/>
      <c r="U485" s="6"/>
      <c r="V485" s="6"/>
      <c r="W485" s="6"/>
      <c r="X485" s="6"/>
      <c r="Y485" s="6"/>
      <c r="Z485" s="6"/>
    </row>
    <row r="486" spans="1:26" ht="18" customHeight="1" x14ac:dyDescent="0.3">
      <c r="A486" s="142"/>
      <c r="B486" s="143"/>
      <c r="C486" s="144" t="str">
        <f>IF(B486="","",IFERROR(INDEX('12 P6 activities'!$B$7:$B$206,MATCH(B486,'12 P6 activities'!$A$7:$A$206,0)),"⚠ not in P6 list"))</f>
        <v/>
      </c>
      <c r="D486" s="144" t="str">
        <f>IF(B486="","",IFERROR(INDEX('12 P6 activities'!$C$7:$C$206,MATCH(B486,'12 P6 activities'!$A$7:$A$206,0)),"⚠ not in P6 list"))</f>
        <v/>
      </c>
      <c r="E486" s="145"/>
      <c r="F486" s="146"/>
      <c r="G486" s="147"/>
      <c r="H486" s="148"/>
      <c r="I486" s="149"/>
      <c r="J486" s="150" t="str">
        <f t="shared" si="7"/>
        <v/>
      </c>
      <c r="K486" s="149"/>
      <c r="L486" s="149"/>
      <c r="M486" s="6"/>
      <c r="N486" s="6"/>
      <c r="O486" s="6"/>
      <c r="P486" s="6"/>
      <c r="Q486" s="6"/>
      <c r="R486" s="6"/>
      <c r="S486" s="6"/>
      <c r="T486" s="6"/>
      <c r="U486" s="6"/>
      <c r="V486" s="6"/>
      <c r="W486" s="6"/>
      <c r="X486" s="6"/>
      <c r="Y486" s="6"/>
      <c r="Z486" s="6"/>
    </row>
    <row r="487" spans="1:26" ht="18" customHeight="1" x14ac:dyDescent="0.3">
      <c r="A487" s="142"/>
      <c r="B487" s="143"/>
      <c r="C487" s="144" t="str">
        <f>IF(B487="","",IFERROR(INDEX('12 P6 activities'!$B$7:$B$206,MATCH(B487,'12 P6 activities'!$A$7:$A$206,0)),"⚠ not in P6 list"))</f>
        <v/>
      </c>
      <c r="D487" s="144" t="str">
        <f>IF(B487="","",IFERROR(INDEX('12 P6 activities'!$C$7:$C$206,MATCH(B487,'12 P6 activities'!$A$7:$A$206,0)),"⚠ not in P6 list"))</f>
        <v/>
      </c>
      <c r="E487" s="145"/>
      <c r="F487" s="146"/>
      <c r="G487" s="147"/>
      <c r="H487" s="148"/>
      <c r="I487" s="149"/>
      <c r="J487" s="150" t="str">
        <f t="shared" si="7"/>
        <v/>
      </c>
      <c r="K487" s="149"/>
      <c r="L487" s="149"/>
      <c r="M487" s="6"/>
      <c r="N487" s="6"/>
      <c r="O487" s="6"/>
      <c r="P487" s="6"/>
      <c r="Q487" s="6"/>
      <c r="R487" s="6"/>
      <c r="S487" s="6"/>
      <c r="T487" s="6"/>
      <c r="U487" s="6"/>
      <c r="V487" s="6"/>
      <c r="W487" s="6"/>
      <c r="X487" s="6"/>
      <c r="Y487" s="6"/>
      <c r="Z487" s="6"/>
    </row>
    <row r="488" spans="1:26" ht="18" customHeight="1" x14ac:dyDescent="0.3">
      <c r="A488" s="142"/>
      <c r="B488" s="143"/>
      <c r="C488" s="144" t="str">
        <f>IF(B488="","",IFERROR(INDEX('12 P6 activities'!$B$7:$B$206,MATCH(B488,'12 P6 activities'!$A$7:$A$206,0)),"⚠ not in P6 list"))</f>
        <v/>
      </c>
      <c r="D488" s="144" t="str">
        <f>IF(B488="","",IFERROR(INDEX('12 P6 activities'!$C$7:$C$206,MATCH(B488,'12 P6 activities'!$A$7:$A$206,0)),"⚠ not in P6 list"))</f>
        <v/>
      </c>
      <c r="E488" s="145"/>
      <c r="F488" s="146"/>
      <c r="G488" s="147"/>
      <c r="H488" s="148"/>
      <c r="I488" s="149"/>
      <c r="J488" s="150" t="str">
        <f t="shared" si="7"/>
        <v/>
      </c>
      <c r="K488" s="149"/>
      <c r="L488" s="149"/>
      <c r="M488" s="6"/>
      <c r="N488" s="6"/>
      <c r="O488" s="6"/>
      <c r="P488" s="6"/>
      <c r="Q488" s="6"/>
      <c r="R488" s="6"/>
      <c r="S488" s="6"/>
      <c r="T488" s="6"/>
      <c r="U488" s="6"/>
      <c r="V488" s="6"/>
      <c r="W488" s="6"/>
      <c r="X488" s="6"/>
      <c r="Y488" s="6"/>
      <c r="Z488" s="6"/>
    </row>
    <row r="489" spans="1:26" ht="18" customHeight="1" x14ac:dyDescent="0.3">
      <c r="A489" s="142"/>
      <c r="B489" s="143"/>
      <c r="C489" s="144" t="str">
        <f>IF(B489="","",IFERROR(INDEX('12 P6 activities'!$B$7:$B$206,MATCH(B489,'12 P6 activities'!$A$7:$A$206,0)),"⚠ not in P6 list"))</f>
        <v/>
      </c>
      <c r="D489" s="144" t="str">
        <f>IF(B489="","",IFERROR(INDEX('12 P6 activities'!$C$7:$C$206,MATCH(B489,'12 P6 activities'!$A$7:$A$206,0)),"⚠ not in P6 list"))</f>
        <v/>
      </c>
      <c r="E489" s="145"/>
      <c r="F489" s="146"/>
      <c r="G489" s="147"/>
      <c r="H489" s="148"/>
      <c r="I489" s="149"/>
      <c r="J489" s="150" t="str">
        <f t="shared" si="7"/>
        <v/>
      </c>
      <c r="K489" s="149"/>
      <c r="L489" s="149"/>
      <c r="M489" s="6"/>
      <c r="N489" s="6"/>
      <c r="O489" s="6"/>
      <c r="P489" s="6"/>
      <c r="Q489" s="6"/>
      <c r="R489" s="6"/>
      <c r="S489" s="6"/>
      <c r="T489" s="6"/>
      <c r="U489" s="6"/>
      <c r="V489" s="6"/>
      <c r="W489" s="6"/>
      <c r="X489" s="6"/>
      <c r="Y489" s="6"/>
      <c r="Z489" s="6"/>
    </row>
    <row r="490" spans="1:26" ht="18" customHeight="1" x14ac:dyDescent="0.3">
      <c r="A490" s="142"/>
      <c r="B490" s="143"/>
      <c r="C490" s="144" t="str">
        <f>IF(B490="","",IFERROR(INDEX('12 P6 activities'!$B$7:$B$206,MATCH(B490,'12 P6 activities'!$A$7:$A$206,0)),"⚠ not in P6 list"))</f>
        <v/>
      </c>
      <c r="D490" s="144" t="str">
        <f>IF(B490="","",IFERROR(INDEX('12 P6 activities'!$C$7:$C$206,MATCH(B490,'12 P6 activities'!$A$7:$A$206,0)),"⚠ not in P6 list"))</f>
        <v/>
      </c>
      <c r="E490" s="145"/>
      <c r="F490" s="146"/>
      <c r="G490" s="147"/>
      <c r="H490" s="148"/>
      <c r="I490" s="149"/>
      <c r="J490" s="150" t="str">
        <f t="shared" si="7"/>
        <v/>
      </c>
      <c r="K490" s="149"/>
      <c r="L490" s="149"/>
      <c r="M490" s="6"/>
      <c r="N490" s="6"/>
      <c r="O490" s="6"/>
      <c r="P490" s="6"/>
      <c r="Q490" s="6"/>
      <c r="R490" s="6"/>
      <c r="S490" s="6"/>
      <c r="T490" s="6"/>
      <c r="U490" s="6"/>
      <c r="V490" s="6"/>
      <c r="W490" s="6"/>
      <c r="X490" s="6"/>
      <c r="Y490" s="6"/>
      <c r="Z490" s="6"/>
    </row>
    <row r="491" spans="1:26" ht="18" customHeight="1" x14ac:dyDescent="0.3">
      <c r="A491" s="142"/>
      <c r="B491" s="143"/>
      <c r="C491" s="144" t="str">
        <f>IF(B491="","",IFERROR(INDEX('12 P6 activities'!$B$7:$B$206,MATCH(B491,'12 P6 activities'!$A$7:$A$206,0)),"⚠ not in P6 list"))</f>
        <v/>
      </c>
      <c r="D491" s="144" t="str">
        <f>IF(B491="","",IFERROR(INDEX('12 P6 activities'!$C$7:$C$206,MATCH(B491,'12 P6 activities'!$A$7:$A$206,0)),"⚠ not in P6 list"))</f>
        <v/>
      </c>
      <c r="E491" s="145"/>
      <c r="F491" s="146"/>
      <c r="G491" s="147"/>
      <c r="H491" s="148"/>
      <c r="I491" s="149"/>
      <c r="J491" s="150" t="str">
        <f t="shared" si="7"/>
        <v/>
      </c>
      <c r="K491" s="149"/>
      <c r="L491" s="149"/>
      <c r="M491" s="6"/>
      <c r="N491" s="6"/>
      <c r="O491" s="6"/>
      <c r="P491" s="6"/>
      <c r="Q491" s="6"/>
      <c r="R491" s="6"/>
      <c r="S491" s="6"/>
      <c r="T491" s="6"/>
      <c r="U491" s="6"/>
      <c r="V491" s="6"/>
      <c r="W491" s="6"/>
      <c r="X491" s="6"/>
      <c r="Y491" s="6"/>
      <c r="Z491" s="6"/>
    </row>
    <row r="492" spans="1:26" ht="18" customHeight="1" x14ac:dyDescent="0.3">
      <c r="A492" s="142"/>
      <c r="B492" s="143"/>
      <c r="C492" s="144" t="str">
        <f>IF(B492="","",IFERROR(INDEX('12 P6 activities'!$B$7:$B$206,MATCH(B492,'12 P6 activities'!$A$7:$A$206,0)),"⚠ not in P6 list"))</f>
        <v/>
      </c>
      <c r="D492" s="144" t="str">
        <f>IF(B492="","",IFERROR(INDEX('12 P6 activities'!$C$7:$C$206,MATCH(B492,'12 P6 activities'!$A$7:$A$206,0)),"⚠ not in P6 list"))</f>
        <v/>
      </c>
      <c r="E492" s="145"/>
      <c r="F492" s="146"/>
      <c r="G492" s="147"/>
      <c r="H492" s="148"/>
      <c r="I492" s="149"/>
      <c r="J492" s="150" t="str">
        <f t="shared" si="7"/>
        <v/>
      </c>
      <c r="K492" s="149"/>
      <c r="L492" s="149"/>
      <c r="M492" s="6"/>
      <c r="N492" s="6"/>
      <c r="O492" s="6"/>
      <c r="P492" s="6"/>
      <c r="Q492" s="6"/>
      <c r="R492" s="6"/>
      <c r="S492" s="6"/>
      <c r="T492" s="6"/>
      <c r="U492" s="6"/>
      <c r="V492" s="6"/>
      <c r="W492" s="6"/>
      <c r="X492" s="6"/>
      <c r="Y492" s="6"/>
      <c r="Z492" s="6"/>
    </row>
    <row r="493" spans="1:26" ht="18" customHeight="1" x14ac:dyDescent="0.3">
      <c r="A493" s="142"/>
      <c r="B493" s="143"/>
      <c r="C493" s="144" t="str">
        <f>IF(B493="","",IFERROR(INDEX('12 P6 activities'!$B$7:$B$206,MATCH(B493,'12 P6 activities'!$A$7:$A$206,0)),"⚠ not in P6 list"))</f>
        <v/>
      </c>
      <c r="D493" s="144" t="str">
        <f>IF(B493="","",IFERROR(INDEX('12 P6 activities'!$C$7:$C$206,MATCH(B493,'12 P6 activities'!$A$7:$A$206,0)),"⚠ not in P6 list"))</f>
        <v/>
      </c>
      <c r="E493" s="145"/>
      <c r="F493" s="146"/>
      <c r="G493" s="147"/>
      <c r="H493" s="148"/>
      <c r="I493" s="149"/>
      <c r="J493" s="150" t="str">
        <f t="shared" si="7"/>
        <v/>
      </c>
      <c r="K493" s="149"/>
      <c r="L493" s="149"/>
      <c r="M493" s="6"/>
      <c r="N493" s="6"/>
      <c r="O493" s="6"/>
      <c r="P493" s="6"/>
      <c r="Q493" s="6"/>
      <c r="R493" s="6"/>
      <c r="S493" s="6"/>
      <c r="T493" s="6"/>
      <c r="U493" s="6"/>
      <c r="V493" s="6"/>
      <c r="W493" s="6"/>
      <c r="X493" s="6"/>
      <c r="Y493" s="6"/>
      <c r="Z493" s="6"/>
    </row>
    <row r="494" spans="1:26" ht="18" customHeight="1" x14ac:dyDescent="0.3">
      <c r="A494" s="142"/>
      <c r="B494" s="143"/>
      <c r="C494" s="144" t="str">
        <f>IF(B494="","",IFERROR(INDEX('12 P6 activities'!$B$7:$B$206,MATCH(B494,'12 P6 activities'!$A$7:$A$206,0)),"⚠ not in P6 list"))</f>
        <v/>
      </c>
      <c r="D494" s="144" t="str">
        <f>IF(B494="","",IFERROR(INDEX('12 P6 activities'!$C$7:$C$206,MATCH(B494,'12 P6 activities'!$A$7:$A$206,0)),"⚠ not in P6 list"))</f>
        <v/>
      </c>
      <c r="E494" s="145"/>
      <c r="F494" s="146"/>
      <c r="G494" s="147"/>
      <c r="H494" s="148"/>
      <c r="I494" s="149"/>
      <c r="J494" s="150" t="str">
        <f t="shared" si="7"/>
        <v/>
      </c>
      <c r="K494" s="149"/>
      <c r="L494" s="149"/>
      <c r="M494" s="6"/>
      <c r="N494" s="6"/>
      <c r="O494" s="6"/>
      <c r="P494" s="6"/>
      <c r="Q494" s="6"/>
      <c r="R494" s="6"/>
      <c r="S494" s="6"/>
      <c r="T494" s="6"/>
      <c r="U494" s="6"/>
      <c r="V494" s="6"/>
      <c r="W494" s="6"/>
      <c r="X494" s="6"/>
      <c r="Y494" s="6"/>
      <c r="Z494" s="6"/>
    </row>
    <row r="495" spans="1:26" ht="18" customHeight="1" x14ac:dyDescent="0.3">
      <c r="A495" s="142"/>
      <c r="B495" s="143"/>
      <c r="C495" s="144" t="str">
        <f>IF(B495="","",IFERROR(INDEX('12 P6 activities'!$B$7:$B$206,MATCH(B495,'12 P6 activities'!$A$7:$A$206,0)),"⚠ not in P6 list"))</f>
        <v/>
      </c>
      <c r="D495" s="144" t="str">
        <f>IF(B495="","",IFERROR(INDEX('12 P6 activities'!$C$7:$C$206,MATCH(B495,'12 P6 activities'!$A$7:$A$206,0)),"⚠ not in P6 list"))</f>
        <v/>
      </c>
      <c r="E495" s="145"/>
      <c r="F495" s="146"/>
      <c r="G495" s="147"/>
      <c r="H495" s="148"/>
      <c r="I495" s="149"/>
      <c r="J495" s="150" t="str">
        <f t="shared" si="7"/>
        <v/>
      </c>
      <c r="K495" s="149"/>
      <c r="L495" s="149"/>
      <c r="M495" s="6"/>
      <c r="N495" s="6"/>
      <c r="O495" s="6"/>
      <c r="P495" s="6"/>
      <c r="Q495" s="6"/>
      <c r="R495" s="6"/>
      <c r="S495" s="6"/>
      <c r="T495" s="6"/>
      <c r="U495" s="6"/>
      <c r="V495" s="6"/>
      <c r="W495" s="6"/>
      <c r="X495" s="6"/>
      <c r="Y495" s="6"/>
      <c r="Z495" s="6"/>
    </row>
    <row r="496" spans="1:26" ht="18" customHeight="1" x14ac:dyDescent="0.3">
      <c r="A496" s="142"/>
      <c r="B496" s="143"/>
      <c r="C496" s="144" t="str">
        <f>IF(B496="","",IFERROR(INDEX('12 P6 activities'!$B$7:$B$206,MATCH(B496,'12 P6 activities'!$A$7:$A$206,0)),"⚠ not in P6 list"))</f>
        <v/>
      </c>
      <c r="D496" s="144" t="str">
        <f>IF(B496="","",IFERROR(INDEX('12 P6 activities'!$C$7:$C$206,MATCH(B496,'12 P6 activities'!$A$7:$A$206,0)),"⚠ not in P6 list"))</f>
        <v/>
      </c>
      <c r="E496" s="145"/>
      <c r="F496" s="146"/>
      <c r="G496" s="147"/>
      <c r="H496" s="148"/>
      <c r="I496" s="149"/>
      <c r="J496" s="150" t="str">
        <f t="shared" si="7"/>
        <v/>
      </c>
      <c r="K496" s="149"/>
      <c r="L496" s="149"/>
      <c r="M496" s="6"/>
      <c r="N496" s="6"/>
      <c r="O496" s="6"/>
      <c r="P496" s="6"/>
      <c r="Q496" s="6"/>
      <c r="R496" s="6"/>
      <c r="S496" s="6"/>
      <c r="T496" s="6"/>
      <c r="U496" s="6"/>
      <c r="V496" s="6"/>
      <c r="W496" s="6"/>
      <c r="X496" s="6"/>
      <c r="Y496" s="6"/>
      <c r="Z496" s="6"/>
    </row>
    <row r="497" spans="1:26" ht="18" customHeight="1" x14ac:dyDescent="0.3">
      <c r="A497" s="142"/>
      <c r="B497" s="143"/>
      <c r="C497" s="144" t="str">
        <f>IF(B497="","",IFERROR(INDEX('12 P6 activities'!$B$7:$B$206,MATCH(B497,'12 P6 activities'!$A$7:$A$206,0)),"⚠ not in P6 list"))</f>
        <v/>
      </c>
      <c r="D497" s="144" t="str">
        <f>IF(B497="","",IFERROR(INDEX('12 P6 activities'!$C$7:$C$206,MATCH(B497,'12 P6 activities'!$A$7:$A$206,0)),"⚠ not in P6 list"))</f>
        <v/>
      </c>
      <c r="E497" s="145"/>
      <c r="F497" s="146"/>
      <c r="G497" s="147"/>
      <c r="H497" s="148"/>
      <c r="I497" s="149"/>
      <c r="J497" s="150" t="str">
        <f t="shared" si="7"/>
        <v/>
      </c>
      <c r="K497" s="149"/>
      <c r="L497" s="149"/>
      <c r="M497" s="6"/>
      <c r="N497" s="6"/>
      <c r="O497" s="6"/>
      <c r="P497" s="6"/>
      <c r="Q497" s="6"/>
      <c r="R497" s="6"/>
      <c r="S497" s="6"/>
      <c r="T497" s="6"/>
      <c r="U497" s="6"/>
      <c r="V497" s="6"/>
      <c r="W497" s="6"/>
      <c r="X497" s="6"/>
      <c r="Y497" s="6"/>
      <c r="Z497" s="6"/>
    </row>
    <row r="498" spans="1:26" ht="18" customHeight="1" x14ac:dyDescent="0.3">
      <c r="A498" s="142"/>
      <c r="B498" s="143"/>
      <c r="C498" s="144" t="str">
        <f>IF(B498="","",IFERROR(INDEX('12 P6 activities'!$B$7:$B$206,MATCH(B498,'12 P6 activities'!$A$7:$A$206,0)),"⚠ not in P6 list"))</f>
        <v/>
      </c>
      <c r="D498" s="144" t="str">
        <f>IF(B498="","",IFERROR(INDEX('12 P6 activities'!$C$7:$C$206,MATCH(B498,'12 P6 activities'!$A$7:$A$206,0)),"⚠ not in P6 list"))</f>
        <v/>
      </c>
      <c r="E498" s="145"/>
      <c r="F498" s="146"/>
      <c r="G498" s="147"/>
      <c r="H498" s="148"/>
      <c r="I498" s="149"/>
      <c r="J498" s="150" t="str">
        <f t="shared" si="7"/>
        <v/>
      </c>
      <c r="K498" s="149"/>
      <c r="L498" s="149"/>
      <c r="M498" s="6"/>
      <c r="N498" s="6"/>
      <c r="O498" s="6"/>
      <c r="P498" s="6"/>
      <c r="Q498" s="6"/>
      <c r="R498" s="6"/>
      <c r="S498" s="6"/>
      <c r="T498" s="6"/>
      <c r="U498" s="6"/>
      <c r="V498" s="6"/>
      <c r="W498" s="6"/>
      <c r="X498" s="6"/>
      <c r="Y498" s="6"/>
      <c r="Z498" s="6"/>
    </row>
    <row r="499" spans="1:26" ht="18" customHeight="1" x14ac:dyDescent="0.3">
      <c r="A499" s="142"/>
      <c r="B499" s="143"/>
      <c r="C499" s="144" t="str">
        <f>IF(B499="","",IFERROR(INDEX('12 P6 activities'!$B$7:$B$206,MATCH(B499,'12 P6 activities'!$A$7:$A$206,0)),"⚠ not in P6 list"))</f>
        <v/>
      </c>
      <c r="D499" s="144" t="str">
        <f>IF(B499="","",IFERROR(INDEX('12 P6 activities'!$C$7:$C$206,MATCH(B499,'12 P6 activities'!$A$7:$A$206,0)),"⚠ not in P6 list"))</f>
        <v/>
      </c>
      <c r="E499" s="145"/>
      <c r="F499" s="146"/>
      <c r="G499" s="147"/>
      <c r="H499" s="148"/>
      <c r="I499" s="149"/>
      <c r="J499" s="150" t="str">
        <f t="shared" si="7"/>
        <v/>
      </c>
      <c r="K499" s="149"/>
      <c r="L499" s="149"/>
      <c r="M499" s="6"/>
      <c r="N499" s="6"/>
      <c r="O499" s="6"/>
      <c r="P499" s="6"/>
      <c r="Q499" s="6"/>
      <c r="R499" s="6"/>
      <c r="S499" s="6"/>
      <c r="T499" s="6"/>
      <c r="U499" s="6"/>
      <c r="V499" s="6"/>
      <c r="W499" s="6"/>
      <c r="X499" s="6"/>
      <c r="Y499" s="6"/>
      <c r="Z499" s="6"/>
    </row>
    <row r="500" spans="1:26" ht="18" customHeight="1" x14ac:dyDescent="0.3">
      <c r="A500" s="142"/>
      <c r="B500" s="143"/>
      <c r="C500" s="144" t="str">
        <f>IF(B500="","",IFERROR(INDEX('12 P6 activities'!$B$7:$B$206,MATCH(B500,'12 P6 activities'!$A$7:$A$206,0)),"⚠ not in P6 list"))</f>
        <v/>
      </c>
      <c r="D500" s="144" t="str">
        <f>IF(B500="","",IFERROR(INDEX('12 P6 activities'!$C$7:$C$206,MATCH(B500,'12 P6 activities'!$A$7:$A$206,0)),"⚠ not in P6 list"))</f>
        <v/>
      </c>
      <c r="E500" s="145"/>
      <c r="F500" s="146"/>
      <c r="G500" s="147"/>
      <c r="H500" s="148"/>
      <c r="I500" s="149"/>
      <c r="J500" s="150" t="str">
        <f t="shared" si="7"/>
        <v/>
      </c>
      <c r="K500" s="149"/>
      <c r="L500" s="149"/>
      <c r="M500" s="6"/>
      <c r="N500" s="6"/>
      <c r="O500" s="6"/>
      <c r="P500" s="6"/>
      <c r="Q500" s="6"/>
      <c r="R500" s="6"/>
      <c r="S500" s="6"/>
      <c r="T500" s="6"/>
      <c r="U500" s="6"/>
      <c r="V500" s="6"/>
      <c r="W500" s="6"/>
      <c r="X500" s="6"/>
      <c r="Y500" s="6"/>
      <c r="Z500" s="6"/>
    </row>
    <row r="501" spans="1:26" ht="18" customHeight="1" x14ac:dyDescent="0.3">
      <c r="A501" s="142"/>
      <c r="B501" s="143"/>
      <c r="C501" s="144" t="str">
        <f>IF(B501="","",IFERROR(INDEX('12 P6 activities'!$B$7:$B$206,MATCH(B501,'12 P6 activities'!$A$7:$A$206,0)),"⚠ not in P6 list"))</f>
        <v/>
      </c>
      <c r="D501" s="144" t="str">
        <f>IF(B501="","",IFERROR(INDEX('12 P6 activities'!$C$7:$C$206,MATCH(B501,'12 P6 activities'!$A$7:$A$206,0)),"⚠ not in P6 list"))</f>
        <v/>
      </c>
      <c r="E501" s="145"/>
      <c r="F501" s="146"/>
      <c r="G501" s="147"/>
      <c r="H501" s="148"/>
      <c r="I501" s="149"/>
      <c r="J501" s="150" t="str">
        <f t="shared" si="7"/>
        <v/>
      </c>
      <c r="K501" s="149"/>
      <c r="L501" s="149"/>
      <c r="M501" s="6"/>
      <c r="N501" s="6"/>
      <c r="O501" s="6"/>
      <c r="P501" s="6"/>
      <c r="Q501" s="6"/>
      <c r="R501" s="6"/>
      <c r="S501" s="6"/>
      <c r="T501" s="6"/>
      <c r="U501" s="6"/>
      <c r="V501" s="6"/>
      <c r="W501" s="6"/>
      <c r="X501" s="6"/>
      <c r="Y501" s="6"/>
      <c r="Z501" s="6"/>
    </row>
    <row r="502" spans="1:26" ht="18" customHeight="1" x14ac:dyDescent="0.3">
      <c r="A502" s="142"/>
      <c r="B502" s="143"/>
      <c r="C502" s="144" t="str">
        <f>IF(B502="","",IFERROR(INDEX('12 P6 activities'!$B$7:$B$206,MATCH(B502,'12 P6 activities'!$A$7:$A$206,0)),"⚠ not in P6 list"))</f>
        <v/>
      </c>
      <c r="D502" s="144" t="str">
        <f>IF(B502="","",IFERROR(INDEX('12 P6 activities'!$C$7:$C$206,MATCH(B502,'12 P6 activities'!$A$7:$A$206,0)),"⚠ not in P6 list"))</f>
        <v/>
      </c>
      <c r="E502" s="145"/>
      <c r="F502" s="146"/>
      <c r="G502" s="147"/>
      <c r="H502" s="148"/>
      <c r="I502" s="149"/>
      <c r="J502" s="150" t="str">
        <f t="shared" si="7"/>
        <v/>
      </c>
      <c r="K502" s="149"/>
      <c r="L502" s="149"/>
      <c r="M502" s="6"/>
      <c r="N502" s="6"/>
      <c r="O502" s="6"/>
      <c r="P502" s="6"/>
      <c r="Q502" s="6"/>
      <c r="R502" s="6"/>
      <c r="S502" s="6"/>
      <c r="T502" s="6"/>
      <c r="U502" s="6"/>
      <c r="V502" s="6"/>
      <c r="W502" s="6"/>
      <c r="X502" s="6"/>
      <c r="Y502" s="6"/>
      <c r="Z502" s="6"/>
    </row>
    <row r="503" spans="1:26" ht="18" customHeight="1" x14ac:dyDescent="0.3">
      <c r="A503" s="142"/>
      <c r="B503" s="143"/>
      <c r="C503" s="144" t="str">
        <f>IF(B503="","",IFERROR(INDEX('12 P6 activities'!$B$7:$B$206,MATCH(B503,'12 P6 activities'!$A$7:$A$206,0)),"⚠ not in P6 list"))</f>
        <v/>
      </c>
      <c r="D503" s="144" t="str">
        <f>IF(B503="","",IFERROR(INDEX('12 P6 activities'!$C$7:$C$206,MATCH(B503,'12 P6 activities'!$A$7:$A$206,0)),"⚠ not in P6 list"))</f>
        <v/>
      </c>
      <c r="E503" s="145"/>
      <c r="F503" s="146"/>
      <c r="G503" s="147"/>
      <c r="H503" s="148"/>
      <c r="I503" s="149"/>
      <c r="J503" s="150" t="str">
        <f t="shared" si="7"/>
        <v/>
      </c>
      <c r="K503" s="149"/>
      <c r="L503" s="149"/>
      <c r="M503" s="6"/>
      <c r="N503" s="6"/>
      <c r="O503" s="6"/>
      <c r="P503" s="6"/>
      <c r="Q503" s="6"/>
      <c r="R503" s="6"/>
      <c r="S503" s="6"/>
      <c r="T503" s="6"/>
      <c r="U503" s="6"/>
      <c r="V503" s="6"/>
      <c r="W503" s="6"/>
      <c r="X503" s="6"/>
      <c r="Y503" s="6"/>
      <c r="Z503" s="6"/>
    </row>
    <row r="504" spans="1:26" ht="18" customHeight="1" x14ac:dyDescent="0.3">
      <c r="A504" s="142"/>
      <c r="B504" s="143"/>
      <c r="C504" s="144" t="str">
        <f>IF(B504="","",IFERROR(INDEX('12 P6 activities'!$B$7:$B$206,MATCH(B504,'12 P6 activities'!$A$7:$A$206,0)),"⚠ not in P6 list"))</f>
        <v/>
      </c>
      <c r="D504" s="144" t="str">
        <f>IF(B504="","",IFERROR(INDEX('12 P6 activities'!$C$7:$C$206,MATCH(B504,'12 P6 activities'!$A$7:$A$206,0)),"⚠ not in P6 list"))</f>
        <v/>
      </c>
      <c r="E504" s="145"/>
      <c r="F504" s="146"/>
      <c r="G504" s="147"/>
      <c r="H504" s="148"/>
      <c r="I504" s="149"/>
      <c r="J504" s="150" t="str">
        <f t="shared" si="7"/>
        <v/>
      </c>
      <c r="K504" s="149"/>
      <c r="L504" s="149"/>
      <c r="M504" s="6"/>
      <c r="N504" s="6"/>
      <c r="O504" s="6"/>
      <c r="P504" s="6"/>
      <c r="Q504" s="6"/>
      <c r="R504" s="6"/>
      <c r="S504" s="6"/>
      <c r="T504" s="6"/>
      <c r="U504" s="6"/>
      <c r="V504" s="6"/>
      <c r="W504" s="6"/>
      <c r="X504" s="6"/>
      <c r="Y504" s="6"/>
      <c r="Z504" s="6"/>
    </row>
    <row r="505" spans="1:26" ht="18" customHeight="1" x14ac:dyDescent="0.3">
      <c r="A505" s="142"/>
      <c r="B505" s="143"/>
      <c r="C505" s="144" t="str">
        <f>IF(B505="","",IFERROR(INDEX('12 P6 activities'!$B$7:$B$206,MATCH(B505,'12 P6 activities'!$A$7:$A$206,0)),"⚠ not in P6 list"))</f>
        <v/>
      </c>
      <c r="D505" s="144" t="str">
        <f>IF(B505="","",IFERROR(INDEX('12 P6 activities'!$C$7:$C$206,MATCH(B505,'12 P6 activities'!$A$7:$A$206,0)),"⚠ not in P6 list"))</f>
        <v/>
      </c>
      <c r="E505" s="145"/>
      <c r="F505" s="146"/>
      <c r="G505" s="147"/>
      <c r="H505" s="148"/>
      <c r="I505" s="149"/>
      <c r="J505" s="150" t="str">
        <f t="shared" si="7"/>
        <v/>
      </c>
      <c r="K505" s="149"/>
      <c r="L505" s="149"/>
      <c r="M505" s="6"/>
      <c r="N505" s="6"/>
      <c r="O505" s="6"/>
      <c r="P505" s="6"/>
      <c r="Q505" s="6"/>
      <c r="R505" s="6"/>
      <c r="S505" s="6"/>
      <c r="T505" s="6"/>
      <c r="U505" s="6"/>
      <c r="V505" s="6"/>
      <c r="W505" s="6"/>
      <c r="X505" s="6"/>
      <c r="Y505" s="6"/>
      <c r="Z505" s="6"/>
    </row>
    <row r="506" spans="1:26" ht="18" customHeight="1" x14ac:dyDescent="0.3">
      <c r="A506" s="142"/>
      <c r="B506" s="143"/>
      <c r="C506" s="144" t="str">
        <f>IF(B506="","",IFERROR(INDEX('12 P6 activities'!$B$7:$B$206,MATCH(B506,'12 P6 activities'!$A$7:$A$206,0)),"⚠ not in P6 list"))</f>
        <v/>
      </c>
      <c r="D506" s="144" t="str">
        <f>IF(B506="","",IFERROR(INDEX('12 P6 activities'!$C$7:$C$206,MATCH(B506,'12 P6 activities'!$A$7:$A$206,0)),"⚠ not in P6 list"))</f>
        <v/>
      </c>
      <c r="E506" s="145"/>
      <c r="F506" s="146"/>
      <c r="G506" s="147"/>
      <c r="H506" s="148"/>
      <c r="I506" s="149"/>
      <c r="J506" s="150" t="str">
        <f t="shared" si="7"/>
        <v/>
      </c>
      <c r="K506" s="149"/>
      <c r="L506" s="149"/>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C7:C506">
    <cfRule type="containsText" dxfId="29" priority="1" operator="containsText" text="not in P6">
      <formula>NOT(ISERROR(SEARCH("not in P6",C7)))</formula>
    </cfRule>
  </conditionalFormatting>
  <conditionalFormatting sqref="D7:D506">
    <cfRule type="containsText" dxfId="28" priority="2" operator="containsText" text="not in P6">
      <formula>NOT(ISERROR(SEARCH("not in P6",D7)))</formula>
    </cfRule>
  </conditionalFormatting>
  <dataValidations count="3">
    <dataValidation type="list" allowBlank="1" showInputMessage="1" showErrorMessage="1" sqref="E7:E506" xr:uid="{1607991D-3FCB-4B8A-8B67-ABF19233EF40}">
      <formula1>"Labour,Plant"</formula1>
    </dataValidation>
    <dataValidation type="decimal" allowBlank="1" showInputMessage="1" showErrorMessage="1" sqref="H7:I506" xr:uid="{503C4476-57B1-4935-8180-C17F359DAE40}">
      <formula1>0</formula1>
      <formula2>500</formula2>
    </dataValidation>
    <dataValidation type="whole" allowBlank="1" showInputMessage="1" showErrorMessage="1" sqref="K7:K506" xr:uid="{AB2871D1-34FA-4979-8F63-30FFBA57A2A1}">
      <formula1>0</formula1>
      <formula2>50</formula2>
    </dataValidation>
  </dataValidations>
  <printOptions horizontalCentered="1"/>
  <pageMargins left="0.4" right="0.4" top="0.5" bottom="0.5" header="0.5" footer="0.5"/>
  <pageSetup paperSize="9" scale="10" orientation="landscape"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BB31F02-AA4C-4F75-9ABE-859D02C1EB1E}">
          <x14:formula1>
            <xm:f>'12 P6 activities'!$A$7:$A$206</xm:f>
          </x14:formula1>
          <xm:sqref>B7:B506</xm:sqref>
        </x14:dataValidation>
        <x14:dataValidation type="list" allowBlank="1" showInputMessage="1" showErrorMessage="1" xr:uid="{0A92101C-D945-45BA-A14F-0794743CD255}">
          <x14:formula1>
            <xm:f>'14 Setup'!$P$12:$P$26</xm:f>
          </x14:formula1>
          <xm:sqref>L7:L506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7812-1DE5-493A-BCB0-8D91FE2A25D2}">
  <sheetPr>
    <tabColor rgb="FF15803D"/>
    <pageSetUpPr fitToPage="1"/>
  </sheetPr>
  <dimension ref="A1:Z1000"/>
  <sheetViews>
    <sheetView showGridLines="0" workbookViewId="0">
      <pane ySplit="6" topLeftCell="A7" activePane="bottomLeft" state="frozen"/>
      <selection pane="bottomLeft" activeCell="B30" sqref="B30"/>
    </sheetView>
  </sheetViews>
  <sheetFormatPr defaultRowHeight="14.4" x14ac:dyDescent="0.3"/>
  <cols>
    <col min="1" max="1" width="14.77734375" customWidth="1"/>
    <col min="2" max="2" width="16.6640625" customWidth="1"/>
    <col min="3" max="3" width="35.21875" customWidth="1"/>
    <col min="4" max="4" width="18.5546875" customWidth="1"/>
    <col min="5" max="5" width="24.109375" customWidth="1"/>
    <col min="6" max="6" width="13" customWidth="1"/>
    <col min="7" max="7" width="8.33203125" customWidth="1"/>
    <col min="8" max="8" width="14.77734375" customWidth="1"/>
    <col min="9" max="9" width="42.5546875" customWidth="1"/>
    <col min="10" max="10" width="3.6640625" customWidth="1"/>
    <col min="11" max="11" width="14.77734375" customWidth="1"/>
    <col min="12" max="12" width="16.6640625" customWidth="1"/>
    <col min="13" max="13" width="35.21875" customWidth="1"/>
    <col min="14" max="14" width="24.109375" customWidth="1"/>
    <col min="15" max="15" width="13" customWidth="1"/>
    <col min="16" max="16" width="8.33203125" customWidth="1"/>
    <col min="17" max="17" width="14.77734375" customWidth="1"/>
    <col min="18" max="18" width="42.5546875" customWidth="1"/>
  </cols>
  <sheetData>
    <row r="1" spans="1:26" ht="28.05" customHeight="1" x14ac:dyDescent="0.4">
      <c r="A1" s="112" t="s">
        <v>300</v>
      </c>
      <c r="B1" s="6"/>
      <c r="C1" s="6"/>
      <c r="D1" s="6"/>
      <c r="E1" s="6"/>
      <c r="F1" s="6"/>
      <c r="G1" s="6"/>
      <c r="H1" s="6"/>
      <c r="I1" s="177" t="s">
        <v>32</v>
      </c>
      <c r="J1" s="6"/>
      <c r="K1" s="6"/>
      <c r="L1" s="6"/>
      <c r="M1" s="6"/>
      <c r="N1" s="6"/>
      <c r="O1" s="6"/>
      <c r="P1" s="6"/>
      <c r="Q1" s="6"/>
      <c r="R1" s="6"/>
      <c r="S1" s="6"/>
      <c r="T1" s="6"/>
      <c r="U1" s="6"/>
      <c r="V1" s="6"/>
      <c r="W1" s="6"/>
      <c r="X1" s="6"/>
      <c r="Y1" s="6"/>
      <c r="Z1" s="6"/>
    </row>
    <row r="2" spans="1:26" x14ac:dyDescent="0.3">
      <c r="A2" s="114" t="s">
        <v>301</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359</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16"/>
      <c r="B4" s="116"/>
      <c r="C4" s="116"/>
      <c r="D4" s="116"/>
      <c r="E4" s="116"/>
      <c r="F4" s="116"/>
      <c r="G4" s="116"/>
      <c r="H4" s="116"/>
      <c r="I4" s="11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42</v>
      </c>
      <c r="B6" s="141" t="s">
        <v>294</v>
      </c>
      <c r="C6" s="141" t="s">
        <v>405</v>
      </c>
      <c r="D6" s="141" t="s">
        <v>406</v>
      </c>
      <c r="E6" s="141" t="s">
        <v>101</v>
      </c>
      <c r="F6" s="141" t="s">
        <v>102</v>
      </c>
      <c r="G6" s="141" t="s">
        <v>103</v>
      </c>
      <c r="H6" s="141" t="s">
        <v>104</v>
      </c>
      <c r="I6" s="141" t="s">
        <v>105</v>
      </c>
      <c r="J6" s="6"/>
      <c r="K6" s="6"/>
      <c r="L6" s="6"/>
      <c r="M6" s="6"/>
      <c r="N6" s="6"/>
      <c r="O6" s="6"/>
      <c r="P6" s="6"/>
      <c r="Q6" s="6"/>
      <c r="R6" s="6"/>
      <c r="S6" s="6"/>
      <c r="T6" s="6"/>
      <c r="U6" s="6"/>
      <c r="V6" s="6"/>
      <c r="W6" s="6"/>
      <c r="X6" s="6"/>
      <c r="Y6" s="6"/>
      <c r="Z6" s="6"/>
    </row>
    <row r="7" spans="1:26" ht="18" customHeight="1" x14ac:dyDescent="0.3">
      <c r="A7" s="142">
        <v>46084</v>
      </c>
      <c r="B7" s="143" t="s">
        <v>275</v>
      </c>
      <c r="C7" s="151" t="str">
        <f>IF(B7="","",IFERROR(INDEX('12 P6 activities'!$B$7:$B$206,MATCH(B7,'12 P6 activities'!$A$7:$A$206,0)),"ID not in P6 list"))</f>
        <v>Bored piles, north</v>
      </c>
      <c r="D7" s="151" t="str">
        <f>IF(B7="","",IFERROR(INDEX('12 P6 activities'!$C$7:$C$206,MATCH(B7,'12 P6 activities'!$A$7:$A$206,0)),"⚠ not in P6 list"))</f>
        <v>SITE.FND.PIL</v>
      </c>
      <c r="E7" s="143" t="s">
        <v>227</v>
      </c>
      <c r="F7" s="147">
        <v>2</v>
      </c>
      <c r="G7" s="145" t="str">
        <f>IF(B7="","",IFERROR(INDEX('12 P6 activities'!$E$7:$E$206,MATCH(B7,'12 P6 activities'!$A$7:$A$206,0)),""))</f>
        <v>no.</v>
      </c>
      <c r="H7" s="143" t="s">
        <v>5</v>
      </c>
      <c r="I7" s="143" t="s">
        <v>295</v>
      </c>
      <c r="J7" s="6"/>
      <c r="K7" s="6"/>
      <c r="L7" s="6"/>
      <c r="M7" s="6"/>
      <c r="N7" s="6"/>
      <c r="O7" s="6"/>
      <c r="P7" s="6"/>
      <c r="Q7" s="6"/>
      <c r="R7" s="6"/>
      <c r="S7" s="6"/>
      <c r="T7" s="6"/>
      <c r="U7" s="6"/>
      <c r="V7" s="6"/>
      <c r="W7" s="6"/>
      <c r="X7" s="6"/>
      <c r="Y7" s="6"/>
      <c r="Z7" s="6"/>
    </row>
    <row r="8" spans="1:26" ht="18" customHeight="1" x14ac:dyDescent="0.3">
      <c r="A8" s="142">
        <v>46084</v>
      </c>
      <c r="B8" s="143" t="s">
        <v>279</v>
      </c>
      <c r="C8" s="151" t="str">
        <f>IF(B8="","",IFERROR(INDEX('12 P6 activities'!$B$7:$B$206,MATCH(B8,'12 P6 activities'!$A$7:$A$206,0)),"ID not in P6 list"))</f>
        <v>Raft reinforcement, bay 1</v>
      </c>
      <c r="D8" s="151" t="str">
        <f>IF(B8="","",IFERROR(INDEX('12 P6 activities'!$C$7:$C$206,MATCH(B8,'12 P6 activities'!$A$7:$A$206,0)),"⚠ not in P6 list"))</f>
        <v>SITE.FND.RAF</v>
      </c>
      <c r="E8" s="143" t="s">
        <v>229</v>
      </c>
      <c r="F8" s="147">
        <v>3.5</v>
      </c>
      <c r="G8" s="145" t="str">
        <f>IF(B8="","",IFERROR(INDEX('12 P6 activities'!$E$7:$E$206,MATCH(B8,'12 P6 activities'!$A$7:$A$206,0)),""))</f>
        <v>t</v>
      </c>
      <c r="H8" s="143" t="s">
        <v>5</v>
      </c>
      <c r="I8" s="143" t="s">
        <v>109</v>
      </c>
      <c r="J8" s="6"/>
      <c r="K8" s="6"/>
      <c r="L8" s="6"/>
      <c r="M8" s="6"/>
      <c r="N8" s="6"/>
      <c r="O8" s="6"/>
      <c r="P8" s="6"/>
      <c r="Q8" s="6"/>
      <c r="R8" s="6"/>
      <c r="S8" s="6"/>
      <c r="T8" s="6"/>
      <c r="U8" s="6"/>
      <c r="V8" s="6"/>
      <c r="W8" s="6"/>
      <c r="X8" s="6"/>
      <c r="Y8" s="6"/>
      <c r="Z8" s="6"/>
    </row>
    <row r="9" spans="1:26" ht="18" customHeight="1" x14ac:dyDescent="0.3">
      <c r="A9" s="142">
        <v>46084</v>
      </c>
      <c r="B9" s="143" t="s">
        <v>284</v>
      </c>
      <c r="C9" s="151" t="str">
        <f>IF(B9="","",IFERROR(INDEX('12 P6 activities'!$B$7:$B$206,MATCH(B9,'12 P6 activities'!$A$7:$A$206,0)),"ID not in P6 list"))</f>
        <v>Blinding, substation slab</v>
      </c>
      <c r="D9" s="151" t="str">
        <f>IF(B9="","",IFERROR(INDEX('12 P6 activities'!$C$7:$C$206,MATCH(B9,'12 P6 activities'!$A$7:$A$206,0)),"⚠ not in P6 list"))</f>
        <v>SITE.SUB.SLB</v>
      </c>
      <c r="E9" s="143" t="s">
        <v>299</v>
      </c>
      <c r="F9" s="147">
        <v>38</v>
      </c>
      <c r="G9" s="145" t="str">
        <f>IF(B9="","",IFERROR(INDEX('12 P6 activities'!$E$7:$E$206,MATCH(B9,'12 P6 activities'!$A$7:$A$206,0)),""))</f>
        <v>m²</v>
      </c>
      <c r="H9" s="143" t="s">
        <v>5</v>
      </c>
      <c r="I9" s="143" t="s">
        <v>197</v>
      </c>
      <c r="J9" s="6"/>
      <c r="K9" s="6"/>
      <c r="L9" s="6"/>
      <c r="M9" s="6"/>
      <c r="N9" s="6"/>
      <c r="O9" s="6"/>
      <c r="P9" s="6"/>
      <c r="Q9" s="6"/>
      <c r="R9" s="6"/>
      <c r="S9" s="6"/>
      <c r="T9" s="6"/>
      <c r="U9" s="6"/>
      <c r="V9" s="6"/>
      <c r="W9" s="6"/>
      <c r="X9" s="6"/>
      <c r="Y9" s="6"/>
      <c r="Z9" s="6"/>
    </row>
    <row r="10" spans="1:26" ht="18" customHeight="1" x14ac:dyDescent="0.3">
      <c r="A10" s="142">
        <v>46084</v>
      </c>
      <c r="B10" s="143" t="s">
        <v>286</v>
      </c>
      <c r="C10" s="151" t="str">
        <f>IF(B10="","",IFERROR(INDEX('12 P6 activities'!$B$7:$B$206,MATCH(B10,'12 P6 activities'!$A$7:$A$206,0)),"ID not in P6 list"))</f>
        <v>Drainage run D2</v>
      </c>
      <c r="D10" s="151" t="str">
        <f>IF(B10="","",IFERROR(INDEX('12 P6 activities'!$C$7:$C$206,MATCH(B10,'12 P6 activities'!$A$7:$A$206,0)),"⚠ not in P6 list"))</f>
        <v>SITE.EXT.DRN</v>
      </c>
      <c r="E10" s="143" t="s">
        <v>113</v>
      </c>
      <c r="F10" s="147">
        <v>24</v>
      </c>
      <c r="G10" s="145" t="str">
        <f>IF(B10="","",IFERROR(INDEX('12 P6 activities'!$E$7:$E$206,MATCH(B10,'12 P6 activities'!$A$7:$A$206,0)),""))</f>
        <v>m</v>
      </c>
      <c r="H10" s="143" t="s">
        <v>7</v>
      </c>
      <c r="I10" s="143" t="s">
        <v>115</v>
      </c>
      <c r="J10" s="6"/>
      <c r="K10" s="6"/>
      <c r="L10" s="6"/>
      <c r="M10" s="6"/>
      <c r="N10" s="6"/>
      <c r="O10" s="6"/>
      <c r="P10" s="6"/>
      <c r="Q10" s="6"/>
      <c r="R10" s="6"/>
      <c r="S10" s="6"/>
      <c r="T10" s="6"/>
      <c r="U10" s="6"/>
      <c r="V10" s="6"/>
      <c r="W10" s="6"/>
      <c r="X10" s="6"/>
      <c r="Y10" s="6"/>
      <c r="Z10" s="6"/>
    </row>
    <row r="11" spans="1:26" ht="18" customHeight="1" x14ac:dyDescent="0.3">
      <c r="A11" s="142"/>
      <c r="B11" s="143"/>
      <c r="C11" s="151" t="str">
        <f>IF(B11="","",IFERROR(INDEX('12 P6 activities'!$B$7:$B$206,MATCH(B11,'12 P6 activities'!$A$7:$A$206,0)),"ID not in P6 list"))</f>
        <v/>
      </c>
      <c r="D11" s="151" t="str">
        <f>IF(B11="","",IFERROR(INDEX('12 P6 activities'!$C$7:$C$206,MATCH(B11,'12 P6 activities'!$A$7:$A$206,0)),"⚠ not in P6 list"))</f>
        <v/>
      </c>
      <c r="E11" s="143"/>
      <c r="F11" s="147"/>
      <c r="G11" s="145" t="str">
        <f>IF(B11="","",IFERROR(INDEX('12 P6 activities'!$E$7:$E$206,MATCH(B11,'12 P6 activities'!$A$7:$A$206,0)),""))</f>
        <v/>
      </c>
      <c r="H11" s="143"/>
      <c r="I11" s="143"/>
      <c r="J11" s="6"/>
      <c r="K11" s="6"/>
      <c r="L11" s="6"/>
      <c r="M11" s="6"/>
      <c r="N11" s="6"/>
      <c r="O11" s="6"/>
      <c r="P11" s="6"/>
      <c r="Q11" s="6"/>
      <c r="R11" s="6"/>
      <c r="S11" s="6"/>
      <c r="T11" s="6"/>
      <c r="U11" s="6"/>
      <c r="V11" s="6"/>
      <c r="W11" s="6"/>
      <c r="X11" s="6"/>
      <c r="Y11" s="6"/>
      <c r="Z11" s="6"/>
    </row>
    <row r="12" spans="1:26" ht="18" customHeight="1" x14ac:dyDescent="0.3">
      <c r="A12" s="142"/>
      <c r="B12" s="143"/>
      <c r="C12" s="151" t="str">
        <f>IF(B12="","",IFERROR(INDEX('12 P6 activities'!$B$7:$B$206,MATCH(B12,'12 P6 activities'!$A$7:$A$206,0)),"ID not in P6 list"))</f>
        <v/>
      </c>
      <c r="D12" s="151" t="str">
        <f>IF(B12="","",IFERROR(INDEX('12 P6 activities'!$C$7:$C$206,MATCH(B12,'12 P6 activities'!$A$7:$A$206,0)),"⚠ not in P6 list"))</f>
        <v/>
      </c>
      <c r="E12" s="143"/>
      <c r="F12" s="147"/>
      <c r="G12" s="145" t="str">
        <f>IF(B12="","",IFERROR(INDEX('12 P6 activities'!$E$7:$E$206,MATCH(B12,'12 P6 activities'!$A$7:$A$206,0)),""))</f>
        <v/>
      </c>
      <c r="H12" s="143"/>
      <c r="I12" s="143"/>
      <c r="J12" s="6"/>
      <c r="K12" s="6"/>
      <c r="L12" s="6"/>
      <c r="M12" s="6"/>
      <c r="N12" s="6"/>
      <c r="O12" s="6"/>
      <c r="P12" s="6"/>
      <c r="Q12" s="6"/>
      <c r="R12" s="6"/>
      <c r="S12" s="6"/>
      <c r="T12" s="6"/>
      <c r="U12" s="6"/>
      <c r="V12" s="6"/>
      <c r="W12" s="6"/>
      <c r="X12" s="6"/>
      <c r="Y12" s="6"/>
      <c r="Z12" s="6"/>
    </row>
    <row r="13" spans="1:26" ht="18" customHeight="1" x14ac:dyDescent="0.3">
      <c r="A13" s="142"/>
      <c r="B13" s="143"/>
      <c r="C13" s="151" t="str">
        <f>IF(B13="","",IFERROR(INDEX('12 P6 activities'!$B$7:$B$206,MATCH(B13,'12 P6 activities'!$A$7:$A$206,0)),"ID not in P6 list"))</f>
        <v/>
      </c>
      <c r="D13" s="151" t="str">
        <f>IF(B13="","",IFERROR(INDEX('12 P6 activities'!$C$7:$C$206,MATCH(B13,'12 P6 activities'!$A$7:$A$206,0)),"⚠ not in P6 list"))</f>
        <v/>
      </c>
      <c r="E13" s="143"/>
      <c r="F13" s="147"/>
      <c r="G13" s="145" t="str">
        <f>IF(B13="","",IFERROR(INDEX('12 P6 activities'!$E$7:$E$206,MATCH(B13,'12 P6 activities'!$A$7:$A$206,0)),""))</f>
        <v/>
      </c>
      <c r="H13" s="143"/>
      <c r="I13" s="143"/>
      <c r="J13" s="6"/>
      <c r="K13" s="6"/>
      <c r="L13" s="6"/>
      <c r="M13" s="6"/>
      <c r="N13" s="6"/>
      <c r="O13" s="6"/>
      <c r="P13" s="6"/>
      <c r="Q13" s="6"/>
      <c r="R13" s="6"/>
      <c r="S13" s="6"/>
      <c r="T13" s="6"/>
      <c r="U13" s="6"/>
      <c r="V13" s="6"/>
      <c r="W13" s="6"/>
      <c r="X13" s="6"/>
      <c r="Y13" s="6"/>
      <c r="Z13" s="6"/>
    </row>
    <row r="14" spans="1:26" ht="18" customHeight="1" x14ac:dyDescent="0.3">
      <c r="A14" s="142"/>
      <c r="B14" s="143"/>
      <c r="C14" s="151" t="str">
        <f>IF(B14="","",IFERROR(INDEX('12 P6 activities'!$B$7:$B$206,MATCH(B14,'12 P6 activities'!$A$7:$A$206,0)),"ID not in P6 list"))</f>
        <v/>
      </c>
      <c r="D14" s="151" t="str">
        <f>IF(B14="","",IFERROR(INDEX('12 P6 activities'!$C$7:$C$206,MATCH(B14,'12 P6 activities'!$A$7:$A$206,0)),"⚠ not in P6 list"))</f>
        <v/>
      </c>
      <c r="E14" s="143"/>
      <c r="F14" s="147"/>
      <c r="G14" s="145" t="str">
        <f>IF(B14="","",IFERROR(INDEX('12 P6 activities'!$E$7:$E$206,MATCH(B14,'12 P6 activities'!$A$7:$A$206,0)),""))</f>
        <v/>
      </c>
      <c r="H14" s="143"/>
      <c r="I14" s="143"/>
      <c r="J14" s="6"/>
      <c r="K14" s="6"/>
      <c r="L14" s="6"/>
      <c r="M14" s="6"/>
      <c r="N14" s="6"/>
      <c r="O14" s="6"/>
      <c r="P14" s="6"/>
      <c r="Q14" s="6"/>
      <c r="R14" s="6"/>
      <c r="S14" s="6"/>
      <c r="T14" s="6"/>
      <c r="U14" s="6"/>
      <c r="V14" s="6"/>
      <c r="W14" s="6"/>
      <c r="X14" s="6"/>
      <c r="Y14" s="6"/>
      <c r="Z14" s="6"/>
    </row>
    <row r="15" spans="1:26" ht="18" customHeight="1" x14ac:dyDescent="0.3">
      <c r="A15" s="142"/>
      <c r="B15" s="143"/>
      <c r="C15" s="151" t="str">
        <f>IF(B15="","",IFERROR(INDEX('12 P6 activities'!$B$7:$B$206,MATCH(B15,'12 P6 activities'!$A$7:$A$206,0)),"ID not in P6 list"))</f>
        <v/>
      </c>
      <c r="D15" s="151" t="str">
        <f>IF(B15="","",IFERROR(INDEX('12 P6 activities'!$C$7:$C$206,MATCH(B15,'12 P6 activities'!$A$7:$A$206,0)),"⚠ not in P6 list"))</f>
        <v/>
      </c>
      <c r="E15" s="143"/>
      <c r="F15" s="147"/>
      <c r="G15" s="145" t="str">
        <f>IF(B15="","",IFERROR(INDEX('12 P6 activities'!$E$7:$E$206,MATCH(B15,'12 P6 activities'!$A$7:$A$206,0)),""))</f>
        <v/>
      </c>
      <c r="H15" s="143"/>
      <c r="I15" s="143"/>
      <c r="J15" s="6"/>
      <c r="K15" s="6"/>
      <c r="L15" s="6"/>
      <c r="M15" s="6"/>
      <c r="N15" s="6"/>
      <c r="O15" s="6"/>
      <c r="P15" s="6"/>
      <c r="Q15" s="6"/>
      <c r="R15" s="6"/>
      <c r="S15" s="6"/>
      <c r="T15" s="6"/>
      <c r="U15" s="6"/>
      <c r="V15" s="6"/>
      <c r="W15" s="6"/>
      <c r="X15" s="6"/>
      <c r="Y15" s="6"/>
      <c r="Z15" s="6"/>
    </row>
    <row r="16" spans="1:26" ht="18" customHeight="1" x14ac:dyDescent="0.3">
      <c r="A16" s="142"/>
      <c r="B16" s="143"/>
      <c r="C16" s="151" t="str">
        <f>IF(B16="","",IFERROR(INDEX('12 P6 activities'!$B$7:$B$206,MATCH(B16,'12 P6 activities'!$A$7:$A$206,0)),"ID not in P6 list"))</f>
        <v/>
      </c>
      <c r="D16" s="151" t="str">
        <f>IF(B16="","",IFERROR(INDEX('12 P6 activities'!$C$7:$C$206,MATCH(B16,'12 P6 activities'!$A$7:$A$206,0)),"⚠ not in P6 list"))</f>
        <v/>
      </c>
      <c r="E16" s="143"/>
      <c r="F16" s="147"/>
      <c r="G16" s="145" t="str">
        <f>IF(B16="","",IFERROR(INDEX('12 P6 activities'!$E$7:$E$206,MATCH(B16,'12 P6 activities'!$A$7:$A$206,0)),""))</f>
        <v/>
      </c>
      <c r="H16" s="143"/>
      <c r="I16" s="143"/>
      <c r="J16" s="6"/>
      <c r="K16" s="6"/>
      <c r="L16" s="6"/>
      <c r="M16" s="6"/>
      <c r="N16" s="6"/>
      <c r="O16" s="6"/>
      <c r="P16" s="6"/>
      <c r="Q16" s="6"/>
      <c r="R16" s="6"/>
      <c r="S16" s="6"/>
      <c r="T16" s="6"/>
      <c r="U16" s="6"/>
      <c r="V16" s="6"/>
      <c r="W16" s="6"/>
      <c r="X16" s="6"/>
      <c r="Y16" s="6"/>
      <c r="Z16" s="6"/>
    </row>
    <row r="17" spans="1:26" ht="18" customHeight="1" x14ac:dyDescent="0.3">
      <c r="A17" s="142"/>
      <c r="B17" s="143"/>
      <c r="C17" s="151" t="str">
        <f>IF(B17="","",IFERROR(INDEX('12 P6 activities'!$B$7:$B$206,MATCH(B17,'12 P6 activities'!$A$7:$A$206,0)),"ID not in P6 list"))</f>
        <v/>
      </c>
      <c r="D17" s="151" t="str">
        <f>IF(B17="","",IFERROR(INDEX('12 P6 activities'!$C$7:$C$206,MATCH(B17,'12 P6 activities'!$A$7:$A$206,0)),"⚠ not in P6 list"))</f>
        <v/>
      </c>
      <c r="E17" s="143"/>
      <c r="F17" s="147"/>
      <c r="G17" s="145" t="str">
        <f>IF(B17="","",IFERROR(INDEX('12 P6 activities'!$E$7:$E$206,MATCH(B17,'12 P6 activities'!$A$7:$A$206,0)),""))</f>
        <v/>
      </c>
      <c r="H17" s="143"/>
      <c r="I17" s="143"/>
      <c r="J17" s="6"/>
      <c r="K17" s="6"/>
      <c r="L17" s="6"/>
      <c r="M17" s="6"/>
      <c r="N17" s="6"/>
      <c r="O17" s="6"/>
      <c r="P17" s="6"/>
      <c r="Q17" s="6"/>
      <c r="R17" s="6"/>
      <c r="S17" s="6"/>
      <c r="T17" s="6"/>
      <c r="U17" s="6"/>
      <c r="V17" s="6"/>
      <c r="W17" s="6"/>
      <c r="X17" s="6"/>
      <c r="Y17" s="6"/>
      <c r="Z17" s="6"/>
    </row>
    <row r="18" spans="1:26" ht="18" customHeight="1" x14ac:dyDescent="0.3">
      <c r="A18" s="142"/>
      <c r="B18" s="143"/>
      <c r="C18" s="151" t="str">
        <f>IF(B18="","",IFERROR(INDEX('12 P6 activities'!$B$7:$B$206,MATCH(B18,'12 P6 activities'!$A$7:$A$206,0)),"ID not in P6 list"))</f>
        <v/>
      </c>
      <c r="D18" s="151" t="str">
        <f>IF(B18="","",IFERROR(INDEX('12 P6 activities'!$C$7:$C$206,MATCH(B18,'12 P6 activities'!$A$7:$A$206,0)),"⚠ not in P6 list"))</f>
        <v/>
      </c>
      <c r="E18" s="143"/>
      <c r="F18" s="147"/>
      <c r="G18" s="145" t="str">
        <f>IF(B18="","",IFERROR(INDEX('12 P6 activities'!$E$7:$E$206,MATCH(B18,'12 P6 activities'!$A$7:$A$206,0)),""))</f>
        <v/>
      </c>
      <c r="H18" s="143"/>
      <c r="I18" s="143"/>
      <c r="J18" s="6"/>
      <c r="K18" s="6"/>
      <c r="L18" s="6"/>
      <c r="M18" s="6"/>
      <c r="N18" s="6"/>
      <c r="O18" s="6"/>
      <c r="P18" s="6"/>
      <c r="Q18" s="6"/>
      <c r="R18" s="6"/>
      <c r="S18" s="6"/>
      <c r="T18" s="6"/>
      <c r="U18" s="6"/>
      <c r="V18" s="6"/>
      <c r="W18" s="6"/>
      <c r="X18" s="6"/>
      <c r="Y18" s="6"/>
      <c r="Z18" s="6"/>
    </row>
    <row r="19" spans="1:26" ht="18" customHeight="1" x14ac:dyDescent="0.3">
      <c r="A19" s="142"/>
      <c r="B19" s="143"/>
      <c r="C19" s="151" t="str">
        <f>IF(B19="","",IFERROR(INDEX('12 P6 activities'!$B$7:$B$206,MATCH(B19,'12 P6 activities'!$A$7:$A$206,0)),"ID not in P6 list"))</f>
        <v/>
      </c>
      <c r="D19" s="151" t="str">
        <f>IF(B19="","",IFERROR(INDEX('12 P6 activities'!$C$7:$C$206,MATCH(B19,'12 P6 activities'!$A$7:$A$206,0)),"⚠ not in P6 list"))</f>
        <v/>
      </c>
      <c r="E19" s="143"/>
      <c r="F19" s="147"/>
      <c r="G19" s="145" t="str">
        <f>IF(B19="","",IFERROR(INDEX('12 P6 activities'!$E$7:$E$206,MATCH(B19,'12 P6 activities'!$A$7:$A$206,0)),""))</f>
        <v/>
      </c>
      <c r="H19" s="143"/>
      <c r="I19" s="143"/>
      <c r="J19" s="6"/>
      <c r="K19" s="6"/>
      <c r="L19" s="6"/>
      <c r="M19" s="6"/>
      <c r="N19" s="6"/>
      <c r="O19" s="6"/>
      <c r="P19" s="6"/>
      <c r="Q19" s="6"/>
      <c r="R19" s="6"/>
      <c r="S19" s="6"/>
      <c r="T19" s="6"/>
      <c r="U19" s="6"/>
      <c r="V19" s="6"/>
      <c r="W19" s="6"/>
      <c r="X19" s="6"/>
      <c r="Y19" s="6"/>
      <c r="Z19" s="6"/>
    </row>
    <row r="20" spans="1:26" ht="18" customHeight="1" x14ac:dyDescent="0.3">
      <c r="A20" s="142"/>
      <c r="B20" s="143"/>
      <c r="C20" s="151" t="str">
        <f>IF(B20="","",IFERROR(INDEX('12 P6 activities'!$B$7:$B$206,MATCH(B20,'12 P6 activities'!$A$7:$A$206,0)),"ID not in P6 list"))</f>
        <v/>
      </c>
      <c r="D20" s="151" t="str">
        <f>IF(B20="","",IFERROR(INDEX('12 P6 activities'!$C$7:$C$206,MATCH(B20,'12 P6 activities'!$A$7:$A$206,0)),"⚠ not in P6 list"))</f>
        <v/>
      </c>
      <c r="E20" s="143"/>
      <c r="F20" s="147"/>
      <c r="G20" s="145" t="str">
        <f>IF(B20="","",IFERROR(INDEX('12 P6 activities'!$E$7:$E$206,MATCH(B20,'12 P6 activities'!$A$7:$A$206,0)),""))</f>
        <v/>
      </c>
      <c r="H20" s="143"/>
      <c r="I20" s="143"/>
      <c r="J20" s="6"/>
      <c r="K20" s="6"/>
      <c r="L20" s="6"/>
      <c r="M20" s="6"/>
      <c r="N20" s="6"/>
      <c r="O20" s="6"/>
      <c r="P20" s="6"/>
      <c r="Q20" s="6"/>
      <c r="R20" s="6"/>
      <c r="S20" s="6"/>
      <c r="T20" s="6"/>
      <c r="U20" s="6"/>
      <c r="V20" s="6"/>
      <c r="W20" s="6"/>
      <c r="X20" s="6"/>
      <c r="Y20" s="6"/>
      <c r="Z20" s="6"/>
    </row>
    <row r="21" spans="1:26" ht="18" customHeight="1" x14ac:dyDescent="0.3">
      <c r="A21" s="142"/>
      <c r="B21" s="143"/>
      <c r="C21" s="151" t="str">
        <f>IF(B21="","",IFERROR(INDEX('12 P6 activities'!$B$7:$B$206,MATCH(B21,'12 P6 activities'!$A$7:$A$206,0)),"ID not in P6 list"))</f>
        <v/>
      </c>
      <c r="D21" s="151" t="str">
        <f>IF(B21="","",IFERROR(INDEX('12 P6 activities'!$C$7:$C$206,MATCH(B21,'12 P6 activities'!$A$7:$A$206,0)),"⚠ not in P6 list"))</f>
        <v/>
      </c>
      <c r="E21" s="143"/>
      <c r="F21" s="147"/>
      <c r="G21" s="145" t="str">
        <f>IF(B21="","",IFERROR(INDEX('12 P6 activities'!$E$7:$E$206,MATCH(B21,'12 P6 activities'!$A$7:$A$206,0)),""))</f>
        <v/>
      </c>
      <c r="H21" s="143"/>
      <c r="I21" s="143"/>
      <c r="J21" s="6"/>
      <c r="K21" s="6"/>
      <c r="L21" s="6"/>
      <c r="M21" s="6"/>
      <c r="N21" s="6"/>
      <c r="O21" s="6"/>
      <c r="P21" s="6"/>
      <c r="Q21" s="6"/>
      <c r="R21" s="6"/>
      <c r="S21" s="6"/>
      <c r="T21" s="6"/>
      <c r="U21" s="6"/>
      <c r="V21" s="6"/>
      <c r="W21" s="6"/>
      <c r="X21" s="6"/>
      <c r="Y21" s="6"/>
      <c r="Z21" s="6"/>
    </row>
    <row r="22" spans="1:26" ht="18" customHeight="1" x14ac:dyDescent="0.3">
      <c r="A22" s="142"/>
      <c r="B22" s="143"/>
      <c r="C22" s="151" t="str">
        <f>IF(B22="","",IFERROR(INDEX('12 P6 activities'!$B$7:$B$206,MATCH(B22,'12 P6 activities'!$A$7:$A$206,0)),"ID not in P6 list"))</f>
        <v/>
      </c>
      <c r="D22" s="151" t="str">
        <f>IF(B22="","",IFERROR(INDEX('12 P6 activities'!$C$7:$C$206,MATCH(B22,'12 P6 activities'!$A$7:$A$206,0)),"⚠ not in P6 list"))</f>
        <v/>
      </c>
      <c r="E22" s="143"/>
      <c r="F22" s="147"/>
      <c r="G22" s="145" t="str">
        <f>IF(B22="","",IFERROR(INDEX('12 P6 activities'!$E$7:$E$206,MATCH(B22,'12 P6 activities'!$A$7:$A$206,0)),""))</f>
        <v/>
      </c>
      <c r="H22" s="143"/>
      <c r="I22" s="143"/>
      <c r="J22" s="6"/>
      <c r="K22" s="6"/>
      <c r="L22" s="6"/>
      <c r="M22" s="6"/>
      <c r="N22" s="6"/>
      <c r="O22" s="6"/>
      <c r="P22" s="6"/>
      <c r="Q22" s="6"/>
      <c r="R22" s="6"/>
      <c r="S22" s="6"/>
      <c r="T22" s="6"/>
      <c r="U22" s="6"/>
      <c r="V22" s="6"/>
      <c r="W22" s="6"/>
      <c r="X22" s="6"/>
      <c r="Y22" s="6"/>
      <c r="Z22" s="6"/>
    </row>
    <row r="23" spans="1:26" ht="18" customHeight="1" x14ac:dyDescent="0.3">
      <c r="A23" s="142"/>
      <c r="B23" s="143"/>
      <c r="C23" s="151" t="str">
        <f>IF(B23="","",IFERROR(INDEX('12 P6 activities'!$B$7:$B$206,MATCH(B23,'12 P6 activities'!$A$7:$A$206,0)),"ID not in P6 list"))</f>
        <v/>
      </c>
      <c r="D23" s="151" t="str">
        <f>IF(B23="","",IFERROR(INDEX('12 P6 activities'!$C$7:$C$206,MATCH(B23,'12 P6 activities'!$A$7:$A$206,0)),"⚠ not in P6 list"))</f>
        <v/>
      </c>
      <c r="E23" s="143"/>
      <c r="F23" s="147"/>
      <c r="G23" s="145" t="str">
        <f>IF(B23="","",IFERROR(INDEX('12 P6 activities'!$E$7:$E$206,MATCH(B23,'12 P6 activities'!$A$7:$A$206,0)),""))</f>
        <v/>
      </c>
      <c r="H23" s="143"/>
      <c r="I23" s="143"/>
      <c r="J23" s="6"/>
      <c r="K23" s="6"/>
      <c r="L23" s="6"/>
      <c r="M23" s="6"/>
      <c r="N23" s="6"/>
      <c r="O23" s="6"/>
      <c r="P23" s="6"/>
      <c r="Q23" s="6"/>
      <c r="R23" s="6"/>
      <c r="S23" s="6"/>
      <c r="T23" s="6"/>
      <c r="U23" s="6"/>
      <c r="V23" s="6"/>
      <c r="W23" s="6"/>
      <c r="X23" s="6"/>
      <c r="Y23" s="6"/>
      <c r="Z23" s="6"/>
    </row>
    <row r="24" spans="1:26" ht="18" customHeight="1" x14ac:dyDescent="0.3">
      <c r="A24" s="142"/>
      <c r="B24" s="143"/>
      <c r="C24" s="151" t="str">
        <f>IF(B24="","",IFERROR(INDEX('12 P6 activities'!$B$7:$B$206,MATCH(B24,'12 P6 activities'!$A$7:$A$206,0)),"ID not in P6 list"))</f>
        <v/>
      </c>
      <c r="D24" s="151" t="str">
        <f>IF(B24="","",IFERROR(INDEX('12 P6 activities'!$C$7:$C$206,MATCH(B24,'12 P6 activities'!$A$7:$A$206,0)),"⚠ not in P6 list"))</f>
        <v/>
      </c>
      <c r="E24" s="143"/>
      <c r="F24" s="147"/>
      <c r="G24" s="145" t="str">
        <f>IF(B24="","",IFERROR(INDEX('12 P6 activities'!$E$7:$E$206,MATCH(B24,'12 P6 activities'!$A$7:$A$206,0)),""))</f>
        <v/>
      </c>
      <c r="H24" s="143"/>
      <c r="I24" s="143"/>
      <c r="J24" s="6"/>
      <c r="K24" s="6"/>
      <c r="L24" s="6"/>
      <c r="M24" s="6"/>
      <c r="N24" s="6"/>
      <c r="O24" s="6"/>
      <c r="P24" s="6"/>
      <c r="Q24" s="6"/>
      <c r="R24" s="6"/>
      <c r="S24" s="6"/>
      <c r="T24" s="6"/>
      <c r="U24" s="6"/>
      <c r="V24" s="6"/>
      <c r="W24" s="6"/>
      <c r="X24" s="6"/>
      <c r="Y24" s="6"/>
      <c r="Z24" s="6"/>
    </row>
    <row r="25" spans="1:26" ht="18" customHeight="1" x14ac:dyDescent="0.3">
      <c r="A25" s="142"/>
      <c r="B25" s="143"/>
      <c r="C25" s="151" t="str">
        <f>IF(B25="","",IFERROR(INDEX('12 P6 activities'!$B$7:$B$206,MATCH(B25,'12 P6 activities'!$A$7:$A$206,0)),"ID not in P6 list"))</f>
        <v/>
      </c>
      <c r="D25" s="151" t="str">
        <f>IF(B25="","",IFERROR(INDEX('12 P6 activities'!$C$7:$C$206,MATCH(B25,'12 P6 activities'!$A$7:$A$206,0)),"⚠ not in P6 list"))</f>
        <v/>
      </c>
      <c r="E25" s="143"/>
      <c r="F25" s="147"/>
      <c r="G25" s="145" t="str">
        <f>IF(B25="","",IFERROR(INDEX('12 P6 activities'!$E$7:$E$206,MATCH(B25,'12 P6 activities'!$A$7:$A$206,0)),""))</f>
        <v/>
      </c>
      <c r="H25" s="143"/>
      <c r="I25" s="143"/>
      <c r="J25" s="6"/>
      <c r="K25" s="6"/>
      <c r="L25" s="6"/>
      <c r="M25" s="6"/>
      <c r="N25" s="6"/>
      <c r="O25" s="6"/>
      <c r="P25" s="6"/>
      <c r="Q25" s="6"/>
      <c r="R25" s="6"/>
      <c r="S25" s="6"/>
      <c r="T25" s="6"/>
      <c r="U25" s="6"/>
      <c r="V25" s="6"/>
      <c r="W25" s="6"/>
      <c r="X25" s="6"/>
      <c r="Y25" s="6"/>
      <c r="Z25" s="6"/>
    </row>
    <row r="26" spans="1:26" ht="18" customHeight="1" x14ac:dyDescent="0.3">
      <c r="A26" s="142"/>
      <c r="B26" s="143"/>
      <c r="C26" s="151" t="str">
        <f>IF(B26="","",IFERROR(INDEX('12 P6 activities'!$B$7:$B$206,MATCH(B26,'12 P6 activities'!$A$7:$A$206,0)),"ID not in P6 list"))</f>
        <v/>
      </c>
      <c r="D26" s="151" t="str">
        <f>IF(B26="","",IFERROR(INDEX('12 P6 activities'!$C$7:$C$206,MATCH(B26,'12 P6 activities'!$A$7:$A$206,0)),"⚠ not in P6 list"))</f>
        <v/>
      </c>
      <c r="E26" s="143"/>
      <c r="F26" s="147"/>
      <c r="G26" s="145" t="str">
        <f>IF(B26="","",IFERROR(INDEX('12 P6 activities'!$E$7:$E$206,MATCH(B26,'12 P6 activities'!$A$7:$A$206,0)),""))</f>
        <v/>
      </c>
      <c r="H26" s="143"/>
      <c r="I26" s="143"/>
      <c r="J26" s="6"/>
      <c r="K26" s="6"/>
      <c r="L26" s="6"/>
      <c r="M26" s="6"/>
      <c r="N26" s="6"/>
      <c r="O26" s="6"/>
      <c r="P26" s="6"/>
      <c r="Q26" s="6"/>
      <c r="R26" s="6"/>
      <c r="S26" s="6"/>
      <c r="T26" s="6"/>
      <c r="U26" s="6"/>
      <c r="V26" s="6"/>
      <c r="W26" s="6"/>
      <c r="X26" s="6"/>
      <c r="Y26" s="6"/>
      <c r="Z26" s="6"/>
    </row>
    <row r="27" spans="1:26" ht="18" customHeight="1" x14ac:dyDescent="0.3">
      <c r="A27" s="142"/>
      <c r="B27" s="143"/>
      <c r="C27" s="151" t="str">
        <f>IF(B27="","",IFERROR(INDEX('12 P6 activities'!$B$7:$B$206,MATCH(B27,'12 P6 activities'!$A$7:$A$206,0)),"ID not in P6 list"))</f>
        <v/>
      </c>
      <c r="D27" s="151" t="str">
        <f>IF(B27="","",IFERROR(INDEX('12 P6 activities'!$C$7:$C$206,MATCH(B27,'12 P6 activities'!$A$7:$A$206,0)),"⚠ not in P6 list"))</f>
        <v/>
      </c>
      <c r="E27" s="143"/>
      <c r="F27" s="147"/>
      <c r="G27" s="145" t="str">
        <f>IF(B27="","",IFERROR(INDEX('12 P6 activities'!$E$7:$E$206,MATCH(B27,'12 P6 activities'!$A$7:$A$206,0)),""))</f>
        <v/>
      </c>
      <c r="H27" s="143"/>
      <c r="I27" s="143"/>
      <c r="J27" s="6"/>
      <c r="K27" s="6"/>
      <c r="L27" s="6"/>
      <c r="M27" s="6"/>
      <c r="N27" s="6"/>
      <c r="O27" s="6"/>
      <c r="P27" s="6"/>
      <c r="Q27" s="6"/>
      <c r="R27" s="6"/>
      <c r="S27" s="6"/>
      <c r="T27" s="6"/>
      <c r="U27" s="6"/>
      <c r="V27" s="6"/>
      <c r="W27" s="6"/>
      <c r="X27" s="6"/>
      <c r="Y27" s="6"/>
      <c r="Z27" s="6"/>
    </row>
    <row r="28" spans="1:26" ht="18" customHeight="1" x14ac:dyDescent="0.3">
      <c r="A28" s="142"/>
      <c r="B28" s="143"/>
      <c r="C28" s="151" t="str">
        <f>IF(B28="","",IFERROR(INDEX('12 P6 activities'!$B$7:$B$206,MATCH(B28,'12 P6 activities'!$A$7:$A$206,0)),"ID not in P6 list"))</f>
        <v/>
      </c>
      <c r="D28" s="151" t="str">
        <f>IF(B28="","",IFERROR(INDEX('12 P6 activities'!$C$7:$C$206,MATCH(B28,'12 P6 activities'!$A$7:$A$206,0)),"⚠ not in P6 list"))</f>
        <v/>
      </c>
      <c r="E28" s="143"/>
      <c r="F28" s="147"/>
      <c r="G28" s="145" t="str">
        <f>IF(B28="","",IFERROR(INDEX('12 P6 activities'!$E$7:$E$206,MATCH(B28,'12 P6 activities'!$A$7:$A$206,0)),""))</f>
        <v/>
      </c>
      <c r="H28" s="143"/>
      <c r="I28" s="143"/>
      <c r="J28" s="6"/>
      <c r="K28" s="6"/>
      <c r="L28" s="6"/>
      <c r="M28" s="6"/>
      <c r="N28" s="6"/>
      <c r="O28" s="6"/>
      <c r="P28" s="6"/>
      <c r="Q28" s="6"/>
      <c r="R28" s="6"/>
      <c r="S28" s="6"/>
      <c r="T28" s="6"/>
      <c r="U28" s="6"/>
      <c r="V28" s="6"/>
      <c r="W28" s="6"/>
      <c r="X28" s="6"/>
      <c r="Y28" s="6"/>
      <c r="Z28" s="6"/>
    </row>
    <row r="29" spans="1:26" ht="18" customHeight="1" x14ac:dyDescent="0.3">
      <c r="A29" s="142"/>
      <c r="B29" s="143"/>
      <c r="C29" s="151" t="str">
        <f>IF(B29="","",IFERROR(INDEX('12 P6 activities'!$B$7:$B$206,MATCH(B29,'12 P6 activities'!$A$7:$A$206,0)),"ID not in P6 list"))</f>
        <v/>
      </c>
      <c r="D29" s="151" t="str">
        <f>IF(B29="","",IFERROR(INDEX('12 P6 activities'!$C$7:$C$206,MATCH(B29,'12 P6 activities'!$A$7:$A$206,0)),"⚠ not in P6 list"))</f>
        <v/>
      </c>
      <c r="E29" s="143"/>
      <c r="F29" s="147"/>
      <c r="G29" s="145" t="str">
        <f>IF(B29="","",IFERROR(INDEX('12 P6 activities'!$E$7:$E$206,MATCH(B29,'12 P6 activities'!$A$7:$A$206,0)),""))</f>
        <v/>
      </c>
      <c r="H29" s="143"/>
      <c r="I29" s="143"/>
      <c r="J29" s="6"/>
      <c r="K29" s="6"/>
      <c r="L29" s="6"/>
      <c r="M29" s="6"/>
      <c r="N29" s="6"/>
      <c r="O29" s="6"/>
      <c r="P29" s="6"/>
      <c r="Q29" s="6"/>
      <c r="R29" s="6"/>
      <c r="S29" s="6"/>
      <c r="T29" s="6"/>
      <c r="U29" s="6"/>
      <c r="V29" s="6"/>
      <c r="W29" s="6"/>
      <c r="X29" s="6"/>
      <c r="Y29" s="6"/>
      <c r="Z29" s="6"/>
    </row>
    <row r="30" spans="1:26" ht="18" customHeight="1" x14ac:dyDescent="0.3">
      <c r="A30" s="142"/>
      <c r="B30" s="143"/>
      <c r="C30" s="151" t="str">
        <f>IF(B30="","",IFERROR(INDEX('12 P6 activities'!$B$7:$B$206,MATCH(B30,'12 P6 activities'!$A$7:$A$206,0)),"ID not in P6 list"))</f>
        <v/>
      </c>
      <c r="D30" s="151" t="str">
        <f>IF(B30="","",IFERROR(INDEX('12 P6 activities'!$C$7:$C$206,MATCH(B30,'12 P6 activities'!$A$7:$A$206,0)),"⚠ not in P6 list"))</f>
        <v/>
      </c>
      <c r="E30" s="143"/>
      <c r="F30" s="147"/>
      <c r="G30" s="145" t="str">
        <f>IF(B30="","",IFERROR(INDEX('12 P6 activities'!$E$7:$E$206,MATCH(B30,'12 P6 activities'!$A$7:$A$206,0)),""))</f>
        <v/>
      </c>
      <c r="H30" s="143"/>
      <c r="I30" s="143"/>
      <c r="J30" s="6"/>
      <c r="K30" s="6"/>
      <c r="L30" s="6"/>
      <c r="M30" s="6"/>
      <c r="N30" s="6"/>
      <c r="O30" s="6"/>
      <c r="P30" s="6"/>
      <c r="Q30" s="6"/>
      <c r="R30" s="6"/>
      <c r="S30" s="6"/>
      <c r="T30" s="6"/>
      <c r="U30" s="6"/>
      <c r="V30" s="6"/>
      <c r="W30" s="6"/>
      <c r="X30" s="6"/>
      <c r="Y30" s="6"/>
      <c r="Z30" s="6"/>
    </row>
    <row r="31" spans="1:26" ht="18" customHeight="1" x14ac:dyDescent="0.3">
      <c r="A31" s="142"/>
      <c r="B31" s="143"/>
      <c r="C31" s="151" t="str">
        <f>IF(B31="","",IFERROR(INDEX('12 P6 activities'!$B$7:$B$206,MATCH(B31,'12 P6 activities'!$A$7:$A$206,0)),"ID not in P6 list"))</f>
        <v/>
      </c>
      <c r="D31" s="151" t="str">
        <f>IF(B31="","",IFERROR(INDEX('12 P6 activities'!$C$7:$C$206,MATCH(B31,'12 P6 activities'!$A$7:$A$206,0)),"⚠ not in P6 list"))</f>
        <v/>
      </c>
      <c r="E31" s="143"/>
      <c r="F31" s="147"/>
      <c r="G31" s="145" t="str">
        <f>IF(B31="","",IFERROR(INDEX('12 P6 activities'!$E$7:$E$206,MATCH(B31,'12 P6 activities'!$A$7:$A$206,0)),""))</f>
        <v/>
      </c>
      <c r="H31" s="143"/>
      <c r="I31" s="143"/>
      <c r="J31" s="6"/>
      <c r="K31" s="6"/>
      <c r="L31" s="6"/>
      <c r="M31" s="6"/>
      <c r="N31" s="6"/>
      <c r="O31" s="6"/>
      <c r="P31" s="6"/>
      <c r="Q31" s="6"/>
      <c r="R31" s="6"/>
      <c r="S31" s="6"/>
      <c r="T31" s="6"/>
      <c r="U31" s="6"/>
      <c r="V31" s="6"/>
      <c r="W31" s="6"/>
      <c r="X31" s="6"/>
      <c r="Y31" s="6"/>
      <c r="Z31" s="6"/>
    </row>
    <row r="32" spans="1:26" ht="18" customHeight="1" x14ac:dyDescent="0.3">
      <c r="A32" s="142"/>
      <c r="B32" s="143"/>
      <c r="C32" s="151" t="str">
        <f>IF(B32="","",IFERROR(INDEX('12 P6 activities'!$B$7:$B$206,MATCH(B32,'12 P6 activities'!$A$7:$A$206,0)),"ID not in P6 list"))</f>
        <v/>
      </c>
      <c r="D32" s="151" t="str">
        <f>IF(B32="","",IFERROR(INDEX('12 P6 activities'!$C$7:$C$206,MATCH(B32,'12 P6 activities'!$A$7:$A$206,0)),"⚠ not in P6 list"))</f>
        <v/>
      </c>
      <c r="E32" s="143"/>
      <c r="F32" s="147"/>
      <c r="G32" s="145" t="str">
        <f>IF(B32="","",IFERROR(INDEX('12 P6 activities'!$E$7:$E$206,MATCH(B32,'12 P6 activities'!$A$7:$A$206,0)),""))</f>
        <v/>
      </c>
      <c r="H32" s="143"/>
      <c r="I32" s="143"/>
      <c r="J32" s="6"/>
      <c r="K32" s="6"/>
      <c r="L32" s="6"/>
      <c r="M32" s="6"/>
      <c r="N32" s="6"/>
      <c r="O32" s="6"/>
      <c r="P32" s="6"/>
      <c r="Q32" s="6"/>
      <c r="R32" s="6"/>
      <c r="S32" s="6"/>
      <c r="T32" s="6"/>
      <c r="U32" s="6"/>
      <c r="V32" s="6"/>
      <c r="W32" s="6"/>
      <c r="X32" s="6"/>
      <c r="Y32" s="6"/>
      <c r="Z32" s="6"/>
    </row>
    <row r="33" spans="1:26" ht="18" customHeight="1" x14ac:dyDescent="0.3">
      <c r="A33" s="142"/>
      <c r="B33" s="143"/>
      <c r="C33" s="151" t="str">
        <f>IF(B33="","",IFERROR(INDEX('12 P6 activities'!$B$7:$B$206,MATCH(B33,'12 P6 activities'!$A$7:$A$206,0)),"ID not in P6 list"))</f>
        <v/>
      </c>
      <c r="D33" s="151" t="str">
        <f>IF(B33="","",IFERROR(INDEX('12 P6 activities'!$C$7:$C$206,MATCH(B33,'12 P6 activities'!$A$7:$A$206,0)),"⚠ not in P6 list"))</f>
        <v/>
      </c>
      <c r="E33" s="143"/>
      <c r="F33" s="147"/>
      <c r="G33" s="145" t="str">
        <f>IF(B33="","",IFERROR(INDEX('12 P6 activities'!$E$7:$E$206,MATCH(B33,'12 P6 activities'!$A$7:$A$206,0)),""))</f>
        <v/>
      </c>
      <c r="H33" s="143"/>
      <c r="I33" s="143"/>
      <c r="J33" s="6"/>
      <c r="K33" s="6"/>
      <c r="L33" s="6"/>
      <c r="M33" s="6"/>
      <c r="N33" s="6"/>
      <c r="O33" s="6"/>
      <c r="P33" s="6"/>
      <c r="Q33" s="6"/>
      <c r="R33" s="6"/>
      <c r="S33" s="6"/>
      <c r="T33" s="6"/>
      <c r="U33" s="6"/>
      <c r="V33" s="6"/>
      <c r="W33" s="6"/>
      <c r="X33" s="6"/>
      <c r="Y33" s="6"/>
      <c r="Z33" s="6"/>
    </row>
    <row r="34" spans="1:26" ht="18" customHeight="1" x14ac:dyDescent="0.3">
      <c r="A34" s="142"/>
      <c r="B34" s="143"/>
      <c r="C34" s="151" t="str">
        <f>IF(B34="","",IFERROR(INDEX('12 P6 activities'!$B$7:$B$206,MATCH(B34,'12 P6 activities'!$A$7:$A$206,0)),"ID not in P6 list"))</f>
        <v/>
      </c>
      <c r="D34" s="151" t="str">
        <f>IF(B34="","",IFERROR(INDEX('12 P6 activities'!$C$7:$C$206,MATCH(B34,'12 P6 activities'!$A$7:$A$206,0)),"⚠ not in P6 list"))</f>
        <v/>
      </c>
      <c r="E34" s="143"/>
      <c r="F34" s="147"/>
      <c r="G34" s="145" t="str">
        <f>IF(B34="","",IFERROR(INDEX('12 P6 activities'!$E$7:$E$206,MATCH(B34,'12 P6 activities'!$A$7:$A$206,0)),""))</f>
        <v/>
      </c>
      <c r="H34" s="143"/>
      <c r="I34" s="143"/>
      <c r="J34" s="6"/>
      <c r="K34" s="6"/>
      <c r="L34" s="6"/>
      <c r="M34" s="6"/>
      <c r="N34" s="6"/>
      <c r="O34" s="6"/>
      <c r="P34" s="6"/>
      <c r="Q34" s="6"/>
      <c r="R34" s="6"/>
      <c r="S34" s="6"/>
      <c r="T34" s="6"/>
      <c r="U34" s="6"/>
      <c r="V34" s="6"/>
      <c r="W34" s="6"/>
      <c r="X34" s="6"/>
      <c r="Y34" s="6"/>
      <c r="Z34" s="6"/>
    </row>
    <row r="35" spans="1:26" ht="18" customHeight="1" x14ac:dyDescent="0.3">
      <c r="A35" s="142"/>
      <c r="B35" s="143"/>
      <c r="C35" s="151" t="str">
        <f>IF(B35="","",IFERROR(INDEX('12 P6 activities'!$B$7:$B$206,MATCH(B35,'12 P6 activities'!$A$7:$A$206,0)),"ID not in P6 list"))</f>
        <v/>
      </c>
      <c r="D35" s="151" t="str">
        <f>IF(B35="","",IFERROR(INDEX('12 P6 activities'!$C$7:$C$206,MATCH(B35,'12 P6 activities'!$A$7:$A$206,0)),"⚠ not in P6 list"))</f>
        <v/>
      </c>
      <c r="E35" s="143"/>
      <c r="F35" s="147"/>
      <c r="G35" s="145" t="str">
        <f>IF(B35="","",IFERROR(INDEX('12 P6 activities'!$E$7:$E$206,MATCH(B35,'12 P6 activities'!$A$7:$A$206,0)),""))</f>
        <v/>
      </c>
      <c r="H35" s="143"/>
      <c r="I35" s="143"/>
      <c r="J35" s="6"/>
      <c r="K35" s="6"/>
      <c r="L35" s="6"/>
      <c r="M35" s="6"/>
      <c r="N35" s="6"/>
      <c r="O35" s="6"/>
      <c r="P35" s="6"/>
      <c r="Q35" s="6"/>
      <c r="R35" s="6"/>
      <c r="S35" s="6"/>
      <c r="T35" s="6"/>
      <c r="U35" s="6"/>
      <c r="V35" s="6"/>
      <c r="W35" s="6"/>
      <c r="X35" s="6"/>
      <c r="Y35" s="6"/>
      <c r="Z35" s="6"/>
    </row>
    <row r="36" spans="1:26" ht="18" customHeight="1" x14ac:dyDescent="0.3">
      <c r="A36" s="142"/>
      <c r="B36" s="143"/>
      <c r="C36" s="151" t="str">
        <f>IF(B36="","",IFERROR(INDEX('12 P6 activities'!$B$7:$B$206,MATCH(B36,'12 P6 activities'!$A$7:$A$206,0)),"ID not in P6 list"))</f>
        <v/>
      </c>
      <c r="D36" s="151" t="str">
        <f>IF(B36="","",IFERROR(INDEX('12 P6 activities'!$C$7:$C$206,MATCH(B36,'12 P6 activities'!$A$7:$A$206,0)),"⚠ not in P6 list"))</f>
        <v/>
      </c>
      <c r="E36" s="143"/>
      <c r="F36" s="147"/>
      <c r="G36" s="145" t="str">
        <f>IF(B36="","",IFERROR(INDEX('12 P6 activities'!$E$7:$E$206,MATCH(B36,'12 P6 activities'!$A$7:$A$206,0)),""))</f>
        <v/>
      </c>
      <c r="H36" s="143"/>
      <c r="I36" s="143"/>
      <c r="J36" s="6"/>
      <c r="K36" s="6"/>
      <c r="L36" s="6"/>
      <c r="M36" s="6"/>
      <c r="N36" s="6"/>
      <c r="O36" s="6"/>
      <c r="P36" s="6"/>
      <c r="Q36" s="6"/>
      <c r="R36" s="6"/>
      <c r="S36" s="6"/>
      <c r="T36" s="6"/>
      <c r="U36" s="6"/>
      <c r="V36" s="6"/>
      <c r="W36" s="6"/>
      <c r="X36" s="6"/>
      <c r="Y36" s="6"/>
      <c r="Z36" s="6"/>
    </row>
    <row r="37" spans="1:26" ht="18" customHeight="1" x14ac:dyDescent="0.3">
      <c r="A37" s="142"/>
      <c r="B37" s="143"/>
      <c r="C37" s="151" t="str">
        <f>IF(B37="","",IFERROR(INDEX('12 P6 activities'!$B$7:$B$206,MATCH(B37,'12 P6 activities'!$A$7:$A$206,0)),"ID not in P6 list"))</f>
        <v/>
      </c>
      <c r="D37" s="151" t="str">
        <f>IF(B37="","",IFERROR(INDEX('12 P6 activities'!$C$7:$C$206,MATCH(B37,'12 P6 activities'!$A$7:$A$206,0)),"⚠ not in P6 list"))</f>
        <v/>
      </c>
      <c r="E37" s="143"/>
      <c r="F37" s="147"/>
      <c r="G37" s="145" t="str">
        <f>IF(B37="","",IFERROR(INDEX('12 P6 activities'!$E$7:$E$206,MATCH(B37,'12 P6 activities'!$A$7:$A$206,0)),""))</f>
        <v/>
      </c>
      <c r="H37" s="143"/>
      <c r="I37" s="143"/>
      <c r="J37" s="6"/>
      <c r="K37" s="6"/>
      <c r="L37" s="6"/>
      <c r="M37" s="6"/>
      <c r="N37" s="6"/>
      <c r="O37" s="6"/>
      <c r="P37" s="6"/>
      <c r="Q37" s="6"/>
      <c r="R37" s="6"/>
      <c r="S37" s="6"/>
      <c r="T37" s="6"/>
      <c r="U37" s="6"/>
      <c r="V37" s="6"/>
      <c r="W37" s="6"/>
      <c r="X37" s="6"/>
      <c r="Y37" s="6"/>
      <c r="Z37" s="6"/>
    </row>
    <row r="38" spans="1:26" ht="18" customHeight="1" x14ac:dyDescent="0.3">
      <c r="A38" s="142"/>
      <c r="B38" s="143"/>
      <c r="C38" s="151" t="str">
        <f>IF(B38="","",IFERROR(INDEX('12 P6 activities'!$B$7:$B$206,MATCH(B38,'12 P6 activities'!$A$7:$A$206,0)),"ID not in P6 list"))</f>
        <v/>
      </c>
      <c r="D38" s="151" t="str">
        <f>IF(B38="","",IFERROR(INDEX('12 P6 activities'!$C$7:$C$206,MATCH(B38,'12 P6 activities'!$A$7:$A$206,0)),"⚠ not in P6 list"))</f>
        <v/>
      </c>
      <c r="E38" s="143"/>
      <c r="F38" s="147"/>
      <c r="G38" s="145" t="str">
        <f>IF(B38="","",IFERROR(INDEX('12 P6 activities'!$E$7:$E$206,MATCH(B38,'12 P6 activities'!$A$7:$A$206,0)),""))</f>
        <v/>
      </c>
      <c r="H38" s="143"/>
      <c r="I38" s="143"/>
      <c r="J38" s="6"/>
      <c r="K38" s="6"/>
      <c r="L38" s="6"/>
      <c r="M38" s="6"/>
      <c r="N38" s="6"/>
      <c r="O38" s="6"/>
      <c r="P38" s="6"/>
      <c r="Q38" s="6"/>
      <c r="R38" s="6"/>
      <c r="S38" s="6"/>
      <c r="T38" s="6"/>
      <c r="U38" s="6"/>
      <c r="V38" s="6"/>
      <c r="W38" s="6"/>
      <c r="X38" s="6"/>
      <c r="Y38" s="6"/>
      <c r="Z38" s="6"/>
    </row>
    <row r="39" spans="1:26" ht="18" customHeight="1" x14ac:dyDescent="0.3">
      <c r="A39" s="142"/>
      <c r="B39" s="143"/>
      <c r="C39" s="151" t="str">
        <f>IF(B39="","",IFERROR(INDEX('12 P6 activities'!$B$7:$B$206,MATCH(B39,'12 P6 activities'!$A$7:$A$206,0)),"ID not in P6 list"))</f>
        <v/>
      </c>
      <c r="D39" s="151" t="str">
        <f>IF(B39="","",IFERROR(INDEX('12 P6 activities'!$C$7:$C$206,MATCH(B39,'12 P6 activities'!$A$7:$A$206,0)),"⚠ not in P6 list"))</f>
        <v/>
      </c>
      <c r="E39" s="143"/>
      <c r="F39" s="147"/>
      <c r="G39" s="145" t="str">
        <f>IF(B39="","",IFERROR(INDEX('12 P6 activities'!$E$7:$E$206,MATCH(B39,'12 P6 activities'!$A$7:$A$206,0)),""))</f>
        <v/>
      </c>
      <c r="H39" s="143"/>
      <c r="I39" s="143"/>
      <c r="J39" s="6"/>
      <c r="K39" s="6"/>
      <c r="L39" s="6"/>
      <c r="M39" s="6"/>
      <c r="N39" s="6"/>
      <c r="O39" s="6"/>
      <c r="P39" s="6"/>
      <c r="Q39" s="6"/>
      <c r="R39" s="6"/>
      <c r="S39" s="6"/>
      <c r="T39" s="6"/>
      <c r="U39" s="6"/>
      <c r="V39" s="6"/>
      <c r="W39" s="6"/>
      <c r="X39" s="6"/>
      <c r="Y39" s="6"/>
      <c r="Z39" s="6"/>
    </row>
    <row r="40" spans="1:26" ht="18" customHeight="1" x14ac:dyDescent="0.3">
      <c r="A40" s="142"/>
      <c r="B40" s="143"/>
      <c r="C40" s="151" t="str">
        <f>IF(B40="","",IFERROR(INDEX('12 P6 activities'!$B$7:$B$206,MATCH(B40,'12 P6 activities'!$A$7:$A$206,0)),"ID not in P6 list"))</f>
        <v/>
      </c>
      <c r="D40" s="151" t="str">
        <f>IF(B40="","",IFERROR(INDEX('12 P6 activities'!$C$7:$C$206,MATCH(B40,'12 P6 activities'!$A$7:$A$206,0)),"⚠ not in P6 list"))</f>
        <v/>
      </c>
      <c r="E40" s="143"/>
      <c r="F40" s="147"/>
      <c r="G40" s="145" t="str">
        <f>IF(B40="","",IFERROR(INDEX('12 P6 activities'!$E$7:$E$206,MATCH(B40,'12 P6 activities'!$A$7:$A$206,0)),""))</f>
        <v/>
      </c>
      <c r="H40" s="143"/>
      <c r="I40" s="143"/>
      <c r="J40" s="6"/>
      <c r="K40" s="6"/>
      <c r="L40" s="6"/>
      <c r="M40" s="6"/>
      <c r="N40" s="6"/>
      <c r="O40" s="6"/>
      <c r="P40" s="6"/>
      <c r="Q40" s="6"/>
      <c r="R40" s="6"/>
      <c r="S40" s="6"/>
      <c r="T40" s="6"/>
      <c r="U40" s="6"/>
      <c r="V40" s="6"/>
      <c r="W40" s="6"/>
      <c r="X40" s="6"/>
      <c r="Y40" s="6"/>
      <c r="Z40" s="6"/>
    </row>
    <row r="41" spans="1:26" ht="18" customHeight="1" x14ac:dyDescent="0.3">
      <c r="A41" s="142"/>
      <c r="B41" s="143"/>
      <c r="C41" s="151" t="str">
        <f>IF(B41="","",IFERROR(INDEX('12 P6 activities'!$B$7:$B$206,MATCH(B41,'12 P6 activities'!$A$7:$A$206,0)),"ID not in P6 list"))</f>
        <v/>
      </c>
      <c r="D41" s="151" t="str">
        <f>IF(B41="","",IFERROR(INDEX('12 P6 activities'!$C$7:$C$206,MATCH(B41,'12 P6 activities'!$A$7:$A$206,0)),"⚠ not in P6 list"))</f>
        <v/>
      </c>
      <c r="E41" s="143"/>
      <c r="F41" s="147"/>
      <c r="G41" s="145" t="str">
        <f>IF(B41="","",IFERROR(INDEX('12 P6 activities'!$E$7:$E$206,MATCH(B41,'12 P6 activities'!$A$7:$A$206,0)),""))</f>
        <v/>
      </c>
      <c r="H41" s="143"/>
      <c r="I41" s="143"/>
      <c r="J41" s="6"/>
      <c r="K41" s="6"/>
      <c r="L41" s="6"/>
      <c r="M41" s="6"/>
      <c r="N41" s="6"/>
      <c r="O41" s="6"/>
      <c r="P41" s="6"/>
      <c r="Q41" s="6"/>
      <c r="R41" s="6"/>
      <c r="S41" s="6"/>
      <c r="T41" s="6"/>
      <c r="U41" s="6"/>
      <c r="V41" s="6"/>
      <c r="W41" s="6"/>
      <c r="X41" s="6"/>
      <c r="Y41" s="6"/>
      <c r="Z41" s="6"/>
    </row>
    <row r="42" spans="1:26" ht="18" customHeight="1" x14ac:dyDescent="0.3">
      <c r="A42" s="142"/>
      <c r="B42" s="143"/>
      <c r="C42" s="151" t="str">
        <f>IF(B42="","",IFERROR(INDEX('12 P6 activities'!$B$7:$B$206,MATCH(B42,'12 P6 activities'!$A$7:$A$206,0)),"ID not in P6 list"))</f>
        <v/>
      </c>
      <c r="D42" s="151" t="str">
        <f>IF(B42="","",IFERROR(INDEX('12 P6 activities'!$C$7:$C$206,MATCH(B42,'12 P6 activities'!$A$7:$A$206,0)),"⚠ not in P6 list"))</f>
        <v/>
      </c>
      <c r="E42" s="143"/>
      <c r="F42" s="147"/>
      <c r="G42" s="145" t="str">
        <f>IF(B42="","",IFERROR(INDEX('12 P6 activities'!$E$7:$E$206,MATCH(B42,'12 P6 activities'!$A$7:$A$206,0)),""))</f>
        <v/>
      </c>
      <c r="H42" s="143"/>
      <c r="I42" s="143"/>
      <c r="J42" s="6"/>
      <c r="K42" s="6"/>
      <c r="L42" s="6"/>
      <c r="M42" s="6"/>
      <c r="N42" s="6"/>
      <c r="O42" s="6"/>
      <c r="P42" s="6"/>
      <c r="Q42" s="6"/>
      <c r="R42" s="6"/>
      <c r="S42" s="6"/>
      <c r="T42" s="6"/>
      <c r="U42" s="6"/>
      <c r="V42" s="6"/>
      <c r="W42" s="6"/>
      <c r="X42" s="6"/>
      <c r="Y42" s="6"/>
      <c r="Z42" s="6"/>
    </row>
    <row r="43" spans="1:26" ht="18" customHeight="1" x14ac:dyDescent="0.3">
      <c r="A43" s="142"/>
      <c r="B43" s="143"/>
      <c r="C43" s="151" t="str">
        <f>IF(B43="","",IFERROR(INDEX('12 P6 activities'!$B$7:$B$206,MATCH(B43,'12 P6 activities'!$A$7:$A$206,0)),"ID not in P6 list"))</f>
        <v/>
      </c>
      <c r="D43" s="151" t="str">
        <f>IF(B43="","",IFERROR(INDEX('12 P6 activities'!$C$7:$C$206,MATCH(B43,'12 P6 activities'!$A$7:$A$206,0)),"⚠ not in P6 list"))</f>
        <v/>
      </c>
      <c r="E43" s="143"/>
      <c r="F43" s="147"/>
      <c r="G43" s="145" t="str">
        <f>IF(B43="","",IFERROR(INDEX('12 P6 activities'!$E$7:$E$206,MATCH(B43,'12 P6 activities'!$A$7:$A$206,0)),""))</f>
        <v/>
      </c>
      <c r="H43" s="143"/>
      <c r="I43" s="143"/>
      <c r="J43" s="6"/>
      <c r="K43" s="6"/>
      <c r="L43" s="6"/>
      <c r="M43" s="6"/>
      <c r="N43" s="6"/>
      <c r="O43" s="6"/>
      <c r="P43" s="6"/>
      <c r="Q43" s="6"/>
      <c r="R43" s="6"/>
      <c r="S43" s="6"/>
      <c r="T43" s="6"/>
      <c r="U43" s="6"/>
      <c r="V43" s="6"/>
      <c r="W43" s="6"/>
      <c r="X43" s="6"/>
      <c r="Y43" s="6"/>
      <c r="Z43" s="6"/>
    </row>
    <row r="44" spans="1:26" ht="18" customHeight="1" x14ac:dyDescent="0.3">
      <c r="A44" s="142"/>
      <c r="B44" s="143"/>
      <c r="C44" s="151" t="str">
        <f>IF(B44="","",IFERROR(INDEX('12 P6 activities'!$B$7:$B$206,MATCH(B44,'12 P6 activities'!$A$7:$A$206,0)),"ID not in P6 list"))</f>
        <v/>
      </c>
      <c r="D44" s="151" t="str">
        <f>IF(B44="","",IFERROR(INDEX('12 P6 activities'!$C$7:$C$206,MATCH(B44,'12 P6 activities'!$A$7:$A$206,0)),"⚠ not in P6 list"))</f>
        <v/>
      </c>
      <c r="E44" s="143"/>
      <c r="F44" s="147"/>
      <c r="G44" s="145" t="str">
        <f>IF(B44="","",IFERROR(INDEX('12 P6 activities'!$E$7:$E$206,MATCH(B44,'12 P6 activities'!$A$7:$A$206,0)),""))</f>
        <v/>
      </c>
      <c r="H44" s="143"/>
      <c r="I44" s="143"/>
      <c r="J44" s="6"/>
      <c r="K44" s="6"/>
      <c r="L44" s="6"/>
      <c r="M44" s="6"/>
      <c r="N44" s="6"/>
      <c r="O44" s="6"/>
      <c r="P44" s="6"/>
      <c r="Q44" s="6"/>
      <c r="R44" s="6"/>
      <c r="S44" s="6"/>
      <c r="T44" s="6"/>
      <c r="U44" s="6"/>
      <c r="V44" s="6"/>
      <c r="W44" s="6"/>
      <c r="X44" s="6"/>
      <c r="Y44" s="6"/>
      <c r="Z44" s="6"/>
    </row>
    <row r="45" spans="1:26" ht="18" customHeight="1" x14ac:dyDescent="0.3">
      <c r="A45" s="142"/>
      <c r="B45" s="143"/>
      <c r="C45" s="151" t="str">
        <f>IF(B45="","",IFERROR(INDEX('12 P6 activities'!$B$7:$B$206,MATCH(B45,'12 P6 activities'!$A$7:$A$206,0)),"ID not in P6 list"))</f>
        <v/>
      </c>
      <c r="D45" s="151" t="str">
        <f>IF(B45="","",IFERROR(INDEX('12 P6 activities'!$C$7:$C$206,MATCH(B45,'12 P6 activities'!$A$7:$A$206,0)),"⚠ not in P6 list"))</f>
        <v/>
      </c>
      <c r="E45" s="143"/>
      <c r="F45" s="147"/>
      <c r="G45" s="145" t="str">
        <f>IF(B45="","",IFERROR(INDEX('12 P6 activities'!$E$7:$E$206,MATCH(B45,'12 P6 activities'!$A$7:$A$206,0)),""))</f>
        <v/>
      </c>
      <c r="H45" s="143"/>
      <c r="I45" s="143"/>
      <c r="J45" s="6"/>
      <c r="K45" s="6"/>
      <c r="L45" s="6"/>
      <c r="M45" s="6"/>
      <c r="N45" s="6"/>
      <c r="O45" s="6"/>
      <c r="P45" s="6"/>
      <c r="Q45" s="6"/>
      <c r="R45" s="6"/>
      <c r="S45" s="6"/>
      <c r="T45" s="6"/>
      <c r="U45" s="6"/>
      <c r="V45" s="6"/>
      <c r="W45" s="6"/>
      <c r="X45" s="6"/>
      <c r="Y45" s="6"/>
      <c r="Z45" s="6"/>
    </row>
    <row r="46" spans="1:26" ht="18" customHeight="1" x14ac:dyDescent="0.3">
      <c r="A46" s="142"/>
      <c r="B46" s="143"/>
      <c r="C46" s="151" t="str">
        <f>IF(B46="","",IFERROR(INDEX('12 P6 activities'!$B$7:$B$206,MATCH(B46,'12 P6 activities'!$A$7:$A$206,0)),"ID not in P6 list"))</f>
        <v/>
      </c>
      <c r="D46" s="151" t="str">
        <f>IF(B46="","",IFERROR(INDEX('12 P6 activities'!$C$7:$C$206,MATCH(B46,'12 P6 activities'!$A$7:$A$206,0)),"⚠ not in P6 list"))</f>
        <v/>
      </c>
      <c r="E46" s="143"/>
      <c r="F46" s="147"/>
      <c r="G46" s="145" t="str">
        <f>IF(B46="","",IFERROR(INDEX('12 P6 activities'!$E$7:$E$206,MATCH(B46,'12 P6 activities'!$A$7:$A$206,0)),""))</f>
        <v/>
      </c>
      <c r="H46" s="143"/>
      <c r="I46" s="143"/>
      <c r="J46" s="6"/>
      <c r="K46" s="6"/>
      <c r="L46" s="6"/>
      <c r="M46" s="6"/>
      <c r="N46" s="6"/>
      <c r="O46" s="6"/>
      <c r="P46" s="6"/>
      <c r="Q46" s="6"/>
      <c r="R46" s="6"/>
      <c r="S46" s="6"/>
      <c r="T46" s="6"/>
      <c r="U46" s="6"/>
      <c r="V46" s="6"/>
      <c r="W46" s="6"/>
      <c r="X46" s="6"/>
      <c r="Y46" s="6"/>
      <c r="Z46" s="6"/>
    </row>
    <row r="47" spans="1:26" ht="18" customHeight="1" x14ac:dyDescent="0.3">
      <c r="A47" s="142"/>
      <c r="B47" s="143"/>
      <c r="C47" s="151" t="str">
        <f>IF(B47="","",IFERROR(INDEX('12 P6 activities'!$B$7:$B$206,MATCH(B47,'12 P6 activities'!$A$7:$A$206,0)),"ID not in P6 list"))</f>
        <v/>
      </c>
      <c r="D47" s="151" t="str">
        <f>IF(B47="","",IFERROR(INDEX('12 P6 activities'!$C$7:$C$206,MATCH(B47,'12 P6 activities'!$A$7:$A$206,0)),"⚠ not in P6 list"))</f>
        <v/>
      </c>
      <c r="E47" s="143"/>
      <c r="F47" s="147"/>
      <c r="G47" s="145" t="str">
        <f>IF(B47="","",IFERROR(INDEX('12 P6 activities'!$E$7:$E$206,MATCH(B47,'12 P6 activities'!$A$7:$A$206,0)),""))</f>
        <v/>
      </c>
      <c r="H47" s="143"/>
      <c r="I47" s="143"/>
      <c r="J47" s="6"/>
      <c r="K47" s="6"/>
      <c r="L47" s="6"/>
      <c r="M47" s="6"/>
      <c r="N47" s="6"/>
      <c r="O47" s="6"/>
      <c r="P47" s="6"/>
      <c r="Q47" s="6"/>
      <c r="R47" s="6"/>
      <c r="S47" s="6"/>
      <c r="T47" s="6"/>
      <c r="U47" s="6"/>
      <c r="V47" s="6"/>
      <c r="W47" s="6"/>
      <c r="X47" s="6"/>
      <c r="Y47" s="6"/>
      <c r="Z47" s="6"/>
    </row>
    <row r="48" spans="1:26" ht="18" customHeight="1" x14ac:dyDescent="0.3">
      <c r="A48" s="142"/>
      <c r="B48" s="143"/>
      <c r="C48" s="151" t="str">
        <f>IF(B48="","",IFERROR(INDEX('12 P6 activities'!$B$7:$B$206,MATCH(B48,'12 P6 activities'!$A$7:$A$206,0)),"ID not in P6 list"))</f>
        <v/>
      </c>
      <c r="D48" s="151" t="str">
        <f>IF(B48="","",IFERROR(INDEX('12 P6 activities'!$C$7:$C$206,MATCH(B48,'12 P6 activities'!$A$7:$A$206,0)),"⚠ not in P6 list"))</f>
        <v/>
      </c>
      <c r="E48" s="143"/>
      <c r="F48" s="147"/>
      <c r="G48" s="145" t="str">
        <f>IF(B48="","",IFERROR(INDEX('12 P6 activities'!$E$7:$E$206,MATCH(B48,'12 P6 activities'!$A$7:$A$206,0)),""))</f>
        <v/>
      </c>
      <c r="H48" s="143"/>
      <c r="I48" s="143"/>
      <c r="J48" s="6"/>
      <c r="K48" s="6"/>
      <c r="L48" s="6"/>
      <c r="M48" s="6"/>
      <c r="N48" s="6"/>
      <c r="O48" s="6"/>
      <c r="P48" s="6"/>
      <c r="Q48" s="6"/>
      <c r="R48" s="6"/>
      <c r="S48" s="6"/>
      <c r="T48" s="6"/>
      <c r="U48" s="6"/>
      <c r="V48" s="6"/>
      <c r="W48" s="6"/>
      <c r="X48" s="6"/>
      <c r="Y48" s="6"/>
      <c r="Z48" s="6"/>
    </row>
    <row r="49" spans="1:26" ht="18" customHeight="1" x14ac:dyDescent="0.3">
      <c r="A49" s="142"/>
      <c r="B49" s="143"/>
      <c r="C49" s="151" t="str">
        <f>IF(B49="","",IFERROR(INDEX('12 P6 activities'!$B$7:$B$206,MATCH(B49,'12 P6 activities'!$A$7:$A$206,0)),"ID not in P6 list"))</f>
        <v/>
      </c>
      <c r="D49" s="151" t="str">
        <f>IF(B49="","",IFERROR(INDEX('12 P6 activities'!$C$7:$C$206,MATCH(B49,'12 P6 activities'!$A$7:$A$206,0)),"⚠ not in P6 list"))</f>
        <v/>
      </c>
      <c r="E49" s="143"/>
      <c r="F49" s="147"/>
      <c r="G49" s="145" t="str">
        <f>IF(B49="","",IFERROR(INDEX('12 P6 activities'!$E$7:$E$206,MATCH(B49,'12 P6 activities'!$A$7:$A$206,0)),""))</f>
        <v/>
      </c>
      <c r="H49" s="143"/>
      <c r="I49" s="143"/>
      <c r="J49" s="6"/>
      <c r="K49" s="6"/>
      <c r="L49" s="6"/>
      <c r="M49" s="6"/>
      <c r="N49" s="6"/>
      <c r="O49" s="6"/>
      <c r="P49" s="6"/>
      <c r="Q49" s="6"/>
      <c r="R49" s="6"/>
      <c r="S49" s="6"/>
      <c r="T49" s="6"/>
      <c r="U49" s="6"/>
      <c r="V49" s="6"/>
      <c r="W49" s="6"/>
      <c r="X49" s="6"/>
      <c r="Y49" s="6"/>
      <c r="Z49" s="6"/>
    </row>
    <row r="50" spans="1:26" ht="18" customHeight="1" x14ac:dyDescent="0.3">
      <c r="A50" s="142"/>
      <c r="B50" s="143"/>
      <c r="C50" s="151" t="str">
        <f>IF(B50="","",IFERROR(INDEX('12 P6 activities'!$B$7:$B$206,MATCH(B50,'12 P6 activities'!$A$7:$A$206,0)),"ID not in P6 list"))</f>
        <v/>
      </c>
      <c r="D50" s="151" t="str">
        <f>IF(B50="","",IFERROR(INDEX('12 P6 activities'!$C$7:$C$206,MATCH(B50,'12 P6 activities'!$A$7:$A$206,0)),"⚠ not in P6 list"))</f>
        <v/>
      </c>
      <c r="E50" s="143"/>
      <c r="F50" s="147"/>
      <c r="G50" s="145" t="str">
        <f>IF(B50="","",IFERROR(INDEX('12 P6 activities'!$E$7:$E$206,MATCH(B50,'12 P6 activities'!$A$7:$A$206,0)),""))</f>
        <v/>
      </c>
      <c r="H50" s="143"/>
      <c r="I50" s="143"/>
      <c r="J50" s="6"/>
      <c r="K50" s="6"/>
      <c r="L50" s="6"/>
      <c r="M50" s="6"/>
      <c r="N50" s="6"/>
      <c r="O50" s="6"/>
      <c r="P50" s="6"/>
      <c r="Q50" s="6"/>
      <c r="R50" s="6"/>
      <c r="S50" s="6"/>
      <c r="T50" s="6"/>
      <c r="U50" s="6"/>
      <c r="V50" s="6"/>
      <c r="W50" s="6"/>
      <c r="X50" s="6"/>
      <c r="Y50" s="6"/>
      <c r="Z50" s="6"/>
    </row>
    <row r="51" spans="1:26" ht="18" customHeight="1" x14ac:dyDescent="0.3">
      <c r="A51" s="142"/>
      <c r="B51" s="143"/>
      <c r="C51" s="151" t="str">
        <f>IF(B51="","",IFERROR(INDEX('12 P6 activities'!$B$7:$B$206,MATCH(B51,'12 P6 activities'!$A$7:$A$206,0)),"ID not in P6 list"))</f>
        <v/>
      </c>
      <c r="D51" s="151" t="str">
        <f>IF(B51="","",IFERROR(INDEX('12 P6 activities'!$C$7:$C$206,MATCH(B51,'12 P6 activities'!$A$7:$A$206,0)),"⚠ not in P6 list"))</f>
        <v/>
      </c>
      <c r="E51" s="143"/>
      <c r="F51" s="147"/>
      <c r="G51" s="145" t="str">
        <f>IF(B51="","",IFERROR(INDEX('12 P6 activities'!$E$7:$E$206,MATCH(B51,'12 P6 activities'!$A$7:$A$206,0)),""))</f>
        <v/>
      </c>
      <c r="H51" s="143"/>
      <c r="I51" s="143"/>
      <c r="J51" s="6"/>
      <c r="K51" s="6"/>
      <c r="L51" s="6"/>
      <c r="M51" s="6"/>
      <c r="N51" s="6"/>
      <c r="O51" s="6"/>
      <c r="P51" s="6"/>
      <c r="Q51" s="6"/>
      <c r="R51" s="6"/>
      <c r="S51" s="6"/>
      <c r="T51" s="6"/>
      <c r="U51" s="6"/>
      <c r="V51" s="6"/>
      <c r="W51" s="6"/>
      <c r="X51" s="6"/>
      <c r="Y51" s="6"/>
      <c r="Z51" s="6"/>
    </row>
    <row r="52" spans="1:26" ht="18" customHeight="1" x14ac:dyDescent="0.3">
      <c r="A52" s="142"/>
      <c r="B52" s="143"/>
      <c r="C52" s="151" t="str">
        <f>IF(B52="","",IFERROR(INDEX('12 P6 activities'!$B$7:$B$206,MATCH(B52,'12 P6 activities'!$A$7:$A$206,0)),"ID not in P6 list"))</f>
        <v/>
      </c>
      <c r="D52" s="151" t="str">
        <f>IF(B52="","",IFERROR(INDEX('12 P6 activities'!$C$7:$C$206,MATCH(B52,'12 P6 activities'!$A$7:$A$206,0)),"⚠ not in P6 list"))</f>
        <v/>
      </c>
      <c r="E52" s="143"/>
      <c r="F52" s="147"/>
      <c r="G52" s="145" t="str">
        <f>IF(B52="","",IFERROR(INDEX('12 P6 activities'!$E$7:$E$206,MATCH(B52,'12 P6 activities'!$A$7:$A$206,0)),""))</f>
        <v/>
      </c>
      <c r="H52" s="143"/>
      <c r="I52" s="143"/>
      <c r="J52" s="6"/>
      <c r="K52" s="6"/>
      <c r="L52" s="6"/>
      <c r="M52" s="6"/>
      <c r="N52" s="6"/>
      <c r="O52" s="6"/>
      <c r="P52" s="6"/>
      <c r="Q52" s="6"/>
      <c r="R52" s="6"/>
      <c r="S52" s="6"/>
      <c r="T52" s="6"/>
      <c r="U52" s="6"/>
      <c r="V52" s="6"/>
      <c r="W52" s="6"/>
      <c r="X52" s="6"/>
      <c r="Y52" s="6"/>
      <c r="Z52" s="6"/>
    </row>
    <row r="53" spans="1:26" ht="18" customHeight="1" x14ac:dyDescent="0.3">
      <c r="A53" s="142"/>
      <c r="B53" s="143"/>
      <c r="C53" s="151" t="str">
        <f>IF(B53="","",IFERROR(INDEX('12 P6 activities'!$B$7:$B$206,MATCH(B53,'12 P6 activities'!$A$7:$A$206,0)),"ID not in P6 list"))</f>
        <v/>
      </c>
      <c r="D53" s="151" t="str">
        <f>IF(B53="","",IFERROR(INDEX('12 P6 activities'!$C$7:$C$206,MATCH(B53,'12 P6 activities'!$A$7:$A$206,0)),"⚠ not in P6 list"))</f>
        <v/>
      </c>
      <c r="E53" s="143"/>
      <c r="F53" s="147"/>
      <c r="G53" s="145" t="str">
        <f>IF(B53="","",IFERROR(INDEX('12 P6 activities'!$E$7:$E$206,MATCH(B53,'12 P6 activities'!$A$7:$A$206,0)),""))</f>
        <v/>
      </c>
      <c r="H53" s="143"/>
      <c r="I53" s="143"/>
      <c r="J53" s="6"/>
      <c r="K53" s="6"/>
      <c r="L53" s="6"/>
      <c r="M53" s="6"/>
      <c r="N53" s="6"/>
      <c r="O53" s="6"/>
      <c r="P53" s="6"/>
      <c r="Q53" s="6"/>
      <c r="R53" s="6"/>
      <c r="S53" s="6"/>
      <c r="T53" s="6"/>
      <c r="U53" s="6"/>
      <c r="V53" s="6"/>
      <c r="W53" s="6"/>
      <c r="X53" s="6"/>
      <c r="Y53" s="6"/>
      <c r="Z53" s="6"/>
    </row>
    <row r="54" spans="1:26" ht="18" customHeight="1" x14ac:dyDescent="0.3">
      <c r="A54" s="142"/>
      <c r="B54" s="143"/>
      <c r="C54" s="151" t="str">
        <f>IF(B54="","",IFERROR(INDEX('12 P6 activities'!$B$7:$B$206,MATCH(B54,'12 P6 activities'!$A$7:$A$206,0)),"ID not in P6 list"))</f>
        <v/>
      </c>
      <c r="D54" s="151" t="str">
        <f>IF(B54="","",IFERROR(INDEX('12 P6 activities'!$C$7:$C$206,MATCH(B54,'12 P6 activities'!$A$7:$A$206,0)),"⚠ not in P6 list"))</f>
        <v/>
      </c>
      <c r="E54" s="143"/>
      <c r="F54" s="147"/>
      <c r="G54" s="145" t="str">
        <f>IF(B54="","",IFERROR(INDEX('12 P6 activities'!$E$7:$E$206,MATCH(B54,'12 P6 activities'!$A$7:$A$206,0)),""))</f>
        <v/>
      </c>
      <c r="H54" s="143"/>
      <c r="I54" s="143"/>
      <c r="J54" s="6"/>
      <c r="K54" s="6"/>
      <c r="L54" s="6"/>
      <c r="M54" s="6"/>
      <c r="N54" s="6"/>
      <c r="O54" s="6"/>
      <c r="P54" s="6"/>
      <c r="Q54" s="6"/>
      <c r="R54" s="6"/>
      <c r="S54" s="6"/>
      <c r="T54" s="6"/>
      <c r="U54" s="6"/>
      <c r="V54" s="6"/>
      <c r="W54" s="6"/>
      <c r="X54" s="6"/>
      <c r="Y54" s="6"/>
      <c r="Z54" s="6"/>
    </row>
    <row r="55" spans="1:26" ht="18" customHeight="1" x14ac:dyDescent="0.3">
      <c r="A55" s="142"/>
      <c r="B55" s="143"/>
      <c r="C55" s="151" t="str">
        <f>IF(B55="","",IFERROR(INDEX('12 P6 activities'!$B$7:$B$206,MATCH(B55,'12 P6 activities'!$A$7:$A$206,0)),"ID not in P6 list"))</f>
        <v/>
      </c>
      <c r="D55" s="151" t="str">
        <f>IF(B55="","",IFERROR(INDEX('12 P6 activities'!$C$7:$C$206,MATCH(B55,'12 P6 activities'!$A$7:$A$206,0)),"⚠ not in P6 list"))</f>
        <v/>
      </c>
      <c r="E55" s="143"/>
      <c r="F55" s="147"/>
      <c r="G55" s="145" t="str">
        <f>IF(B55="","",IFERROR(INDEX('12 P6 activities'!$E$7:$E$206,MATCH(B55,'12 P6 activities'!$A$7:$A$206,0)),""))</f>
        <v/>
      </c>
      <c r="H55" s="143"/>
      <c r="I55" s="143"/>
      <c r="J55" s="6"/>
      <c r="K55" s="6"/>
      <c r="L55" s="6"/>
      <c r="M55" s="6"/>
      <c r="N55" s="6"/>
      <c r="O55" s="6"/>
      <c r="P55" s="6"/>
      <c r="Q55" s="6"/>
      <c r="R55" s="6"/>
      <c r="S55" s="6"/>
      <c r="T55" s="6"/>
      <c r="U55" s="6"/>
      <c r="V55" s="6"/>
      <c r="W55" s="6"/>
      <c r="X55" s="6"/>
      <c r="Y55" s="6"/>
      <c r="Z55" s="6"/>
    </row>
    <row r="56" spans="1:26" ht="18" customHeight="1" x14ac:dyDescent="0.3">
      <c r="A56" s="142"/>
      <c r="B56" s="143"/>
      <c r="C56" s="151" t="str">
        <f>IF(B56="","",IFERROR(INDEX('12 P6 activities'!$B$7:$B$206,MATCH(B56,'12 P6 activities'!$A$7:$A$206,0)),"ID not in P6 list"))</f>
        <v/>
      </c>
      <c r="D56" s="151" t="str">
        <f>IF(B56="","",IFERROR(INDEX('12 P6 activities'!$C$7:$C$206,MATCH(B56,'12 P6 activities'!$A$7:$A$206,0)),"⚠ not in P6 list"))</f>
        <v/>
      </c>
      <c r="E56" s="143"/>
      <c r="F56" s="147"/>
      <c r="G56" s="145" t="str">
        <f>IF(B56="","",IFERROR(INDEX('12 P6 activities'!$E$7:$E$206,MATCH(B56,'12 P6 activities'!$A$7:$A$206,0)),""))</f>
        <v/>
      </c>
      <c r="H56" s="143"/>
      <c r="I56" s="143"/>
      <c r="J56" s="6"/>
      <c r="K56" s="6"/>
      <c r="L56" s="6"/>
      <c r="M56" s="6"/>
      <c r="N56" s="6"/>
      <c r="O56" s="6"/>
      <c r="P56" s="6"/>
      <c r="Q56" s="6"/>
      <c r="R56" s="6"/>
      <c r="S56" s="6"/>
      <c r="T56" s="6"/>
      <c r="U56" s="6"/>
      <c r="V56" s="6"/>
      <c r="W56" s="6"/>
      <c r="X56" s="6"/>
      <c r="Y56" s="6"/>
      <c r="Z56" s="6"/>
    </row>
    <row r="57" spans="1:26" ht="18" customHeight="1" x14ac:dyDescent="0.3">
      <c r="A57" s="142"/>
      <c r="B57" s="143"/>
      <c r="C57" s="151" t="str">
        <f>IF(B57="","",IFERROR(INDEX('12 P6 activities'!$B$7:$B$206,MATCH(B57,'12 P6 activities'!$A$7:$A$206,0)),"ID not in P6 list"))</f>
        <v/>
      </c>
      <c r="D57" s="151" t="str">
        <f>IF(B57="","",IFERROR(INDEX('12 P6 activities'!$C$7:$C$206,MATCH(B57,'12 P6 activities'!$A$7:$A$206,0)),"⚠ not in P6 list"))</f>
        <v/>
      </c>
      <c r="E57" s="143"/>
      <c r="F57" s="147"/>
      <c r="G57" s="145" t="str">
        <f>IF(B57="","",IFERROR(INDEX('12 P6 activities'!$E$7:$E$206,MATCH(B57,'12 P6 activities'!$A$7:$A$206,0)),""))</f>
        <v/>
      </c>
      <c r="H57" s="143"/>
      <c r="I57" s="143"/>
      <c r="J57" s="6"/>
      <c r="K57" s="6"/>
      <c r="L57" s="6"/>
      <c r="M57" s="6"/>
      <c r="N57" s="6"/>
      <c r="O57" s="6"/>
      <c r="P57" s="6"/>
      <c r="Q57" s="6"/>
      <c r="R57" s="6"/>
      <c r="S57" s="6"/>
      <c r="T57" s="6"/>
      <c r="U57" s="6"/>
      <c r="V57" s="6"/>
      <c r="W57" s="6"/>
      <c r="X57" s="6"/>
      <c r="Y57" s="6"/>
      <c r="Z57" s="6"/>
    </row>
    <row r="58" spans="1:26" ht="18" customHeight="1" x14ac:dyDescent="0.3">
      <c r="A58" s="142"/>
      <c r="B58" s="143"/>
      <c r="C58" s="151" t="str">
        <f>IF(B58="","",IFERROR(INDEX('12 P6 activities'!$B$7:$B$206,MATCH(B58,'12 P6 activities'!$A$7:$A$206,0)),"ID not in P6 list"))</f>
        <v/>
      </c>
      <c r="D58" s="151" t="str">
        <f>IF(B58="","",IFERROR(INDEX('12 P6 activities'!$C$7:$C$206,MATCH(B58,'12 P6 activities'!$A$7:$A$206,0)),"⚠ not in P6 list"))</f>
        <v/>
      </c>
      <c r="E58" s="143"/>
      <c r="F58" s="147"/>
      <c r="G58" s="145" t="str">
        <f>IF(B58="","",IFERROR(INDEX('12 P6 activities'!$E$7:$E$206,MATCH(B58,'12 P6 activities'!$A$7:$A$206,0)),""))</f>
        <v/>
      </c>
      <c r="H58" s="143"/>
      <c r="I58" s="143"/>
      <c r="J58" s="6"/>
      <c r="K58" s="6"/>
      <c r="L58" s="6"/>
      <c r="M58" s="6"/>
      <c r="N58" s="6"/>
      <c r="O58" s="6"/>
      <c r="P58" s="6"/>
      <c r="Q58" s="6"/>
      <c r="R58" s="6"/>
      <c r="S58" s="6"/>
      <c r="T58" s="6"/>
      <c r="U58" s="6"/>
      <c r="V58" s="6"/>
      <c r="W58" s="6"/>
      <c r="X58" s="6"/>
      <c r="Y58" s="6"/>
      <c r="Z58" s="6"/>
    </row>
    <row r="59" spans="1:26" ht="18" customHeight="1" x14ac:dyDescent="0.3">
      <c r="A59" s="142"/>
      <c r="B59" s="143"/>
      <c r="C59" s="151" t="str">
        <f>IF(B59="","",IFERROR(INDEX('12 P6 activities'!$B$7:$B$206,MATCH(B59,'12 P6 activities'!$A$7:$A$206,0)),"ID not in P6 list"))</f>
        <v/>
      </c>
      <c r="D59" s="151" t="str">
        <f>IF(B59="","",IFERROR(INDEX('12 P6 activities'!$C$7:$C$206,MATCH(B59,'12 P6 activities'!$A$7:$A$206,0)),"⚠ not in P6 list"))</f>
        <v/>
      </c>
      <c r="E59" s="143"/>
      <c r="F59" s="147"/>
      <c r="G59" s="145" t="str">
        <f>IF(B59="","",IFERROR(INDEX('12 P6 activities'!$E$7:$E$206,MATCH(B59,'12 P6 activities'!$A$7:$A$206,0)),""))</f>
        <v/>
      </c>
      <c r="H59" s="143"/>
      <c r="I59" s="143"/>
      <c r="J59" s="6"/>
      <c r="K59" s="6"/>
      <c r="L59" s="6"/>
      <c r="M59" s="6"/>
      <c r="N59" s="6"/>
      <c r="O59" s="6"/>
      <c r="P59" s="6"/>
      <c r="Q59" s="6"/>
      <c r="R59" s="6"/>
      <c r="S59" s="6"/>
      <c r="T59" s="6"/>
      <c r="U59" s="6"/>
      <c r="V59" s="6"/>
      <c r="W59" s="6"/>
      <c r="X59" s="6"/>
      <c r="Y59" s="6"/>
      <c r="Z59" s="6"/>
    </row>
    <row r="60" spans="1:26" ht="18" customHeight="1" x14ac:dyDescent="0.3">
      <c r="A60" s="142"/>
      <c r="B60" s="143"/>
      <c r="C60" s="151" t="str">
        <f>IF(B60="","",IFERROR(INDEX('12 P6 activities'!$B$7:$B$206,MATCH(B60,'12 P6 activities'!$A$7:$A$206,0)),"ID not in P6 list"))</f>
        <v/>
      </c>
      <c r="D60" s="151" t="str">
        <f>IF(B60="","",IFERROR(INDEX('12 P6 activities'!$C$7:$C$206,MATCH(B60,'12 P6 activities'!$A$7:$A$206,0)),"⚠ not in P6 list"))</f>
        <v/>
      </c>
      <c r="E60" s="143"/>
      <c r="F60" s="147"/>
      <c r="G60" s="145" t="str">
        <f>IF(B60="","",IFERROR(INDEX('12 P6 activities'!$E$7:$E$206,MATCH(B60,'12 P6 activities'!$A$7:$A$206,0)),""))</f>
        <v/>
      </c>
      <c r="H60" s="143"/>
      <c r="I60" s="143"/>
      <c r="J60" s="6"/>
      <c r="K60" s="6"/>
      <c r="L60" s="6"/>
      <c r="M60" s="6"/>
      <c r="N60" s="6"/>
      <c r="O60" s="6"/>
      <c r="P60" s="6"/>
      <c r="Q60" s="6"/>
      <c r="R60" s="6"/>
      <c r="S60" s="6"/>
      <c r="T60" s="6"/>
      <c r="U60" s="6"/>
      <c r="V60" s="6"/>
      <c r="W60" s="6"/>
      <c r="X60" s="6"/>
      <c r="Y60" s="6"/>
      <c r="Z60" s="6"/>
    </row>
    <row r="61" spans="1:26" ht="18" customHeight="1" x14ac:dyDescent="0.3">
      <c r="A61" s="142"/>
      <c r="B61" s="143"/>
      <c r="C61" s="151" t="str">
        <f>IF(B61="","",IFERROR(INDEX('12 P6 activities'!$B$7:$B$206,MATCH(B61,'12 P6 activities'!$A$7:$A$206,0)),"ID not in P6 list"))</f>
        <v/>
      </c>
      <c r="D61" s="151" t="str">
        <f>IF(B61="","",IFERROR(INDEX('12 P6 activities'!$C$7:$C$206,MATCH(B61,'12 P6 activities'!$A$7:$A$206,0)),"⚠ not in P6 list"))</f>
        <v/>
      </c>
      <c r="E61" s="143"/>
      <c r="F61" s="147"/>
      <c r="G61" s="145" t="str">
        <f>IF(B61="","",IFERROR(INDEX('12 P6 activities'!$E$7:$E$206,MATCH(B61,'12 P6 activities'!$A$7:$A$206,0)),""))</f>
        <v/>
      </c>
      <c r="H61" s="143"/>
      <c r="I61" s="143"/>
      <c r="J61" s="6"/>
      <c r="K61" s="6"/>
      <c r="L61" s="6"/>
      <c r="M61" s="6"/>
      <c r="N61" s="6"/>
      <c r="O61" s="6"/>
      <c r="P61" s="6"/>
      <c r="Q61" s="6"/>
      <c r="R61" s="6"/>
      <c r="S61" s="6"/>
      <c r="T61" s="6"/>
      <c r="U61" s="6"/>
      <c r="V61" s="6"/>
      <c r="W61" s="6"/>
      <c r="X61" s="6"/>
      <c r="Y61" s="6"/>
      <c r="Z61" s="6"/>
    </row>
    <row r="62" spans="1:26" ht="18" customHeight="1" x14ac:dyDescent="0.3">
      <c r="A62" s="142"/>
      <c r="B62" s="143"/>
      <c r="C62" s="151" t="str">
        <f>IF(B62="","",IFERROR(INDEX('12 P6 activities'!$B$7:$B$206,MATCH(B62,'12 P6 activities'!$A$7:$A$206,0)),"ID not in P6 list"))</f>
        <v/>
      </c>
      <c r="D62" s="151" t="str">
        <f>IF(B62="","",IFERROR(INDEX('12 P6 activities'!$C$7:$C$206,MATCH(B62,'12 P6 activities'!$A$7:$A$206,0)),"⚠ not in P6 list"))</f>
        <v/>
      </c>
      <c r="E62" s="143"/>
      <c r="F62" s="147"/>
      <c r="G62" s="145" t="str">
        <f>IF(B62="","",IFERROR(INDEX('12 P6 activities'!$E$7:$E$206,MATCH(B62,'12 P6 activities'!$A$7:$A$206,0)),""))</f>
        <v/>
      </c>
      <c r="H62" s="143"/>
      <c r="I62" s="143"/>
      <c r="J62" s="6"/>
      <c r="K62" s="6"/>
      <c r="L62" s="6"/>
      <c r="M62" s="6"/>
      <c r="N62" s="6"/>
      <c r="O62" s="6"/>
      <c r="P62" s="6"/>
      <c r="Q62" s="6"/>
      <c r="R62" s="6"/>
      <c r="S62" s="6"/>
      <c r="T62" s="6"/>
      <c r="U62" s="6"/>
      <c r="V62" s="6"/>
      <c r="W62" s="6"/>
      <c r="X62" s="6"/>
      <c r="Y62" s="6"/>
      <c r="Z62" s="6"/>
    </row>
    <row r="63" spans="1:26" ht="18" customHeight="1" x14ac:dyDescent="0.3">
      <c r="A63" s="142"/>
      <c r="B63" s="143"/>
      <c r="C63" s="151" t="str">
        <f>IF(B63="","",IFERROR(INDEX('12 P6 activities'!$B$7:$B$206,MATCH(B63,'12 P6 activities'!$A$7:$A$206,0)),"ID not in P6 list"))</f>
        <v/>
      </c>
      <c r="D63" s="151" t="str">
        <f>IF(B63="","",IFERROR(INDEX('12 P6 activities'!$C$7:$C$206,MATCH(B63,'12 P6 activities'!$A$7:$A$206,0)),"⚠ not in P6 list"))</f>
        <v/>
      </c>
      <c r="E63" s="143"/>
      <c r="F63" s="147"/>
      <c r="G63" s="145" t="str">
        <f>IF(B63="","",IFERROR(INDEX('12 P6 activities'!$E$7:$E$206,MATCH(B63,'12 P6 activities'!$A$7:$A$206,0)),""))</f>
        <v/>
      </c>
      <c r="H63" s="143"/>
      <c r="I63" s="143"/>
      <c r="J63" s="6"/>
      <c r="K63" s="6"/>
      <c r="L63" s="6"/>
      <c r="M63" s="6"/>
      <c r="N63" s="6"/>
      <c r="O63" s="6"/>
      <c r="P63" s="6"/>
      <c r="Q63" s="6"/>
      <c r="R63" s="6"/>
      <c r="S63" s="6"/>
      <c r="T63" s="6"/>
      <c r="U63" s="6"/>
      <c r="V63" s="6"/>
      <c r="W63" s="6"/>
      <c r="X63" s="6"/>
      <c r="Y63" s="6"/>
      <c r="Z63" s="6"/>
    </row>
    <row r="64" spans="1:26" ht="18" customHeight="1" x14ac:dyDescent="0.3">
      <c r="A64" s="142"/>
      <c r="B64" s="143"/>
      <c r="C64" s="151" t="str">
        <f>IF(B64="","",IFERROR(INDEX('12 P6 activities'!$B$7:$B$206,MATCH(B64,'12 P6 activities'!$A$7:$A$206,0)),"ID not in P6 list"))</f>
        <v/>
      </c>
      <c r="D64" s="151" t="str">
        <f>IF(B64="","",IFERROR(INDEX('12 P6 activities'!$C$7:$C$206,MATCH(B64,'12 P6 activities'!$A$7:$A$206,0)),"⚠ not in P6 list"))</f>
        <v/>
      </c>
      <c r="E64" s="143"/>
      <c r="F64" s="147"/>
      <c r="G64" s="145" t="str">
        <f>IF(B64="","",IFERROR(INDEX('12 P6 activities'!$E$7:$E$206,MATCH(B64,'12 P6 activities'!$A$7:$A$206,0)),""))</f>
        <v/>
      </c>
      <c r="H64" s="143"/>
      <c r="I64" s="143"/>
      <c r="J64" s="6"/>
      <c r="K64" s="6"/>
      <c r="L64" s="6"/>
      <c r="M64" s="6"/>
      <c r="N64" s="6"/>
      <c r="O64" s="6"/>
      <c r="P64" s="6"/>
      <c r="Q64" s="6"/>
      <c r="R64" s="6"/>
      <c r="S64" s="6"/>
      <c r="T64" s="6"/>
      <c r="U64" s="6"/>
      <c r="V64" s="6"/>
      <c r="W64" s="6"/>
      <c r="X64" s="6"/>
      <c r="Y64" s="6"/>
      <c r="Z64" s="6"/>
    </row>
    <row r="65" spans="1:26" ht="18" customHeight="1" x14ac:dyDescent="0.3">
      <c r="A65" s="142"/>
      <c r="B65" s="143"/>
      <c r="C65" s="151" t="str">
        <f>IF(B65="","",IFERROR(INDEX('12 P6 activities'!$B$7:$B$206,MATCH(B65,'12 P6 activities'!$A$7:$A$206,0)),"ID not in P6 list"))</f>
        <v/>
      </c>
      <c r="D65" s="151" t="str">
        <f>IF(B65="","",IFERROR(INDEX('12 P6 activities'!$C$7:$C$206,MATCH(B65,'12 P6 activities'!$A$7:$A$206,0)),"⚠ not in P6 list"))</f>
        <v/>
      </c>
      <c r="E65" s="143"/>
      <c r="F65" s="147"/>
      <c r="G65" s="145" t="str">
        <f>IF(B65="","",IFERROR(INDEX('12 P6 activities'!$E$7:$E$206,MATCH(B65,'12 P6 activities'!$A$7:$A$206,0)),""))</f>
        <v/>
      </c>
      <c r="H65" s="143"/>
      <c r="I65" s="143"/>
      <c r="J65" s="6"/>
      <c r="K65" s="6"/>
      <c r="L65" s="6"/>
      <c r="M65" s="6"/>
      <c r="N65" s="6"/>
      <c r="O65" s="6"/>
      <c r="P65" s="6"/>
      <c r="Q65" s="6"/>
      <c r="R65" s="6"/>
      <c r="S65" s="6"/>
      <c r="T65" s="6"/>
      <c r="U65" s="6"/>
      <c r="V65" s="6"/>
      <c r="W65" s="6"/>
      <c r="X65" s="6"/>
      <c r="Y65" s="6"/>
      <c r="Z65" s="6"/>
    </row>
    <row r="66" spans="1:26" ht="18" customHeight="1" x14ac:dyDescent="0.3">
      <c r="A66" s="142"/>
      <c r="B66" s="143"/>
      <c r="C66" s="151" t="str">
        <f>IF(B66="","",IFERROR(INDEX('12 P6 activities'!$B$7:$B$206,MATCH(B66,'12 P6 activities'!$A$7:$A$206,0)),"ID not in P6 list"))</f>
        <v/>
      </c>
      <c r="D66" s="151" t="str">
        <f>IF(B66="","",IFERROR(INDEX('12 P6 activities'!$C$7:$C$206,MATCH(B66,'12 P6 activities'!$A$7:$A$206,0)),"⚠ not in P6 list"))</f>
        <v/>
      </c>
      <c r="E66" s="143"/>
      <c r="F66" s="147"/>
      <c r="G66" s="145" t="str">
        <f>IF(B66="","",IFERROR(INDEX('12 P6 activities'!$E$7:$E$206,MATCH(B66,'12 P6 activities'!$A$7:$A$206,0)),""))</f>
        <v/>
      </c>
      <c r="H66" s="143"/>
      <c r="I66" s="143"/>
      <c r="J66" s="6"/>
      <c r="K66" s="6"/>
      <c r="L66" s="6"/>
      <c r="M66" s="6"/>
      <c r="N66" s="6"/>
      <c r="O66" s="6"/>
      <c r="P66" s="6"/>
      <c r="Q66" s="6"/>
      <c r="R66" s="6"/>
      <c r="S66" s="6"/>
      <c r="T66" s="6"/>
      <c r="U66" s="6"/>
      <c r="V66" s="6"/>
      <c r="W66" s="6"/>
      <c r="X66" s="6"/>
      <c r="Y66" s="6"/>
      <c r="Z66" s="6"/>
    </row>
    <row r="67" spans="1:26" ht="18" customHeight="1" x14ac:dyDescent="0.3">
      <c r="A67" s="142"/>
      <c r="B67" s="143"/>
      <c r="C67" s="151" t="str">
        <f>IF(B67="","",IFERROR(INDEX('12 P6 activities'!$B$7:$B$206,MATCH(B67,'12 P6 activities'!$A$7:$A$206,0)),"ID not in P6 list"))</f>
        <v/>
      </c>
      <c r="D67" s="151" t="str">
        <f>IF(B67="","",IFERROR(INDEX('12 P6 activities'!$C$7:$C$206,MATCH(B67,'12 P6 activities'!$A$7:$A$206,0)),"⚠ not in P6 list"))</f>
        <v/>
      </c>
      <c r="E67" s="143"/>
      <c r="F67" s="147"/>
      <c r="G67" s="145" t="str">
        <f>IF(B67="","",IFERROR(INDEX('12 P6 activities'!$E$7:$E$206,MATCH(B67,'12 P6 activities'!$A$7:$A$206,0)),""))</f>
        <v/>
      </c>
      <c r="H67" s="143"/>
      <c r="I67" s="143"/>
      <c r="J67" s="6"/>
      <c r="K67" s="6"/>
      <c r="L67" s="6"/>
      <c r="M67" s="6"/>
      <c r="N67" s="6"/>
      <c r="O67" s="6"/>
      <c r="P67" s="6"/>
      <c r="Q67" s="6"/>
      <c r="R67" s="6"/>
      <c r="S67" s="6"/>
      <c r="T67" s="6"/>
      <c r="U67" s="6"/>
      <c r="V67" s="6"/>
      <c r="W67" s="6"/>
      <c r="X67" s="6"/>
      <c r="Y67" s="6"/>
      <c r="Z67" s="6"/>
    </row>
    <row r="68" spans="1:26" ht="18" customHeight="1" x14ac:dyDescent="0.3">
      <c r="A68" s="142"/>
      <c r="B68" s="143"/>
      <c r="C68" s="151" t="str">
        <f>IF(B68="","",IFERROR(INDEX('12 P6 activities'!$B$7:$B$206,MATCH(B68,'12 P6 activities'!$A$7:$A$206,0)),"ID not in P6 list"))</f>
        <v/>
      </c>
      <c r="D68" s="151" t="str">
        <f>IF(B68="","",IFERROR(INDEX('12 P6 activities'!$C$7:$C$206,MATCH(B68,'12 P6 activities'!$A$7:$A$206,0)),"⚠ not in P6 list"))</f>
        <v/>
      </c>
      <c r="E68" s="143"/>
      <c r="F68" s="147"/>
      <c r="G68" s="145" t="str">
        <f>IF(B68="","",IFERROR(INDEX('12 P6 activities'!$E$7:$E$206,MATCH(B68,'12 P6 activities'!$A$7:$A$206,0)),""))</f>
        <v/>
      </c>
      <c r="H68" s="143"/>
      <c r="I68" s="143"/>
      <c r="J68" s="6"/>
      <c r="K68" s="6"/>
      <c r="L68" s="6"/>
      <c r="M68" s="6"/>
      <c r="N68" s="6"/>
      <c r="O68" s="6"/>
      <c r="P68" s="6"/>
      <c r="Q68" s="6"/>
      <c r="R68" s="6"/>
      <c r="S68" s="6"/>
      <c r="T68" s="6"/>
      <c r="U68" s="6"/>
      <c r="V68" s="6"/>
      <c r="W68" s="6"/>
      <c r="X68" s="6"/>
      <c r="Y68" s="6"/>
      <c r="Z68" s="6"/>
    </row>
    <row r="69" spans="1:26" ht="18" customHeight="1" x14ac:dyDescent="0.3">
      <c r="A69" s="142"/>
      <c r="B69" s="143"/>
      <c r="C69" s="151" t="str">
        <f>IF(B69="","",IFERROR(INDEX('12 P6 activities'!$B$7:$B$206,MATCH(B69,'12 P6 activities'!$A$7:$A$206,0)),"ID not in P6 list"))</f>
        <v/>
      </c>
      <c r="D69" s="151" t="str">
        <f>IF(B69="","",IFERROR(INDEX('12 P6 activities'!$C$7:$C$206,MATCH(B69,'12 P6 activities'!$A$7:$A$206,0)),"⚠ not in P6 list"))</f>
        <v/>
      </c>
      <c r="E69" s="143"/>
      <c r="F69" s="147"/>
      <c r="G69" s="145" t="str">
        <f>IF(B69="","",IFERROR(INDEX('12 P6 activities'!$E$7:$E$206,MATCH(B69,'12 P6 activities'!$A$7:$A$206,0)),""))</f>
        <v/>
      </c>
      <c r="H69" s="143"/>
      <c r="I69" s="143"/>
      <c r="J69" s="6"/>
      <c r="K69" s="6"/>
      <c r="L69" s="6"/>
      <c r="M69" s="6"/>
      <c r="N69" s="6"/>
      <c r="O69" s="6"/>
      <c r="P69" s="6"/>
      <c r="Q69" s="6"/>
      <c r="R69" s="6"/>
      <c r="S69" s="6"/>
      <c r="T69" s="6"/>
      <c r="U69" s="6"/>
      <c r="V69" s="6"/>
      <c r="W69" s="6"/>
      <c r="X69" s="6"/>
      <c r="Y69" s="6"/>
      <c r="Z69" s="6"/>
    </row>
    <row r="70" spans="1:26" ht="18" customHeight="1" x14ac:dyDescent="0.3">
      <c r="A70" s="142"/>
      <c r="B70" s="143"/>
      <c r="C70" s="151" t="str">
        <f>IF(B70="","",IFERROR(INDEX('12 P6 activities'!$B$7:$B$206,MATCH(B70,'12 P6 activities'!$A$7:$A$206,0)),"ID not in P6 list"))</f>
        <v/>
      </c>
      <c r="D70" s="151" t="str">
        <f>IF(B70="","",IFERROR(INDEX('12 P6 activities'!$C$7:$C$206,MATCH(B70,'12 P6 activities'!$A$7:$A$206,0)),"⚠ not in P6 list"))</f>
        <v/>
      </c>
      <c r="E70" s="143"/>
      <c r="F70" s="147"/>
      <c r="G70" s="145" t="str">
        <f>IF(B70="","",IFERROR(INDEX('12 P6 activities'!$E$7:$E$206,MATCH(B70,'12 P6 activities'!$A$7:$A$206,0)),""))</f>
        <v/>
      </c>
      <c r="H70" s="143"/>
      <c r="I70" s="143"/>
      <c r="J70" s="6"/>
      <c r="K70" s="6"/>
      <c r="L70" s="6"/>
      <c r="M70" s="6"/>
      <c r="N70" s="6"/>
      <c r="O70" s="6"/>
      <c r="P70" s="6"/>
      <c r="Q70" s="6"/>
      <c r="R70" s="6"/>
      <c r="S70" s="6"/>
      <c r="T70" s="6"/>
      <c r="U70" s="6"/>
      <c r="V70" s="6"/>
      <c r="W70" s="6"/>
      <c r="X70" s="6"/>
      <c r="Y70" s="6"/>
      <c r="Z70" s="6"/>
    </row>
    <row r="71" spans="1:26" ht="18" customHeight="1" x14ac:dyDescent="0.3">
      <c r="A71" s="142"/>
      <c r="B71" s="143"/>
      <c r="C71" s="151" t="str">
        <f>IF(B71="","",IFERROR(INDEX('12 P6 activities'!$B$7:$B$206,MATCH(B71,'12 P6 activities'!$A$7:$A$206,0)),"ID not in P6 list"))</f>
        <v/>
      </c>
      <c r="D71" s="151" t="str">
        <f>IF(B71="","",IFERROR(INDEX('12 P6 activities'!$C$7:$C$206,MATCH(B71,'12 P6 activities'!$A$7:$A$206,0)),"⚠ not in P6 list"))</f>
        <v/>
      </c>
      <c r="E71" s="143"/>
      <c r="F71" s="147"/>
      <c r="G71" s="145" t="str">
        <f>IF(B71="","",IFERROR(INDEX('12 P6 activities'!$E$7:$E$206,MATCH(B71,'12 P6 activities'!$A$7:$A$206,0)),""))</f>
        <v/>
      </c>
      <c r="H71" s="143"/>
      <c r="I71" s="143"/>
      <c r="J71" s="6"/>
      <c r="K71" s="6"/>
      <c r="L71" s="6"/>
      <c r="M71" s="6"/>
      <c r="N71" s="6"/>
      <c r="O71" s="6"/>
      <c r="P71" s="6"/>
      <c r="Q71" s="6"/>
      <c r="R71" s="6"/>
      <c r="S71" s="6"/>
      <c r="T71" s="6"/>
      <c r="U71" s="6"/>
      <c r="V71" s="6"/>
      <c r="W71" s="6"/>
      <c r="X71" s="6"/>
      <c r="Y71" s="6"/>
      <c r="Z71" s="6"/>
    </row>
    <row r="72" spans="1:26" ht="18" customHeight="1" x14ac:dyDescent="0.3">
      <c r="A72" s="142"/>
      <c r="B72" s="143"/>
      <c r="C72" s="151" t="str">
        <f>IF(B72="","",IFERROR(INDEX('12 P6 activities'!$B$7:$B$206,MATCH(B72,'12 P6 activities'!$A$7:$A$206,0)),"ID not in P6 list"))</f>
        <v/>
      </c>
      <c r="D72" s="151" t="str">
        <f>IF(B72="","",IFERROR(INDEX('12 P6 activities'!$C$7:$C$206,MATCH(B72,'12 P6 activities'!$A$7:$A$206,0)),"⚠ not in P6 list"))</f>
        <v/>
      </c>
      <c r="E72" s="143"/>
      <c r="F72" s="147"/>
      <c r="G72" s="145" t="str">
        <f>IF(B72="","",IFERROR(INDEX('12 P6 activities'!$E$7:$E$206,MATCH(B72,'12 P6 activities'!$A$7:$A$206,0)),""))</f>
        <v/>
      </c>
      <c r="H72" s="143"/>
      <c r="I72" s="143"/>
      <c r="J72" s="6"/>
      <c r="K72" s="6"/>
      <c r="L72" s="6"/>
      <c r="M72" s="6"/>
      <c r="N72" s="6"/>
      <c r="O72" s="6"/>
      <c r="P72" s="6"/>
      <c r="Q72" s="6"/>
      <c r="R72" s="6"/>
      <c r="S72" s="6"/>
      <c r="T72" s="6"/>
      <c r="U72" s="6"/>
      <c r="V72" s="6"/>
      <c r="W72" s="6"/>
      <c r="X72" s="6"/>
      <c r="Y72" s="6"/>
      <c r="Z72" s="6"/>
    </row>
    <row r="73" spans="1:26" ht="18" customHeight="1" x14ac:dyDescent="0.3">
      <c r="A73" s="142"/>
      <c r="B73" s="143"/>
      <c r="C73" s="151" t="str">
        <f>IF(B73="","",IFERROR(INDEX('12 P6 activities'!$B$7:$B$206,MATCH(B73,'12 P6 activities'!$A$7:$A$206,0)),"ID not in P6 list"))</f>
        <v/>
      </c>
      <c r="D73" s="151" t="str">
        <f>IF(B73="","",IFERROR(INDEX('12 P6 activities'!$C$7:$C$206,MATCH(B73,'12 P6 activities'!$A$7:$A$206,0)),"⚠ not in P6 list"))</f>
        <v/>
      </c>
      <c r="E73" s="143"/>
      <c r="F73" s="147"/>
      <c r="G73" s="145" t="str">
        <f>IF(B73="","",IFERROR(INDEX('12 P6 activities'!$E$7:$E$206,MATCH(B73,'12 P6 activities'!$A$7:$A$206,0)),""))</f>
        <v/>
      </c>
      <c r="H73" s="143"/>
      <c r="I73" s="143"/>
      <c r="J73" s="6"/>
      <c r="K73" s="6"/>
      <c r="L73" s="6"/>
      <c r="M73" s="6"/>
      <c r="N73" s="6"/>
      <c r="O73" s="6"/>
      <c r="P73" s="6"/>
      <c r="Q73" s="6"/>
      <c r="R73" s="6"/>
      <c r="S73" s="6"/>
      <c r="T73" s="6"/>
      <c r="U73" s="6"/>
      <c r="V73" s="6"/>
      <c r="W73" s="6"/>
      <c r="X73" s="6"/>
      <c r="Y73" s="6"/>
      <c r="Z73" s="6"/>
    </row>
    <row r="74" spans="1:26" ht="18" customHeight="1" x14ac:dyDescent="0.3">
      <c r="A74" s="142"/>
      <c r="B74" s="143"/>
      <c r="C74" s="151" t="str">
        <f>IF(B74="","",IFERROR(INDEX('12 P6 activities'!$B$7:$B$206,MATCH(B74,'12 P6 activities'!$A$7:$A$206,0)),"ID not in P6 list"))</f>
        <v/>
      </c>
      <c r="D74" s="151" t="str">
        <f>IF(B74="","",IFERROR(INDEX('12 P6 activities'!$C$7:$C$206,MATCH(B74,'12 P6 activities'!$A$7:$A$206,0)),"⚠ not in P6 list"))</f>
        <v/>
      </c>
      <c r="E74" s="143"/>
      <c r="F74" s="147"/>
      <c r="G74" s="145" t="str">
        <f>IF(B74="","",IFERROR(INDEX('12 P6 activities'!$E$7:$E$206,MATCH(B74,'12 P6 activities'!$A$7:$A$206,0)),""))</f>
        <v/>
      </c>
      <c r="H74" s="143"/>
      <c r="I74" s="143"/>
      <c r="J74" s="6"/>
      <c r="K74" s="6"/>
      <c r="L74" s="6"/>
      <c r="M74" s="6"/>
      <c r="N74" s="6"/>
      <c r="O74" s="6"/>
      <c r="P74" s="6"/>
      <c r="Q74" s="6"/>
      <c r="R74" s="6"/>
      <c r="S74" s="6"/>
      <c r="T74" s="6"/>
      <c r="U74" s="6"/>
      <c r="V74" s="6"/>
      <c r="W74" s="6"/>
      <c r="X74" s="6"/>
      <c r="Y74" s="6"/>
      <c r="Z74" s="6"/>
    </row>
    <row r="75" spans="1:26" ht="18" customHeight="1" x14ac:dyDescent="0.3">
      <c r="A75" s="142"/>
      <c r="B75" s="143"/>
      <c r="C75" s="151" t="str">
        <f>IF(B75="","",IFERROR(INDEX('12 P6 activities'!$B$7:$B$206,MATCH(B75,'12 P6 activities'!$A$7:$A$206,0)),"ID not in P6 list"))</f>
        <v/>
      </c>
      <c r="D75" s="151" t="str">
        <f>IF(B75="","",IFERROR(INDEX('12 P6 activities'!$C$7:$C$206,MATCH(B75,'12 P6 activities'!$A$7:$A$206,0)),"⚠ not in P6 list"))</f>
        <v/>
      </c>
      <c r="E75" s="143"/>
      <c r="F75" s="147"/>
      <c r="G75" s="145" t="str">
        <f>IF(B75="","",IFERROR(INDEX('12 P6 activities'!$E$7:$E$206,MATCH(B75,'12 P6 activities'!$A$7:$A$206,0)),""))</f>
        <v/>
      </c>
      <c r="H75" s="143"/>
      <c r="I75" s="143"/>
      <c r="J75" s="6"/>
      <c r="K75" s="6"/>
      <c r="L75" s="6"/>
      <c r="M75" s="6"/>
      <c r="N75" s="6"/>
      <c r="O75" s="6"/>
      <c r="P75" s="6"/>
      <c r="Q75" s="6"/>
      <c r="R75" s="6"/>
      <c r="S75" s="6"/>
      <c r="T75" s="6"/>
      <c r="U75" s="6"/>
      <c r="V75" s="6"/>
      <c r="W75" s="6"/>
      <c r="X75" s="6"/>
      <c r="Y75" s="6"/>
      <c r="Z75" s="6"/>
    </row>
    <row r="76" spans="1:26" ht="18" customHeight="1" x14ac:dyDescent="0.3">
      <c r="A76" s="142"/>
      <c r="B76" s="143"/>
      <c r="C76" s="151" t="str">
        <f>IF(B76="","",IFERROR(INDEX('12 P6 activities'!$B$7:$B$206,MATCH(B76,'12 P6 activities'!$A$7:$A$206,0)),"ID not in P6 list"))</f>
        <v/>
      </c>
      <c r="D76" s="151" t="str">
        <f>IF(B76="","",IFERROR(INDEX('12 P6 activities'!$C$7:$C$206,MATCH(B76,'12 P6 activities'!$A$7:$A$206,0)),"⚠ not in P6 list"))</f>
        <v/>
      </c>
      <c r="E76" s="143"/>
      <c r="F76" s="147"/>
      <c r="G76" s="145" t="str">
        <f>IF(B76="","",IFERROR(INDEX('12 P6 activities'!$E$7:$E$206,MATCH(B76,'12 P6 activities'!$A$7:$A$206,0)),""))</f>
        <v/>
      </c>
      <c r="H76" s="143"/>
      <c r="I76" s="143"/>
      <c r="J76" s="6"/>
      <c r="K76" s="6"/>
      <c r="L76" s="6"/>
      <c r="M76" s="6"/>
      <c r="N76" s="6"/>
      <c r="O76" s="6"/>
      <c r="P76" s="6"/>
      <c r="Q76" s="6"/>
      <c r="R76" s="6"/>
      <c r="S76" s="6"/>
      <c r="T76" s="6"/>
      <c r="U76" s="6"/>
      <c r="V76" s="6"/>
      <c r="W76" s="6"/>
      <c r="X76" s="6"/>
      <c r="Y76" s="6"/>
      <c r="Z76" s="6"/>
    </row>
    <row r="77" spans="1:26" ht="18" customHeight="1" x14ac:dyDescent="0.3">
      <c r="A77" s="142"/>
      <c r="B77" s="143"/>
      <c r="C77" s="151" t="str">
        <f>IF(B77="","",IFERROR(INDEX('12 P6 activities'!$B$7:$B$206,MATCH(B77,'12 P6 activities'!$A$7:$A$206,0)),"ID not in P6 list"))</f>
        <v/>
      </c>
      <c r="D77" s="151" t="str">
        <f>IF(B77="","",IFERROR(INDEX('12 P6 activities'!$C$7:$C$206,MATCH(B77,'12 P6 activities'!$A$7:$A$206,0)),"⚠ not in P6 list"))</f>
        <v/>
      </c>
      <c r="E77" s="143"/>
      <c r="F77" s="147"/>
      <c r="G77" s="145" t="str">
        <f>IF(B77="","",IFERROR(INDEX('12 P6 activities'!$E$7:$E$206,MATCH(B77,'12 P6 activities'!$A$7:$A$206,0)),""))</f>
        <v/>
      </c>
      <c r="H77" s="143"/>
      <c r="I77" s="143"/>
      <c r="J77" s="6"/>
      <c r="K77" s="6"/>
      <c r="L77" s="6"/>
      <c r="M77" s="6"/>
      <c r="N77" s="6"/>
      <c r="O77" s="6"/>
      <c r="P77" s="6"/>
      <c r="Q77" s="6"/>
      <c r="R77" s="6"/>
      <c r="S77" s="6"/>
      <c r="T77" s="6"/>
      <c r="U77" s="6"/>
      <c r="V77" s="6"/>
      <c r="W77" s="6"/>
      <c r="X77" s="6"/>
      <c r="Y77" s="6"/>
      <c r="Z77" s="6"/>
    </row>
    <row r="78" spans="1:26" ht="18" customHeight="1" x14ac:dyDescent="0.3">
      <c r="A78" s="142"/>
      <c r="B78" s="143"/>
      <c r="C78" s="151" t="str">
        <f>IF(B78="","",IFERROR(INDEX('12 P6 activities'!$B$7:$B$206,MATCH(B78,'12 P6 activities'!$A$7:$A$206,0)),"ID not in P6 list"))</f>
        <v/>
      </c>
      <c r="D78" s="151" t="str">
        <f>IF(B78="","",IFERROR(INDEX('12 P6 activities'!$C$7:$C$206,MATCH(B78,'12 P6 activities'!$A$7:$A$206,0)),"⚠ not in P6 list"))</f>
        <v/>
      </c>
      <c r="E78" s="143"/>
      <c r="F78" s="147"/>
      <c r="G78" s="145" t="str">
        <f>IF(B78="","",IFERROR(INDEX('12 P6 activities'!$E$7:$E$206,MATCH(B78,'12 P6 activities'!$A$7:$A$206,0)),""))</f>
        <v/>
      </c>
      <c r="H78" s="143"/>
      <c r="I78" s="143"/>
      <c r="J78" s="6"/>
      <c r="K78" s="6"/>
      <c r="L78" s="6"/>
      <c r="M78" s="6"/>
      <c r="N78" s="6"/>
      <c r="O78" s="6"/>
      <c r="P78" s="6"/>
      <c r="Q78" s="6"/>
      <c r="R78" s="6"/>
      <c r="S78" s="6"/>
      <c r="T78" s="6"/>
      <c r="U78" s="6"/>
      <c r="V78" s="6"/>
      <c r="W78" s="6"/>
      <c r="X78" s="6"/>
      <c r="Y78" s="6"/>
      <c r="Z78" s="6"/>
    </row>
    <row r="79" spans="1:26" ht="18" customHeight="1" x14ac:dyDescent="0.3">
      <c r="A79" s="142"/>
      <c r="B79" s="143"/>
      <c r="C79" s="151" t="str">
        <f>IF(B79="","",IFERROR(INDEX('12 P6 activities'!$B$7:$B$206,MATCH(B79,'12 P6 activities'!$A$7:$A$206,0)),"ID not in P6 list"))</f>
        <v/>
      </c>
      <c r="D79" s="151" t="str">
        <f>IF(B79="","",IFERROR(INDEX('12 P6 activities'!$C$7:$C$206,MATCH(B79,'12 P6 activities'!$A$7:$A$206,0)),"⚠ not in P6 list"))</f>
        <v/>
      </c>
      <c r="E79" s="143"/>
      <c r="F79" s="147"/>
      <c r="G79" s="145" t="str">
        <f>IF(B79="","",IFERROR(INDEX('12 P6 activities'!$E$7:$E$206,MATCH(B79,'12 P6 activities'!$A$7:$A$206,0)),""))</f>
        <v/>
      </c>
      <c r="H79" s="143"/>
      <c r="I79" s="143"/>
      <c r="J79" s="6"/>
      <c r="K79" s="6"/>
      <c r="L79" s="6"/>
      <c r="M79" s="6"/>
      <c r="N79" s="6"/>
      <c r="O79" s="6"/>
      <c r="P79" s="6"/>
      <c r="Q79" s="6"/>
      <c r="R79" s="6"/>
      <c r="S79" s="6"/>
      <c r="T79" s="6"/>
      <c r="U79" s="6"/>
      <c r="V79" s="6"/>
      <c r="W79" s="6"/>
      <c r="X79" s="6"/>
      <c r="Y79" s="6"/>
      <c r="Z79" s="6"/>
    </row>
    <row r="80" spans="1:26" ht="18" customHeight="1" x14ac:dyDescent="0.3">
      <c r="A80" s="142"/>
      <c r="B80" s="143"/>
      <c r="C80" s="151" t="str">
        <f>IF(B80="","",IFERROR(INDEX('12 P6 activities'!$B$7:$B$206,MATCH(B80,'12 P6 activities'!$A$7:$A$206,0)),"ID not in P6 list"))</f>
        <v/>
      </c>
      <c r="D80" s="151" t="str">
        <f>IF(B80="","",IFERROR(INDEX('12 P6 activities'!$C$7:$C$206,MATCH(B80,'12 P6 activities'!$A$7:$A$206,0)),"⚠ not in P6 list"))</f>
        <v/>
      </c>
      <c r="E80" s="143"/>
      <c r="F80" s="147"/>
      <c r="G80" s="145" t="str">
        <f>IF(B80="","",IFERROR(INDEX('12 P6 activities'!$E$7:$E$206,MATCH(B80,'12 P6 activities'!$A$7:$A$206,0)),""))</f>
        <v/>
      </c>
      <c r="H80" s="143"/>
      <c r="I80" s="143"/>
      <c r="J80" s="6"/>
      <c r="K80" s="6"/>
      <c r="L80" s="6"/>
      <c r="M80" s="6"/>
      <c r="N80" s="6"/>
      <c r="O80" s="6"/>
      <c r="P80" s="6"/>
      <c r="Q80" s="6"/>
      <c r="R80" s="6"/>
      <c r="S80" s="6"/>
      <c r="T80" s="6"/>
      <c r="U80" s="6"/>
      <c r="V80" s="6"/>
      <c r="W80" s="6"/>
      <c r="X80" s="6"/>
      <c r="Y80" s="6"/>
      <c r="Z80" s="6"/>
    </row>
    <row r="81" spans="1:26" ht="18" customHeight="1" x14ac:dyDescent="0.3">
      <c r="A81" s="142"/>
      <c r="B81" s="143"/>
      <c r="C81" s="151" t="str">
        <f>IF(B81="","",IFERROR(INDEX('12 P6 activities'!$B$7:$B$206,MATCH(B81,'12 P6 activities'!$A$7:$A$206,0)),"ID not in P6 list"))</f>
        <v/>
      </c>
      <c r="D81" s="151" t="str">
        <f>IF(B81="","",IFERROR(INDEX('12 P6 activities'!$C$7:$C$206,MATCH(B81,'12 P6 activities'!$A$7:$A$206,0)),"⚠ not in P6 list"))</f>
        <v/>
      </c>
      <c r="E81" s="143"/>
      <c r="F81" s="147"/>
      <c r="G81" s="145" t="str">
        <f>IF(B81="","",IFERROR(INDEX('12 P6 activities'!$E$7:$E$206,MATCH(B81,'12 P6 activities'!$A$7:$A$206,0)),""))</f>
        <v/>
      </c>
      <c r="H81" s="143"/>
      <c r="I81" s="143"/>
      <c r="J81" s="6"/>
      <c r="K81" s="6"/>
      <c r="L81" s="6"/>
      <c r="M81" s="6"/>
      <c r="N81" s="6"/>
      <c r="O81" s="6"/>
      <c r="P81" s="6"/>
      <c r="Q81" s="6"/>
      <c r="R81" s="6"/>
      <c r="S81" s="6"/>
      <c r="T81" s="6"/>
      <c r="U81" s="6"/>
      <c r="V81" s="6"/>
      <c r="W81" s="6"/>
      <c r="X81" s="6"/>
      <c r="Y81" s="6"/>
      <c r="Z81" s="6"/>
    </row>
    <row r="82" spans="1:26" ht="18" customHeight="1" x14ac:dyDescent="0.3">
      <c r="A82" s="142"/>
      <c r="B82" s="143"/>
      <c r="C82" s="151" t="str">
        <f>IF(B82="","",IFERROR(INDEX('12 P6 activities'!$B$7:$B$206,MATCH(B82,'12 P6 activities'!$A$7:$A$206,0)),"ID not in P6 list"))</f>
        <v/>
      </c>
      <c r="D82" s="151" t="str">
        <f>IF(B82="","",IFERROR(INDEX('12 P6 activities'!$C$7:$C$206,MATCH(B82,'12 P6 activities'!$A$7:$A$206,0)),"⚠ not in P6 list"))</f>
        <v/>
      </c>
      <c r="E82" s="143"/>
      <c r="F82" s="147"/>
      <c r="G82" s="145" t="str">
        <f>IF(B82="","",IFERROR(INDEX('12 P6 activities'!$E$7:$E$206,MATCH(B82,'12 P6 activities'!$A$7:$A$206,0)),""))</f>
        <v/>
      </c>
      <c r="H82" s="143"/>
      <c r="I82" s="143"/>
      <c r="J82" s="6"/>
      <c r="K82" s="6"/>
      <c r="L82" s="6"/>
      <c r="M82" s="6"/>
      <c r="N82" s="6"/>
      <c r="O82" s="6"/>
      <c r="P82" s="6"/>
      <c r="Q82" s="6"/>
      <c r="R82" s="6"/>
      <c r="S82" s="6"/>
      <c r="T82" s="6"/>
      <c r="U82" s="6"/>
      <c r="V82" s="6"/>
      <c r="W82" s="6"/>
      <c r="X82" s="6"/>
      <c r="Y82" s="6"/>
      <c r="Z82" s="6"/>
    </row>
    <row r="83" spans="1:26" ht="18" customHeight="1" x14ac:dyDescent="0.3">
      <c r="A83" s="142"/>
      <c r="B83" s="143"/>
      <c r="C83" s="151" t="str">
        <f>IF(B83="","",IFERROR(INDEX('12 P6 activities'!$B$7:$B$206,MATCH(B83,'12 P6 activities'!$A$7:$A$206,0)),"ID not in P6 list"))</f>
        <v/>
      </c>
      <c r="D83" s="151" t="str">
        <f>IF(B83="","",IFERROR(INDEX('12 P6 activities'!$C$7:$C$206,MATCH(B83,'12 P6 activities'!$A$7:$A$206,0)),"⚠ not in P6 list"))</f>
        <v/>
      </c>
      <c r="E83" s="143"/>
      <c r="F83" s="147"/>
      <c r="G83" s="145" t="str">
        <f>IF(B83="","",IFERROR(INDEX('12 P6 activities'!$E$7:$E$206,MATCH(B83,'12 P6 activities'!$A$7:$A$206,0)),""))</f>
        <v/>
      </c>
      <c r="H83" s="143"/>
      <c r="I83" s="143"/>
      <c r="J83" s="6"/>
      <c r="K83" s="6"/>
      <c r="L83" s="6"/>
      <c r="M83" s="6"/>
      <c r="N83" s="6"/>
      <c r="O83" s="6"/>
      <c r="P83" s="6"/>
      <c r="Q83" s="6"/>
      <c r="R83" s="6"/>
      <c r="S83" s="6"/>
      <c r="T83" s="6"/>
      <c r="U83" s="6"/>
      <c r="V83" s="6"/>
      <c r="W83" s="6"/>
      <c r="X83" s="6"/>
      <c r="Y83" s="6"/>
      <c r="Z83" s="6"/>
    </row>
    <row r="84" spans="1:26" ht="18" customHeight="1" x14ac:dyDescent="0.3">
      <c r="A84" s="142"/>
      <c r="B84" s="143"/>
      <c r="C84" s="151" t="str">
        <f>IF(B84="","",IFERROR(INDEX('12 P6 activities'!$B$7:$B$206,MATCH(B84,'12 P6 activities'!$A$7:$A$206,0)),"ID not in P6 list"))</f>
        <v/>
      </c>
      <c r="D84" s="151" t="str">
        <f>IF(B84="","",IFERROR(INDEX('12 P6 activities'!$C$7:$C$206,MATCH(B84,'12 P6 activities'!$A$7:$A$206,0)),"⚠ not in P6 list"))</f>
        <v/>
      </c>
      <c r="E84" s="143"/>
      <c r="F84" s="147"/>
      <c r="G84" s="145" t="str">
        <f>IF(B84="","",IFERROR(INDEX('12 P6 activities'!$E$7:$E$206,MATCH(B84,'12 P6 activities'!$A$7:$A$206,0)),""))</f>
        <v/>
      </c>
      <c r="H84" s="143"/>
      <c r="I84" s="143"/>
      <c r="J84" s="6"/>
      <c r="K84" s="6"/>
      <c r="L84" s="6"/>
      <c r="M84" s="6"/>
      <c r="N84" s="6"/>
      <c r="O84" s="6"/>
      <c r="P84" s="6"/>
      <c r="Q84" s="6"/>
      <c r="R84" s="6"/>
      <c r="S84" s="6"/>
      <c r="T84" s="6"/>
      <c r="U84" s="6"/>
      <c r="V84" s="6"/>
      <c r="W84" s="6"/>
      <c r="X84" s="6"/>
      <c r="Y84" s="6"/>
      <c r="Z84" s="6"/>
    </row>
    <row r="85" spans="1:26" ht="18" customHeight="1" x14ac:dyDescent="0.3">
      <c r="A85" s="142"/>
      <c r="B85" s="143"/>
      <c r="C85" s="151" t="str">
        <f>IF(B85="","",IFERROR(INDEX('12 P6 activities'!$B$7:$B$206,MATCH(B85,'12 P6 activities'!$A$7:$A$206,0)),"ID not in P6 list"))</f>
        <v/>
      </c>
      <c r="D85" s="151" t="str">
        <f>IF(B85="","",IFERROR(INDEX('12 P6 activities'!$C$7:$C$206,MATCH(B85,'12 P6 activities'!$A$7:$A$206,0)),"⚠ not in P6 list"))</f>
        <v/>
      </c>
      <c r="E85" s="143"/>
      <c r="F85" s="147"/>
      <c r="G85" s="145" t="str">
        <f>IF(B85="","",IFERROR(INDEX('12 P6 activities'!$E$7:$E$206,MATCH(B85,'12 P6 activities'!$A$7:$A$206,0)),""))</f>
        <v/>
      </c>
      <c r="H85" s="143"/>
      <c r="I85" s="143"/>
      <c r="J85" s="6"/>
      <c r="K85" s="6"/>
      <c r="L85" s="6"/>
      <c r="M85" s="6"/>
      <c r="N85" s="6"/>
      <c r="O85" s="6"/>
      <c r="P85" s="6"/>
      <c r="Q85" s="6"/>
      <c r="R85" s="6"/>
      <c r="S85" s="6"/>
      <c r="T85" s="6"/>
      <c r="U85" s="6"/>
      <c r="V85" s="6"/>
      <c r="W85" s="6"/>
      <c r="X85" s="6"/>
      <c r="Y85" s="6"/>
      <c r="Z85" s="6"/>
    </row>
    <row r="86" spans="1:26" ht="18" customHeight="1" x14ac:dyDescent="0.3">
      <c r="A86" s="142"/>
      <c r="B86" s="143"/>
      <c r="C86" s="151" t="str">
        <f>IF(B86="","",IFERROR(INDEX('12 P6 activities'!$B$7:$B$206,MATCH(B86,'12 P6 activities'!$A$7:$A$206,0)),"ID not in P6 list"))</f>
        <v/>
      </c>
      <c r="D86" s="151" t="str">
        <f>IF(B86="","",IFERROR(INDEX('12 P6 activities'!$C$7:$C$206,MATCH(B86,'12 P6 activities'!$A$7:$A$206,0)),"⚠ not in P6 list"))</f>
        <v/>
      </c>
      <c r="E86" s="143"/>
      <c r="F86" s="147"/>
      <c r="G86" s="145" t="str">
        <f>IF(B86="","",IFERROR(INDEX('12 P6 activities'!$E$7:$E$206,MATCH(B86,'12 P6 activities'!$A$7:$A$206,0)),""))</f>
        <v/>
      </c>
      <c r="H86" s="143"/>
      <c r="I86" s="143"/>
      <c r="J86" s="6"/>
      <c r="K86" s="6"/>
      <c r="L86" s="6"/>
      <c r="M86" s="6"/>
      <c r="N86" s="6"/>
      <c r="O86" s="6"/>
      <c r="P86" s="6"/>
      <c r="Q86" s="6"/>
      <c r="R86" s="6"/>
      <c r="S86" s="6"/>
      <c r="T86" s="6"/>
      <c r="U86" s="6"/>
      <c r="V86" s="6"/>
      <c r="W86" s="6"/>
      <c r="X86" s="6"/>
      <c r="Y86" s="6"/>
      <c r="Z86" s="6"/>
    </row>
    <row r="87" spans="1:26" ht="18" customHeight="1" x14ac:dyDescent="0.3">
      <c r="A87" s="142"/>
      <c r="B87" s="143"/>
      <c r="C87" s="151" t="str">
        <f>IF(B87="","",IFERROR(INDEX('12 P6 activities'!$B$7:$B$206,MATCH(B87,'12 P6 activities'!$A$7:$A$206,0)),"ID not in P6 list"))</f>
        <v/>
      </c>
      <c r="D87" s="151" t="str">
        <f>IF(B87="","",IFERROR(INDEX('12 P6 activities'!$C$7:$C$206,MATCH(B87,'12 P6 activities'!$A$7:$A$206,0)),"⚠ not in P6 list"))</f>
        <v/>
      </c>
      <c r="E87" s="143"/>
      <c r="F87" s="147"/>
      <c r="G87" s="145" t="str">
        <f>IF(B87="","",IFERROR(INDEX('12 P6 activities'!$E$7:$E$206,MATCH(B87,'12 P6 activities'!$A$7:$A$206,0)),""))</f>
        <v/>
      </c>
      <c r="H87" s="143"/>
      <c r="I87" s="143"/>
      <c r="J87" s="6"/>
      <c r="K87" s="6"/>
      <c r="L87" s="6"/>
      <c r="M87" s="6"/>
      <c r="N87" s="6"/>
      <c r="O87" s="6"/>
      <c r="P87" s="6"/>
      <c r="Q87" s="6"/>
      <c r="R87" s="6"/>
      <c r="S87" s="6"/>
      <c r="T87" s="6"/>
      <c r="U87" s="6"/>
      <c r="V87" s="6"/>
      <c r="W87" s="6"/>
      <c r="X87" s="6"/>
      <c r="Y87" s="6"/>
      <c r="Z87" s="6"/>
    </row>
    <row r="88" spans="1:26" ht="18" customHeight="1" x14ac:dyDescent="0.3">
      <c r="A88" s="142"/>
      <c r="B88" s="143"/>
      <c r="C88" s="151" t="str">
        <f>IF(B88="","",IFERROR(INDEX('12 P6 activities'!$B$7:$B$206,MATCH(B88,'12 P6 activities'!$A$7:$A$206,0)),"ID not in P6 list"))</f>
        <v/>
      </c>
      <c r="D88" s="151" t="str">
        <f>IF(B88="","",IFERROR(INDEX('12 P6 activities'!$C$7:$C$206,MATCH(B88,'12 P6 activities'!$A$7:$A$206,0)),"⚠ not in P6 list"))</f>
        <v/>
      </c>
      <c r="E88" s="143"/>
      <c r="F88" s="147"/>
      <c r="G88" s="145" t="str">
        <f>IF(B88="","",IFERROR(INDEX('12 P6 activities'!$E$7:$E$206,MATCH(B88,'12 P6 activities'!$A$7:$A$206,0)),""))</f>
        <v/>
      </c>
      <c r="H88" s="143"/>
      <c r="I88" s="143"/>
      <c r="J88" s="6"/>
      <c r="K88" s="6"/>
      <c r="L88" s="6"/>
      <c r="M88" s="6"/>
      <c r="N88" s="6"/>
      <c r="O88" s="6"/>
      <c r="P88" s="6"/>
      <c r="Q88" s="6"/>
      <c r="R88" s="6"/>
      <c r="S88" s="6"/>
      <c r="T88" s="6"/>
      <c r="U88" s="6"/>
      <c r="V88" s="6"/>
      <c r="W88" s="6"/>
      <c r="X88" s="6"/>
      <c r="Y88" s="6"/>
      <c r="Z88" s="6"/>
    </row>
    <row r="89" spans="1:26" ht="18" customHeight="1" x14ac:dyDescent="0.3">
      <c r="A89" s="142"/>
      <c r="B89" s="143"/>
      <c r="C89" s="151" t="str">
        <f>IF(B89="","",IFERROR(INDEX('12 P6 activities'!$B$7:$B$206,MATCH(B89,'12 P6 activities'!$A$7:$A$206,0)),"ID not in P6 list"))</f>
        <v/>
      </c>
      <c r="D89" s="151" t="str">
        <f>IF(B89="","",IFERROR(INDEX('12 P6 activities'!$C$7:$C$206,MATCH(B89,'12 P6 activities'!$A$7:$A$206,0)),"⚠ not in P6 list"))</f>
        <v/>
      </c>
      <c r="E89" s="143"/>
      <c r="F89" s="147"/>
      <c r="G89" s="145" t="str">
        <f>IF(B89="","",IFERROR(INDEX('12 P6 activities'!$E$7:$E$206,MATCH(B89,'12 P6 activities'!$A$7:$A$206,0)),""))</f>
        <v/>
      </c>
      <c r="H89" s="143"/>
      <c r="I89" s="143"/>
      <c r="J89" s="6"/>
      <c r="K89" s="6"/>
      <c r="L89" s="6"/>
      <c r="M89" s="6"/>
      <c r="N89" s="6"/>
      <c r="O89" s="6"/>
      <c r="P89" s="6"/>
      <c r="Q89" s="6"/>
      <c r="R89" s="6"/>
      <c r="S89" s="6"/>
      <c r="T89" s="6"/>
      <c r="U89" s="6"/>
      <c r="V89" s="6"/>
      <c r="W89" s="6"/>
      <c r="X89" s="6"/>
      <c r="Y89" s="6"/>
      <c r="Z89" s="6"/>
    </row>
    <row r="90" spans="1:26" ht="18" customHeight="1" x14ac:dyDescent="0.3">
      <c r="A90" s="142"/>
      <c r="B90" s="143"/>
      <c r="C90" s="151" t="str">
        <f>IF(B90="","",IFERROR(INDEX('12 P6 activities'!$B$7:$B$206,MATCH(B90,'12 P6 activities'!$A$7:$A$206,0)),"ID not in P6 list"))</f>
        <v/>
      </c>
      <c r="D90" s="151" t="str">
        <f>IF(B90="","",IFERROR(INDEX('12 P6 activities'!$C$7:$C$206,MATCH(B90,'12 P6 activities'!$A$7:$A$206,0)),"⚠ not in P6 list"))</f>
        <v/>
      </c>
      <c r="E90" s="143"/>
      <c r="F90" s="147"/>
      <c r="G90" s="145" t="str">
        <f>IF(B90="","",IFERROR(INDEX('12 P6 activities'!$E$7:$E$206,MATCH(B90,'12 P6 activities'!$A$7:$A$206,0)),""))</f>
        <v/>
      </c>
      <c r="H90" s="143"/>
      <c r="I90" s="143"/>
      <c r="J90" s="6"/>
      <c r="K90" s="6"/>
      <c r="L90" s="6"/>
      <c r="M90" s="6"/>
      <c r="N90" s="6"/>
      <c r="O90" s="6"/>
      <c r="P90" s="6"/>
      <c r="Q90" s="6"/>
      <c r="R90" s="6"/>
      <c r="S90" s="6"/>
      <c r="T90" s="6"/>
      <c r="U90" s="6"/>
      <c r="V90" s="6"/>
      <c r="W90" s="6"/>
      <c r="X90" s="6"/>
      <c r="Y90" s="6"/>
      <c r="Z90" s="6"/>
    </row>
    <row r="91" spans="1:26" ht="18" customHeight="1" x14ac:dyDescent="0.3">
      <c r="A91" s="142"/>
      <c r="B91" s="143"/>
      <c r="C91" s="151" t="str">
        <f>IF(B91="","",IFERROR(INDEX('12 P6 activities'!$B$7:$B$206,MATCH(B91,'12 P6 activities'!$A$7:$A$206,0)),"ID not in P6 list"))</f>
        <v/>
      </c>
      <c r="D91" s="151" t="str">
        <f>IF(B91="","",IFERROR(INDEX('12 P6 activities'!$C$7:$C$206,MATCH(B91,'12 P6 activities'!$A$7:$A$206,0)),"⚠ not in P6 list"))</f>
        <v/>
      </c>
      <c r="E91" s="143"/>
      <c r="F91" s="147"/>
      <c r="G91" s="145" t="str">
        <f>IF(B91="","",IFERROR(INDEX('12 P6 activities'!$E$7:$E$206,MATCH(B91,'12 P6 activities'!$A$7:$A$206,0)),""))</f>
        <v/>
      </c>
      <c r="H91" s="143"/>
      <c r="I91" s="143"/>
      <c r="J91" s="6"/>
      <c r="K91" s="6"/>
      <c r="L91" s="6"/>
      <c r="M91" s="6"/>
      <c r="N91" s="6"/>
      <c r="O91" s="6"/>
      <c r="P91" s="6"/>
      <c r="Q91" s="6"/>
      <c r="R91" s="6"/>
      <c r="S91" s="6"/>
      <c r="T91" s="6"/>
      <c r="U91" s="6"/>
      <c r="V91" s="6"/>
      <c r="W91" s="6"/>
      <c r="X91" s="6"/>
      <c r="Y91" s="6"/>
      <c r="Z91" s="6"/>
    </row>
    <row r="92" spans="1:26" ht="18" customHeight="1" x14ac:dyDescent="0.3">
      <c r="A92" s="142"/>
      <c r="B92" s="143"/>
      <c r="C92" s="151" t="str">
        <f>IF(B92="","",IFERROR(INDEX('12 P6 activities'!$B$7:$B$206,MATCH(B92,'12 P6 activities'!$A$7:$A$206,0)),"ID not in P6 list"))</f>
        <v/>
      </c>
      <c r="D92" s="151" t="str">
        <f>IF(B92="","",IFERROR(INDEX('12 P6 activities'!$C$7:$C$206,MATCH(B92,'12 P6 activities'!$A$7:$A$206,0)),"⚠ not in P6 list"))</f>
        <v/>
      </c>
      <c r="E92" s="143"/>
      <c r="F92" s="147"/>
      <c r="G92" s="145" t="str">
        <f>IF(B92="","",IFERROR(INDEX('12 P6 activities'!$E$7:$E$206,MATCH(B92,'12 P6 activities'!$A$7:$A$206,0)),""))</f>
        <v/>
      </c>
      <c r="H92" s="143"/>
      <c r="I92" s="143"/>
      <c r="J92" s="6"/>
      <c r="K92" s="6"/>
      <c r="L92" s="6"/>
      <c r="M92" s="6"/>
      <c r="N92" s="6"/>
      <c r="O92" s="6"/>
      <c r="P92" s="6"/>
      <c r="Q92" s="6"/>
      <c r="R92" s="6"/>
      <c r="S92" s="6"/>
      <c r="T92" s="6"/>
      <c r="U92" s="6"/>
      <c r="V92" s="6"/>
      <c r="W92" s="6"/>
      <c r="X92" s="6"/>
      <c r="Y92" s="6"/>
      <c r="Z92" s="6"/>
    </row>
    <row r="93" spans="1:26" ht="18" customHeight="1" x14ac:dyDescent="0.3">
      <c r="A93" s="142"/>
      <c r="B93" s="143"/>
      <c r="C93" s="151" t="str">
        <f>IF(B93="","",IFERROR(INDEX('12 P6 activities'!$B$7:$B$206,MATCH(B93,'12 P6 activities'!$A$7:$A$206,0)),"ID not in P6 list"))</f>
        <v/>
      </c>
      <c r="D93" s="151" t="str">
        <f>IF(B93="","",IFERROR(INDEX('12 P6 activities'!$C$7:$C$206,MATCH(B93,'12 P6 activities'!$A$7:$A$206,0)),"⚠ not in P6 list"))</f>
        <v/>
      </c>
      <c r="E93" s="143"/>
      <c r="F93" s="147"/>
      <c r="G93" s="145" t="str">
        <f>IF(B93="","",IFERROR(INDEX('12 P6 activities'!$E$7:$E$206,MATCH(B93,'12 P6 activities'!$A$7:$A$206,0)),""))</f>
        <v/>
      </c>
      <c r="H93" s="143"/>
      <c r="I93" s="143"/>
      <c r="J93" s="6"/>
      <c r="K93" s="6"/>
      <c r="L93" s="6"/>
      <c r="M93" s="6"/>
      <c r="N93" s="6"/>
      <c r="O93" s="6"/>
      <c r="P93" s="6"/>
      <c r="Q93" s="6"/>
      <c r="R93" s="6"/>
      <c r="S93" s="6"/>
      <c r="T93" s="6"/>
      <c r="U93" s="6"/>
      <c r="V93" s="6"/>
      <c r="W93" s="6"/>
      <c r="X93" s="6"/>
      <c r="Y93" s="6"/>
      <c r="Z93" s="6"/>
    </row>
    <row r="94" spans="1:26" ht="18" customHeight="1" x14ac:dyDescent="0.3">
      <c r="A94" s="142"/>
      <c r="B94" s="143"/>
      <c r="C94" s="151" t="str">
        <f>IF(B94="","",IFERROR(INDEX('12 P6 activities'!$B$7:$B$206,MATCH(B94,'12 P6 activities'!$A$7:$A$206,0)),"ID not in P6 list"))</f>
        <v/>
      </c>
      <c r="D94" s="151" t="str">
        <f>IF(B94="","",IFERROR(INDEX('12 P6 activities'!$C$7:$C$206,MATCH(B94,'12 P6 activities'!$A$7:$A$206,0)),"⚠ not in P6 list"))</f>
        <v/>
      </c>
      <c r="E94" s="143"/>
      <c r="F94" s="147"/>
      <c r="G94" s="145" t="str">
        <f>IF(B94="","",IFERROR(INDEX('12 P6 activities'!$E$7:$E$206,MATCH(B94,'12 P6 activities'!$A$7:$A$206,0)),""))</f>
        <v/>
      </c>
      <c r="H94" s="143"/>
      <c r="I94" s="143"/>
      <c r="J94" s="6"/>
      <c r="K94" s="6"/>
      <c r="L94" s="6"/>
      <c r="M94" s="6"/>
      <c r="N94" s="6"/>
      <c r="O94" s="6"/>
      <c r="P94" s="6"/>
      <c r="Q94" s="6"/>
      <c r="R94" s="6"/>
      <c r="S94" s="6"/>
      <c r="T94" s="6"/>
      <c r="U94" s="6"/>
      <c r="V94" s="6"/>
      <c r="W94" s="6"/>
      <c r="X94" s="6"/>
      <c r="Y94" s="6"/>
      <c r="Z94" s="6"/>
    </row>
    <row r="95" spans="1:26" ht="18" customHeight="1" x14ac:dyDescent="0.3">
      <c r="A95" s="142"/>
      <c r="B95" s="143"/>
      <c r="C95" s="151" t="str">
        <f>IF(B95="","",IFERROR(INDEX('12 P6 activities'!$B$7:$B$206,MATCH(B95,'12 P6 activities'!$A$7:$A$206,0)),"ID not in P6 list"))</f>
        <v/>
      </c>
      <c r="D95" s="151" t="str">
        <f>IF(B95="","",IFERROR(INDEX('12 P6 activities'!$C$7:$C$206,MATCH(B95,'12 P6 activities'!$A$7:$A$206,0)),"⚠ not in P6 list"))</f>
        <v/>
      </c>
      <c r="E95" s="143"/>
      <c r="F95" s="147"/>
      <c r="G95" s="145" t="str">
        <f>IF(B95="","",IFERROR(INDEX('12 P6 activities'!$E$7:$E$206,MATCH(B95,'12 P6 activities'!$A$7:$A$206,0)),""))</f>
        <v/>
      </c>
      <c r="H95" s="143"/>
      <c r="I95" s="143"/>
      <c r="J95" s="6"/>
      <c r="K95" s="6"/>
      <c r="L95" s="6"/>
      <c r="M95" s="6"/>
      <c r="N95" s="6"/>
      <c r="O95" s="6"/>
      <c r="P95" s="6"/>
      <c r="Q95" s="6"/>
      <c r="R95" s="6"/>
      <c r="S95" s="6"/>
      <c r="T95" s="6"/>
      <c r="U95" s="6"/>
      <c r="V95" s="6"/>
      <c r="W95" s="6"/>
      <c r="X95" s="6"/>
      <c r="Y95" s="6"/>
      <c r="Z95" s="6"/>
    </row>
    <row r="96" spans="1:26" ht="18" customHeight="1" x14ac:dyDescent="0.3">
      <c r="A96" s="142"/>
      <c r="B96" s="143"/>
      <c r="C96" s="151" t="str">
        <f>IF(B96="","",IFERROR(INDEX('12 P6 activities'!$B$7:$B$206,MATCH(B96,'12 P6 activities'!$A$7:$A$206,0)),"ID not in P6 list"))</f>
        <v/>
      </c>
      <c r="D96" s="151" t="str">
        <f>IF(B96="","",IFERROR(INDEX('12 P6 activities'!$C$7:$C$206,MATCH(B96,'12 P6 activities'!$A$7:$A$206,0)),"⚠ not in P6 list"))</f>
        <v/>
      </c>
      <c r="E96" s="143"/>
      <c r="F96" s="147"/>
      <c r="G96" s="145" t="str">
        <f>IF(B96="","",IFERROR(INDEX('12 P6 activities'!$E$7:$E$206,MATCH(B96,'12 P6 activities'!$A$7:$A$206,0)),""))</f>
        <v/>
      </c>
      <c r="H96" s="143"/>
      <c r="I96" s="143"/>
      <c r="J96" s="6"/>
      <c r="K96" s="6"/>
      <c r="L96" s="6"/>
      <c r="M96" s="6"/>
      <c r="N96" s="6"/>
      <c r="O96" s="6"/>
      <c r="P96" s="6"/>
      <c r="Q96" s="6"/>
      <c r="R96" s="6"/>
      <c r="S96" s="6"/>
      <c r="T96" s="6"/>
      <c r="U96" s="6"/>
      <c r="V96" s="6"/>
      <c r="W96" s="6"/>
      <c r="X96" s="6"/>
      <c r="Y96" s="6"/>
      <c r="Z96" s="6"/>
    </row>
    <row r="97" spans="1:26" ht="18" customHeight="1" x14ac:dyDescent="0.3">
      <c r="A97" s="142"/>
      <c r="B97" s="143"/>
      <c r="C97" s="151" t="str">
        <f>IF(B97="","",IFERROR(INDEX('12 P6 activities'!$B$7:$B$206,MATCH(B97,'12 P6 activities'!$A$7:$A$206,0)),"ID not in P6 list"))</f>
        <v/>
      </c>
      <c r="D97" s="151" t="str">
        <f>IF(B97="","",IFERROR(INDEX('12 P6 activities'!$C$7:$C$206,MATCH(B97,'12 P6 activities'!$A$7:$A$206,0)),"⚠ not in P6 list"))</f>
        <v/>
      </c>
      <c r="E97" s="143"/>
      <c r="F97" s="147"/>
      <c r="G97" s="145" t="str">
        <f>IF(B97="","",IFERROR(INDEX('12 P6 activities'!$E$7:$E$206,MATCH(B97,'12 P6 activities'!$A$7:$A$206,0)),""))</f>
        <v/>
      </c>
      <c r="H97" s="143"/>
      <c r="I97" s="143"/>
      <c r="J97" s="6"/>
      <c r="K97" s="6"/>
      <c r="L97" s="6"/>
      <c r="M97" s="6"/>
      <c r="N97" s="6"/>
      <c r="O97" s="6"/>
      <c r="P97" s="6"/>
      <c r="Q97" s="6"/>
      <c r="R97" s="6"/>
      <c r="S97" s="6"/>
      <c r="T97" s="6"/>
      <c r="U97" s="6"/>
      <c r="V97" s="6"/>
      <c r="W97" s="6"/>
      <c r="X97" s="6"/>
      <c r="Y97" s="6"/>
      <c r="Z97" s="6"/>
    </row>
    <row r="98" spans="1:26" ht="18" customHeight="1" x14ac:dyDescent="0.3">
      <c r="A98" s="142"/>
      <c r="B98" s="143"/>
      <c r="C98" s="151" t="str">
        <f>IF(B98="","",IFERROR(INDEX('12 P6 activities'!$B$7:$B$206,MATCH(B98,'12 P6 activities'!$A$7:$A$206,0)),"ID not in P6 list"))</f>
        <v/>
      </c>
      <c r="D98" s="151" t="str">
        <f>IF(B98="","",IFERROR(INDEX('12 P6 activities'!$C$7:$C$206,MATCH(B98,'12 P6 activities'!$A$7:$A$206,0)),"⚠ not in P6 list"))</f>
        <v/>
      </c>
      <c r="E98" s="143"/>
      <c r="F98" s="147"/>
      <c r="G98" s="145" t="str">
        <f>IF(B98="","",IFERROR(INDEX('12 P6 activities'!$E$7:$E$206,MATCH(B98,'12 P6 activities'!$A$7:$A$206,0)),""))</f>
        <v/>
      </c>
      <c r="H98" s="143"/>
      <c r="I98" s="143"/>
      <c r="J98" s="6"/>
      <c r="K98" s="6"/>
      <c r="L98" s="6"/>
      <c r="M98" s="6"/>
      <c r="N98" s="6"/>
      <c r="O98" s="6"/>
      <c r="P98" s="6"/>
      <c r="Q98" s="6"/>
      <c r="R98" s="6"/>
      <c r="S98" s="6"/>
      <c r="T98" s="6"/>
      <c r="U98" s="6"/>
      <c r="V98" s="6"/>
      <c r="W98" s="6"/>
      <c r="X98" s="6"/>
      <c r="Y98" s="6"/>
      <c r="Z98" s="6"/>
    </row>
    <row r="99" spans="1:26" ht="18" customHeight="1" x14ac:dyDescent="0.3">
      <c r="A99" s="142"/>
      <c r="B99" s="143"/>
      <c r="C99" s="151" t="str">
        <f>IF(B99="","",IFERROR(INDEX('12 P6 activities'!$B$7:$B$206,MATCH(B99,'12 P6 activities'!$A$7:$A$206,0)),"ID not in P6 list"))</f>
        <v/>
      </c>
      <c r="D99" s="151" t="str">
        <f>IF(B99="","",IFERROR(INDEX('12 P6 activities'!$C$7:$C$206,MATCH(B99,'12 P6 activities'!$A$7:$A$206,0)),"⚠ not in P6 list"))</f>
        <v/>
      </c>
      <c r="E99" s="143"/>
      <c r="F99" s="147"/>
      <c r="G99" s="145" t="str">
        <f>IF(B99="","",IFERROR(INDEX('12 P6 activities'!$E$7:$E$206,MATCH(B99,'12 P6 activities'!$A$7:$A$206,0)),""))</f>
        <v/>
      </c>
      <c r="H99" s="143"/>
      <c r="I99" s="143"/>
      <c r="J99" s="6"/>
      <c r="K99" s="6"/>
      <c r="L99" s="6"/>
      <c r="M99" s="6"/>
      <c r="N99" s="6"/>
      <c r="O99" s="6"/>
      <c r="P99" s="6"/>
      <c r="Q99" s="6"/>
      <c r="R99" s="6"/>
      <c r="S99" s="6"/>
      <c r="T99" s="6"/>
      <c r="U99" s="6"/>
      <c r="V99" s="6"/>
      <c r="W99" s="6"/>
      <c r="X99" s="6"/>
      <c r="Y99" s="6"/>
      <c r="Z99" s="6"/>
    </row>
    <row r="100" spans="1:26" ht="18" customHeight="1" x14ac:dyDescent="0.3">
      <c r="A100" s="142"/>
      <c r="B100" s="143"/>
      <c r="C100" s="151" t="str">
        <f>IF(B100="","",IFERROR(INDEX('12 P6 activities'!$B$7:$B$206,MATCH(B100,'12 P6 activities'!$A$7:$A$206,0)),"ID not in P6 list"))</f>
        <v/>
      </c>
      <c r="D100" s="151" t="str">
        <f>IF(B100="","",IFERROR(INDEX('12 P6 activities'!$C$7:$C$206,MATCH(B100,'12 P6 activities'!$A$7:$A$206,0)),"⚠ not in P6 list"))</f>
        <v/>
      </c>
      <c r="E100" s="143"/>
      <c r="F100" s="147"/>
      <c r="G100" s="145" t="str">
        <f>IF(B100="","",IFERROR(INDEX('12 P6 activities'!$E$7:$E$206,MATCH(B100,'12 P6 activities'!$A$7:$A$206,0)),""))</f>
        <v/>
      </c>
      <c r="H100" s="143"/>
      <c r="I100" s="143"/>
      <c r="J100" s="6"/>
      <c r="K100" s="6"/>
      <c r="L100" s="6"/>
      <c r="M100" s="6"/>
      <c r="N100" s="6"/>
      <c r="O100" s="6"/>
      <c r="P100" s="6"/>
      <c r="Q100" s="6"/>
      <c r="R100" s="6"/>
      <c r="S100" s="6"/>
      <c r="T100" s="6"/>
      <c r="U100" s="6"/>
      <c r="V100" s="6"/>
      <c r="W100" s="6"/>
      <c r="X100" s="6"/>
      <c r="Y100" s="6"/>
      <c r="Z100" s="6"/>
    </row>
    <row r="101" spans="1:26" ht="18" customHeight="1" x14ac:dyDescent="0.3">
      <c r="A101" s="142"/>
      <c r="B101" s="143"/>
      <c r="C101" s="151" t="str">
        <f>IF(B101="","",IFERROR(INDEX('12 P6 activities'!$B$7:$B$206,MATCH(B101,'12 P6 activities'!$A$7:$A$206,0)),"ID not in P6 list"))</f>
        <v/>
      </c>
      <c r="D101" s="151" t="str">
        <f>IF(B101="","",IFERROR(INDEX('12 P6 activities'!$C$7:$C$206,MATCH(B101,'12 P6 activities'!$A$7:$A$206,0)),"⚠ not in P6 list"))</f>
        <v/>
      </c>
      <c r="E101" s="143"/>
      <c r="F101" s="147"/>
      <c r="G101" s="145" t="str">
        <f>IF(B101="","",IFERROR(INDEX('12 P6 activities'!$E$7:$E$206,MATCH(B101,'12 P6 activities'!$A$7:$A$206,0)),""))</f>
        <v/>
      </c>
      <c r="H101" s="143"/>
      <c r="I101" s="143"/>
      <c r="J101" s="6"/>
      <c r="K101" s="6"/>
      <c r="L101" s="6"/>
      <c r="M101" s="6"/>
      <c r="N101" s="6"/>
      <c r="O101" s="6"/>
      <c r="P101" s="6"/>
      <c r="Q101" s="6"/>
      <c r="R101" s="6"/>
      <c r="S101" s="6"/>
      <c r="T101" s="6"/>
      <c r="U101" s="6"/>
      <c r="V101" s="6"/>
      <c r="W101" s="6"/>
      <c r="X101" s="6"/>
      <c r="Y101" s="6"/>
      <c r="Z101" s="6"/>
    </row>
    <row r="102" spans="1:26" ht="18" customHeight="1" x14ac:dyDescent="0.3">
      <c r="A102" s="142"/>
      <c r="B102" s="143"/>
      <c r="C102" s="151" t="str">
        <f>IF(B102="","",IFERROR(INDEX('12 P6 activities'!$B$7:$B$206,MATCH(B102,'12 P6 activities'!$A$7:$A$206,0)),"ID not in P6 list"))</f>
        <v/>
      </c>
      <c r="D102" s="151" t="str">
        <f>IF(B102="","",IFERROR(INDEX('12 P6 activities'!$C$7:$C$206,MATCH(B102,'12 P6 activities'!$A$7:$A$206,0)),"⚠ not in P6 list"))</f>
        <v/>
      </c>
      <c r="E102" s="143"/>
      <c r="F102" s="147"/>
      <c r="G102" s="145" t="str">
        <f>IF(B102="","",IFERROR(INDEX('12 P6 activities'!$E$7:$E$206,MATCH(B102,'12 P6 activities'!$A$7:$A$206,0)),""))</f>
        <v/>
      </c>
      <c r="H102" s="143"/>
      <c r="I102" s="143"/>
      <c r="J102" s="6"/>
      <c r="K102" s="6"/>
      <c r="L102" s="6"/>
      <c r="M102" s="6"/>
      <c r="N102" s="6"/>
      <c r="O102" s="6"/>
      <c r="P102" s="6"/>
      <c r="Q102" s="6"/>
      <c r="R102" s="6"/>
      <c r="S102" s="6"/>
      <c r="T102" s="6"/>
      <c r="U102" s="6"/>
      <c r="V102" s="6"/>
      <c r="W102" s="6"/>
      <c r="X102" s="6"/>
      <c r="Y102" s="6"/>
      <c r="Z102" s="6"/>
    </row>
    <row r="103" spans="1:26" ht="18" customHeight="1" x14ac:dyDescent="0.3">
      <c r="A103" s="142"/>
      <c r="B103" s="143"/>
      <c r="C103" s="151" t="str">
        <f>IF(B103="","",IFERROR(INDEX('12 P6 activities'!$B$7:$B$206,MATCH(B103,'12 P6 activities'!$A$7:$A$206,0)),"ID not in P6 list"))</f>
        <v/>
      </c>
      <c r="D103" s="151" t="str">
        <f>IF(B103="","",IFERROR(INDEX('12 P6 activities'!$C$7:$C$206,MATCH(B103,'12 P6 activities'!$A$7:$A$206,0)),"⚠ not in P6 list"))</f>
        <v/>
      </c>
      <c r="E103" s="143"/>
      <c r="F103" s="147"/>
      <c r="G103" s="145" t="str">
        <f>IF(B103="","",IFERROR(INDEX('12 P6 activities'!$E$7:$E$206,MATCH(B103,'12 P6 activities'!$A$7:$A$206,0)),""))</f>
        <v/>
      </c>
      <c r="H103" s="143"/>
      <c r="I103" s="143"/>
      <c r="J103" s="6"/>
      <c r="K103" s="6"/>
      <c r="L103" s="6"/>
      <c r="M103" s="6"/>
      <c r="N103" s="6"/>
      <c r="O103" s="6"/>
      <c r="P103" s="6"/>
      <c r="Q103" s="6"/>
      <c r="R103" s="6"/>
      <c r="S103" s="6"/>
      <c r="T103" s="6"/>
      <c r="U103" s="6"/>
      <c r="V103" s="6"/>
      <c r="W103" s="6"/>
      <c r="X103" s="6"/>
      <c r="Y103" s="6"/>
      <c r="Z103" s="6"/>
    </row>
    <row r="104" spans="1:26" ht="18" customHeight="1" x14ac:dyDescent="0.3">
      <c r="A104" s="142"/>
      <c r="B104" s="143"/>
      <c r="C104" s="151" t="str">
        <f>IF(B104="","",IFERROR(INDEX('12 P6 activities'!$B$7:$B$206,MATCH(B104,'12 P6 activities'!$A$7:$A$206,0)),"ID not in P6 list"))</f>
        <v/>
      </c>
      <c r="D104" s="151" t="str">
        <f>IF(B104="","",IFERROR(INDEX('12 P6 activities'!$C$7:$C$206,MATCH(B104,'12 P6 activities'!$A$7:$A$206,0)),"⚠ not in P6 list"))</f>
        <v/>
      </c>
      <c r="E104" s="143"/>
      <c r="F104" s="147"/>
      <c r="G104" s="145" t="str">
        <f>IF(B104="","",IFERROR(INDEX('12 P6 activities'!$E$7:$E$206,MATCH(B104,'12 P6 activities'!$A$7:$A$206,0)),""))</f>
        <v/>
      </c>
      <c r="H104" s="143"/>
      <c r="I104" s="143"/>
      <c r="J104" s="6"/>
      <c r="K104" s="6"/>
      <c r="L104" s="6"/>
      <c r="M104" s="6"/>
      <c r="N104" s="6"/>
      <c r="O104" s="6"/>
      <c r="P104" s="6"/>
      <c r="Q104" s="6"/>
      <c r="R104" s="6"/>
      <c r="S104" s="6"/>
      <c r="T104" s="6"/>
      <c r="U104" s="6"/>
      <c r="V104" s="6"/>
      <c r="W104" s="6"/>
      <c r="X104" s="6"/>
      <c r="Y104" s="6"/>
      <c r="Z104" s="6"/>
    </row>
    <row r="105" spans="1:26" ht="18" customHeight="1" x14ac:dyDescent="0.3">
      <c r="A105" s="142"/>
      <c r="B105" s="143"/>
      <c r="C105" s="151" t="str">
        <f>IF(B105="","",IFERROR(INDEX('12 P6 activities'!$B$7:$B$206,MATCH(B105,'12 P6 activities'!$A$7:$A$206,0)),"ID not in P6 list"))</f>
        <v/>
      </c>
      <c r="D105" s="151" t="str">
        <f>IF(B105="","",IFERROR(INDEX('12 P6 activities'!$C$7:$C$206,MATCH(B105,'12 P6 activities'!$A$7:$A$206,0)),"⚠ not in P6 list"))</f>
        <v/>
      </c>
      <c r="E105" s="143"/>
      <c r="F105" s="147"/>
      <c r="G105" s="145" t="str">
        <f>IF(B105="","",IFERROR(INDEX('12 P6 activities'!$E$7:$E$206,MATCH(B105,'12 P6 activities'!$A$7:$A$206,0)),""))</f>
        <v/>
      </c>
      <c r="H105" s="143"/>
      <c r="I105" s="143"/>
      <c r="J105" s="6"/>
      <c r="K105" s="6"/>
      <c r="L105" s="6"/>
      <c r="M105" s="6"/>
      <c r="N105" s="6"/>
      <c r="O105" s="6"/>
      <c r="P105" s="6"/>
      <c r="Q105" s="6"/>
      <c r="R105" s="6"/>
      <c r="S105" s="6"/>
      <c r="T105" s="6"/>
      <c r="U105" s="6"/>
      <c r="V105" s="6"/>
      <c r="W105" s="6"/>
      <c r="X105" s="6"/>
      <c r="Y105" s="6"/>
      <c r="Z105" s="6"/>
    </row>
    <row r="106" spans="1:26" ht="18" customHeight="1" x14ac:dyDescent="0.3">
      <c r="A106" s="142"/>
      <c r="B106" s="143"/>
      <c r="C106" s="151" t="str">
        <f>IF(B106="","",IFERROR(INDEX('12 P6 activities'!$B$7:$B$206,MATCH(B106,'12 P6 activities'!$A$7:$A$206,0)),"ID not in P6 list"))</f>
        <v/>
      </c>
      <c r="D106" s="151" t="str">
        <f>IF(B106="","",IFERROR(INDEX('12 P6 activities'!$C$7:$C$206,MATCH(B106,'12 P6 activities'!$A$7:$A$206,0)),"⚠ not in P6 list"))</f>
        <v/>
      </c>
      <c r="E106" s="143"/>
      <c r="F106" s="147"/>
      <c r="G106" s="145" t="str">
        <f>IF(B106="","",IFERROR(INDEX('12 P6 activities'!$E$7:$E$206,MATCH(B106,'12 P6 activities'!$A$7:$A$206,0)),""))</f>
        <v/>
      </c>
      <c r="H106" s="143"/>
      <c r="I106" s="143"/>
      <c r="J106" s="6"/>
      <c r="K106" s="6"/>
      <c r="L106" s="6"/>
      <c r="M106" s="6"/>
      <c r="N106" s="6"/>
      <c r="O106" s="6"/>
      <c r="P106" s="6"/>
      <c r="Q106" s="6"/>
      <c r="R106" s="6"/>
      <c r="S106" s="6"/>
      <c r="T106" s="6"/>
      <c r="U106" s="6"/>
      <c r="V106" s="6"/>
      <c r="W106" s="6"/>
      <c r="X106" s="6"/>
      <c r="Y106" s="6"/>
      <c r="Z106" s="6"/>
    </row>
    <row r="107" spans="1:26" ht="18" customHeight="1" x14ac:dyDescent="0.3">
      <c r="A107" s="142"/>
      <c r="B107" s="143"/>
      <c r="C107" s="151" t="str">
        <f>IF(B107="","",IFERROR(INDEX('12 P6 activities'!$B$7:$B$206,MATCH(B107,'12 P6 activities'!$A$7:$A$206,0)),"ID not in P6 list"))</f>
        <v/>
      </c>
      <c r="D107" s="151" t="str">
        <f>IF(B107="","",IFERROR(INDEX('12 P6 activities'!$C$7:$C$206,MATCH(B107,'12 P6 activities'!$A$7:$A$206,0)),"⚠ not in P6 list"))</f>
        <v/>
      </c>
      <c r="E107" s="143"/>
      <c r="F107" s="147"/>
      <c r="G107" s="145" t="str">
        <f>IF(B107="","",IFERROR(INDEX('12 P6 activities'!$E$7:$E$206,MATCH(B107,'12 P6 activities'!$A$7:$A$206,0)),""))</f>
        <v/>
      </c>
      <c r="H107" s="143"/>
      <c r="I107" s="143"/>
      <c r="J107" s="6"/>
      <c r="K107" s="6"/>
      <c r="L107" s="6"/>
      <c r="M107" s="6"/>
      <c r="N107" s="6"/>
      <c r="O107" s="6"/>
      <c r="P107" s="6"/>
      <c r="Q107" s="6"/>
      <c r="R107" s="6"/>
      <c r="S107" s="6"/>
      <c r="T107" s="6"/>
      <c r="U107" s="6"/>
      <c r="V107" s="6"/>
      <c r="W107" s="6"/>
      <c r="X107" s="6"/>
      <c r="Y107" s="6"/>
      <c r="Z107" s="6"/>
    </row>
    <row r="108" spans="1:26" ht="18" customHeight="1" x14ac:dyDescent="0.3">
      <c r="A108" s="142"/>
      <c r="B108" s="143"/>
      <c r="C108" s="151" t="str">
        <f>IF(B108="","",IFERROR(INDEX('12 P6 activities'!$B$7:$B$206,MATCH(B108,'12 P6 activities'!$A$7:$A$206,0)),"ID not in P6 list"))</f>
        <v/>
      </c>
      <c r="D108" s="151" t="str">
        <f>IF(B108="","",IFERROR(INDEX('12 P6 activities'!$C$7:$C$206,MATCH(B108,'12 P6 activities'!$A$7:$A$206,0)),"⚠ not in P6 list"))</f>
        <v/>
      </c>
      <c r="E108" s="143"/>
      <c r="F108" s="147"/>
      <c r="G108" s="145" t="str">
        <f>IF(B108="","",IFERROR(INDEX('12 P6 activities'!$E$7:$E$206,MATCH(B108,'12 P6 activities'!$A$7:$A$206,0)),""))</f>
        <v/>
      </c>
      <c r="H108" s="143"/>
      <c r="I108" s="143"/>
      <c r="J108" s="6"/>
      <c r="K108" s="6"/>
      <c r="L108" s="6"/>
      <c r="M108" s="6"/>
      <c r="N108" s="6"/>
      <c r="O108" s="6"/>
      <c r="P108" s="6"/>
      <c r="Q108" s="6"/>
      <c r="R108" s="6"/>
      <c r="S108" s="6"/>
      <c r="T108" s="6"/>
      <c r="U108" s="6"/>
      <c r="V108" s="6"/>
      <c r="W108" s="6"/>
      <c r="X108" s="6"/>
      <c r="Y108" s="6"/>
      <c r="Z108" s="6"/>
    </row>
    <row r="109" spans="1:26" ht="18" customHeight="1" x14ac:dyDescent="0.3">
      <c r="A109" s="142"/>
      <c r="B109" s="143"/>
      <c r="C109" s="151" t="str">
        <f>IF(B109="","",IFERROR(INDEX('12 P6 activities'!$B$7:$B$206,MATCH(B109,'12 P6 activities'!$A$7:$A$206,0)),"ID not in P6 list"))</f>
        <v/>
      </c>
      <c r="D109" s="151" t="str">
        <f>IF(B109="","",IFERROR(INDEX('12 P6 activities'!$C$7:$C$206,MATCH(B109,'12 P6 activities'!$A$7:$A$206,0)),"⚠ not in P6 list"))</f>
        <v/>
      </c>
      <c r="E109" s="143"/>
      <c r="F109" s="147"/>
      <c r="G109" s="145" t="str">
        <f>IF(B109="","",IFERROR(INDEX('12 P6 activities'!$E$7:$E$206,MATCH(B109,'12 P6 activities'!$A$7:$A$206,0)),""))</f>
        <v/>
      </c>
      <c r="H109" s="143"/>
      <c r="I109" s="143"/>
      <c r="J109" s="6"/>
      <c r="K109" s="6"/>
      <c r="L109" s="6"/>
      <c r="M109" s="6"/>
      <c r="N109" s="6"/>
      <c r="O109" s="6"/>
      <c r="P109" s="6"/>
      <c r="Q109" s="6"/>
      <c r="R109" s="6"/>
      <c r="S109" s="6"/>
      <c r="T109" s="6"/>
      <c r="U109" s="6"/>
      <c r="V109" s="6"/>
      <c r="W109" s="6"/>
      <c r="X109" s="6"/>
      <c r="Y109" s="6"/>
      <c r="Z109" s="6"/>
    </row>
    <row r="110" spans="1:26" ht="18" customHeight="1" x14ac:dyDescent="0.3">
      <c r="A110" s="142"/>
      <c r="B110" s="143"/>
      <c r="C110" s="151" t="str">
        <f>IF(B110="","",IFERROR(INDEX('12 P6 activities'!$B$7:$B$206,MATCH(B110,'12 P6 activities'!$A$7:$A$206,0)),"ID not in P6 list"))</f>
        <v/>
      </c>
      <c r="D110" s="151" t="str">
        <f>IF(B110="","",IFERROR(INDEX('12 P6 activities'!$C$7:$C$206,MATCH(B110,'12 P6 activities'!$A$7:$A$206,0)),"⚠ not in P6 list"))</f>
        <v/>
      </c>
      <c r="E110" s="143"/>
      <c r="F110" s="147"/>
      <c r="G110" s="145" t="str">
        <f>IF(B110="","",IFERROR(INDEX('12 P6 activities'!$E$7:$E$206,MATCH(B110,'12 P6 activities'!$A$7:$A$206,0)),""))</f>
        <v/>
      </c>
      <c r="H110" s="143"/>
      <c r="I110" s="143"/>
      <c r="J110" s="6"/>
      <c r="K110" s="6"/>
      <c r="L110" s="6"/>
      <c r="M110" s="6"/>
      <c r="N110" s="6"/>
      <c r="O110" s="6"/>
      <c r="P110" s="6"/>
      <c r="Q110" s="6"/>
      <c r="R110" s="6"/>
      <c r="S110" s="6"/>
      <c r="T110" s="6"/>
      <c r="U110" s="6"/>
      <c r="V110" s="6"/>
      <c r="W110" s="6"/>
      <c r="X110" s="6"/>
      <c r="Y110" s="6"/>
      <c r="Z110" s="6"/>
    </row>
    <row r="111" spans="1:26" ht="18" customHeight="1" x14ac:dyDescent="0.3">
      <c r="A111" s="142"/>
      <c r="B111" s="143"/>
      <c r="C111" s="151" t="str">
        <f>IF(B111="","",IFERROR(INDEX('12 P6 activities'!$B$7:$B$206,MATCH(B111,'12 P6 activities'!$A$7:$A$206,0)),"ID not in P6 list"))</f>
        <v/>
      </c>
      <c r="D111" s="151" t="str">
        <f>IF(B111="","",IFERROR(INDEX('12 P6 activities'!$C$7:$C$206,MATCH(B111,'12 P6 activities'!$A$7:$A$206,0)),"⚠ not in P6 list"))</f>
        <v/>
      </c>
      <c r="E111" s="143"/>
      <c r="F111" s="147"/>
      <c r="G111" s="145" t="str">
        <f>IF(B111="","",IFERROR(INDEX('12 P6 activities'!$E$7:$E$206,MATCH(B111,'12 P6 activities'!$A$7:$A$206,0)),""))</f>
        <v/>
      </c>
      <c r="H111" s="143"/>
      <c r="I111" s="143"/>
      <c r="J111" s="6"/>
      <c r="K111" s="6"/>
      <c r="L111" s="6"/>
      <c r="M111" s="6"/>
      <c r="N111" s="6"/>
      <c r="O111" s="6"/>
      <c r="P111" s="6"/>
      <c r="Q111" s="6"/>
      <c r="R111" s="6"/>
      <c r="S111" s="6"/>
      <c r="T111" s="6"/>
      <c r="U111" s="6"/>
      <c r="V111" s="6"/>
      <c r="W111" s="6"/>
      <c r="X111" s="6"/>
      <c r="Y111" s="6"/>
      <c r="Z111" s="6"/>
    </row>
    <row r="112" spans="1:26" ht="18" customHeight="1" x14ac:dyDescent="0.3">
      <c r="A112" s="142"/>
      <c r="B112" s="143"/>
      <c r="C112" s="151" t="str">
        <f>IF(B112="","",IFERROR(INDEX('12 P6 activities'!$B$7:$B$206,MATCH(B112,'12 P6 activities'!$A$7:$A$206,0)),"ID not in P6 list"))</f>
        <v/>
      </c>
      <c r="D112" s="151" t="str">
        <f>IF(B112="","",IFERROR(INDEX('12 P6 activities'!$C$7:$C$206,MATCH(B112,'12 P6 activities'!$A$7:$A$206,0)),"⚠ not in P6 list"))</f>
        <v/>
      </c>
      <c r="E112" s="143"/>
      <c r="F112" s="147"/>
      <c r="G112" s="145" t="str">
        <f>IF(B112="","",IFERROR(INDEX('12 P6 activities'!$E$7:$E$206,MATCH(B112,'12 P6 activities'!$A$7:$A$206,0)),""))</f>
        <v/>
      </c>
      <c r="H112" s="143"/>
      <c r="I112" s="143"/>
      <c r="J112" s="6"/>
      <c r="K112" s="6"/>
      <c r="L112" s="6"/>
      <c r="M112" s="6"/>
      <c r="N112" s="6"/>
      <c r="O112" s="6"/>
      <c r="P112" s="6"/>
      <c r="Q112" s="6"/>
      <c r="R112" s="6"/>
      <c r="S112" s="6"/>
      <c r="T112" s="6"/>
      <c r="U112" s="6"/>
      <c r="V112" s="6"/>
      <c r="W112" s="6"/>
      <c r="X112" s="6"/>
      <c r="Y112" s="6"/>
      <c r="Z112" s="6"/>
    </row>
    <row r="113" spans="1:26" ht="18" customHeight="1" x14ac:dyDescent="0.3">
      <c r="A113" s="142"/>
      <c r="B113" s="143"/>
      <c r="C113" s="151" t="str">
        <f>IF(B113="","",IFERROR(INDEX('12 P6 activities'!$B$7:$B$206,MATCH(B113,'12 P6 activities'!$A$7:$A$206,0)),"ID not in P6 list"))</f>
        <v/>
      </c>
      <c r="D113" s="151" t="str">
        <f>IF(B113="","",IFERROR(INDEX('12 P6 activities'!$C$7:$C$206,MATCH(B113,'12 P6 activities'!$A$7:$A$206,0)),"⚠ not in P6 list"))</f>
        <v/>
      </c>
      <c r="E113" s="143"/>
      <c r="F113" s="147"/>
      <c r="G113" s="145" t="str">
        <f>IF(B113="","",IFERROR(INDEX('12 P6 activities'!$E$7:$E$206,MATCH(B113,'12 P6 activities'!$A$7:$A$206,0)),""))</f>
        <v/>
      </c>
      <c r="H113" s="143"/>
      <c r="I113" s="143"/>
      <c r="J113" s="6"/>
      <c r="K113" s="6"/>
      <c r="L113" s="6"/>
      <c r="M113" s="6"/>
      <c r="N113" s="6"/>
      <c r="O113" s="6"/>
      <c r="P113" s="6"/>
      <c r="Q113" s="6"/>
      <c r="R113" s="6"/>
      <c r="S113" s="6"/>
      <c r="T113" s="6"/>
      <c r="U113" s="6"/>
      <c r="V113" s="6"/>
      <c r="W113" s="6"/>
      <c r="X113" s="6"/>
      <c r="Y113" s="6"/>
      <c r="Z113" s="6"/>
    </row>
    <row r="114" spans="1:26" ht="18" customHeight="1" x14ac:dyDescent="0.3">
      <c r="A114" s="142"/>
      <c r="B114" s="143"/>
      <c r="C114" s="151" t="str">
        <f>IF(B114="","",IFERROR(INDEX('12 P6 activities'!$B$7:$B$206,MATCH(B114,'12 P6 activities'!$A$7:$A$206,0)),"ID not in P6 list"))</f>
        <v/>
      </c>
      <c r="D114" s="151" t="str">
        <f>IF(B114="","",IFERROR(INDEX('12 P6 activities'!$C$7:$C$206,MATCH(B114,'12 P6 activities'!$A$7:$A$206,0)),"⚠ not in P6 list"))</f>
        <v/>
      </c>
      <c r="E114" s="143"/>
      <c r="F114" s="147"/>
      <c r="G114" s="145" t="str">
        <f>IF(B114="","",IFERROR(INDEX('12 P6 activities'!$E$7:$E$206,MATCH(B114,'12 P6 activities'!$A$7:$A$206,0)),""))</f>
        <v/>
      </c>
      <c r="H114" s="143"/>
      <c r="I114" s="143"/>
      <c r="J114" s="6"/>
      <c r="K114" s="6"/>
      <c r="L114" s="6"/>
      <c r="M114" s="6"/>
      <c r="N114" s="6"/>
      <c r="O114" s="6"/>
      <c r="P114" s="6"/>
      <c r="Q114" s="6"/>
      <c r="R114" s="6"/>
      <c r="S114" s="6"/>
      <c r="T114" s="6"/>
      <c r="U114" s="6"/>
      <c r="V114" s="6"/>
      <c r="W114" s="6"/>
      <c r="X114" s="6"/>
      <c r="Y114" s="6"/>
      <c r="Z114" s="6"/>
    </row>
    <row r="115" spans="1:26" ht="18" customHeight="1" x14ac:dyDescent="0.3">
      <c r="A115" s="142"/>
      <c r="B115" s="143"/>
      <c r="C115" s="151" t="str">
        <f>IF(B115="","",IFERROR(INDEX('12 P6 activities'!$B$7:$B$206,MATCH(B115,'12 P6 activities'!$A$7:$A$206,0)),"ID not in P6 list"))</f>
        <v/>
      </c>
      <c r="D115" s="151" t="str">
        <f>IF(B115="","",IFERROR(INDEX('12 P6 activities'!$C$7:$C$206,MATCH(B115,'12 P6 activities'!$A$7:$A$206,0)),"⚠ not in P6 list"))</f>
        <v/>
      </c>
      <c r="E115" s="143"/>
      <c r="F115" s="147"/>
      <c r="G115" s="145" t="str">
        <f>IF(B115="","",IFERROR(INDEX('12 P6 activities'!$E$7:$E$206,MATCH(B115,'12 P6 activities'!$A$7:$A$206,0)),""))</f>
        <v/>
      </c>
      <c r="H115" s="143"/>
      <c r="I115" s="143"/>
      <c r="J115" s="6"/>
      <c r="K115" s="6"/>
      <c r="L115" s="6"/>
      <c r="M115" s="6"/>
      <c r="N115" s="6"/>
      <c r="O115" s="6"/>
      <c r="P115" s="6"/>
      <c r="Q115" s="6"/>
      <c r="R115" s="6"/>
      <c r="S115" s="6"/>
      <c r="T115" s="6"/>
      <c r="U115" s="6"/>
      <c r="V115" s="6"/>
      <c r="W115" s="6"/>
      <c r="X115" s="6"/>
      <c r="Y115" s="6"/>
      <c r="Z115" s="6"/>
    </row>
    <row r="116" spans="1:26" ht="18" customHeight="1" x14ac:dyDescent="0.3">
      <c r="A116" s="142"/>
      <c r="B116" s="143"/>
      <c r="C116" s="151" t="str">
        <f>IF(B116="","",IFERROR(INDEX('12 P6 activities'!$B$7:$B$206,MATCH(B116,'12 P6 activities'!$A$7:$A$206,0)),"ID not in P6 list"))</f>
        <v/>
      </c>
      <c r="D116" s="151" t="str">
        <f>IF(B116="","",IFERROR(INDEX('12 P6 activities'!$C$7:$C$206,MATCH(B116,'12 P6 activities'!$A$7:$A$206,0)),"⚠ not in P6 list"))</f>
        <v/>
      </c>
      <c r="E116" s="143"/>
      <c r="F116" s="147"/>
      <c r="G116" s="145" t="str">
        <f>IF(B116="","",IFERROR(INDEX('12 P6 activities'!$E$7:$E$206,MATCH(B116,'12 P6 activities'!$A$7:$A$206,0)),""))</f>
        <v/>
      </c>
      <c r="H116" s="143"/>
      <c r="I116" s="143"/>
      <c r="J116" s="6"/>
      <c r="K116" s="6"/>
      <c r="L116" s="6"/>
      <c r="M116" s="6"/>
      <c r="N116" s="6"/>
      <c r="O116" s="6"/>
      <c r="P116" s="6"/>
      <c r="Q116" s="6"/>
      <c r="R116" s="6"/>
      <c r="S116" s="6"/>
      <c r="T116" s="6"/>
      <c r="U116" s="6"/>
      <c r="V116" s="6"/>
      <c r="W116" s="6"/>
      <c r="X116" s="6"/>
      <c r="Y116" s="6"/>
      <c r="Z116" s="6"/>
    </row>
    <row r="117" spans="1:26" ht="18" customHeight="1" x14ac:dyDescent="0.3">
      <c r="A117" s="142"/>
      <c r="B117" s="143"/>
      <c r="C117" s="151" t="str">
        <f>IF(B117="","",IFERROR(INDEX('12 P6 activities'!$B$7:$B$206,MATCH(B117,'12 P6 activities'!$A$7:$A$206,0)),"ID not in P6 list"))</f>
        <v/>
      </c>
      <c r="D117" s="151" t="str">
        <f>IF(B117="","",IFERROR(INDEX('12 P6 activities'!$C$7:$C$206,MATCH(B117,'12 P6 activities'!$A$7:$A$206,0)),"⚠ not in P6 list"))</f>
        <v/>
      </c>
      <c r="E117" s="143"/>
      <c r="F117" s="147"/>
      <c r="G117" s="145" t="str">
        <f>IF(B117="","",IFERROR(INDEX('12 P6 activities'!$E$7:$E$206,MATCH(B117,'12 P6 activities'!$A$7:$A$206,0)),""))</f>
        <v/>
      </c>
      <c r="H117" s="143"/>
      <c r="I117" s="143"/>
      <c r="J117" s="6"/>
      <c r="K117" s="6"/>
      <c r="L117" s="6"/>
      <c r="M117" s="6"/>
      <c r="N117" s="6"/>
      <c r="O117" s="6"/>
      <c r="P117" s="6"/>
      <c r="Q117" s="6"/>
      <c r="R117" s="6"/>
      <c r="S117" s="6"/>
      <c r="T117" s="6"/>
      <c r="U117" s="6"/>
      <c r="V117" s="6"/>
      <c r="W117" s="6"/>
      <c r="X117" s="6"/>
      <c r="Y117" s="6"/>
      <c r="Z117" s="6"/>
    </row>
    <row r="118" spans="1:26" ht="18" customHeight="1" x14ac:dyDescent="0.3">
      <c r="A118" s="142"/>
      <c r="B118" s="143"/>
      <c r="C118" s="151" t="str">
        <f>IF(B118="","",IFERROR(INDEX('12 P6 activities'!$B$7:$B$206,MATCH(B118,'12 P6 activities'!$A$7:$A$206,0)),"ID not in P6 list"))</f>
        <v/>
      </c>
      <c r="D118" s="151" t="str">
        <f>IF(B118="","",IFERROR(INDEX('12 P6 activities'!$C$7:$C$206,MATCH(B118,'12 P6 activities'!$A$7:$A$206,0)),"⚠ not in P6 list"))</f>
        <v/>
      </c>
      <c r="E118" s="143"/>
      <c r="F118" s="147"/>
      <c r="G118" s="145" t="str">
        <f>IF(B118="","",IFERROR(INDEX('12 P6 activities'!$E$7:$E$206,MATCH(B118,'12 P6 activities'!$A$7:$A$206,0)),""))</f>
        <v/>
      </c>
      <c r="H118" s="143"/>
      <c r="I118" s="143"/>
      <c r="J118" s="6"/>
      <c r="K118" s="6"/>
      <c r="L118" s="6"/>
      <c r="M118" s="6"/>
      <c r="N118" s="6"/>
      <c r="O118" s="6"/>
      <c r="P118" s="6"/>
      <c r="Q118" s="6"/>
      <c r="R118" s="6"/>
      <c r="S118" s="6"/>
      <c r="T118" s="6"/>
      <c r="U118" s="6"/>
      <c r="V118" s="6"/>
      <c r="W118" s="6"/>
      <c r="X118" s="6"/>
      <c r="Y118" s="6"/>
      <c r="Z118" s="6"/>
    </row>
    <row r="119" spans="1:26" ht="18" customHeight="1" x14ac:dyDescent="0.3">
      <c r="A119" s="142"/>
      <c r="B119" s="143"/>
      <c r="C119" s="151" t="str">
        <f>IF(B119="","",IFERROR(INDEX('12 P6 activities'!$B$7:$B$206,MATCH(B119,'12 P6 activities'!$A$7:$A$206,0)),"ID not in P6 list"))</f>
        <v/>
      </c>
      <c r="D119" s="151" t="str">
        <f>IF(B119="","",IFERROR(INDEX('12 P6 activities'!$C$7:$C$206,MATCH(B119,'12 P6 activities'!$A$7:$A$206,0)),"⚠ not in P6 list"))</f>
        <v/>
      </c>
      <c r="E119" s="143"/>
      <c r="F119" s="147"/>
      <c r="G119" s="145" t="str">
        <f>IF(B119="","",IFERROR(INDEX('12 P6 activities'!$E$7:$E$206,MATCH(B119,'12 P6 activities'!$A$7:$A$206,0)),""))</f>
        <v/>
      </c>
      <c r="H119" s="143"/>
      <c r="I119" s="143"/>
      <c r="J119" s="6"/>
      <c r="K119" s="6"/>
      <c r="L119" s="6"/>
      <c r="M119" s="6"/>
      <c r="N119" s="6"/>
      <c r="O119" s="6"/>
      <c r="P119" s="6"/>
      <c r="Q119" s="6"/>
      <c r="R119" s="6"/>
      <c r="S119" s="6"/>
      <c r="T119" s="6"/>
      <c r="U119" s="6"/>
      <c r="V119" s="6"/>
      <c r="W119" s="6"/>
      <c r="X119" s="6"/>
      <c r="Y119" s="6"/>
      <c r="Z119" s="6"/>
    </row>
    <row r="120" spans="1:26" ht="18" customHeight="1" x14ac:dyDescent="0.3">
      <c r="A120" s="142"/>
      <c r="B120" s="143"/>
      <c r="C120" s="151" t="str">
        <f>IF(B120="","",IFERROR(INDEX('12 P6 activities'!$B$7:$B$206,MATCH(B120,'12 P6 activities'!$A$7:$A$206,0)),"ID not in P6 list"))</f>
        <v/>
      </c>
      <c r="D120" s="151" t="str">
        <f>IF(B120="","",IFERROR(INDEX('12 P6 activities'!$C$7:$C$206,MATCH(B120,'12 P6 activities'!$A$7:$A$206,0)),"⚠ not in P6 list"))</f>
        <v/>
      </c>
      <c r="E120" s="143"/>
      <c r="F120" s="147"/>
      <c r="G120" s="145" t="str">
        <f>IF(B120="","",IFERROR(INDEX('12 P6 activities'!$E$7:$E$206,MATCH(B120,'12 P6 activities'!$A$7:$A$206,0)),""))</f>
        <v/>
      </c>
      <c r="H120" s="143"/>
      <c r="I120" s="143"/>
      <c r="J120" s="6"/>
      <c r="K120" s="6"/>
      <c r="L120" s="6"/>
      <c r="M120" s="6"/>
      <c r="N120" s="6"/>
      <c r="O120" s="6"/>
      <c r="P120" s="6"/>
      <c r="Q120" s="6"/>
      <c r="R120" s="6"/>
      <c r="S120" s="6"/>
      <c r="T120" s="6"/>
      <c r="U120" s="6"/>
      <c r="V120" s="6"/>
      <c r="W120" s="6"/>
      <c r="X120" s="6"/>
      <c r="Y120" s="6"/>
      <c r="Z120" s="6"/>
    </row>
    <row r="121" spans="1:26" ht="18" customHeight="1" x14ac:dyDescent="0.3">
      <c r="A121" s="142"/>
      <c r="B121" s="143"/>
      <c r="C121" s="151" t="str">
        <f>IF(B121="","",IFERROR(INDEX('12 P6 activities'!$B$7:$B$206,MATCH(B121,'12 P6 activities'!$A$7:$A$206,0)),"ID not in P6 list"))</f>
        <v/>
      </c>
      <c r="D121" s="151" t="str">
        <f>IF(B121="","",IFERROR(INDEX('12 P6 activities'!$C$7:$C$206,MATCH(B121,'12 P6 activities'!$A$7:$A$206,0)),"⚠ not in P6 list"))</f>
        <v/>
      </c>
      <c r="E121" s="143"/>
      <c r="F121" s="147"/>
      <c r="G121" s="145" t="str">
        <f>IF(B121="","",IFERROR(INDEX('12 P6 activities'!$E$7:$E$206,MATCH(B121,'12 P6 activities'!$A$7:$A$206,0)),""))</f>
        <v/>
      </c>
      <c r="H121" s="143"/>
      <c r="I121" s="143"/>
      <c r="J121" s="6"/>
      <c r="K121" s="6"/>
      <c r="L121" s="6"/>
      <c r="M121" s="6"/>
      <c r="N121" s="6"/>
      <c r="O121" s="6"/>
      <c r="P121" s="6"/>
      <c r="Q121" s="6"/>
      <c r="R121" s="6"/>
      <c r="S121" s="6"/>
      <c r="T121" s="6"/>
      <c r="U121" s="6"/>
      <c r="V121" s="6"/>
      <c r="W121" s="6"/>
      <c r="X121" s="6"/>
      <c r="Y121" s="6"/>
      <c r="Z121" s="6"/>
    </row>
    <row r="122" spans="1:26" ht="18" customHeight="1" x14ac:dyDescent="0.3">
      <c r="A122" s="142"/>
      <c r="B122" s="143"/>
      <c r="C122" s="151" t="str">
        <f>IF(B122="","",IFERROR(INDEX('12 P6 activities'!$B$7:$B$206,MATCH(B122,'12 P6 activities'!$A$7:$A$206,0)),"ID not in P6 list"))</f>
        <v/>
      </c>
      <c r="D122" s="151" t="str">
        <f>IF(B122="","",IFERROR(INDEX('12 P6 activities'!$C$7:$C$206,MATCH(B122,'12 P6 activities'!$A$7:$A$206,0)),"⚠ not in P6 list"))</f>
        <v/>
      </c>
      <c r="E122" s="143"/>
      <c r="F122" s="147"/>
      <c r="G122" s="145" t="str">
        <f>IF(B122="","",IFERROR(INDEX('12 P6 activities'!$E$7:$E$206,MATCH(B122,'12 P6 activities'!$A$7:$A$206,0)),""))</f>
        <v/>
      </c>
      <c r="H122" s="143"/>
      <c r="I122" s="143"/>
      <c r="J122" s="6"/>
      <c r="K122" s="6"/>
      <c r="L122" s="6"/>
      <c r="M122" s="6"/>
      <c r="N122" s="6"/>
      <c r="O122" s="6"/>
      <c r="P122" s="6"/>
      <c r="Q122" s="6"/>
      <c r="R122" s="6"/>
      <c r="S122" s="6"/>
      <c r="T122" s="6"/>
      <c r="U122" s="6"/>
      <c r="V122" s="6"/>
      <c r="W122" s="6"/>
      <c r="X122" s="6"/>
      <c r="Y122" s="6"/>
      <c r="Z122" s="6"/>
    </row>
    <row r="123" spans="1:26" ht="18" customHeight="1" x14ac:dyDescent="0.3">
      <c r="A123" s="142"/>
      <c r="B123" s="143"/>
      <c r="C123" s="151" t="str">
        <f>IF(B123="","",IFERROR(INDEX('12 P6 activities'!$B$7:$B$206,MATCH(B123,'12 P6 activities'!$A$7:$A$206,0)),"ID not in P6 list"))</f>
        <v/>
      </c>
      <c r="D123" s="151" t="str">
        <f>IF(B123="","",IFERROR(INDEX('12 P6 activities'!$C$7:$C$206,MATCH(B123,'12 P6 activities'!$A$7:$A$206,0)),"⚠ not in P6 list"))</f>
        <v/>
      </c>
      <c r="E123" s="143"/>
      <c r="F123" s="147"/>
      <c r="G123" s="145" t="str">
        <f>IF(B123="","",IFERROR(INDEX('12 P6 activities'!$E$7:$E$206,MATCH(B123,'12 P6 activities'!$A$7:$A$206,0)),""))</f>
        <v/>
      </c>
      <c r="H123" s="143"/>
      <c r="I123" s="143"/>
      <c r="J123" s="6"/>
      <c r="K123" s="6"/>
      <c r="L123" s="6"/>
      <c r="M123" s="6"/>
      <c r="N123" s="6"/>
      <c r="O123" s="6"/>
      <c r="P123" s="6"/>
      <c r="Q123" s="6"/>
      <c r="R123" s="6"/>
      <c r="S123" s="6"/>
      <c r="T123" s="6"/>
      <c r="U123" s="6"/>
      <c r="V123" s="6"/>
      <c r="W123" s="6"/>
      <c r="X123" s="6"/>
      <c r="Y123" s="6"/>
      <c r="Z123" s="6"/>
    </row>
    <row r="124" spans="1:26" ht="18" customHeight="1" x14ac:dyDescent="0.3">
      <c r="A124" s="142"/>
      <c r="B124" s="143"/>
      <c r="C124" s="151" t="str">
        <f>IF(B124="","",IFERROR(INDEX('12 P6 activities'!$B$7:$B$206,MATCH(B124,'12 P6 activities'!$A$7:$A$206,0)),"ID not in P6 list"))</f>
        <v/>
      </c>
      <c r="D124" s="151" t="str">
        <f>IF(B124="","",IFERROR(INDEX('12 P6 activities'!$C$7:$C$206,MATCH(B124,'12 P6 activities'!$A$7:$A$206,0)),"⚠ not in P6 list"))</f>
        <v/>
      </c>
      <c r="E124" s="143"/>
      <c r="F124" s="147"/>
      <c r="G124" s="145" t="str">
        <f>IF(B124="","",IFERROR(INDEX('12 P6 activities'!$E$7:$E$206,MATCH(B124,'12 P6 activities'!$A$7:$A$206,0)),""))</f>
        <v/>
      </c>
      <c r="H124" s="143"/>
      <c r="I124" s="143"/>
      <c r="J124" s="6"/>
      <c r="K124" s="6"/>
      <c r="L124" s="6"/>
      <c r="M124" s="6"/>
      <c r="N124" s="6"/>
      <c r="O124" s="6"/>
      <c r="P124" s="6"/>
      <c r="Q124" s="6"/>
      <c r="R124" s="6"/>
      <c r="S124" s="6"/>
      <c r="T124" s="6"/>
      <c r="U124" s="6"/>
      <c r="V124" s="6"/>
      <c r="W124" s="6"/>
      <c r="X124" s="6"/>
      <c r="Y124" s="6"/>
      <c r="Z124" s="6"/>
    </row>
    <row r="125" spans="1:26" ht="18" customHeight="1" x14ac:dyDescent="0.3">
      <c r="A125" s="142"/>
      <c r="B125" s="143"/>
      <c r="C125" s="151" t="str">
        <f>IF(B125="","",IFERROR(INDEX('12 P6 activities'!$B$7:$B$206,MATCH(B125,'12 P6 activities'!$A$7:$A$206,0)),"ID not in P6 list"))</f>
        <v/>
      </c>
      <c r="D125" s="151" t="str">
        <f>IF(B125="","",IFERROR(INDEX('12 P6 activities'!$C$7:$C$206,MATCH(B125,'12 P6 activities'!$A$7:$A$206,0)),"⚠ not in P6 list"))</f>
        <v/>
      </c>
      <c r="E125" s="143"/>
      <c r="F125" s="147"/>
      <c r="G125" s="145" t="str">
        <f>IF(B125="","",IFERROR(INDEX('12 P6 activities'!$E$7:$E$206,MATCH(B125,'12 P6 activities'!$A$7:$A$206,0)),""))</f>
        <v/>
      </c>
      <c r="H125" s="143"/>
      <c r="I125" s="143"/>
      <c r="J125" s="6"/>
      <c r="K125" s="6"/>
      <c r="L125" s="6"/>
      <c r="M125" s="6"/>
      <c r="N125" s="6"/>
      <c r="O125" s="6"/>
      <c r="P125" s="6"/>
      <c r="Q125" s="6"/>
      <c r="R125" s="6"/>
      <c r="S125" s="6"/>
      <c r="T125" s="6"/>
      <c r="U125" s="6"/>
      <c r="V125" s="6"/>
      <c r="W125" s="6"/>
      <c r="X125" s="6"/>
      <c r="Y125" s="6"/>
      <c r="Z125" s="6"/>
    </row>
    <row r="126" spans="1:26" ht="18" customHeight="1" x14ac:dyDescent="0.3">
      <c r="A126" s="142"/>
      <c r="B126" s="143"/>
      <c r="C126" s="151" t="str">
        <f>IF(B126="","",IFERROR(INDEX('12 P6 activities'!$B$7:$B$206,MATCH(B126,'12 P6 activities'!$A$7:$A$206,0)),"ID not in P6 list"))</f>
        <v/>
      </c>
      <c r="D126" s="151" t="str">
        <f>IF(B126="","",IFERROR(INDEX('12 P6 activities'!$C$7:$C$206,MATCH(B126,'12 P6 activities'!$A$7:$A$206,0)),"⚠ not in P6 list"))</f>
        <v/>
      </c>
      <c r="E126" s="143"/>
      <c r="F126" s="147"/>
      <c r="G126" s="145" t="str">
        <f>IF(B126="","",IFERROR(INDEX('12 P6 activities'!$E$7:$E$206,MATCH(B126,'12 P6 activities'!$A$7:$A$206,0)),""))</f>
        <v/>
      </c>
      <c r="H126" s="143"/>
      <c r="I126" s="143"/>
      <c r="J126" s="6"/>
      <c r="K126" s="6"/>
      <c r="L126" s="6"/>
      <c r="M126" s="6"/>
      <c r="N126" s="6"/>
      <c r="O126" s="6"/>
      <c r="P126" s="6"/>
      <c r="Q126" s="6"/>
      <c r="R126" s="6"/>
      <c r="S126" s="6"/>
      <c r="T126" s="6"/>
      <c r="U126" s="6"/>
      <c r="V126" s="6"/>
      <c r="W126" s="6"/>
      <c r="X126" s="6"/>
      <c r="Y126" s="6"/>
      <c r="Z126" s="6"/>
    </row>
    <row r="127" spans="1:26" ht="18" customHeight="1" x14ac:dyDescent="0.3">
      <c r="A127" s="142"/>
      <c r="B127" s="143"/>
      <c r="C127" s="151" t="str">
        <f>IF(B127="","",IFERROR(INDEX('12 P6 activities'!$B$7:$B$206,MATCH(B127,'12 P6 activities'!$A$7:$A$206,0)),"ID not in P6 list"))</f>
        <v/>
      </c>
      <c r="D127" s="151" t="str">
        <f>IF(B127="","",IFERROR(INDEX('12 P6 activities'!$C$7:$C$206,MATCH(B127,'12 P6 activities'!$A$7:$A$206,0)),"⚠ not in P6 list"))</f>
        <v/>
      </c>
      <c r="E127" s="143"/>
      <c r="F127" s="147"/>
      <c r="G127" s="145" t="str">
        <f>IF(B127="","",IFERROR(INDEX('12 P6 activities'!$E$7:$E$206,MATCH(B127,'12 P6 activities'!$A$7:$A$206,0)),""))</f>
        <v/>
      </c>
      <c r="H127" s="143"/>
      <c r="I127" s="143"/>
      <c r="J127" s="6"/>
      <c r="K127" s="6"/>
      <c r="L127" s="6"/>
      <c r="M127" s="6"/>
      <c r="N127" s="6"/>
      <c r="O127" s="6"/>
      <c r="P127" s="6"/>
      <c r="Q127" s="6"/>
      <c r="R127" s="6"/>
      <c r="S127" s="6"/>
      <c r="T127" s="6"/>
      <c r="U127" s="6"/>
      <c r="V127" s="6"/>
      <c r="W127" s="6"/>
      <c r="X127" s="6"/>
      <c r="Y127" s="6"/>
      <c r="Z127" s="6"/>
    </row>
    <row r="128" spans="1:26" ht="18" customHeight="1" x14ac:dyDescent="0.3">
      <c r="A128" s="142"/>
      <c r="B128" s="143"/>
      <c r="C128" s="151" t="str">
        <f>IF(B128="","",IFERROR(INDEX('12 P6 activities'!$B$7:$B$206,MATCH(B128,'12 P6 activities'!$A$7:$A$206,0)),"ID not in P6 list"))</f>
        <v/>
      </c>
      <c r="D128" s="151" t="str">
        <f>IF(B128="","",IFERROR(INDEX('12 P6 activities'!$C$7:$C$206,MATCH(B128,'12 P6 activities'!$A$7:$A$206,0)),"⚠ not in P6 list"))</f>
        <v/>
      </c>
      <c r="E128" s="143"/>
      <c r="F128" s="147"/>
      <c r="G128" s="145" t="str">
        <f>IF(B128="","",IFERROR(INDEX('12 P6 activities'!$E$7:$E$206,MATCH(B128,'12 P6 activities'!$A$7:$A$206,0)),""))</f>
        <v/>
      </c>
      <c r="H128" s="143"/>
      <c r="I128" s="143"/>
      <c r="J128" s="6"/>
      <c r="K128" s="6"/>
      <c r="L128" s="6"/>
      <c r="M128" s="6"/>
      <c r="N128" s="6"/>
      <c r="O128" s="6"/>
      <c r="P128" s="6"/>
      <c r="Q128" s="6"/>
      <c r="R128" s="6"/>
      <c r="S128" s="6"/>
      <c r="T128" s="6"/>
      <c r="U128" s="6"/>
      <c r="V128" s="6"/>
      <c r="W128" s="6"/>
      <c r="X128" s="6"/>
      <c r="Y128" s="6"/>
      <c r="Z128" s="6"/>
    </row>
    <row r="129" spans="1:26" ht="18" customHeight="1" x14ac:dyDescent="0.3">
      <c r="A129" s="142"/>
      <c r="B129" s="143"/>
      <c r="C129" s="151" t="str">
        <f>IF(B129="","",IFERROR(INDEX('12 P6 activities'!$B$7:$B$206,MATCH(B129,'12 P6 activities'!$A$7:$A$206,0)),"ID not in P6 list"))</f>
        <v/>
      </c>
      <c r="D129" s="151" t="str">
        <f>IF(B129="","",IFERROR(INDEX('12 P6 activities'!$C$7:$C$206,MATCH(B129,'12 P6 activities'!$A$7:$A$206,0)),"⚠ not in P6 list"))</f>
        <v/>
      </c>
      <c r="E129" s="143"/>
      <c r="F129" s="147"/>
      <c r="G129" s="145" t="str">
        <f>IF(B129="","",IFERROR(INDEX('12 P6 activities'!$E$7:$E$206,MATCH(B129,'12 P6 activities'!$A$7:$A$206,0)),""))</f>
        <v/>
      </c>
      <c r="H129" s="143"/>
      <c r="I129" s="143"/>
      <c r="J129" s="6"/>
      <c r="K129" s="6"/>
      <c r="L129" s="6"/>
      <c r="M129" s="6"/>
      <c r="N129" s="6"/>
      <c r="O129" s="6"/>
      <c r="P129" s="6"/>
      <c r="Q129" s="6"/>
      <c r="R129" s="6"/>
      <c r="S129" s="6"/>
      <c r="T129" s="6"/>
      <c r="U129" s="6"/>
      <c r="V129" s="6"/>
      <c r="W129" s="6"/>
      <c r="X129" s="6"/>
      <c r="Y129" s="6"/>
      <c r="Z129" s="6"/>
    </row>
    <row r="130" spans="1:26" ht="18" customHeight="1" x14ac:dyDescent="0.3">
      <c r="A130" s="142"/>
      <c r="B130" s="143"/>
      <c r="C130" s="151" t="str">
        <f>IF(B130="","",IFERROR(INDEX('12 P6 activities'!$B$7:$B$206,MATCH(B130,'12 P6 activities'!$A$7:$A$206,0)),"ID not in P6 list"))</f>
        <v/>
      </c>
      <c r="D130" s="151" t="str">
        <f>IF(B130="","",IFERROR(INDEX('12 P6 activities'!$C$7:$C$206,MATCH(B130,'12 P6 activities'!$A$7:$A$206,0)),"⚠ not in P6 list"))</f>
        <v/>
      </c>
      <c r="E130" s="143"/>
      <c r="F130" s="147"/>
      <c r="G130" s="145" t="str">
        <f>IF(B130="","",IFERROR(INDEX('12 P6 activities'!$E$7:$E$206,MATCH(B130,'12 P6 activities'!$A$7:$A$206,0)),""))</f>
        <v/>
      </c>
      <c r="H130" s="143"/>
      <c r="I130" s="143"/>
      <c r="J130" s="6"/>
      <c r="K130" s="6"/>
      <c r="L130" s="6"/>
      <c r="M130" s="6"/>
      <c r="N130" s="6"/>
      <c r="O130" s="6"/>
      <c r="P130" s="6"/>
      <c r="Q130" s="6"/>
      <c r="R130" s="6"/>
      <c r="S130" s="6"/>
      <c r="T130" s="6"/>
      <c r="U130" s="6"/>
      <c r="V130" s="6"/>
      <c r="W130" s="6"/>
      <c r="X130" s="6"/>
      <c r="Y130" s="6"/>
      <c r="Z130" s="6"/>
    </row>
    <row r="131" spans="1:26" ht="18" customHeight="1" x14ac:dyDescent="0.3">
      <c r="A131" s="142"/>
      <c r="B131" s="143"/>
      <c r="C131" s="151" t="str">
        <f>IF(B131="","",IFERROR(INDEX('12 P6 activities'!$B$7:$B$206,MATCH(B131,'12 P6 activities'!$A$7:$A$206,0)),"ID not in P6 list"))</f>
        <v/>
      </c>
      <c r="D131" s="151" t="str">
        <f>IF(B131="","",IFERROR(INDEX('12 P6 activities'!$C$7:$C$206,MATCH(B131,'12 P6 activities'!$A$7:$A$206,0)),"⚠ not in P6 list"))</f>
        <v/>
      </c>
      <c r="E131" s="143"/>
      <c r="F131" s="147"/>
      <c r="G131" s="145" t="str">
        <f>IF(B131="","",IFERROR(INDEX('12 P6 activities'!$E$7:$E$206,MATCH(B131,'12 P6 activities'!$A$7:$A$206,0)),""))</f>
        <v/>
      </c>
      <c r="H131" s="143"/>
      <c r="I131" s="143"/>
      <c r="J131" s="6"/>
      <c r="K131" s="6"/>
      <c r="L131" s="6"/>
      <c r="M131" s="6"/>
      <c r="N131" s="6"/>
      <c r="O131" s="6"/>
      <c r="P131" s="6"/>
      <c r="Q131" s="6"/>
      <c r="R131" s="6"/>
      <c r="S131" s="6"/>
      <c r="T131" s="6"/>
      <c r="U131" s="6"/>
      <c r="V131" s="6"/>
      <c r="W131" s="6"/>
      <c r="X131" s="6"/>
      <c r="Y131" s="6"/>
      <c r="Z131" s="6"/>
    </row>
    <row r="132" spans="1:26" ht="18" customHeight="1" x14ac:dyDescent="0.3">
      <c r="A132" s="142"/>
      <c r="B132" s="143"/>
      <c r="C132" s="151" t="str">
        <f>IF(B132="","",IFERROR(INDEX('12 P6 activities'!$B$7:$B$206,MATCH(B132,'12 P6 activities'!$A$7:$A$206,0)),"ID not in P6 list"))</f>
        <v/>
      </c>
      <c r="D132" s="151" t="str">
        <f>IF(B132="","",IFERROR(INDEX('12 P6 activities'!$C$7:$C$206,MATCH(B132,'12 P6 activities'!$A$7:$A$206,0)),"⚠ not in P6 list"))</f>
        <v/>
      </c>
      <c r="E132" s="143"/>
      <c r="F132" s="147"/>
      <c r="G132" s="145" t="str">
        <f>IF(B132="","",IFERROR(INDEX('12 P6 activities'!$E$7:$E$206,MATCH(B132,'12 P6 activities'!$A$7:$A$206,0)),""))</f>
        <v/>
      </c>
      <c r="H132" s="143"/>
      <c r="I132" s="143"/>
      <c r="J132" s="6"/>
      <c r="K132" s="6"/>
      <c r="L132" s="6"/>
      <c r="M132" s="6"/>
      <c r="N132" s="6"/>
      <c r="O132" s="6"/>
      <c r="P132" s="6"/>
      <c r="Q132" s="6"/>
      <c r="R132" s="6"/>
      <c r="S132" s="6"/>
      <c r="T132" s="6"/>
      <c r="U132" s="6"/>
      <c r="V132" s="6"/>
      <c r="W132" s="6"/>
      <c r="X132" s="6"/>
      <c r="Y132" s="6"/>
      <c r="Z132" s="6"/>
    </row>
    <row r="133" spans="1:26" ht="18" customHeight="1" x14ac:dyDescent="0.3">
      <c r="A133" s="142"/>
      <c r="B133" s="143"/>
      <c r="C133" s="151" t="str">
        <f>IF(B133="","",IFERROR(INDEX('12 P6 activities'!$B$7:$B$206,MATCH(B133,'12 P6 activities'!$A$7:$A$206,0)),"ID not in P6 list"))</f>
        <v/>
      </c>
      <c r="D133" s="151" t="str">
        <f>IF(B133="","",IFERROR(INDEX('12 P6 activities'!$C$7:$C$206,MATCH(B133,'12 P6 activities'!$A$7:$A$206,0)),"⚠ not in P6 list"))</f>
        <v/>
      </c>
      <c r="E133" s="143"/>
      <c r="F133" s="147"/>
      <c r="G133" s="145" t="str">
        <f>IF(B133="","",IFERROR(INDEX('12 P6 activities'!$E$7:$E$206,MATCH(B133,'12 P6 activities'!$A$7:$A$206,0)),""))</f>
        <v/>
      </c>
      <c r="H133" s="143"/>
      <c r="I133" s="143"/>
      <c r="J133" s="6"/>
      <c r="K133" s="6"/>
      <c r="L133" s="6"/>
      <c r="M133" s="6"/>
      <c r="N133" s="6"/>
      <c r="O133" s="6"/>
      <c r="P133" s="6"/>
      <c r="Q133" s="6"/>
      <c r="R133" s="6"/>
      <c r="S133" s="6"/>
      <c r="T133" s="6"/>
      <c r="U133" s="6"/>
      <c r="V133" s="6"/>
      <c r="W133" s="6"/>
      <c r="X133" s="6"/>
      <c r="Y133" s="6"/>
      <c r="Z133" s="6"/>
    </row>
    <row r="134" spans="1:26" ht="18" customHeight="1" x14ac:dyDescent="0.3">
      <c r="A134" s="142"/>
      <c r="B134" s="143"/>
      <c r="C134" s="151" t="str">
        <f>IF(B134="","",IFERROR(INDEX('12 P6 activities'!$B$7:$B$206,MATCH(B134,'12 P6 activities'!$A$7:$A$206,0)),"ID not in P6 list"))</f>
        <v/>
      </c>
      <c r="D134" s="151" t="str">
        <f>IF(B134="","",IFERROR(INDEX('12 P6 activities'!$C$7:$C$206,MATCH(B134,'12 P6 activities'!$A$7:$A$206,0)),"⚠ not in P6 list"))</f>
        <v/>
      </c>
      <c r="E134" s="143"/>
      <c r="F134" s="147"/>
      <c r="G134" s="145" t="str">
        <f>IF(B134="","",IFERROR(INDEX('12 P6 activities'!$E$7:$E$206,MATCH(B134,'12 P6 activities'!$A$7:$A$206,0)),""))</f>
        <v/>
      </c>
      <c r="H134" s="143"/>
      <c r="I134" s="143"/>
      <c r="J134" s="6"/>
      <c r="K134" s="6"/>
      <c r="L134" s="6"/>
      <c r="M134" s="6"/>
      <c r="N134" s="6"/>
      <c r="O134" s="6"/>
      <c r="P134" s="6"/>
      <c r="Q134" s="6"/>
      <c r="R134" s="6"/>
      <c r="S134" s="6"/>
      <c r="T134" s="6"/>
      <c r="U134" s="6"/>
      <c r="V134" s="6"/>
      <c r="W134" s="6"/>
      <c r="X134" s="6"/>
      <c r="Y134" s="6"/>
      <c r="Z134" s="6"/>
    </row>
    <row r="135" spans="1:26" ht="18" customHeight="1" x14ac:dyDescent="0.3">
      <c r="A135" s="142"/>
      <c r="B135" s="143"/>
      <c r="C135" s="151" t="str">
        <f>IF(B135="","",IFERROR(INDEX('12 P6 activities'!$B$7:$B$206,MATCH(B135,'12 P6 activities'!$A$7:$A$206,0)),"ID not in P6 list"))</f>
        <v/>
      </c>
      <c r="D135" s="151" t="str">
        <f>IF(B135="","",IFERROR(INDEX('12 P6 activities'!$C$7:$C$206,MATCH(B135,'12 P6 activities'!$A$7:$A$206,0)),"⚠ not in P6 list"))</f>
        <v/>
      </c>
      <c r="E135" s="143"/>
      <c r="F135" s="147"/>
      <c r="G135" s="145" t="str">
        <f>IF(B135="","",IFERROR(INDEX('12 P6 activities'!$E$7:$E$206,MATCH(B135,'12 P6 activities'!$A$7:$A$206,0)),""))</f>
        <v/>
      </c>
      <c r="H135" s="143"/>
      <c r="I135" s="143"/>
      <c r="J135" s="6"/>
      <c r="K135" s="6"/>
      <c r="L135" s="6"/>
      <c r="M135" s="6"/>
      <c r="N135" s="6"/>
      <c r="O135" s="6"/>
      <c r="P135" s="6"/>
      <c r="Q135" s="6"/>
      <c r="R135" s="6"/>
      <c r="S135" s="6"/>
      <c r="T135" s="6"/>
      <c r="U135" s="6"/>
      <c r="V135" s="6"/>
      <c r="W135" s="6"/>
      <c r="X135" s="6"/>
      <c r="Y135" s="6"/>
      <c r="Z135" s="6"/>
    </row>
    <row r="136" spans="1:26" ht="18" customHeight="1" x14ac:dyDescent="0.3">
      <c r="A136" s="142"/>
      <c r="B136" s="143"/>
      <c r="C136" s="151" t="str">
        <f>IF(B136="","",IFERROR(INDEX('12 P6 activities'!$B$7:$B$206,MATCH(B136,'12 P6 activities'!$A$7:$A$206,0)),"ID not in P6 list"))</f>
        <v/>
      </c>
      <c r="D136" s="151" t="str">
        <f>IF(B136="","",IFERROR(INDEX('12 P6 activities'!$C$7:$C$206,MATCH(B136,'12 P6 activities'!$A$7:$A$206,0)),"⚠ not in P6 list"))</f>
        <v/>
      </c>
      <c r="E136" s="143"/>
      <c r="F136" s="147"/>
      <c r="G136" s="145" t="str">
        <f>IF(B136="","",IFERROR(INDEX('12 P6 activities'!$E$7:$E$206,MATCH(B136,'12 P6 activities'!$A$7:$A$206,0)),""))</f>
        <v/>
      </c>
      <c r="H136" s="143"/>
      <c r="I136" s="143"/>
      <c r="J136" s="6"/>
      <c r="K136" s="6"/>
      <c r="L136" s="6"/>
      <c r="M136" s="6"/>
      <c r="N136" s="6"/>
      <c r="O136" s="6"/>
      <c r="P136" s="6"/>
      <c r="Q136" s="6"/>
      <c r="R136" s="6"/>
      <c r="S136" s="6"/>
      <c r="T136" s="6"/>
      <c r="U136" s="6"/>
      <c r="V136" s="6"/>
      <c r="W136" s="6"/>
      <c r="X136" s="6"/>
      <c r="Y136" s="6"/>
      <c r="Z136" s="6"/>
    </row>
    <row r="137" spans="1:26" ht="18" customHeight="1" x14ac:dyDescent="0.3">
      <c r="A137" s="142"/>
      <c r="B137" s="143"/>
      <c r="C137" s="151" t="str">
        <f>IF(B137="","",IFERROR(INDEX('12 P6 activities'!$B$7:$B$206,MATCH(B137,'12 P6 activities'!$A$7:$A$206,0)),"ID not in P6 list"))</f>
        <v/>
      </c>
      <c r="D137" s="151" t="str">
        <f>IF(B137="","",IFERROR(INDEX('12 P6 activities'!$C$7:$C$206,MATCH(B137,'12 P6 activities'!$A$7:$A$206,0)),"⚠ not in P6 list"))</f>
        <v/>
      </c>
      <c r="E137" s="143"/>
      <c r="F137" s="147"/>
      <c r="G137" s="145" t="str">
        <f>IF(B137="","",IFERROR(INDEX('12 P6 activities'!$E$7:$E$206,MATCH(B137,'12 P6 activities'!$A$7:$A$206,0)),""))</f>
        <v/>
      </c>
      <c r="H137" s="143"/>
      <c r="I137" s="143"/>
      <c r="J137" s="6"/>
      <c r="K137" s="6"/>
      <c r="L137" s="6"/>
      <c r="M137" s="6"/>
      <c r="N137" s="6"/>
      <c r="O137" s="6"/>
      <c r="P137" s="6"/>
      <c r="Q137" s="6"/>
      <c r="R137" s="6"/>
      <c r="S137" s="6"/>
      <c r="T137" s="6"/>
      <c r="U137" s="6"/>
      <c r="V137" s="6"/>
      <c r="W137" s="6"/>
      <c r="X137" s="6"/>
      <c r="Y137" s="6"/>
      <c r="Z137" s="6"/>
    </row>
    <row r="138" spans="1:26" ht="18" customHeight="1" x14ac:dyDescent="0.3">
      <c r="A138" s="142"/>
      <c r="B138" s="143"/>
      <c r="C138" s="151" t="str">
        <f>IF(B138="","",IFERROR(INDEX('12 P6 activities'!$B$7:$B$206,MATCH(B138,'12 P6 activities'!$A$7:$A$206,0)),"ID not in P6 list"))</f>
        <v/>
      </c>
      <c r="D138" s="151" t="str">
        <f>IF(B138="","",IFERROR(INDEX('12 P6 activities'!$C$7:$C$206,MATCH(B138,'12 P6 activities'!$A$7:$A$206,0)),"⚠ not in P6 list"))</f>
        <v/>
      </c>
      <c r="E138" s="143"/>
      <c r="F138" s="147"/>
      <c r="G138" s="145" t="str">
        <f>IF(B138="","",IFERROR(INDEX('12 P6 activities'!$E$7:$E$206,MATCH(B138,'12 P6 activities'!$A$7:$A$206,0)),""))</f>
        <v/>
      </c>
      <c r="H138" s="143"/>
      <c r="I138" s="143"/>
      <c r="J138" s="6"/>
      <c r="K138" s="6"/>
      <c r="L138" s="6"/>
      <c r="M138" s="6"/>
      <c r="N138" s="6"/>
      <c r="O138" s="6"/>
      <c r="P138" s="6"/>
      <c r="Q138" s="6"/>
      <c r="R138" s="6"/>
      <c r="S138" s="6"/>
      <c r="T138" s="6"/>
      <c r="U138" s="6"/>
      <c r="V138" s="6"/>
      <c r="W138" s="6"/>
      <c r="X138" s="6"/>
      <c r="Y138" s="6"/>
      <c r="Z138" s="6"/>
    </row>
    <row r="139" spans="1:26" ht="18" customHeight="1" x14ac:dyDescent="0.3">
      <c r="A139" s="142"/>
      <c r="B139" s="143"/>
      <c r="C139" s="151" t="str">
        <f>IF(B139="","",IFERROR(INDEX('12 P6 activities'!$B$7:$B$206,MATCH(B139,'12 P6 activities'!$A$7:$A$206,0)),"ID not in P6 list"))</f>
        <v/>
      </c>
      <c r="D139" s="151" t="str">
        <f>IF(B139="","",IFERROR(INDEX('12 P6 activities'!$C$7:$C$206,MATCH(B139,'12 P6 activities'!$A$7:$A$206,0)),"⚠ not in P6 list"))</f>
        <v/>
      </c>
      <c r="E139" s="143"/>
      <c r="F139" s="147"/>
      <c r="G139" s="145" t="str">
        <f>IF(B139="","",IFERROR(INDEX('12 P6 activities'!$E$7:$E$206,MATCH(B139,'12 P6 activities'!$A$7:$A$206,0)),""))</f>
        <v/>
      </c>
      <c r="H139" s="143"/>
      <c r="I139" s="143"/>
      <c r="J139" s="6"/>
      <c r="K139" s="6"/>
      <c r="L139" s="6"/>
      <c r="M139" s="6"/>
      <c r="N139" s="6"/>
      <c r="O139" s="6"/>
      <c r="P139" s="6"/>
      <c r="Q139" s="6"/>
      <c r="R139" s="6"/>
      <c r="S139" s="6"/>
      <c r="T139" s="6"/>
      <c r="U139" s="6"/>
      <c r="V139" s="6"/>
      <c r="W139" s="6"/>
      <c r="X139" s="6"/>
      <c r="Y139" s="6"/>
      <c r="Z139" s="6"/>
    </row>
    <row r="140" spans="1:26" ht="18" customHeight="1" x14ac:dyDescent="0.3">
      <c r="A140" s="142"/>
      <c r="B140" s="143"/>
      <c r="C140" s="151" t="str">
        <f>IF(B140="","",IFERROR(INDEX('12 P6 activities'!$B$7:$B$206,MATCH(B140,'12 P6 activities'!$A$7:$A$206,0)),"ID not in P6 list"))</f>
        <v/>
      </c>
      <c r="D140" s="151" t="str">
        <f>IF(B140="","",IFERROR(INDEX('12 P6 activities'!$C$7:$C$206,MATCH(B140,'12 P6 activities'!$A$7:$A$206,0)),"⚠ not in P6 list"))</f>
        <v/>
      </c>
      <c r="E140" s="143"/>
      <c r="F140" s="147"/>
      <c r="G140" s="145" t="str">
        <f>IF(B140="","",IFERROR(INDEX('12 P6 activities'!$E$7:$E$206,MATCH(B140,'12 P6 activities'!$A$7:$A$206,0)),""))</f>
        <v/>
      </c>
      <c r="H140" s="143"/>
      <c r="I140" s="143"/>
      <c r="J140" s="6"/>
      <c r="K140" s="6"/>
      <c r="L140" s="6"/>
      <c r="M140" s="6"/>
      <c r="N140" s="6"/>
      <c r="O140" s="6"/>
      <c r="P140" s="6"/>
      <c r="Q140" s="6"/>
      <c r="R140" s="6"/>
      <c r="S140" s="6"/>
      <c r="T140" s="6"/>
      <c r="U140" s="6"/>
      <c r="V140" s="6"/>
      <c r="W140" s="6"/>
      <c r="X140" s="6"/>
      <c r="Y140" s="6"/>
      <c r="Z140" s="6"/>
    </row>
    <row r="141" spans="1:26" ht="18" customHeight="1" x14ac:dyDescent="0.3">
      <c r="A141" s="142"/>
      <c r="B141" s="143"/>
      <c r="C141" s="151" t="str">
        <f>IF(B141="","",IFERROR(INDEX('12 P6 activities'!$B$7:$B$206,MATCH(B141,'12 P6 activities'!$A$7:$A$206,0)),"ID not in P6 list"))</f>
        <v/>
      </c>
      <c r="D141" s="151" t="str">
        <f>IF(B141="","",IFERROR(INDEX('12 P6 activities'!$C$7:$C$206,MATCH(B141,'12 P6 activities'!$A$7:$A$206,0)),"⚠ not in P6 list"))</f>
        <v/>
      </c>
      <c r="E141" s="143"/>
      <c r="F141" s="147"/>
      <c r="G141" s="145" t="str">
        <f>IF(B141="","",IFERROR(INDEX('12 P6 activities'!$E$7:$E$206,MATCH(B141,'12 P6 activities'!$A$7:$A$206,0)),""))</f>
        <v/>
      </c>
      <c r="H141" s="143"/>
      <c r="I141" s="143"/>
      <c r="J141" s="6"/>
      <c r="K141" s="6"/>
      <c r="L141" s="6"/>
      <c r="M141" s="6"/>
      <c r="N141" s="6"/>
      <c r="O141" s="6"/>
      <c r="P141" s="6"/>
      <c r="Q141" s="6"/>
      <c r="R141" s="6"/>
      <c r="S141" s="6"/>
      <c r="T141" s="6"/>
      <c r="U141" s="6"/>
      <c r="V141" s="6"/>
      <c r="W141" s="6"/>
      <c r="X141" s="6"/>
      <c r="Y141" s="6"/>
      <c r="Z141" s="6"/>
    </row>
    <row r="142" spans="1:26" ht="18" customHeight="1" x14ac:dyDescent="0.3">
      <c r="A142" s="142"/>
      <c r="B142" s="143"/>
      <c r="C142" s="151" t="str">
        <f>IF(B142="","",IFERROR(INDEX('12 P6 activities'!$B$7:$B$206,MATCH(B142,'12 P6 activities'!$A$7:$A$206,0)),"ID not in P6 list"))</f>
        <v/>
      </c>
      <c r="D142" s="151" t="str">
        <f>IF(B142="","",IFERROR(INDEX('12 P6 activities'!$C$7:$C$206,MATCH(B142,'12 P6 activities'!$A$7:$A$206,0)),"⚠ not in P6 list"))</f>
        <v/>
      </c>
      <c r="E142" s="143"/>
      <c r="F142" s="147"/>
      <c r="G142" s="145" t="str">
        <f>IF(B142="","",IFERROR(INDEX('12 P6 activities'!$E$7:$E$206,MATCH(B142,'12 P6 activities'!$A$7:$A$206,0)),""))</f>
        <v/>
      </c>
      <c r="H142" s="143"/>
      <c r="I142" s="143"/>
      <c r="J142" s="6"/>
      <c r="K142" s="6"/>
      <c r="L142" s="6"/>
      <c r="M142" s="6"/>
      <c r="N142" s="6"/>
      <c r="O142" s="6"/>
      <c r="P142" s="6"/>
      <c r="Q142" s="6"/>
      <c r="R142" s="6"/>
      <c r="S142" s="6"/>
      <c r="T142" s="6"/>
      <c r="U142" s="6"/>
      <c r="V142" s="6"/>
      <c r="W142" s="6"/>
      <c r="X142" s="6"/>
      <c r="Y142" s="6"/>
      <c r="Z142" s="6"/>
    </row>
    <row r="143" spans="1:26" ht="18" customHeight="1" x14ac:dyDescent="0.3">
      <c r="A143" s="142"/>
      <c r="B143" s="143"/>
      <c r="C143" s="151" t="str">
        <f>IF(B143="","",IFERROR(INDEX('12 P6 activities'!$B$7:$B$206,MATCH(B143,'12 P6 activities'!$A$7:$A$206,0)),"ID not in P6 list"))</f>
        <v/>
      </c>
      <c r="D143" s="151" t="str">
        <f>IF(B143="","",IFERROR(INDEX('12 P6 activities'!$C$7:$C$206,MATCH(B143,'12 P6 activities'!$A$7:$A$206,0)),"⚠ not in P6 list"))</f>
        <v/>
      </c>
      <c r="E143" s="143"/>
      <c r="F143" s="147"/>
      <c r="G143" s="145" t="str">
        <f>IF(B143="","",IFERROR(INDEX('12 P6 activities'!$E$7:$E$206,MATCH(B143,'12 P6 activities'!$A$7:$A$206,0)),""))</f>
        <v/>
      </c>
      <c r="H143" s="143"/>
      <c r="I143" s="143"/>
      <c r="J143" s="6"/>
      <c r="K143" s="6"/>
      <c r="L143" s="6"/>
      <c r="M143" s="6"/>
      <c r="N143" s="6"/>
      <c r="O143" s="6"/>
      <c r="P143" s="6"/>
      <c r="Q143" s="6"/>
      <c r="R143" s="6"/>
      <c r="S143" s="6"/>
      <c r="T143" s="6"/>
      <c r="U143" s="6"/>
      <c r="V143" s="6"/>
      <c r="W143" s="6"/>
      <c r="X143" s="6"/>
      <c r="Y143" s="6"/>
      <c r="Z143" s="6"/>
    </row>
    <row r="144" spans="1:26" ht="18" customHeight="1" x14ac:dyDescent="0.3">
      <c r="A144" s="142"/>
      <c r="B144" s="143"/>
      <c r="C144" s="151" t="str">
        <f>IF(B144="","",IFERROR(INDEX('12 P6 activities'!$B$7:$B$206,MATCH(B144,'12 P6 activities'!$A$7:$A$206,0)),"ID not in P6 list"))</f>
        <v/>
      </c>
      <c r="D144" s="151" t="str">
        <f>IF(B144="","",IFERROR(INDEX('12 P6 activities'!$C$7:$C$206,MATCH(B144,'12 P6 activities'!$A$7:$A$206,0)),"⚠ not in P6 list"))</f>
        <v/>
      </c>
      <c r="E144" s="143"/>
      <c r="F144" s="147"/>
      <c r="G144" s="145" t="str">
        <f>IF(B144="","",IFERROR(INDEX('12 P6 activities'!$E$7:$E$206,MATCH(B144,'12 P6 activities'!$A$7:$A$206,0)),""))</f>
        <v/>
      </c>
      <c r="H144" s="143"/>
      <c r="I144" s="143"/>
      <c r="J144" s="6"/>
      <c r="K144" s="6"/>
      <c r="L144" s="6"/>
      <c r="M144" s="6"/>
      <c r="N144" s="6"/>
      <c r="O144" s="6"/>
      <c r="P144" s="6"/>
      <c r="Q144" s="6"/>
      <c r="R144" s="6"/>
      <c r="S144" s="6"/>
      <c r="T144" s="6"/>
      <c r="U144" s="6"/>
      <c r="V144" s="6"/>
      <c r="W144" s="6"/>
      <c r="X144" s="6"/>
      <c r="Y144" s="6"/>
      <c r="Z144" s="6"/>
    </row>
    <row r="145" spans="1:26" ht="18" customHeight="1" x14ac:dyDescent="0.3">
      <c r="A145" s="142"/>
      <c r="B145" s="143"/>
      <c r="C145" s="151" t="str">
        <f>IF(B145="","",IFERROR(INDEX('12 P6 activities'!$B$7:$B$206,MATCH(B145,'12 P6 activities'!$A$7:$A$206,0)),"ID not in P6 list"))</f>
        <v/>
      </c>
      <c r="D145" s="151" t="str">
        <f>IF(B145="","",IFERROR(INDEX('12 P6 activities'!$C$7:$C$206,MATCH(B145,'12 P6 activities'!$A$7:$A$206,0)),"⚠ not in P6 list"))</f>
        <v/>
      </c>
      <c r="E145" s="143"/>
      <c r="F145" s="147"/>
      <c r="G145" s="145" t="str">
        <f>IF(B145="","",IFERROR(INDEX('12 P6 activities'!$E$7:$E$206,MATCH(B145,'12 P6 activities'!$A$7:$A$206,0)),""))</f>
        <v/>
      </c>
      <c r="H145" s="143"/>
      <c r="I145" s="143"/>
      <c r="J145" s="6"/>
      <c r="K145" s="6"/>
      <c r="L145" s="6"/>
      <c r="M145" s="6"/>
      <c r="N145" s="6"/>
      <c r="O145" s="6"/>
      <c r="P145" s="6"/>
      <c r="Q145" s="6"/>
      <c r="R145" s="6"/>
      <c r="S145" s="6"/>
      <c r="T145" s="6"/>
      <c r="U145" s="6"/>
      <c r="V145" s="6"/>
      <c r="W145" s="6"/>
      <c r="X145" s="6"/>
      <c r="Y145" s="6"/>
      <c r="Z145" s="6"/>
    </row>
    <row r="146" spans="1:26" ht="18" customHeight="1" x14ac:dyDescent="0.3">
      <c r="A146" s="142"/>
      <c r="B146" s="143"/>
      <c r="C146" s="151" t="str">
        <f>IF(B146="","",IFERROR(INDEX('12 P6 activities'!$B$7:$B$206,MATCH(B146,'12 P6 activities'!$A$7:$A$206,0)),"ID not in P6 list"))</f>
        <v/>
      </c>
      <c r="D146" s="151" t="str">
        <f>IF(B146="","",IFERROR(INDEX('12 P6 activities'!$C$7:$C$206,MATCH(B146,'12 P6 activities'!$A$7:$A$206,0)),"⚠ not in P6 list"))</f>
        <v/>
      </c>
      <c r="E146" s="143"/>
      <c r="F146" s="147"/>
      <c r="G146" s="145" t="str">
        <f>IF(B146="","",IFERROR(INDEX('12 P6 activities'!$E$7:$E$206,MATCH(B146,'12 P6 activities'!$A$7:$A$206,0)),""))</f>
        <v/>
      </c>
      <c r="H146" s="143"/>
      <c r="I146" s="143"/>
      <c r="J146" s="6"/>
      <c r="K146" s="6"/>
      <c r="L146" s="6"/>
      <c r="M146" s="6"/>
      <c r="N146" s="6"/>
      <c r="O146" s="6"/>
      <c r="P146" s="6"/>
      <c r="Q146" s="6"/>
      <c r="R146" s="6"/>
      <c r="S146" s="6"/>
      <c r="T146" s="6"/>
      <c r="U146" s="6"/>
      <c r="V146" s="6"/>
      <c r="W146" s="6"/>
      <c r="X146" s="6"/>
      <c r="Y146" s="6"/>
      <c r="Z146" s="6"/>
    </row>
    <row r="147" spans="1:26" ht="18" customHeight="1" x14ac:dyDescent="0.3">
      <c r="A147" s="142"/>
      <c r="B147" s="143"/>
      <c r="C147" s="151" t="str">
        <f>IF(B147="","",IFERROR(INDEX('12 P6 activities'!$B$7:$B$206,MATCH(B147,'12 P6 activities'!$A$7:$A$206,0)),"ID not in P6 list"))</f>
        <v/>
      </c>
      <c r="D147" s="151" t="str">
        <f>IF(B147="","",IFERROR(INDEX('12 P6 activities'!$C$7:$C$206,MATCH(B147,'12 P6 activities'!$A$7:$A$206,0)),"⚠ not in P6 list"))</f>
        <v/>
      </c>
      <c r="E147" s="143"/>
      <c r="F147" s="147"/>
      <c r="G147" s="145" t="str">
        <f>IF(B147="","",IFERROR(INDEX('12 P6 activities'!$E$7:$E$206,MATCH(B147,'12 P6 activities'!$A$7:$A$206,0)),""))</f>
        <v/>
      </c>
      <c r="H147" s="143"/>
      <c r="I147" s="143"/>
      <c r="J147" s="6"/>
      <c r="K147" s="6"/>
      <c r="L147" s="6"/>
      <c r="M147" s="6"/>
      <c r="N147" s="6"/>
      <c r="O147" s="6"/>
      <c r="P147" s="6"/>
      <c r="Q147" s="6"/>
      <c r="R147" s="6"/>
      <c r="S147" s="6"/>
      <c r="T147" s="6"/>
      <c r="U147" s="6"/>
      <c r="V147" s="6"/>
      <c r="W147" s="6"/>
      <c r="X147" s="6"/>
      <c r="Y147" s="6"/>
      <c r="Z147" s="6"/>
    </row>
    <row r="148" spans="1:26" ht="18" customHeight="1" x14ac:dyDescent="0.3">
      <c r="A148" s="142"/>
      <c r="B148" s="143"/>
      <c r="C148" s="151" t="str">
        <f>IF(B148="","",IFERROR(INDEX('12 P6 activities'!$B$7:$B$206,MATCH(B148,'12 P6 activities'!$A$7:$A$206,0)),"ID not in P6 list"))</f>
        <v/>
      </c>
      <c r="D148" s="151" t="str">
        <f>IF(B148="","",IFERROR(INDEX('12 P6 activities'!$C$7:$C$206,MATCH(B148,'12 P6 activities'!$A$7:$A$206,0)),"⚠ not in P6 list"))</f>
        <v/>
      </c>
      <c r="E148" s="143"/>
      <c r="F148" s="147"/>
      <c r="G148" s="145" t="str">
        <f>IF(B148="","",IFERROR(INDEX('12 P6 activities'!$E$7:$E$206,MATCH(B148,'12 P6 activities'!$A$7:$A$206,0)),""))</f>
        <v/>
      </c>
      <c r="H148" s="143"/>
      <c r="I148" s="143"/>
      <c r="J148" s="6"/>
      <c r="K148" s="6"/>
      <c r="L148" s="6"/>
      <c r="M148" s="6"/>
      <c r="N148" s="6"/>
      <c r="O148" s="6"/>
      <c r="P148" s="6"/>
      <c r="Q148" s="6"/>
      <c r="R148" s="6"/>
      <c r="S148" s="6"/>
      <c r="T148" s="6"/>
      <c r="U148" s="6"/>
      <c r="V148" s="6"/>
      <c r="W148" s="6"/>
      <c r="X148" s="6"/>
      <c r="Y148" s="6"/>
      <c r="Z148" s="6"/>
    </row>
    <row r="149" spans="1:26" ht="18" customHeight="1" x14ac:dyDescent="0.3">
      <c r="A149" s="142"/>
      <c r="B149" s="143"/>
      <c r="C149" s="151" t="str">
        <f>IF(B149="","",IFERROR(INDEX('12 P6 activities'!$B$7:$B$206,MATCH(B149,'12 P6 activities'!$A$7:$A$206,0)),"ID not in P6 list"))</f>
        <v/>
      </c>
      <c r="D149" s="151" t="str">
        <f>IF(B149="","",IFERROR(INDEX('12 P6 activities'!$C$7:$C$206,MATCH(B149,'12 P6 activities'!$A$7:$A$206,0)),"⚠ not in P6 list"))</f>
        <v/>
      </c>
      <c r="E149" s="143"/>
      <c r="F149" s="147"/>
      <c r="G149" s="145" t="str">
        <f>IF(B149="","",IFERROR(INDEX('12 P6 activities'!$E$7:$E$206,MATCH(B149,'12 P6 activities'!$A$7:$A$206,0)),""))</f>
        <v/>
      </c>
      <c r="H149" s="143"/>
      <c r="I149" s="143"/>
      <c r="J149" s="6"/>
      <c r="K149" s="6"/>
      <c r="L149" s="6"/>
      <c r="M149" s="6"/>
      <c r="N149" s="6"/>
      <c r="O149" s="6"/>
      <c r="P149" s="6"/>
      <c r="Q149" s="6"/>
      <c r="R149" s="6"/>
      <c r="S149" s="6"/>
      <c r="T149" s="6"/>
      <c r="U149" s="6"/>
      <c r="V149" s="6"/>
      <c r="W149" s="6"/>
      <c r="X149" s="6"/>
      <c r="Y149" s="6"/>
      <c r="Z149" s="6"/>
    </row>
    <row r="150" spans="1:26" ht="18" customHeight="1" x14ac:dyDescent="0.3">
      <c r="A150" s="142"/>
      <c r="B150" s="143"/>
      <c r="C150" s="151" t="str">
        <f>IF(B150="","",IFERROR(INDEX('12 P6 activities'!$B$7:$B$206,MATCH(B150,'12 P6 activities'!$A$7:$A$206,0)),"ID not in P6 list"))</f>
        <v/>
      </c>
      <c r="D150" s="151" t="str">
        <f>IF(B150="","",IFERROR(INDEX('12 P6 activities'!$C$7:$C$206,MATCH(B150,'12 P6 activities'!$A$7:$A$206,0)),"⚠ not in P6 list"))</f>
        <v/>
      </c>
      <c r="E150" s="143"/>
      <c r="F150" s="147"/>
      <c r="G150" s="145" t="str">
        <f>IF(B150="","",IFERROR(INDEX('12 P6 activities'!$E$7:$E$206,MATCH(B150,'12 P6 activities'!$A$7:$A$206,0)),""))</f>
        <v/>
      </c>
      <c r="H150" s="143"/>
      <c r="I150" s="143"/>
      <c r="J150" s="6"/>
      <c r="K150" s="6"/>
      <c r="L150" s="6"/>
      <c r="M150" s="6"/>
      <c r="N150" s="6"/>
      <c r="O150" s="6"/>
      <c r="P150" s="6"/>
      <c r="Q150" s="6"/>
      <c r="R150" s="6"/>
      <c r="S150" s="6"/>
      <c r="T150" s="6"/>
      <c r="U150" s="6"/>
      <c r="V150" s="6"/>
      <c r="W150" s="6"/>
      <c r="X150" s="6"/>
      <c r="Y150" s="6"/>
      <c r="Z150" s="6"/>
    </row>
    <row r="151" spans="1:26" ht="18" customHeight="1" x14ac:dyDescent="0.3">
      <c r="A151" s="142"/>
      <c r="B151" s="143"/>
      <c r="C151" s="151" t="str">
        <f>IF(B151="","",IFERROR(INDEX('12 P6 activities'!$B$7:$B$206,MATCH(B151,'12 P6 activities'!$A$7:$A$206,0)),"ID not in P6 list"))</f>
        <v/>
      </c>
      <c r="D151" s="151" t="str">
        <f>IF(B151="","",IFERROR(INDEX('12 P6 activities'!$C$7:$C$206,MATCH(B151,'12 P6 activities'!$A$7:$A$206,0)),"⚠ not in P6 list"))</f>
        <v/>
      </c>
      <c r="E151" s="143"/>
      <c r="F151" s="147"/>
      <c r="G151" s="145" t="str">
        <f>IF(B151="","",IFERROR(INDEX('12 P6 activities'!$E$7:$E$206,MATCH(B151,'12 P6 activities'!$A$7:$A$206,0)),""))</f>
        <v/>
      </c>
      <c r="H151" s="143"/>
      <c r="I151" s="143"/>
      <c r="J151" s="6"/>
      <c r="K151" s="6"/>
      <c r="L151" s="6"/>
      <c r="M151" s="6"/>
      <c r="N151" s="6"/>
      <c r="O151" s="6"/>
      <c r="P151" s="6"/>
      <c r="Q151" s="6"/>
      <c r="R151" s="6"/>
      <c r="S151" s="6"/>
      <c r="T151" s="6"/>
      <c r="U151" s="6"/>
      <c r="V151" s="6"/>
      <c r="W151" s="6"/>
      <c r="X151" s="6"/>
      <c r="Y151" s="6"/>
      <c r="Z151" s="6"/>
    </row>
    <row r="152" spans="1:26" ht="18" customHeight="1" x14ac:dyDescent="0.3">
      <c r="A152" s="142"/>
      <c r="B152" s="143"/>
      <c r="C152" s="151" t="str">
        <f>IF(B152="","",IFERROR(INDEX('12 P6 activities'!$B$7:$B$206,MATCH(B152,'12 P6 activities'!$A$7:$A$206,0)),"ID not in P6 list"))</f>
        <v/>
      </c>
      <c r="D152" s="151" t="str">
        <f>IF(B152="","",IFERROR(INDEX('12 P6 activities'!$C$7:$C$206,MATCH(B152,'12 P6 activities'!$A$7:$A$206,0)),"⚠ not in P6 list"))</f>
        <v/>
      </c>
      <c r="E152" s="143"/>
      <c r="F152" s="147"/>
      <c r="G152" s="145" t="str">
        <f>IF(B152="","",IFERROR(INDEX('12 P6 activities'!$E$7:$E$206,MATCH(B152,'12 P6 activities'!$A$7:$A$206,0)),""))</f>
        <v/>
      </c>
      <c r="H152" s="143"/>
      <c r="I152" s="143"/>
      <c r="J152" s="6"/>
      <c r="K152" s="6"/>
      <c r="L152" s="6"/>
      <c r="M152" s="6"/>
      <c r="N152" s="6"/>
      <c r="O152" s="6"/>
      <c r="P152" s="6"/>
      <c r="Q152" s="6"/>
      <c r="R152" s="6"/>
      <c r="S152" s="6"/>
      <c r="T152" s="6"/>
      <c r="U152" s="6"/>
      <c r="V152" s="6"/>
      <c r="W152" s="6"/>
      <c r="X152" s="6"/>
      <c r="Y152" s="6"/>
      <c r="Z152" s="6"/>
    </row>
    <row r="153" spans="1:26" ht="18" customHeight="1" x14ac:dyDescent="0.3">
      <c r="A153" s="142"/>
      <c r="B153" s="143"/>
      <c r="C153" s="151" t="str">
        <f>IF(B153="","",IFERROR(INDEX('12 P6 activities'!$B$7:$B$206,MATCH(B153,'12 P6 activities'!$A$7:$A$206,0)),"ID not in P6 list"))</f>
        <v/>
      </c>
      <c r="D153" s="151" t="str">
        <f>IF(B153="","",IFERROR(INDEX('12 P6 activities'!$C$7:$C$206,MATCH(B153,'12 P6 activities'!$A$7:$A$206,0)),"⚠ not in P6 list"))</f>
        <v/>
      </c>
      <c r="E153" s="143"/>
      <c r="F153" s="147"/>
      <c r="G153" s="145" t="str">
        <f>IF(B153="","",IFERROR(INDEX('12 P6 activities'!$E$7:$E$206,MATCH(B153,'12 P6 activities'!$A$7:$A$206,0)),""))</f>
        <v/>
      </c>
      <c r="H153" s="143"/>
      <c r="I153" s="143"/>
      <c r="J153" s="6"/>
      <c r="K153" s="6"/>
      <c r="L153" s="6"/>
      <c r="M153" s="6"/>
      <c r="N153" s="6"/>
      <c r="O153" s="6"/>
      <c r="P153" s="6"/>
      <c r="Q153" s="6"/>
      <c r="R153" s="6"/>
      <c r="S153" s="6"/>
      <c r="T153" s="6"/>
      <c r="U153" s="6"/>
      <c r="V153" s="6"/>
      <c r="W153" s="6"/>
      <c r="X153" s="6"/>
      <c r="Y153" s="6"/>
      <c r="Z153" s="6"/>
    </row>
    <row r="154" spans="1:26" ht="18" customHeight="1" x14ac:dyDescent="0.3">
      <c r="A154" s="142"/>
      <c r="B154" s="143"/>
      <c r="C154" s="151" t="str">
        <f>IF(B154="","",IFERROR(INDEX('12 P6 activities'!$B$7:$B$206,MATCH(B154,'12 P6 activities'!$A$7:$A$206,0)),"ID not in P6 list"))</f>
        <v/>
      </c>
      <c r="D154" s="151" t="str">
        <f>IF(B154="","",IFERROR(INDEX('12 P6 activities'!$C$7:$C$206,MATCH(B154,'12 P6 activities'!$A$7:$A$206,0)),"⚠ not in P6 list"))</f>
        <v/>
      </c>
      <c r="E154" s="143"/>
      <c r="F154" s="147"/>
      <c r="G154" s="145" t="str">
        <f>IF(B154="","",IFERROR(INDEX('12 P6 activities'!$E$7:$E$206,MATCH(B154,'12 P6 activities'!$A$7:$A$206,0)),""))</f>
        <v/>
      </c>
      <c r="H154" s="143"/>
      <c r="I154" s="143"/>
      <c r="J154" s="6"/>
      <c r="K154" s="6"/>
      <c r="L154" s="6"/>
      <c r="M154" s="6"/>
      <c r="N154" s="6"/>
      <c r="O154" s="6"/>
      <c r="P154" s="6"/>
      <c r="Q154" s="6"/>
      <c r="R154" s="6"/>
      <c r="S154" s="6"/>
      <c r="T154" s="6"/>
      <c r="U154" s="6"/>
      <c r="V154" s="6"/>
      <c r="W154" s="6"/>
      <c r="X154" s="6"/>
      <c r="Y154" s="6"/>
      <c r="Z154" s="6"/>
    </row>
    <row r="155" spans="1:26" ht="18" customHeight="1" x14ac:dyDescent="0.3">
      <c r="A155" s="142"/>
      <c r="B155" s="143"/>
      <c r="C155" s="151" t="str">
        <f>IF(B155="","",IFERROR(INDEX('12 P6 activities'!$B$7:$B$206,MATCH(B155,'12 P6 activities'!$A$7:$A$206,0)),"ID not in P6 list"))</f>
        <v/>
      </c>
      <c r="D155" s="151" t="str">
        <f>IF(B155="","",IFERROR(INDEX('12 P6 activities'!$C$7:$C$206,MATCH(B155,'12 P6 activities'!$A$7:$A$206,0)),"⚠ not in P6 list"))</f>
        <v/>
      </c>
      <c r="E155" s="143"/>
      <c r="F155" s="147"/>
      <c r="G155" s="145" t="str">
        <f>IF(B155="","",IFERROR(INDEX('12 P6 activities'!$E$7:$E$206,MATCH(B155,'12 P6 activities'!$A$7:$A$206,0)),""))</f>
        <v/>
      </c>
      <c r="H155" s="143"/>
      <c r="I155" s="143"/>
      <c r="J155" s="6"/>
      <c r="K155" s="6"/>
      <c r="L155" s="6"/>
      <c r="M155" s="6"/>
      <c r="N155" s="6"/>
      <c r="O155" s="6"/>
      <c r="P155" s="6"/>
      <c r="Q155" s="6"/>
      <c r="R155" s="6"/>
      <c r="S155" s="6"/>
      <c r="T155" s="6"/>
      <c r="U155" s="6"/>
      <c r="V155" s="6"/>
      <c r="W155" s="6"/>
      <c r="X155" s="6"/>
      <c r="Y155" s="6"/>
      <c r="Z155" s="6"/>
    </row>
    <row r="156" spans="1:26" ht="18" customHeight="1" x14ac:dyDescent="0.3">
      <c r="A156" s="142"/>
      <c r="B156" s="143"/>
      <c r="C156" s="151" t="str">
        <f>IF(B156="","",IFERROR(INDEX('12 P6 activities'!$B$7:$B$206,MATCH(B156,'12 P6 activities'!$A$7:$A$206,0)),"ID not in P6 list"))</f>
        <v/>
      </c>
      <c r="D156" s="151" t="str">
        <f>IF(B156="","",IFERROR(INDEX('12 P6 activities'!$C$7:$C$206,MATCH(B156,'12 P6 activities'!$A$7:$A$206,0)),"⚠ not in P6 list"))</f>
        <v/>
      </c>
      <c r="E156" s="143"/>
      <c r="F156" s="147"/>
      <c r="G156" s="145" t="str">
        <f>IF(B156="","",IFERROR(INDEX('12 P6 activities'!$E$7:$E$206,MATCH(B156,'12 P6 activities'!$A$7:$A$206,0)),""))</f>
        <v/>
      </c>
      <c r="H156" s="143"/>
      <c r="I156" s="143"/>
      <c r="J156" s="6"/>
      <c r="K156" s="6"/>
      <c r="L156" s="6"/>
      <c r="M156" s="6"/>
      <c r="N156" s="6"/>
      <c r="O156" s="6"/>
      <c r="P156" s="6"/>
      <c r="Q156" s="6"/>
      <c r="R156" s="6"/>
      <c r="S156" s="6"/>
      <c r="T156" s="6"/>
      <c r="U156" s="6"/>
      <c r="V156" s="6"/>
      <c r="W156" s="6"/>
      <c r="X156" s="6"/>
      <c r="Y156" s="6"/>
      <c r="Z156" s="6"/>
    </row>
    <row r="157" spans="1:26" ht="18" customHeight="1" x14ac:dyDescent="0.3">
      <c r="A157" s="142"/>
      <c r="B157" s="143"/>
      <c r="C157" s="151" t="str">
        <f>IF(B157="","",IFERROR(INDEX('12 P6 activities'!$B$7:$B$206,MATCH(B157,'12 P6 activities'!$A$7:$A$206,0)),"ID not in P6 list"))</f>
        <v/>
      </c>
      <c r="D157" s="151" t="str">
        <f>IF(B157="","",IFERROR(INDEX('12 P6 activities'!$C$7:$C$206,MATCH(B157,'12 P6 activities'!$A$7:$A$206,0)),"⚠ not in P6 list"))</f>
        <v/>
      </c>
      <c r="E157" s="143"/>
      <c r="F157" s="147"/>
      <c r="G157" s="145" t="str">
        <f>IF(B157="","",IFERROR(INDEX('12 P6 activities'!$E$7:$E$206,MATCH(B157,'12 P6 activities'!$A$7:$A$206,0)),""))</f>
        <v/>
      </c>
      <c r="H157" s="143"/>
      <c r="I157" s="143"/>
      <c r="J157" s="6"/>
      <c r="K157" s="6"/>
      <c r="L157" s="6"/>
      <c r="M157" s="6"/>
      <c r="N157" s="6"/>
      <c r="O157" s="6"/>
      <c r="P157" s="6"/>
      <c r="Q157" s="6"/>
      <c r="R157" s="6"/>
      <c r="S157" s="6"/>
      <c r="T157" s="6"/>
      <c r="U157" s="6"/>
      <c r="V157" s="6"/>
      <c r="W157" s="6"/>
      <c r="X157" s="6"/>
      <c r="Y157" s="6"/>
      <c r="Z157" s="6"/>
    </row>
    <row r="158" spans="1:26" ht="18" customHeight="1" x14ac:dyDescent="0.3">
      <c r="A158" s="142"/>
      <c r="B158" s="143"/>
      <c r="C158" s="151" t="str">
        <f>IF(B158="","",IFERROR(INDEX('12 P6 activities'!$B$7:$B$206,MATCH(B158,'12 P6 activities'!$A$7:$A$206,0)),"ID not in P6 list"))</f>
        <v/>
      </c>
      <c r="D158" s="151" t="str">
        <f>IF(B158="","",IFERROR(INDEX('12 P6 activities'!$C$7:$C$206,MATCH(B158,'12 P6 activities'!$A$7:$A$206,0)),"⚠ not in P6 list"))</f>
        <v/>
      </c>
      <c r="E158" s="143"/>
      <c r="F158" s="147"/>
      <c r="G158" s="145" t="str">
        <f>IF(B158="","",IFERROR(INDEX('12 P6 activities'!$E$7:$E$206,MATCH(B158,'12 P6 activities'!$A$7:$A$206,0)),""))</f>
        <v/>
      </c>
      <c r="H158" s="143"/>
      <c r="I158" s="143"/>
      <c r="J158" s="6"/>
      <c r="K158" s="6"/>
      <c r="L158" s="6"/>
      <c r="M158" s="6"/>
      <c r="N158" s="6"/>
      <c r="O158" s="6"/>
      <c r="P158" s="6"/>
      <c r="Q158" s="6"/>
      <c r="R158" s="6"/>
      <c r="S158" s="6"/>
      <c r="T158" s="6"/>
      <c r="U158" s="6"/>
      <c r="V158" s="6"/>
      <c r="W158" s="6"/>
      <c r="X158" s="6"/>
      <c r="Y158" s="6"/>
      <c r="Z158" s="6"/>
    </row>
    <row r="159" spans="1:26" ht="18" customHeight="1" x14ac:dyDescent="0.3">
      <c r="A159" s="142"/>
      <c r="B159" s="143"/>
      <c r="C159" s="151" t="str">
        <f>IF(B159="","",IFERROR(INDEX('12 P6 activities'!$B$7:$B$206,MATCH(B159,'12 P6 activities'!$A$7:$A$206,0)),"ID not in P6 list"))</f>
        <v/>
      </c>
      <c r="D159" s="151" t="str">
        <f>IF(B159="","",IFERROR(INDEX('12 P6 activities'!$C$7:$C$206,MATCH(B159,'12 P6 activities'!$A$7:$A$206,0)),"⚠ not in P6 list"))</f>
        <v/>
      </c>
      <c r="E159" s="143"/>
      <c r="F159" s="147"/>
      <c r="G159" s="145" t="str">
        <f>IF(B159="","",IFERROR(INDEX('12 P6 activities'!$E$7:$E$206,MATCH(B159,'12 P6 activities'!$A$7:$A$206,0)),""))</f>
        <v/>
      </c>
      <c r="H159" s="143"/>
      <c r="I159" s="143"/>
      <c r="J159" s="6"/>
      <c r="K159" s="6"/>
      <c r="L159" s="6"/>
      <c r="M159" s="6"/>
      <c r="N159" s="6"/>
      <c r="O159" s="6"/>
      <c r="P159" s="6"/>
      <c r="Q159" s="6"/>
      <c r="R159" s="6"/>
      <c r="S159" s="6"/>
      <c r="T159" s="6"/>
      <c r="U159" s="6"/>
      <c r="V159" s="6"/>
      <c r="W159" s="6"/>
      <c r="X159" s="6"/>
      <c r="Y159" s="6"/>
      <c r="Z159" s="6"/>
    </row>
    <row r="160" spans="1:26" ht="18" customHeight="1" x14ac:dyDescent="0.3">
      <c r="A160" s="142"/>
      <c r="B160" s="143"/>
      <c r="C160" s="151" t="str">
        <f>IF(B160="","",IFERROR(INDEX('12 P6 activities'!$B$7:$B$206,MATCH(B160,'12 P6 activities'!$A$7:$A$206,0)),"ID not in P6 list"))</f>
        <v/>
      </c>
      <c r="D160" s="151" t="str">
        <f>IF(B160="","",IFERROR(INDEX('12 P6 activities'!$C$7:$C$206,MATCH(B160,'12 P6 activities'!$A$7:$A$206,0)),"⚠ not in P6 list"))</f>
        <v/>
      </c>
      <c r="E160" s="143"/>
      <c r="F160" s="147"/>
      <c r="G160" s="145" t="str">
        <f>IF(B160="","",IFERROR(INDEX('12 P6 activities'!$E$7:$E$206,MATCH(B160,'12 P6 activities'!$A$7:$A$206,0)),""))</f>
        <v/>
      </c>
      <c r="H160" s="143"/>
      <c r="I160" s="143"/>
      <c r="J160" s="6"/>
      <c r="K160" s="6"/>
      <c r="L160" s="6"/>
      <c r="M160" s="6"/>
      <c r="N160" s="6"/>
      <c r="O160" s="6"/>
      <c r="P160" s="6"/>
      <c r="Q160" s="6"/>
      <c r="R160" s="6"/>
      <c r="S160" s="6"/>
      <c r="T160" s="6"/>
      <c r="U160" s="6"/>
      <c r="V160" s="6"/>
      <c r="W160" s="6"/>
      <c r="X160" s="6"/>
      <c r="Y160" s="6"/>
      <c r="Z160" s="6"/>
    </row>
    <row r="161" spans="1:26" ht="18" customHeight="1" x14ac:dyDescent="0.3">
      <c r="A161" s="142"/>
      <c r="B161" s="143"/>
      <c r="C161" s="151" t="str">
        <f>IF(B161="","",IFERROR(INDEX('12 P6 activities'!$B$7:$B$206,MATCH(B161,'12 P6 activities'!$A$7:$A$206,0)),"ID not in P6 list"))</f>
        <v/>
      </c>
      <c r="D161" s="151" t="str">
        <f>IF(B161="","",IFERROR(INDEX('12 P6 activities'!$C$7:$C$206,MATCH(B161,'12 P6 activities'!$A$7:$A$206,0)),"⚠ not in P6 list"))</f>
        <v/>
      </c>
      <c r="E161" s="143"/>
      <c r="F161" s="147"/>
      <c r="G161" s="145" t="str">
        <f>IF(B161="","",IFERROR(INDEX('12 P6 activities'!$E$7:$E$206,MATCH(B161,'12 P6 activities'!$A$7:$A$206,0)),""))</f>
        <v/>
      </c>
      <c r="H161" s="143"/>
      <c r="I161" s="143"/>
      <c r="J161" s="6"/>
      <c r="K161" s="6"/>
      <c r="L161" s="6"/>
      <c r="M161" s="6"/>
      <c r="N161" s="6"/>
      <c r="O161" s="6"/>
      <c r="P161" s="6"/>
      <c r="Q161" s="6"/>
      <c r="R161" s="6"/>
      <c r="S161" s="6"/>
      <c r="T161" s="6"/>
      <c r="U161" s="6"/>
      <c r="V161" s="6"/>
      <c r="W161" s="6"/>
      <c r="X161" s="6"/>
      <c r="Y161" s="6"/>
      <c r="Z161" s="6"/>
    </row>
    <row r="162" spans="1:26" ht="18" customHeight="1" x14ac:dyDescent="0.3">
      <c r="A162" s="142"/>
      <c r="B162" s="143"/>
      <c r="C162" s="151" t="str">
        <f>IF(B162="","",IFERROR(INDEX('12 P6 activities'!$B$7:$B$206,MATCH(B162,'12 P6 activities'!$A$7:$A$206,0)),"ID not in P6 list"))</f>
        <v/>
      </c>
      <c r="D162" s="151" t="str">
        <f>IF(B162="","",IFERROR(INDEX('12 P6 activities'!$C$7:$C$206,MATCH(B162,'12 P6 activities'!$A$7:$A$206,0)),"⚠ not in P6 list"))</f>
        <v/>
      </c>
      <c r="E162" s="143"/>
      <c r="F162" s="147"/>
      <c r="G162" s="145" t="str">
        <f>IF(B162="","",IFERROR(INDEX('12 P6 activities'!$E$7:$E$206,MATCH(B162,'12 P6 activities'!$A$7:$A$206,0)),""))</f>
        <v/>
      </c>
      <c r="H162" s="143"/>
      <c r="I162" s="143"/>
      <c r="J162" s="6"/>
      <c r="K162" s="6"/>
      <c r="L162" s="6"/>
      <c r="M162" s="6"/>
      <c r="N162" s="6"/>
      <c r="O162" s="6"/>
      <c r="P162" s="6"/>
      <c r="Q162" s="6"/>
      <c r="R162" s="6"/>
      <c r="S162" s="6"/>
      <c r="T162" s="6"/>
      <c r="U162" s="6"/>
      <c r="V162" s="6"/>
      <c r="W162" s="6"/>
      <c r="X162" s="6"/>
      <c r="Y162" s="6"/>
      <c r="Z162" s="6"/>
    </row>
    <row r="163" spans="1:26" ht="18" customHeight="1" x14ac:dyDescent="0.3">
      <c r="A163" s="142"/>
      <c r="B163" s="143"/>
      <c r="C163" s="151" t="str">
        <f>IF(B163="","",IFERROR(INDEX('12 P6 activities'!$B$7:$B$206,MATCH(B163,'12 P6 activities'!$A$7:$A$206,0)),"ID not in P6 list"))</f>
        <v/>
      </c>
      <c r="D163" s="151" t="str">
        <f>IF(B163="","",IFERROR(INDEX('12 P6 activities'!$C$7:$C$206,MATCH(B163,'12 P6 activities'!$A$7:$A$206,0)),"⚠ not in P6 list"))</f>
        <v/>
      </c>
      <c r="E163" s="143"/>
      <c r="F163" s="147"/>
      <c r="G163" s="145" t="str">
        <f>IF(B163="","",IFERROR(INDEX('12 P6 activities'!$E$7:$E$206,MATCH(B163,'12 P6 activities'!$A$7:$A$206,0)),""))</f>
        <v/>
      </c>
      <c r="H163" s="143"/>
      <c r="I163" s="143"/>
      <c r="J163" s="6"/>
      <c r="K163" s="6"/>
      <c r="L163" s="6"/>
      <c r="M163" s="6"/>
      <c r="N163" s="6"/>
      <c r="O163" s="6"/>
      <c r="P163" s="6"/>
      <c r="Q163" s="6"/>
      <c r="R163" s="6"/>
      <c r="S163" s="6"/>
      <c r="T163" s="6"/>
      <c r="U163" s="6"/>
      <c r="V163" s="6"/>
      <c r="W163" s="6"/>
      <c r="X163" s="6"/>
      <c r="Y163" s="6"/>
      <c r="Z163" s="6"/>
    </row>
    <row r="164" spans="1:26" ht="18" customHeight="1" x14ac:dyDescent="0.3">
      <c r="A164" s="142"/>
      <c r="B164" s="143"/>
      <c r="C164" s="151" t="str">
        <f>IF(B164="","",IFERROR(INDEX('12 P6 activities'!$B$7:$B$206,MATCH(B164,'12 P6 activities'!$A$7:$A$206,0)),"ID not in P6 list"))</f>
        <v/>
      </c>
      <c r="D164" s="151" t="str">
        <f>IF(B164="","",IFERROR(INDEX('12 P6 activities'!$C$7:$C$206,MATCH(B164,'12 P6 activities'!$A$7:$A$206,0)),"⚠ not in P6 list"))</f>
        <v/>
      </c>
      <c r="E164" s="143"/>
      <c r="F164" s="147"/>
      <c r="G164" s="145" t="str">
        <f>IF(B164="","",IFERROR(INDEX('12 P6 activities'!$E$7:$E$206,MATCH(B164,'12 P6 activities'!$A$7:$A$206,0)),""))</f>
        <v/>
      </c>
      <c r="H164" s="143"/>
      <c r="I164" s="143"/>
      <c r="J164" s="6"/>
      <c r="K164" s="6"/>
      <c r="L164" s="6"/>
      <c r="M164" s="6"/>
      <c r="N164" s="6"/>
      <c r="O164" s="6"/>
      <c r="P164" s="6"/>
      <c r="Q164" s="6"/>
      <c r="R164" s="6"/>
      <c r="S164" s="6"/>
      <c r="T164" s="6"/>
      <c r="U164" s="6"/>
      <c r="V164" s="6"/>
      <c r="W164" s="6"/>
      <c r="X164" s="6"/>
      <c r="Y164" s="6"/>
      <c r="Z164" s="6"/>
    </row>
    <row r="165" spans="1:26" ht="18" customHeight="1" x14ac:dyDescent="0.3">
      <c r="A165" s="142"/>
      <c r="B165" s="143"/>
      <c r="C165" s="151" t="str">
        <f>IF(B165="","",IFERROR(INDEX('12 P6 activities'!$B$7:$B$206,MATCH(B165,'12 P6 activities'!$A$7:$A$206,0)),"ID not in P6 list"))</f>
        <v/>
      </c>
      <c r="D165" s="151" t="str">
        <f>IF(B165="","",IFERROR(INDEX('12 P6 activities'!$C$7:$C$206,MATCH(B165,'12 P6 activities'!$A$7:$A$206,0)),"⚠ not in P6 list"))</f>
        <v/>
      </c>
      <c r="E165" s="143"/>
      <c r="F165" s="147"/>
      <c r="G165" s="145" t="str">
        <f>IF(B165="","",IFERROR(INDEX('12 P6 activities'!$E$7:$E$206,MATCH(B165,'12 P6 activities'!$A$7:$A$206,0)),""))</f>
        <v/>
      </c>
      <c r="H165" s="143"/>
      <c r="I165" s="143"/>
      <c r="J165" s="6"/>
      <c r="K165" s="6"/>
      <c r="L165" s="6"/>
      <c r="M165" s="6"/>
      <c r="N165" s="6"/>
      <c r="O165" s="6"/>
      <c r="P165" s="6"/>
      <c r="Q165" s="6"/>
      <c r="R165" s="6"/>
      <c r="S165" s="6"/>
      <c r="T165" s="6"/>
      <c r="U165" s="6"/>
      <c r="V165" s="6"/>
      <c r="W165" s="6"/>
      <c r="X165" s="6"/>
      <c r="Y165" s="6"/>
      <c r="Z165" s="6"/>
    </row>
    <row r="166" spans="1:26" ht="18" customHeight="1" x14ac:dyDescent="0.3">
      <c r="A166" s="142"/>
      <c r="B166" s="143"/>
      <c r="C166" s="151" t="str">
        <f>IF(B166="","",IFERROR(INDEX('12 P6 activities'!$B$7:$B$206,MATCH(B166,'12 P6 activities'!$A$7:$A$206,0)),"ID not in P6 list"))</f>
        <v/>
      </c>
      <c r="D166" s="151" t="str">
        <f>IF(B166="","",IFERROR(INDEX('12 P6 activities'!$C$7:$C$206,MATCH(B166,'12 P6 activities'!$A$7:$A$206,0)),"⚠ not in P6 list"))</f>
        <v/>
      </c>
      <c r="E166" s="143"/>
      <c r="F166" s="147"/>
      <c r="G166" s="145" t="str">
        <f>IF(B166="","",IFERROR(INDEX('12 P6 activities'!$E$7:$E$206,MATCH(B166,'12 P6 activities'!$A$7:$A$206,0)),""))</f>
        <v/>
      </c>
      <c r="H166" s="143"/>
      <c r="I166" s="143"/>
      <c r="J166" s="6"/>
      <c r="K166" s="6"/>
      <c r="L166" s="6"/>
      <c r="M166" s="6"/>
      <c r="N166" s="6"/>
      <c r="O166" s="6"/>
      <c r="P166" s="6"/>
      <c r="Q166" s="6"/>
      <c r="R166" s="6"/>
      <c r="S166" s="6"/>
      <c r="T166" s="6"/>
      <c r="U166" s="6"/>
      <c r="V166" s="6"/>
      <c r="W166" s="6"/>
      <c r="X166" s="6"/>
      <c r="Y166" s="6"/>
      <c r="Z166" s="6"/>
    </row>
    <row r="167" spans="1:26" ht="18" customHeight="1" x14ac:dyDescent="0.3">
      <c r="A167" s="142"/>
      <c r="B167" s="143"/>
      <c r="C167" s="151" t="str">
        <f>IF(B167="","",IFERROR(INDEX('12 P6 activities'!$B$7:$B$206,MATCH(B167,'12 P6 activities'!$A$7:$A$206,0)),"ID not in P6 list"))</f>
        <v/>
      </c>
      <c r="D167" s="151" t="str">
        <f>IF(B167="","",IFERROR(INDEX('12 P6 activities'!$C$7:$C$206,MATCH(B167,'12 P6 activities'!$A$7:$A$206,0)),"⚠ not in P6 list"))</f>
        <v/>
      </c>
      <c r="E167" s="143"/>
      <c r="F167" s="147"/>
      <c r="G167" s="145" t="str">
        <f>IF(B167="","",IFERROR(INDEX('12 P6 activities'!$E$7:$E$206,MATCH(B167,'12 P6 activities'!$A$7:$A$206,0)),""))</f>
        <v/>
      </c>
      <c r="H167" s="143"/>
      <c r="I167" s="143"/>
      <c r="J167" s="6"/>
      <c r="K167" s="6"/>
      <c r="L167" s="6"/>
      <c r="M167" s="6"/>
      <c r="N167" s="6"/>
      <c r="O167" s="6"/>
      <c r="P167" s="6"/>
      <c r="Q167" s="6"/>
      <c r="R167" s="6"/>
      <c r="S167" s="6"/>
      <c r="T167" s="6"/>
      <c r="U167" s="6"/>
      <c r="V167" s="6"/>
      <c r="W167" s="6"/>
      <c r="X167" s="6"/>
      <c r="Y167" s="6"/>
      <c r="Z167" s="6"/>
    </row>
    <row r="168" spans="1:26" ht="18" customHeight="1" x14ac:dyDescent="0.3">
      <c r="A168" s="142"/>
      <c r="B168" s="143"/>
      <c r="C168" s="151" t="str">
        <f>IF(B168="","",IFERROR(INDEX('12 P6 activities'!$B$7:$B$206,MATCH(B168,'12 P6 activities'!$A$7:$A$206,0)),"ID not in P6 list"))</f>
        <v/>
      </c>
      <c r="D168" s="151" t="str">
        <f>IF(B168="","",IFERROR(INDEX('12 P6 activities'!$C$7:$C$206,MATCH(B168,'12 P6 activities'!$A$7:$A$206,0)),"⚠ not in P6 list"))</f>
        <v/>
      </c>
      <c r="E168" s="143"/>
      <c r="F168" s="147"/>
      <c r="G168" s="145" t="str">
        <f>IF(B168="","",IFERROR(INDEX('12 P6 activities'!$E$7:$E$206,MATCH(B168,'12 P6 activities'!$A$7:$A$206,0)),""))</f>
        <v/>
      </c>
      <c r="H168" s="143"/>
      <c r="I168" s="143"/>
      <c r="J168" s="6"/>
      <c r="K168" s="6"/>
      <c r="L168" s="6"/>
      <c r="M168" s="6"/>
      <c r="N168" s="6"/>
      <c r="O168" s="6"/>
      <c r="P168" s="6"/>
      <c r="Q168" s="6"/>
      <c r="R168" s="6"/>
      <c r="S168" s="6"/>
      <c r="T168" s="6"/>
      <c r="U168" s="6"/>
      <c r="V168" s="6"/>
      <c r="W168" s="6"/>
      <c r="X168" s="6"/>
      <c r="Y168" s="6"/>
      <c r="Z168" s="6"/>
    </row>
    <row r="169" spans="1:26" ht="18" customHeight="1" x14ac:dyDescent="0.3">
      <c r="A169" s="142"/>
      <c r="B169" s="143"/>
      <c r="C169" s="151" t="str">
        <f>IF(B169="","",IFERROR(INDEX('12 P6 activities'!$B$7:$B$206,MATCH(B169,'12 P6 activities'!$A$7:$A$206,0)),"ID not in P6 list"))</f>
        <v/>
      </c>
      <c r="D169" s="151" t="str">
        <f>IF(B169="","",IFERROR(INDEX('12 P6 activities'!$C$7:$C$206,MATCH(B169,'12 P6 activities'!$A$7:$A$206,0)),"⚠ not in P6 list"))</f>
        <v/>
      </c>
      <c r="E169" s="143"/>
      <c r="F169" s="147"/>
      <c r="G169" s="145" t="str">
        <f>IF(B169="","",IFERROR(INDEX('12 P6 activities'!$E$7:$E$206,MATCH(B169,'12 P6 activities'!$A$7:$A$206,0)),""))</f>
        <v/>
      </c>
      <c r="H169" s="143"/>
      <c r="I169" s="143"/>
      <c r="J169" s="6"/>
      <c r="K169" s="6"/>
      <c r="L169" s="6"/>
      <c r="M169" s="6"/>
      <c r="N169" s="6"/>
      <c r="O169" s="6"/>
      <c r="P169" s="6"/>
      <c r="Q169" s="6"/>
      <c r="R169" s="6"/>
      <c r="S169" s="6"/>
      <c r="T169" s="6"/>
      <c r="U169" s="6"/>
      <c r="V169" s="6"/>
      <c r="W169" s="6"/>
      <c r="X169" s="6"/>
      <c r="Y169" s="6"/>
      <c r="Z169" s="6"/>
    </row>
    <row r="170" spans="1:26" ht="18" customHeight="1" x14ac:dyDescent="0.3">
      <c r="A170" s="142"/>
      <c r="B170" s="143"/>
      <c r="C170" s="151" t="str">
        <f>IF(B170="","",IFERROR(INDEX('12 P6 activities'!$B$7:$B$206,MATCH(B170,'12 P6 activities'!$A$7:$A$206,0)),"ID not in P6 list"))</f>
        <v/>
      </c>
      <c r="D170" s="151" t="str">
        <f>IF(B170="","",IFERROR(INDEX('12 P6 activities'!$C$7:$C$206,MATCH(B170,'12 P6 activities'!$A$7:$A$206,0)),"⚠ not in P6 list"))</f>
        <v/>
      </c>
      <c r="E170" s="143"/>
      <c r="F170" s="147"/>
      <c r="G170" s="145" t="str">
        <f>IF(B170="","",IFERROR(INDEX('12 P6 activities'!$E$7:$E$206,MATCH(B170,'12 P6 activities'!$A$7:$A$206,0)),""))</f>
        <v/>
      </c>
      <c r="H170" s="143"/>
      <c r="I170" s="143"/>
      <c r="J170" s="6"/>
      <c r="K170" s="6"/>
      <c r="L170" s="6"/>
      <c r="M170" s="6"/>
      <c r="N170" s="6"/>
      <c r="O170" s="6"/>
      <c r="P170" s="6"/>
      <c r="Q170" s="6"/>
      <c r="R170" s="6"/>
      <c r="S170" s="6"/>
      <c r="T170" s="6"/>
      <c r="U170" s="6"/>
      <c r="V170" s="6"/>
      <c r="W170" s="6"/>
      <c r="X170" s="6"/>
      <c r="Y170" s="6"/>
      <c r="Z170" s="6"/>
    </row>
    <row r="171" spans="1:26" ht="18" customHeight="1" x14ac:dyDescent="0.3">
      <c r="A171" s="142"/>
      <c r="B171" s="143"/>
      <c r="C171" s="151" t="str">
        <f>IF(B171="","",IFERROR(INDEX('12 P6 activities'!$B$7:$B$206,MATCH(B171,'12 P6 activities'!$A$7:$A$206,0)),"ID not in P6 list"))</f>
        <v/>
      </c>
      <c r="D171" s="151" t="str">
        <f>IF(B171="","",IFERROR(INDEX('12 P6 activities'!$C$7:$C$206,MATCH(B171,'12 P6 activities'!$A$7:$A$206,0)),"⚠ not in P6 list"))</f>
        <v/>
      </c>
      <c r="E171" s="143"/>
      <c r="F171" s="147"/>
      <c r="G171" s="145" t="str">
        <f>IF(B171="","",IFERROR(INDEX('12 P6 activities'!$E$7:$E$206,MATCH(B171,'12 P6 activities'!$A$7:$A$206,0)),""))</f>
        <v/>
      </c>
      <c r="H171" s="143"/>
      <c r="I171" s="143"/>
      <c r="J171" s="6"/>
      <c r="K171" s="6"/>
      <c r="L171" s="6"/>
      <c r="M171" s="6"/>
      <c r="N171" s="6"/>
      <c r="O171" s="6"/>
      <c r="P171" s="6"/>
      <c r="Q171" s="6"/>
      <c r="R171" s="6"/>
      <c r="S171" s="6"/>
      <c r="T171" s="6"/>
      <c r="U171" s="6"/>
      <c r="V171" s="6"/>
      <c r="W171" s="6"/>
      <c r="X171" s="6"/>
      <c r="Y171" s="6"/>
      <c r="Z171" s="6"/>
    </row>
    <row r="172" spans="1:26" ht="18" customHeight="1" x14ac:dyDescent="0.3">
      <c r="A172" s="142"/>
      <c r="B172" s="143"/>
      <c r="C172" s="151" t="str">
        <f>IF(B172="","",IFERROR(INDEX('12 P6 activities'!$B$7:$B$206,MATCH(B172,'12 P6 activities'!$A$7:$A$206,0)),"ID not in P6 list"))</f>
        <v/>
      </c>
      <c r="D172" s="151" t="str">
        <f>IF(B172="","",IFERROR(INDEX('12 P6 activities'!$C$7:$C$206,MATCH(B172,'12 P6 activities'!$A$7:$A$206,0)),"⚠ not in P6 list"))</f>
        <v/>
      </c>
      <c r="E172" s="143"/>
      <c r="F172" s="147"/>
      <c r="G172" s="145" t="str">
        <f>IF(B172="","",IFERROR(INDEX('12 P6 activities'!$E$7:$E$206,MATCH(B172,'12 P6 activities'!$A$7:$A$206,0)),""))</f>
        <v/>
      </c>
      <c r="H172" s="143"/>
      <c r="I172" s="143"/>
      <c r="J172" s="6"/>
      <c r="K172" s="6"/>
      <c r="L172" s="6"/>
      <c r="M172" s="6"/>
      <c r="N172" s="6"/>
      <c r="O172" s="6"/>
      <c r="P172" s="6"/>
      <c r="Q172" s="6"/>
      <c r="R172" s="6"/>
      <c r="S172" s="6"/>
      <c r="T172" s="6"/>
      <c r="U172" s="6"/>
      <c r="V172" s="6"/>
      <c r="W172" s="6"/>
      <c r="X172" s="6"/>
      <c r="Y172" s="6"/>
      <c r="Z172" s="6"/>
    </row>
    <row r="173" spans="1:26" ht="18" customHeight="1" x14ac:dyDescent="0.3">
      <c r="A173" s="142"/>
      <c r="B173" s="143"/>
      <c r="C173" s="151" t="str">
        <f>IF(B173="","",IFERROR(INDEX('12 P6 activities'!$B$7:$B$206,MATCH(B173,'12 P6 activities'!$A$7:$A$206,0)),"ID not in P6 list"))</f>
        <v/>
      </c>
      <c r="D173" s="151" t="str">
        <f>IF(B173="","",IFERROR(INDEX('12 P6 activities'!$C$7:$C$206,MATCH(B173,'12 P6 activities'!$A$7:$A$206,0)),"⚠ not in P6 list"))</f>
        <v/>
      </c>
      <c r="E173" s="143"/>
      <c r="F173" s="147"/>
      <c r="G173" s="145" t="str">
        <f>IF(B173="","",IFERROR(INDEX('12 P6 activities'!$E$7:$E$206,MATCH(B173,'12 P6 activities'!$A$7:$A$206,0)),""))</f>
        <v/>
      </c>
      <c r="H173" s="143"/>
      <c r="I173" s="143"/>
      <c r="J173" s="6"/>
      <c r="K173" s="6"/>
      <c r="L173" s="6"/>
      <c r="M173" s="6"/>
      <c r="N173" s="6"/>
      <c r="O173" s="6"/>
      <c r="P173" s="6"/>
      <c r="Q173" s="6"/>
      <c r="R173" s="6"/>
      <c r="S173" s="6"/>
      <c r="T173" s="6"/>
      <c r="U173" s="6"/>
      <c r="V173" s="6"/>
      <c r="W173" s="6"/>
      <c r="X173" s="6"/>
      <c r="Y173" s="6"/>
      <c r="Z173" s="6"/>
    </row>
    <row r="174" spans="1:26" ht="18" customHeight="1" x14ac:dyDescent="0.3">
      <c r="A174" s="142"/>
      <c r="B174" s="143"/>
      <c r="C174" s="151" t="str">
        <f>IF(B174="","",IFERROR(INDEX('12 P6 activities'!$B$7:$B$206,MATCH(B174,'12 P6 activities'!$A$7:$A$206,0)),"ID not in P6 list"))</f>
        <v/>
      </c>
      <c r="D174" s="151" t="str">
        <f>IF(B174="","",IFERROR(INDEX('12 P6 activities'!$C$7:$C$206,MATCH(B174,'12 P6 activities'!$A$7:$A$206,0)),"⚠ not in P6 list"))</f>
        <v/>
      </c>
      <c r="E174" s="143"/>
      <c r="F174" s="147"/>
      <c r="G174" s="145" t="str">
        <f>IF(B174="","",IFERROR(INDEX('12 P6 activities'!$E$7:$E$206,MATCH(B174,'12 P6 activities'!$A$7:$A$206,0)),""))</f>
        <v/>
      </c>
      <c r="H174" s="143"/>
      <c r="I174" s="143"/>
      <c r="J174" s="6"/>
      <c r="K174" s="6"/>
      <c r="L174" s="6"/>
      <c r="M174" s="6"/>
      <c r="N174" s="6"/>
      <c r="O174" s="6"/>
      <c r="P174" s="6"/>
      <c r="Q174" s="6"/>
      <c r="R174" s="6"/>
      <c r="S174" s="6"/>
      <c r="T174" s="6"/>
      <c r="U174" s="6"/>
      <c r="V174" s="6"/>
      <c r="W174" s="6"/>
      <c r="X174" s="6"/>
      <c r="Y174" s="6"/>
      <c r="Z174" s="6"/>
    </row>
    <row r="175" spans="1:26" ht="18" customHeight="1" x14ac:dyDescent="0.3">
      <c r="A175" s="142"/>
      <c r="B175" s="143"/>
      <c r="C175" s="151" t="str">
        <f>IF(B175="","",IFERROR(INDEX('12 P6 activities'!$B$7:$B$206,MATCH(B175,'12 P6 activities'!$A$7:$A$206,0)),"ID not in P6 list"))</f>
        <v/>
      </c>
      <c r="D175" s="151" t="str">
        <f>IF(B175="","",IFERROR(INDEX('12 P6 activities'!$C$7:$C$206,MATCH(B175,'12 P6 activities'!$A$7:$A$206,0)),"⚠ not in P6 list"))</f>
        <v/>
      </c>
      <c r="E175" s="143"/>
      <c r="F175" s="147"/>
      <c r="G175" s="145" t="str">
        <f>IF(B175="","",IFERROR(INDEX('12 P6 activities'!$E$7:$E$206,MATCH(B175,'12 P6 activities'!$A$7:$A$206,0)),""))</f>
        <v/>
      </c>
      <c r="H175" s="143"/>
      <c r="I175" s="143"/>
      <c r="J175" s="6"/>
      <c r="K175" s="6"/>
      <c r="L175" s="6"/>
      <c r="M175" s="6"/>
      <c r="N175" s="6"/>
      <c r="O175" s="6"/>
      <c r="P175" s="6"/>
      <c r="Q175" s="6"/>
      <c r="R175" s="6"/>
      <c r="S175" s="6"/>
      <c r="T175" s="6"/>
      <c r="U175" s="6"/>
      <c r="V175" s="6"/>
      <c r="W175" s="6"/>
      <c r="X175" s="6"/>
      <c r="Y175" s="6"/>
      <c r="Z175" s="6"/>
    </row>
    <row r="176" spans="1:26" ht="18" customHeight="1" x14ac:dyDescent="0.3">
      <c r="A176" s="142"/>
      <c r="B176" s="143"/>
      <c r="C176" s="151" t="str">
        <f>IF(B176="","",IFERROR(INDEX('12 P6 activities'!$B$7:$B$206,MATCH(B176,'12 P6 activities'!$A$7:$A$206,0)),"ID not in P6 list"))</f>
        <v/>
      </c>
      <c r="D176" s="151" t="str">
        <f>IF(B176="","",IFERROR(INDEX('12 P6 activities'!$C$7:$C$206,MATCH(B176,'12 P6 activities'!$A$7:$A$206,0)),"⚠ not in P6 list"))</f>
        <v/>
      </c>
      <c r="E176" s="143"/>
      <c r="F176" s="147"/>
      <c r="G176" s="145" t="str">
        <f>IF(B176="","",IFERROR(INDEX('12 P6 activities'!$E$7:$E$206,MATCH(B176,'12 P6 activities'!$A$7:$A$206,0)),""))</f>
        <v/>
      </c>
      <c r="H176" s="143"/>
      <c r="I176" s="143"/>
      <c r="J176" s="6"/>
      <c r="K176" s="6"/>
      <c r="L176" s="6"/>
      <c r="M176" s="6"/>
      <c r="N176" s="6"/>
      <c r="O176" s="6"/>
      <c r="P176" s="6"/>
      <c r="Q176" s="6"/>
      <c r="R176" s="6"/>
      <c r="S176" s="6"/>
      <c r="T176" s="6"/>
      <c r="U176" s="6"/>
      <c r="V176" s="6"/>
      <c r="W176" s="6"/>
      <c r="X176" s="6"/>
      <c r="Y176" s="6"/>
      <c r="Z176" s="6"/>
    </row>
    <row r="177" spans="1:26" ht="18" customHeight="1" x14ac:dyDescent="0.3">
      <c r="A177" s="142"/>
      <c r="B177" s="143"/>
      <c r="C177" s="151" t="str">
        <f>IF(B177="","",IFERROR(INDEX('12 P6 activities'!$B$7:$B$206,MATCH(B177,'12 P6 activities'!$A$7:$A$206,0)),"ID not in P6 list"))</f>
        <v/>
      </c>
      <c r="D177" s="151" t="str">
        <f>IF(B177="","",IFERROR(INDEX('12 P6 activities'!$C$7:$C$206,MATCH(B177,'12 P6 activities'!$A$7:$A$206,0)),"⚠ not in P6 list"))</f>
        <v/>
      </c>
      <c r="E177" s="143"/>
      <c r="F177" s="147"/>
      <c r="G177" s="145" t="str">
        <f>IF(B177="","",IFERROR(INDEX('12 P6 activities'!$E$7:$E$206,MATCH(B177,'12 P6 activities'!$A$7:$A$206,0)),""))</f>
        <v/>
      </c>
      <c r="H177" s="143"/>
      <c r="I177" s="143"/>
      <c r="J177" s="6"/>
      <c r="K177" s="6"/>
      <c r="L177" s="6"/>
      <c r="M177" s="6"/>
      <c r="N177" s="6"/>
      <c r="O177" s="6"/>
      <c r="P177" s="6"/>
      <c r="Q177" s="6"/>
      <c r="R177" s="6"/>
      <c r="S177" s="6"/>
      <c r="T177" s="6"/>
      <c r="U177" s="6"/>
      <c r="V177" s="6"/>
      <c r="W177" s="6"/>
      <c r="X177" s="6"/>
      <c r="Y177" s="6"/>
      <c r="Z177" s="6"/>
    </row>
    <row r="178" spans="1:26" ht="18" customHeight="1" x14ac:dyDescent="0.3">
      <c r="A178" s="142"/>
      <c r="B178" s="143"/>
      <c r="C178" s="151" t="str">
        <f>IF(B178="","",IFERROR(INDEX('12 P6 activities'!$B$7:$B$206,MATCH(B178,'12 P6 activities'!$A$7:$A$206,0)),"ID not in P6 list"))</f>
        <v/>
      </c>
      <c r="D178" s="151" t="str">
        <f>IF(B178="","",IFERROR(INDEX('12 P6 activities'!$C$7:$C$206,MATCH(B178,'12 P6 activities'!$A$7:$A$206,0)),"⚠ not in P6 list"))</f>
        <v/>
      </c>
      <c r="E178" s="143"/>
      <c r="F178" s="147"/>
      <c r="G178" s="145" t="str">
        <f>IF(B178="","",IFERROR(INDEX('12 P6 activities'!$E$7:$E$206,MATCH(B178,'12 P6 activities'!$A$7:$A$206,0)),""))</f>
        <v/>
      </c>
      <c r="H178" s="143"/>
      <c r="I178" s="143"/>
      <c r="J178" s="6"/>
      <c r="K178" s="6"/>
      <c r="L178" s="6"/>
      <c r="M178" s="6"/>
      <c r="N178" s="6"/>
      <c r="O178" s="6"/>
      <c r="P178" s="6"/>
      <c r="Q178" s="6"/>
      <c r="R178" s="6"/>
      <c r="S178" s="6"/>
      <c r="T178" s="6"/>
      <c r="U178" s="6"/>
      <c r="V178" s="6"/>
      <c r="W178" s="6"/>
      <c r="X178" s="6"/>
      <c r="Y178" s="6"/>
      <c r="Z178" s="6"/>
    </row>
    <row r="179" spans="1:26" ht="18" customHeight="1" x14ac:dyDescent="0.3">
      <c r="A179" s="142"/>
      <c r="B179" s="143"/>
      <c r="C179" s="151" t="str">
        <f>IF(B179="","",IFERROR(INDEX('12 P6 activities'!$B$7:$B$206,MATCH(B179,'12 P6 activities'!$A$7:$A$206,0)),"ID not in P6 list"))</f>
        <v/>
      </c>
      <c r="D179" s="151" t="str">
        <f>IF(B179="","",IFERROR(INDEX('12 P6 activities'!$C$7:$C$206,MATCH(B179,'12 P6 activities'!$A$7:$A$206,0)),"⚠ not in P6 list"))</f>
        <v/>
      </c>
      <c r="E179" s="143"/>
      <c r="F179" s="147"/>
      <c r="G179" s="145" t="str">
        <f>IF(B179="","",IFERROR(INDEX('12 P6 activities'!$E$7:$E$206,MATCH(B179,'12 P6 activities'!$A$7:$A$206,0)),""))</f>
        <v/>
      </c>
      <c r="H179" s="143"/>
      <c r="I179" s="143"/>
      <c r="J179" s="6"/>
      <c r="K179" s="6"/>
      <c r="L179" s="6"/>
      <c r="M179" s="6"/>
      <c r="N179" s="6"/>
      <c r="O179" s="6"/>
      <c r="P179" s="6"/>
      <c r="Q179" s="6"/>
      <c r="R179" s="6"/>
      <c r="S179" s="6"/>
      <c r="T179" s="6"/>
      <c r="U179" s="6"/>
      <c r="V179" s="6"/>
      <c r="W179" s="6"/>
      <c r="X179" s="6"/>
      <c r="Y179" s="6"/>
      <c r="Z179" s="6"/>
    </row>
    <row r="180" spans="1:26" ht="18" customHeight="1" x14ac:dyDescent="0.3">
      <c r="A180" s="142"/>
      <c r="B180" s="143"/>
      <c r="C180" s="151" t="str">
        <f>IF(B180="","",IFERROR(INDEX('12 P6 activities'!$B$7:$B$206,MATCH(B180,'12 P6 activities'!$A$7:$A$206,0)),"ID not in P6 list"))</f>
        <v/>
      </c>
      <c r="D180" s="151" t="str">
        <f>IF(B180="","",IFERROR(INDEX('12 P6 activities'!$C$7:$C$206,MATCH(B180,'12 P6 activities'!$A$7:$A$206,0)),"⚠ not in P6 list"))</f>
        <v/>
      </c>
      <c r="E180" s="143"/>
      <c r="F180" s="147"/>
      <c r="G180" s="145" t="str">
        <f>IF(B180="","",IFERROR(INDEX('12 P6 activities'!$E$7:$E$206,MATCH(B180,'12 P6 activities'!$A$7:$A$206,0)),""))</f>
        <v/>
      </c>
      <c r="H180" s="143"/>
      <c r="I180" s="143"/>
      <c r="J180" s="6"/>
      <c r="K180" s="6"/>
      <c r="L180" s="6"/>
      <c r="M180" s="6"/>
      <c r="N180" s="6"/>
      <c r="O180" s="6"/>
      <c r="P180" s="6"/>
      <c r="Q180" s="6"/>
      <c r="R180" s="6"/>
      <c r="S180" s="6"/>
      <c r="T180" s="6"/>
      <c r="U180" s="6"/>
      <c r="V180" s="6"/>
      <c r="W180" s="6"/>
      <c r="X180" s="6"/>
      <c r="Y180" s="6"/>
      <c r="Z180" s="6"/>
    </row>
    <row r="181" spans="1:26" ht="18" customHeight="1" x14ac:dyDescent="0.3">
      <c r="A181" s="142"/>
      <c r="B181" s="143"/>
      <c r="C181" s="151" t="str">
        <f>IF(B181="","",IFERROR(INDEX('12 P6 activities'!$B$7:$B$206,MATCH(B181,'12 P6 activities'!$A$7:$A$206,0)),"ID not in P6 list"))</f>
        <v/>
      </c>
      <c r="D181" s="151" t="str">
        <f>IF(B181="","",IFERROR(INDEX('12 P6 activities'!$C$7:$C$206,MATCH(B181,'12 P6 activities'!$A$7:$A$206,0)),"⚠ not in P6 list"))</f>
        <v/>
      </c>
      <c r="E181" s="143"/>
      <c r="F181" s="147"/>
      <c r="G181" s="145" t="str">
        <f>IF(B181="","",IFERROR(INDEX('12 P6 activities'!$E$7:$E$206,MATCH(B181,'12 P6 activities'!$A$7:$A$206,0)),""))</f>
        <v/>
      </c>
      <c r="H181" s="143"/>
      <c r="I181" s="143"/>
      <c r="J181" s="6"/>
      <c r="K181" s="6"/>
      <c r="L181" s="6"/>
      <c r="M181" s="6"/>
      <c r="N181" s="6"/>
      <c r="O181" s="6"/>
      <c r="P181" s="6"/>
      <c r="Q181" s="6"/>
      <c r="R181" s="6"/>
      <c r="S181" s="6"/>
      <c r="T181" s="6"/>
      <c r="U181" s="6"/>
      <c r="V181" s="6"/>
      <c r="W181" s="6"/>
      <c r="X181" s="6"/>
      <c r="Y181" s="6"/>
      <c r="Z181" s="6"/>
    </row>
    <row r="182" spans="1:26" ht="18" customHeight="1" x14ac:dyDescent="0.3">
      <c r="A182" s="142"/>
      <c r="B182" s="143"/>
      <c r="C182" s="151" t="str">
        <f>IF(B182="","",IFERROR(INDEX('12 P6 activities'!$B$7:$B$206,MATCH(B182,'12 P6 activities'!$A$7:$A$206,0)),"ID not in P6 list"))</f>
        <v/>
      </c>
      <c r="D182" s="151" t="str">
        <f>IF(B182="","",IFERROR(INDEX('12 P6 activities'!$C$7:$C$206,MATCH(B182,'12 P6 activities'!$A$7:$A$206,0)),"⚠ not in P6 list"))</f>
        <v/>
      </c>
      <c r="E182" s="143"/>
      <c r="F182" s="147"/>
      <c r="G182" s="145" t="str">
        <f>IF(B182="","",IFERROR(INDEX('12 P6 activities'!$E$7:$E$206,MATCH(B182,'12 P6 activities'!$A$7:$A$206,0)),""))</f>
        <v/>
      </c>
      <c r="H182" s="143"/>
      <c r="I182" s="143"/>
      <c r="J182" s="6"/>
      <c r="K182" s="6"/>
      <c r="L182" s="6"/>
      <c r="M182" s="6"/>
      <c r="N182" s="6"/>
      <c r="O182" s="6"/>
      <c r="P182" s="6"/>
      <c r="Q182" s="6"/>
      <c r="R182" s="6"/>
      <c r="S182" s="6"/>
      <c r="T182" s="6"/>
      <c r="U182" s="6"/>
      <c r="V182" s="6"/>
      <c r="W182" s="6"/>
      <c r="X182" s="6"/>
      <c r="Y182" s="6"/>
      <c r="Z182" s="6"/>
    </row>
    <row r="183" spans="1:26" ht="18" customHeight="1" x14ac:dyDescent="0.3">
      <c r="A183" s="142"/>
      <c r="B183" s="143"/>
      <c r="C183" s="151" t="str">
        <f>IF(B183="","",IFERROR(INDEX('12 P6 activities'!$B$7:$B$206,MATCH(B183,'12 P6 activities'!$A$7:$A$206,0)),"ID not in P6 list"))</f>
        <v/>
      </c>
      <c r="D183" s="151" t="str">
        <f>IF(B183="","",IFERROR(INDEX('12 P6 activities'!$C$7:$C$206,MATCH(B183,'12 P6 activities'!$A$7:$A$206,0)),"⚠ not in P6 list"))</f>
        <v/>
      </c>
      <c r="E183" s="143"/>
      <c r="F183" s="147"/>
      <c r="G183" s="145" t="str">
        <f>IF(B183="","",IFERROR(INDEX('12 P6 activities'!$E$7:$E$206,MATCH(B183,'12 P6 activities'!$A$7:$A$206,0)),""))</f>
        <v/>
      </c>
      <c r="H183" s="143"/>
      <c r="I183" s="143"/>
      <c r="J183" s="6"/>
      <c r="K183" s="6"/>
      <c r="L183" s="6"/>
      <c r="M183" s="6"/>
      <c r="N183" s="6"/>
      <c r="O183" s="6"/>
      <c r="P183" s="6"/>
      <c r="Q183" s="6"/>
      <c r="R183" s="6"/>
      <c r="S183" s="6"/>
      <c r="T183" s="6"/>
      <c r="U183" s="6"/>
      <c r="V183" s="6"/>
      <c r="W183" s="6"/>
      <c r="X183" s="6"/>
      <c r="Y183" s="6"/>
      <c r="Z183" s="6"/>
    </row>
    <row r="184" spans="1:26" ht="18" customHeight="1" x14ac:dyDescent="0.3">
      <c r="A184" s="142"/>
      <c r="B184" s="143"/>
      <c r="C184" s="151" t="str">
        <f>IF(B184="","",IFERROR(INDEX('12 P6 activities'!$B$7:$B$206,MATCH(B184,'12 P6 activities'!$A$7:$A$206,0)),"ID not in P6 list"))</f>
        <v/>
      </c>
      <c r="D184" s="151" t="str">
        <f>IF(B184="","",IFERROR(INDEX('12 P6 activities'!$C$7:$C$206,MATCH(B184,'12 P6 activities'!$A$7:$A$206,0)),"⚠ not in P6 list"))</f>
        <v/>
      </c>
      <c r="E184" s="143"/>
      <c r="F184" s="147"/>
      <c r="G184" s="145" t="str">
        <f>IF(B184="","",IFERROR(INDEX('12 P6 activities'!$E$7:$E$206,MATCH(B184,'12 P6 activities'!$A$7:$A$206,0)),""))</f>
        <v/>
      </c>
      <c r="H184" s="143"/>
      <c r="I184" s="143"/>
      <c r="J184" s="6"/>
      <c r="K184" s="6"/>
      <c r="L184" s="6"/>
      <c r="M184" s="6"/>
      <c r="N184" s="6"/>
      <c r="O184" s="6"/>
      <c r="P184" s="6"/>
      <c r="Q184" s="6"/>
      <c r="R184" s="6"/>
      <c r="S184" s="6"/>
      <c r="T184" s="6"/>
      <c r="U184" s="6"/>
      <c r="V184" s="6"/>
      <c r="W184" s="6"/>
      <c r="X184" s="6"/>
      <c r="Y184" s="6"/>
      <c r="Z184" s="6"/>
    </row>
    <row r="185" spans="1:26" ht="18" customHeight="1" x14ac:dyDescent="0.3">
      <c r="A185" s="142"/>
      <c r="B185" s="143"/>
      <c r="C185" s="151" t="str">
        <f>IF(B185="","",IFERROR(INDEX('12 P6 activities'!$B$7:$B$206,MATCH(B185,'12 P6 activities'!$A$7:$A$206,0)),"ID not in P6 list"))</f>
        <v/>
      </c>
      <c r="D185" s="151" t="str">
        <f>IF(B185="","",IFERROR(INDEX('12 P6 activities'!$C$7:$C$206,MATCH(B185,'12 P6 activities'!$A$7:$A$206,0)),"⚠ not in P6 list"))</f>
        <v/>
      </c>
      <c r="E185" s="143"/>
      <c r="F185" s="147"/>
      <c r="G185" s="145" t="str">
        <f>IF(B185="","",IFERROR(INDEX('12 P6 activities'!$E$7:$E$206,MATCH(B185,'12 P6 activities'!$A$7:$A$206,0)),""))</f>
        <v/>
      </c>
      <c r="H185" s="143"/>
      <c r="I185" s="143"/>
      <c r="J185" s="6"/>
      <c r="K185" s="6"/>
      <c r="L185" s="6"/>
      <c r="M185" s="6"/>
      <c r="N185" s="6"/>
      <c r="O185" s="6"/>
      <c r="P185" s="6"/>
      <c r="Q185" s="6"/>
      <c r="R185" s="6"/>
      <c r="S185" s="6"/>
      <c r="T185" s="6"/>
      <c r="U185" s="6"/>
      <c r="V185" s="6"/>
      <c r="W185" s="6"/>
      <c r="X185" s="6"/>
      <c r="Y185" s="6"/>
      <c r="Z185" s="6"/>
    </row>
    <row r="186" spans="1:26" ht="18" customHeight="1" x14ac:dyDescent="0.3">
      <c r="A186" s="142"/>
      <c r="B186" s="143"/>
      <c r="C186" s="151" t="str">
        <f>IF(B186="","",IFERROR(INDEX('12 P6 activities'!$B$7:$B$206,MATCH(B186,'12 P6 activities'!$A$7:$A$206,0)),"ID not in P6 list"))</f>
        <v/>
      </c>
      <c r="D186" s="151" t="str">
        <f>IF(B186="","",IFERROR(INDEX('12 P6 activities'!$C$7:$C$206,MATCH(B186,'12 P6 activities'!$A$7:$A$206,0)),"⚠ not in P6 list"))</f>
        <v/>
      </c>
      <c r="E186" s="143"/>
      <c r="F186" s="147"/>
      <c r="G186" s="145" t="str">
        <f>IF(B186="","",IFERROR(INDEX('12 P6 activities'!$E$7:$E$206,MATCH(B186,'12 P6 activities'!$A$7:$A$206,0)),""))</f>
        <v/>
      </c>
      <c r="H186" s="143"/>
      <c r="I186" s="143"/>
      <c r="J186" s="6"/>
      <c r="K186" s="6"/>
      <c r="L186" s="6"/>
      <c r="M186" s="6"/>
      <c r="N186" s="6"/>
      <c r="O186" s="6"/>
      <c r="P186" s="6"/>
      <c r="Q186" s="6"/>
      <c r="R186" s="6"/>
      <c r="S186" s="6"/>
      <c r="T186" s="6"/>
      <c r="U186" s="6"/>
      <c r="V186" s="6"/>
      <c r="W186" s="6"/>
      <c r="X186" s="6"/>
      <c r="Y186" s="6"/>
      <c r="Z186" s="6"/>
    </row>
    <row r="187" spans="1:26" ht="18" customHeight="1" x14ac:dyDescent="0.3">
      <c r="A187" s="142"/>
      <c r="B187" s="143"/>
      <c r="C187" s="151" t="str">
        <f>IF(B187="","",IFERROR(INDEX('12 P6 activities'!$B$7:$B$206,MATCH(B187,'12 P6 activities'!$A$7:$A$206,0)),"ID not in P6 list"))</f>
        <v/>
      </c>
      <c r="D187" s="151" t="str">
        <f>IF(B187="","",IFERROR(INDEX('12 P6 activities'!$C$7:$C$206,MATCH(B187,'12 P6 activities'!$A$7:$A$206,0)),"⚠ not in P6 list"))</f>
        <v/>
      </c>
      <c r="E187" s="143"/>
      <c r="F187" s="147"/>
      <c r="G187" s="145" t="str">
        <f>IF(B187="","",IFERROR(INDEX('12 P6 activities'!$E$7:$E$206,MATCH(B187,'12 P6 activities'!$A$7:$A$206,0)),""))</f>
        <v/>
      </c>
      <c r="H187" s="143"/>
      <c r="I187" s="143"/>
      <c r="J187" s="6"/>
      <c r="K187" s="6"/>
      <c r="L187" s="6"/>
      <c r="M187" s="6"/>
      <c r="N187" s="6"/>
      <c r="O187" s="6"/>
      <c r="P187" s="6"/>
      <c r="Q187" s="6"/>
      <c r="R187" s="6"/>
      <c r="S187" s="6"/>
      <c r="T187" s="6"/>
      <c r="U187" s="6"/>
      <c r="V187" s="6"/>
      <c r="W187" s="6"/>
      <c r="X187" s="6"/>
      <c r="Y187" s="6"/>
      <c r="Z187" s="6"/>
    </row>
    <row r="188" spans="1:26" ht="18" customHeight="1" x14ac:dyDescent="0.3">
      <c r="A188" s="142"/>
      <c r="B188" s="143"/>
      <c r="C188" s="151" t="str">
        <f>IF(B188="","",IFERROR(INDEX('12 P6 activities'!$B$7:$B$206,MATCH(B188,'12 P6 activities'!$A$7:$A$206,0)),"ID not in P6 list"))</f>
        <v/>
      </c>
      <c r="D188" s="151" t="str">
        <f>IF(B188="","",IFERROR(INDEX('12 P6 activities'!$C$7:$C$206,MATCH(B188,'12 P6 activities'!$A$7:$A$206,0)),"⚠ not in P6 list"))</f>
        <v/>
      </c>
      <c r="E188" s="143"/>
      <c r="F188" s="147"/>
      <c r="G188" s="145" t="str">
        <f>IF(B188="","",IFERROR(INDEX('12 P6 activities'!$E$7:$E$206,MATCH(B188,'12 P6 activities'!$A$7:$A$206,0)),""))</f>
        <v/>
      </c>
      <c r="H188" s="143"/>
      <c r="I188" s="143"/>
      <c r="J188" s="6"/>
      <c r="K188" s="6"/>
      <c r="L188" s="6"/>
      <c r="M188" s="6"/>
      <c r="N188" s="6"/>
      <c r="O188" s="6"/>
      <c r="P188" s="6"/>
      <c r="Q188" s="6"/>
      <c r="R188" s="6"/>
      <c r="S188" s="6"/>
      <c r="T188" s="6"/>
      <c r="U188" s="6"/>
      <c r="V188" s="6"/>
      <c r="W188" s="6"/>
      <c r="X188" s="6"/>
      <c r="Y188" s="6"/>
      <c r="Z188" s="6"/>
    </row>
    <row r="189" spans="1:26" ht="18" customHeight="1" x14ac:dyDescent="0.3">
      <c r="A189" s="142"/>
      <c r="B189" s="143"/>
      <c r="C189" s="151" t="str">
        <f>IF(B189="","",IFERROR(INDEX('12 P6 activities'!$B$7:$B$206,MATCH(B189,'12 P6 activities'!$A$7:$A$206,0)),"ID not in P6 list"))</f>
        <v/>
      </c>
      <c r="D189" s="151" t="str">
        <f>IF(B189="","",IFERROR(INDEX('12 P6 activities'!$C$7:$C$206,MATCH(B189,'12 P6 activities'!$A$7:$A$206,0)),"⚠ not in P6 list"))</f>
        <v/>
      </c>
      <c r="E189" s="143"/>
      <c r="F189" s="147"/>
      <c r="G189" s="145" t="str">
        <f>IF(B189="","",IFERROR(INDEX('12 P6 activities'!$E$7:$E$206,MATCH(B189,'12 P6 activities'!$A$7:$A$206,0)),""))</f>
        <v/>
      </c>
      <c r="H189" s="143"/>
      <c r="I189" s="143"/>
      <c r="J189" s="6"/>
      <c r="K189" s="6"/>
      <c r="L189" s="6"/>
      <c r="M189" s="6"/>
      <c r="N189" s="6"/>
      <c r="O189" s="6"/>
      <c r="P189" s="6"/>
      <c r="Q189" s="6"/>
      <c r="R189" s="6"/>
      <c r="S189" s="6"/>
      <c r="T189" s="6"/>
      <c r="U189" s="6"/>
      <c r="V189" s="6"/>
      <c r="W189" s="6"/>
      <c r="X189" s="6"/>
      <c r="Y189" s="6"/>
      <c r="Z189" s="6"/>
    </row>
    <row r="190" spans="1:26" ht="18" customHeight="1" x14ac:dyDescent="0.3">
      <c r="A190" s="142"/>
      <c r="B190" s="143"/>
      <c r="C190" s="151" t="str">
        <f>IF(B190="","",IFERROR(INDEX('12 P6 activities'!$B$7:$B$206,MATCH(B190,'12 P6 activities'!$A$7:$A$206,0)),"ID not in P6 list"))</f>
        <v/>
      </c>
      <c r="D190" s="151" t="str">
        <f>IF(B190="","",IFERROR(INDEX('12 P6 activities'!$C$7:$C$206,MATCH(B190,'12 P6 activities'!$A$7:$A$206,0)),"⚠ not in P6 list"))</f>
        <v/>
      </c>
      <c r="E190" s="143"/>
      <c r="F190" s="147"/>
      <c r="G190" s="145" t="str">
        <f>IF(B190="","",IFERROR(INDEX('12 P6 activities'!$E$7:$E$206,MATCH(B190,'12 P6 activities'!$A$7:$A$206,0)),""))</f>
        <v/>
      </c>
      <c r="H190" s="143"/>
      <c r="I190" s="143"/>
      <c r="J190" s="6"/>
      <c r="K190" s="6"/>
      <c r="L190" s="6"/>
      <c r="M190" s="6"/>
      <c r="N190" s="6"/>
      <c r="O190" s="6"/>
      <c r="P190" s="6"/>
      <c r="Q190" s="6"/>
      <c r="R190" s="6"/>
      <c r="S190" s="6"/>
      <c r="T190" s="6"/>
      <c r="U190" s="6"/>
      <c r="V190" s="6"/>
      <c r="W190" s="6"/>
      <c r="X190" s="6"/>
      <c r="Y190" s="6"/>
      <c r="Z190" s="6"/>
    </row>
    <row r="191" spans="1:26" ht="18" customHeight="1" x14ac:dyDescent="0.3">
      <c r="A191" s="142"/>
      <c r="B191" s="143"/>
      <c r="C191" s="151" t="str">
        <f>IF(B191="","",IFERROR(INDEX('12 P6 activities'!$B$7:$B$206,MATCH(B191,'12 P6 activities'!$A$7:$A$206,0)),"ID not in P6 list"))</f>
        <v/>
      </c>
      <c r="D191" s="151" t="str">
        <f>IF(B191="","",IFERROR(INDEX('12 P6 activities'!$C$7:$C$206,MATCH(B191,'12 P6 activities'!$A$7:$A$206,0)),"⚠ not in P6 list"))</f>
        <v/>
      </c>
      <c r="E191" s="143"/>
      <c r="F191" s="147"/>
      <c r="G191" s="145" t="str">
        <f>IF(B191="","",IFERROR(INDEX('12 P6 activities'!$E$7:$E$206,MATCH(B191,'12 P6 activities'!$A$7:$A$206,0)),""))</f>
        <v/>
      </c>
      <c r="H191" s="143"/>
      <c r="I191" s="143"/>
      <c r="J191" s="6"/>
      <c r="K191" s="6"/>
      <c r="L191" s="6"/>
      <c r="M191" s="6"/>
      <c r="N191" s="6"/>
      <c r="O191" s="6"/>
      <c r="P191" s="6"/>
      <c r="Q191" s="6"/>
      <c r="R191" s="6"/>
      <c r="S191" s="6"/>
      <c r="T191" s="6"/>
      <c r="U191" s="6"/>
      <c r="V191" s="6"/>
      <c r="W191" s="6"/>
      <c r="X191" s="6"/>
      <c r="Y191" s="6"/>
      <c r="Z191" s="6"/>
    </row>
    <row r="192" spans="1:26" ht="18" customHeight="1" x14ac:dyDescent="0.3">
      <c r="A192" s="142"/>
      <c r="B192" s="143"/>
      <c r="C192" s="151" t="str">
        <f>IF(B192="","",IFERROR(INDEX('12 P6 activities'!$B$7:$B$206,MATCH(B192,'12 P6 activities'!$A$7:$A$206,0)),"ID not in P6 list"))</f>
        <v/>
      </c>
      <c r="D192" s="151" t="str">
        <f>IF(B192="","",IFERROR(INDEX('12 P6 activities'!$C$7:$C$206,MATCH(B192,'12 P6 activities'!$A$7:$A$206,0)),"⚠ not in P6 list"))</f>
        <v/>
      </c>
      <c r="E192" s="143"/>
      <c r="F192" s="147"/>
      <c r="G192" s="145" t="str">
        <f>IF(B192="","",IFERROR(INDEX('12 P6 activities'!$E$7:$E$206,MATCH(B192,'12 P6 activities'!$A$7:$A$206,0)),""))</f>
        <v/>
      </c>
      <c r="H192" s="143"/>
      <c r="I192" s="143"/>
      <c r="J192" s="6"/>
      <c r="K192" s="6"/>
      <c r="L192" s="6"/>
      <c r="M192" s="6"/>
      <c r="N192" s="6"/>
      <c r="O192" s="6"/>
      <c r="P192" s="6"/>
      <c r="Q192" s="6"/>
      <c r="R192" s="6"/>
      <c r="S192" s="6"/>
      <c r="T192" s="6"/>
      <c r="U192" s="6"/>
      <c r="V192" s="6"/>
      <c r="W192" s="6"/>
      <c r="X192" s="6"/>
      <c r="Y192" s="6"/>
      <c r="Z192" s="6"/>
    </row>
    <row r="193" spans="1:26" ht="18" customHeight="1" x14ac:dyDescent="0.3">
      <c r="A193" s="142"/>
      <c r="B193" s="143"/>
      <c r="C193" s="151" t="str">
        <f>IF(B193="","",IFERROR(INDEX('12 P6 activities'!$B$7:$B$206,MATCH(B193,'12 P6 activities'!$A$7:$A$206,0)),"ID not in P6 list"))</f>
        <v/>
      </c>
      <c r="D193" s="151" t="str">
        <f>IF(B193="","",IFERROR(INDEX('12 P6 activities'!$C$7:$C$206,MATCH(B193,'12 P6 activities'!$A$7:$A$206,0)),"⚠ not in P6 list"))</f>
        <v/>
      </c>
      <c r="E193" s="143"/>
      <c r="F193" s="147"/>
      <c r="G193" s="145" t="str">
        <f>IF(B193="","",IFERROR(INDEX('12 P6 activities'!$E$7:$E$206,MATCH(B193,'12 P6 activities'!$A$7:$A$206,0)),""))</f>
        <v/>
      </c>
      <c r="H193" s="143"/>
      <c r="I193" s="143"/>
      <c r="J193" s="6"/>
      <c r="K193" s="6"/>
      <c r="L193" s="6"/>
      <c r="M193" s="6"/>
      <c r="N193" s="6"/>
      <c r="O193" s="6"/>
      <c r="P193" s="6"/>
      <c r="Q193" s="6"/>
      <c r="R193" s="6"/>
      <c r="S193" s="6"/>
      <c r="T193" s="6"/>
      <c r="U193" s="6"/>
      <c r="V193" s="6"/>
      <c r="W193" s="6"/>
      <c r="X193" s="6"/>
      <c r="Y193" s="6"/>
      <c r="Z193" s="6"/>
    </row>
    <row r="194" spans="1:26" ht="18" customHeight="1" x14ac:dyDescent="0.3">
      <c r="A194" s="142"/>
      <c r="B194" s="143"/>
      <c r="C194" s="151" t="str">
        <f>IF(B194="","",IFERROR(INDEX('12 P6 activities'!$B$7:$B$206,MATCH(B194,'12 P6 activities'!$A$7:$A$206,0)),"ID not in P6 list"))</f>
        <v/>
      </c>
      <c r="D194" s="151" t="str">
        <f>IF(B194="","",IFERROR(INDEX('12 P6 activities'!$C$7:$C$206,MATCH(B194,'12 P6 activities'!$A$7:$A$206,0)),"⚠ not in P6 list"))</f>
        <v/>
      </c>
      <c r="E194" s="143"/>
      <c r="F194" s="147"/>
      <c r="G194" s="145" t="str">
        <f>IF(B194="","",IFERROR(INDEX('12 P6 activities'!$E$7:$E$206,MATCH(B194,'12 P6 activities'!$A$7:$A$206,0)),""))</f>
        <v/>
      </c>
      <c r="H194" s="143"/>
      <c r="I194" s="143"/>
      <c r="J194" s="6"/>
      <c r="K194" s="6"/>
      <c r="L194" s="6"/>
      <c r="M194" s="6"/>
      <c r="N194" s="6"/>
      <c r="O194" s="6"/>
      <c r="P194" s="6"/>
      <c r="Q194" s="6"/>
      <c r="R194" s="6"/>
      <c r="S194" s="6"/>
      <c r="T194" s="6"/>
      <c r="U194" s="6"/>
      <c r="V194" s="6"/>
      <c r="W194" s="6"/>
      <c r="X194" s="6"/>
      <c r="Y194" s="6"/>
      <c r="Z194" s="6"/>
    </row>
    <row r="195" spans="1:26" ht="18" customHeight="1" x14ac:dyDescent="0.3">
      <c r="A195" s="142"/>
      <c r="B195" s="143"/>
      <c r="C195" s="151" t="str">
        <f>IF(B195="","",IFERROR(INDEX('12 P6 activities'!$B$7:$B$206,MATCH(B195,'12 P6 activities'!$A$7:$A$206,0)),"ID not in P6 list"))</f>
        <v/>
      </c>
      <c r="D195" s="151" t="str">
        <f>IF(B195="","",IFERROR(INDEX('12 P6 activities'!$C$7:$C$206,MATCH(B195,'12 P6 activities'!$A$7:$A$206,0)),"⚠ not in P6 list"))</f>
        <v/>
      </c>
      <c r="E195" s="143"/>
      <c r="F195" s="147"/>
      <c r="G195" s="145" t="str">
        <f>IF(B195="","",IFERROR(INDEX('12 P6 activities'!$E$7:$E$206,MATCH(B195,'12 P6 activities'!$A$7:$A$206,0)),""))</f>
        <v/>
      </c>
      <c r="H195" s="143"/>
      <c r="I195" s="143"/>
      <c r="J195" s="6"/>
      <c r="K195" s="6"/>
      <c r="L195" s="6"/>
      <c r="M195" s="6"/>
      <c r="N195" s="6"/>
      <c r="O195" s="6"/>
      <c r="P195" s="6"/>
      <c r="Q195" s="6"/>
      <c r="R195" s="6"/>
      <c r="S195" s="6"/>
      <c r="T195" s="6"/>
      <c r="U195" s="6"/>
      <c r="V195" s="6"/>
      <c r="W195" s="6"/>
      <c r="X195" s="6"/>
      <c r="Y195" s="6"/>
      <c r="Z195" s="6"/>
    </row>
    <row r="196" spans="1:26" ht="18" customHeight="1" x14ac:dyDescent="0.3">
      <c r="A196" s="142"/>
      <c r="B196" s="143"/>
      <c r="C196" s="151" t="str">
        <f>IF(B196="","",IFERROR(INDEX('12 P6 activities'!$B$7:$B$206,MATCH(B196,'12 P6 activities'!$A$7:$A$206,0)),"ID not in P6 list"))</f>
        <v/>
      </c>
      <c r="D196" s="151" t="str">
        <f>IF(B196="","",IFERROR(INDEX('12 P6 activities'!$C$7:$C$206,MATCH(B196,'12 P6 activities'!$A$7:$A$206,0)),"⚠ not in P6 list"))</f>
        <v/>
      </c>
      <c r="E196" s="143"/>
      <c r="F196" s="147"/>
      <c r="G196" s="145" t="str">
        <f>IF(B196="","",IFERROR(INDEX('12 P6 activities'!$E$7:$E$206,MATCH(B196,'12 P6 activities'!$A$7:$A$206,0)),""))</f>
        <v/>
      </c>
      <c r="H196" s="143"/>
      <c r="I196" s="143"/>
      <c r="J196" s="6"/>
      <c r="K196" s="6"/>
      <c r="L196" s="6"/>
      <c r="M196" s="6"/>
      <c r="N196" s="6"/>
      <c r="O196" s="6"/>
      <c r="P196" s="6"/>
      <c r="Q196" s="6"/>
      <c r="R196" s="6"/>
      <c r="S196" s="6"/>
      <c r="T196" s="6"/>
      <c r="U196" s="6"/>
      <c r="V196" s="6"/>
      <c r="W196" s="6"/>
      <c r="X196" s="6"/>
      <c r="Y196" s="6"/>
      <c r="Z196" s="6"/>
    </row>
    <row r="197" spans="1:26" ht="18" customHeight="1" x14ac:dyDescent="0.3">
      <c r="A197" s="142"/>
      <c r="B197" s="143"/>
      <c r="C197" s="151" t="str">
        <f>IF(B197="","",IFERROR(INDEX('12 P6 activities'!$B$7:$B$206,MATCH(B197,'12 P6 activities'!$A$7:$A$206,0)),"ID not in P6 list"))</f>
        <v/>
      </c>
      <c r="D197" s="151" t="str">
        <f>IF(B197="","",IFERROR(INDEX('12 P6 activities'!$C$7:$C$206,MATCH(B197,'12 P6 activities'!$A$7:$A$206,0)),"⚠ not in P6 list"))</f>
        <v/>
      </c>
      <c r="E197" s="143"/>
      <c r="F197" s="147"/>
      <c r="G197" s="145" t="str">
        <f>IF(B197="","",IFERROR(INDEX('12 P6 activities'!$E$7:$E$206,MATCH(B197,'12 P6 activities'!$A$7:$A$206,0)),""))</f>
        <v/>
      </c>
      <c r="H197" s="143"/>
      <c r="I197" s="143"/>
      <c r="J197" s="6"/>
      <c r="K197" s="6"/>
      <c r="L197" s="6"/>
      <c r="M197" s="6"/>
      <c r="N197" s="6"/>
      <c r="O197" s="6"/>
      <c r="P197" s="6"/>
      <c r="Q197" s="6"/>
      <c r="R197" s="6"/>
      <c r="S197" s="6"/>
      <c r="T197" s="6"/>
      <c r="U197" s="6"/>
      <c r="V197" s="6"/>
      <c r="W197" s="6"/>
      <c r="X197" s="6"/>
      <c r="Y197" s="6"/>
      <c r="Z197" s="6"/>
    </row>
    <row r="198" spans="1:26" ht="18" customHeight="1" x14ac:dyDescent="0.3">
      <c r="A198" s="142"/>
      <c r="B198" s="143"/>
      <c r="C198" s="151" t="str">
        <f>IF(B198="","",IFERROR(INDEX('12 P6 activities'!$B$7:$B$206,MATCH(B198,'12 P6 activities'!$A$7:$A$206,0)),"ID not in P6 list"))</f>
        <v/>
      </c>
      <c r="D198" s="151" t="str">
        <f>IF(B198="","",IFERROR(INDEX('12 P6 activities'!$C$7:$C$206,MATCH(B198,'12 P6 activities'!$A$7:$A$206,0)),"⚠ not in P6 list"))</f>
        <v/>
      </c>
      <c r="E198" s="143"/>
      <c r="F198" s="147"/>
      <c r="G198" s="145" t="str">
        <f>IF(B198="","",IFERROR(INDEX('12 P6 activities'!$E$7:$E$206,MATCH(B198,'12 P6 activities'!$A$7:$A$206,0)),""))</f>
        <v/>
      </c>
      <c r="H198" s="143"/>
      <c r="I198" s="143"/>
      <c r="J198" s="6"/>
      <c r="K198" s="6"/>
      <c r="L198" s="6"/>
      <c r="M198" s="6"/>
      <c r="N198" s="6"/>
      <c r="O198" s="6"/>
      <c r="P198" s="6"/>
      <c r="Q198" s="6"/>
      <c r="R198" s="6"/>
      <c r="S198" s="6"/>
      <c r="T198" s="6"/>
      <c r="U198" s="6"/>
      <c r="V198" s="6"/>
      <c r="W198" s="6"/>
      <c r="X198" s="6"/>
      <c r="Y198" s="6"/>
      <c r="Z198" s="6"/>
    </row>
    <row r="199" spans="1:26" ht="18" customHeight="1" x14ac:dyDescent="0.3">
      <c r="A199" s="142"/>
      <c r="B199" s="143"/>
      <c r="C199" s="151" t="str">
        <f>IF(B199="","",IFERROR(INDEX('12 P6 activities'!$B$7:$B$206,MATCH(B199,'12 P6 activities'!$A$7:$A$206,0)),"ID not in P6 list"))</f>
        <v/>
      </c>
      <c r="D199" s="151" t="str">
        <f>IF(B199="","",IFERROR(INDEX('12 P6 activities'!$C$7:$C$206,MATCH(B199,'12 P6 activities'!$A$7:$A$206,0)),"⚠ not in P6 list"))</f>
        <v/>
      </c>
      <c r="E199" s="143"/>
      <c r="F199" s="147"/>
      <c r="G199" s="145" t="str">
        <f>IF(B199="","",IFERROR(INDEX('12 P6 activities'!$E$7:$E$206,MATCH(B199,'12 P6 activities'!$A$7:$A$206,0)),""))</f>
        <v/>
      </c>
      <c r="H199" s="143"/>
      <c r="I199" s="143"/>
      <c r="J199" s="6"/>
      <c r="K199" s="6"/>
      <c r="L199" s="6"/>
      <c r="M199" s="6"/>
      <c r="N199" s="6"/>
      <c r="O199" s="6"/>
      <c r="P199" s="6"/>
      <c r="Q199" s="6"/>
      <c r="R199" s="6"/>
      <c r="S199" s="6"/>
      <c r="T199" s="6"/>
      <c r="U199" s="6"/>
      <c r="V199" s="6"/>
      <c r="W199" s="6"/>
      <c r="X199" s="6"/>
      <c r="Y199" s="6"/>
      <c r="Z199" s="6"/>
    </row>
    <row r="200" spans="1:26" ht="18" customHeight="1" x14ac:dyDescent="0.3">
      <c r="A200" s="142"/>
      <c r="B200" s="143"/>
      <c r="C200" s="151" t="str">
        <f>IF(B200="","",IFERROR(INDEX('12 P6 activities'!$B$7:$B$206,MATCH(B200,'12 P6 activities'!$A$7:$A$206,0)),"ID not in P6 list"))</f>
        <v/>
      </c>
      <c r="D200" s="151" t="str">
        <f>IF(B200="","",IFERROR(INDEX('12 P6 activities'!$C$7:$C$206,MATCH(B200,'12 P6 activities'!$A$7:$A$206,0)),"⚠ not in P6 list"))</f>
        <v/>
      </c>
      <c r="E200" s="143"/>
      <c r="F200" s="147"/>
      <c r="G200" s="145" t="str">
        <f>IF(B200="","",IFERROR(INDEX('12 P6 activities'!$E$7:$E$206,MATCH(B200,'12 P6 activities'!$A$7:$A$206,0)),""))</f>
        <v/>
      </c>
      <c r="H200" s="143"/>
      <c r="I200" s="143"/>
      <c r="J200" s="6"/>
      <c r="K200" s="6"/>
      <c r="L200" s="6"/>
      <c r="M200" s="6"/>
      <c r="N200" s="6"/>
      <c r="O200" s="6"/>
      <c r="P200" s="6"/>
      <c r="Q200" s="6"/>
      <c r="R200" s="6"/>
      <c r="S200" s="6"/>
      <c r="T200" s="6"/>
      <c r="U200" s="6"/>
      <c r="V200" s="6"/>
      <c r="W200" s="6"/>
      <c r="X200" s="6"/>
      <c r="Y200" s="6"/>
      <c r="Z200" s="6"/>
    </row>
    <row r="201" spans="1:26" ht="18" customHeight="1" x14ac:dyDescent="0.3">
      <c r="A201" s="142"/>
      <c r="B201" s="143"/>
      <c r="C201" s="151" t="str">
        <f>IF(B201="","",IFERROR(INDEX('12 P6 activities'!$B$7:$B$206,MATCH(B201,'12 P6 activities'!$A$7:$A$206,0)),"ID not in P6 list"))</f>
        <v/>
      </c>
      <c r="D201" s="151" t="str">
        <f>IF(B201="","",IFERROR(INDEX('12 P6 activities'!$C$7:$C$206,MATCH(B201,'12 P6 activities'!$A$7:$A$206,0)),"⚠ not in P6 list"))</f>
        <v/>
      </c>
      <c r="E201" s="143"/>
      <c r="F201" s="147"/>
      <c r="G201" s="145" t="str">
        <f>IF(B201="","",IFERROR(INDEX('12 P6 activities'!$E$7:$E$206,MATCH(B201,'12 P6 activities'!$A$7:$A$206,0)),""))</f>
        <v/>
      </c>
      <c r="H201" s="143"/>
      <c r="I201" s="143"/>
      <c r="J201" s="6"/>
      <c r="K201" s="6"/>
      <c r="L201" s="6"/>
      <c r="M201" s="6"/>
      <c r="N201" s="6"/>
      <c r="O201" s="6"/>
      <c r="P201" s="6"/>
      <c r="Q201" s="6"/>
      <c r="R201" s="6"/>
      <c r="S201" s="6"/>
      <c r="T201" s="6"/>
      <c r="U201" s="6"/>
      <c r="V201" s="6"/>
      <c r="W201" s="6"/>
      <c r="X201" s="6"/>
      <c r="Y201" s="6"/>
      <c r="Z201" s="6"/>
    </row>
    <row r="202" spans="1:26" ht="18" customHeight="1" x14ac:dyDescent="0.3">
      <c r="A202" s="142"/>
      <c r="B202" s="143"/>
      <c r="C202" s="151" t="str">
        <f>IF(B202="","",IFERROR(INDEX('12 P6 activities'!$B$7:$B$206,MATCH(B202,'12 P6 activities'!$A$7:$A$206,0)),"ID not in P6 list"))</f>
        <v/>
      </c>
      <c r="D202" s="151" t="str">
        <f>IF(B202="","",IFERROR(INDEX('12 P6 activities'!$C$7:$C$206,MATCH(B202,'12 P6 activities'!$A$7:$A$206,0)),"⚠ not in P6 list"))</f>
        <v/>
      </c>
      <c r="E202" s="143"/>
      <c r="F202" s="147"/>
      <c r="G202" s="145" t="str">
        <f>IF(B202="","",IFERROR(INDEX('12 P6 activities'!$E$7:$E$206,MATCH(B202,'12 P6 activities'!$A$7:$A$206,0)),""))</f>
        <v/>
      </c>
      <c r="H202" s="143"/>
      <c r="I202" s="143"/>
      <c r="J202" s="6"/>
      <c r="K202" s="6"/>
      <c r="L202" s="6"/>
      <c r="M202" s="6"/>
      <c r="N202" s="6"/>
      <c r="O202" s="6"/>
      <c r="P202" s="6"/>
      <c r="Q202" s="6"/>
      <c r="R202" s="6"/>
      <c r="S202" s="6"/>
      <c r="T202" s="6"/>
      <c r="U202" s="6"/>
      <c r="V202" s="6"/>
      <c r="W202" s="6"/>
      <c r="X202" s="6"/>
      <c r="Y202" s="6"/>
      <c r="Z202" s="6"/>
    </row>
    <row r="203" spans="1:26" ht="18" customHeight="1" x14ac:dyDescent="0.3">
      <c r="A203" s="142"/>
      <c r="B203" s="143"/>
      <c r="C203" s="151" t="str">
        <f>IF(B203="","",IFERROR(INDEX('12 P6 activities'!$B$7:$B$206,MATCH(B203,'12 P6 activities'!$A$7:$A$206,0)),"ID not in P6 list"))</f>
        <v/>
      </c>
      <c r="D203" s="151" t="str">
        <f>IF(B203="","",IFERROR(INDEX('12 P6 activities'!$C$7:$C$206,MATCH(B203,'12 P6 activities'!$A$7:$A$206,0)),"⚠ not in P6 list"))</f>
        <v/>
      </c>
      <c r="E203" s="143"/>
      <c r="F203" s="147"/>
      <c r="G203" s="145" t="str">
        <f>IF(B203="","",IFERROR(INDEX('12 P6 activities'!$E$7:$E$206,MATCH(B203,'12 P6 activities'!$A$7:$A$206,0)),""))</f>
        <v/>
      </c>
      <c r="H203" s="143"/>
      <c r="I203" s="143"/>
      <c r="J203" s="6"/>
      <c r="K203" s="6"/>
      <c r="L203" s="6"/>
      <c r="M203" s="6"/>
      <c r="N203" s="6"/>
      <c r="O203" s="6"/>
      <c r="P203" s="6"/>
      <c r="Q203" s="6"/>
      <c r="R203" s="6"/>
      <c r="S203" s="6"/>
      <c r="T203" s="6"/>
      <c r="U203" s="6"/>
      <c r="V203" s="6"/>
      <c r="W203" s="6"/>
      <c r="X203" s="6"/>
      <c r="Y203" s="6"/>
      <c r="Z203" s="6"/>
    </row>
    <row r="204" spans="1:26" ht="18" customHeight="1" x14ac:dyDescent="0.3">
      <c r="A204" s="142"/>
      <c r="B204" s="143"/>
      <c r="C204" s="151" t="str">
        <f>IF(B204="","",IFERROR(INDEX('12 P6 activities'!$B$7:$B$206,MATCH(B204,'12 P6 activities'!$A$7:$A$206,0)),"ID not in P6 list"))</f>
        <v/>
      </c>
      <c r="D204" s="151" t="str">
        <f>IF(B204="","",IFERROR(INDEX('12 P6 activities'!$C$7:$C$206,MATCH(B204,'12 P6 activities'!$A$7:$A$206,0)),"⚠ not in P6 list"))</f>
        <v/>
      </c>
      <c r="E204" s="143"/>
      <c r="F204" s="147"/>
      <c r="G204" s="145" t="str">
        <f>IF(B204="","",IFERROR(INDEX('12 P6 activities'!$E$7:$E$206,MATCH(B204,'12 P6 activities'!$A$7:$A$206,0)),""))</f>
        <v/>
      </c>
      <c r="H204" s="143"/>
      <c r="I204" s="143"/>
      <c r="J204" s="6"/>
      <c r="K204" s="6"/>
      <c r="L204" s="6"/>
      <c r="M204" s="6"/>
      <c r="N204" s="6"/>
      <c r="O204" s="6"/>
      <c r="P204" s="6"/>
      <c r="Q204" s="6"/>
      <c r="R204" s="6"/>
      <c r="S204" s="6"/>
      <c r="T204" s="6"/>
      <c r="U204" s="6"/>
      <c r="V204" s="6"/>
      <c r="W204" s="6"/>
      <c r="X204" s="6"/>
      <c r="Y204" s="6"/>
      <c r="Z204" s="6"/>
    </row>
    <row r="205" spans="1:26" ht="18" customHeight="1" x14ac:dyDescent="0.3">
      <c r="A205" s="142"/>
      <c r="B205" s="143"/>
      <c r="C205" s="151" t="str">
        <f>IF(B205="","",IFERROR(INDEX('12 P6 activities'!$B$7:$B$206,MATCH(B205,'12 P6 activities'!$A$7:$A$206,0)),"ID not in P6 list"))</f>
        <v/>
      </c>
      <c r="D205" s="151" t="str">
        <f>IF(B205="","",IFERROR(INDEX('12 P6 activities'!$C$7:$C$206,MATCH(B205,'12 P6 activities'!$A$7:$A$206,0)),"⚠ not in P6 list"))</f>
        <v/>
      </c>
      <c r="E205" s="143"/>
      <c r="F205" s="147"/>
      <c r="G205" s="145" t="str">
        <f>IF(B205="","",IFERROR(INDEX('12 P6 activities'!$E$7:$E$206,MATCH(B205,'12 P6 activities'!$A$7:$A$206,0)),""))</f>
        <v/>
      </c>
      <c r="H205" s="143"/>
      <c r="I205" s="143"/>
      <c r="J205" s="6"/>
      <c r="K205" s="6"/>
      <c r="L205" s="6"/>
      <c r="M205" s="6"/>
      <c r="N205" s="6"/>
      <c r="O205" s="6"/>
      <c r="P205" s="6"/>
      <c r="Q205" s="6"/>
      <c r="R205" s="6"/>
      <c r="S205" s="6"/>
      <c r="T205" s="6"/>
      <c r="U205" s="6"/>
      <c r="V205" s="6"/>
      <c r="W205" s="6"/>
      <c r="X205" s="6"/>
      <c r="Y205" s="6"/>
      <c r="Z205" s="6"/>
    </row>
    <row r="206" spans="1:26" ht="18" customHeight="1" x14ac:dyDescent="0.3">
      <c r="A206" s="142"/>
      <c r="B206" s="143"/>
      <c r="C206" s="151" t="str">
        <f>IF(B206="","",IFERROR(INDEX('12 P6 activities'!$B$7:$B$206,MATCH(B206,'12 P6 activities'!$A$7:$A$206,0)),"ID not in P6 list"))</f>
        <v/>
      </c>
      <c r="D206" s="151" t="str">
        <f>IF(B206="","",IFERROR(INDEX('12 P6 activities'!$C$7:$C$206,MATCH(B206,'12 P6 activities'!$A$7:$A$206,0)),"⚠ not in P6 list"))</f>
        <v/>
      </c>
      <c r="E206" s="143"/>
      <c r="F206" s="147"/>
      <c r="G206" s="145" t="str">
        <f>IF(B206="","",IFERROR(INDEX('12 P6 activities'!$E$7:$E$206,MATCH(B206,'12 P6 activities'!$A$7:$A$206,0)),""))</f>
        <v/>
      </c>
      <c r="H206" s="143"/>
      <c r="I206" s="143"/>
      <c r="J206" s="6"/>
      <c r="K206" s="6"/>
      <c r="L206" s="6"/>
      <c r="M206" s="6"/>
      <c r="N206" s="6"/>
      <c r="O206" s="6"/>
      <c r="P206" s="6"/>
      <c r="Q206" s="6"/>
      <c r="R206" s="6"/>
      <c r="S206" s="6"/>
      <c r="T206" s="6"/>
      <c r="U206" s="6"/>
      <c r="V206" s="6"/>
      <c r="W206" s="6"/>
      <c r="X206" s="6"/>
      <c r="Y206" s="6"/>
      <c r="Z206" s="6"/>
    </row>
    <row r="207" spans="1:26" ht="18" customHeight="1" x14ac:dyDescent="0.3">
      <c r="A207" s="142"/>
      <c r="B207" s="143"/>
      <c r="C207" s="151" t="str">
        <f>IF(B207="","",IFERROR(INDEX('12 P6 activities'!$B$7:$B$206,MATCH(B207,'12 P6 activities'!$A$7:$A$206,0)),"ID not in P6 list"))</f>
        <v/>
      </c>
      <c r="D207" s="151" t="str">
        <f>IF(B207="","",IFERROR(INDEX('12 P6 activities'!$C$7:$C$206,MATCH(B207,'12 P6 activities'!$A$7:$A$206,0)),"⚠ not in P6 list"))</f>
        <v/>
      </c>
      <c r="E207" s="143"/>
      <c r="F207" s="147"/>
      <c r="G207" s="145" t="str">
        <f>IF(B207="","",IFERROR(INDEX('12 P6 activities'!$E$7:$E$206,MATCH(B207,'12 P6 activities'!$A$7:$A$206,0)),""))</f>
        <v/>
      </c>
      <c r="H207" s="143"/>
      <c r="I207" s="143"/>
      <c r="J207" s="6"/>
      <c r="K207" s="6"/>
      <c r="L207" s="6"/>
      <c r="M207" s="6"/>
      <c r="N207" s="6"/>
      <c r="O207" s="6"/>
      <c r="P207" s="6"/>
      <c r="Q207" s="6"/>
      <c r="R207" s="6"/>
      <c r="S207" s="6"/>
      <c r="T207" s="6"/>
      <c r="U207" s="6"/>
      <c r="V207" s="6"/>
      <c r="W207" s="6"/>
      <c r="X207" s="6"/>
      <c r="Y207" s="6"/>
      <c r="Z207" s="6"/>
    </row>
    <row r="208" spans="1:26" ht="18" customHeight="1" x14ac:dyDescent="0.3">
      <c r="A208" s="142"/>
      <c r="B208" s="143"/>
      <c r="C208" s="151" t="str">
        <f>IF(B208="","",IFERROR(INDEX('12 P6 activities'!$B$7:$B$206,MATCH(B208,'12 P6 activities'!$A$7:$A$206,0)),"ID not in P6 list"))</f>
        <v/>
      </c>
      <c r="D208" s="151" t="str">
        <f>IF(B208="","",IFERROR(INDEX('12 P6 activities'!$C$7:$C$206,MATCH(B208,'12 P6 activities'!$A$7:$A$206,0)),"⚠ not in P6 list"))</f>
        <v/>
      </c>
      <c r="E208" s="143"/>
      <c r="F208" s="147"/>
      <c r="G208" s="145" t="str">
        <f>IF(B208="","",IFERROR(INDEX('12 P6 activities'!$E$7:$E$206,MATCH(B208,'12 P6 activities'!$A$7:$A$206,0)),""))</f>
        <v/>
      </c>
      <c r="H208" s="143"/>
      <c r="I208" s="143"/>
      <c r="J208" s="6"/>
      <c r="K208" s="6"/>
      <c r="L208" s="6"/>
      <c r="M208" s="6"/>
      <c r="N208" s="6"/>
      <c r="O208" s="6"/>
      <c r="P208" s="6"/>
      <c r="Q208" s="6"/>
      <c r="R208" s="6"/>
      <c r="S208" s="6"/>
      <c r="T208" s="6"/>
      <c r="U208" s="6"/>
      <c r="V208" s="6"/>
      <c r="W208" s="6"/>
      <c r="X208" s="6"/>
      <c r="Y208" s="6"/>
      <c r="Z208" s="6"/>
    </row>
    <row r="209" spans="1:26" ht="18" customHeight="1" x14ac:dyDescent="0.3">
      <c r="A209" s="142"/>
      <c r="B209" s="143"/>
      <c r="C209" s="151" t="str">
        <f>IF(B209="","",IFERROR(INDEX('12 P6 activities'!$B$7:$B$206,MATCH(B209,'12 P6 activities'!$A$7:$A$206,0)),"ID not in P6 list"))</f>
        <v/>
      </c>
      <c r="D209" s="151" t="str">
        <f>IF(B209="","",IFERROR(INDEX('12 P6 activities'!$C$7:$C$206,MATCH(B209,'12 P6 activities'!$A$7:$A$206,0)),"⚠ not in P6 list"))</f>
        <v/>
      </c>
      <c r="E209" s="143"/>
      <c r="F209" s="147"/>
      <c r="G209" s="145" t="str">
        <f>IF(B209="","",IFERROR(INDEX('12 P6 activities'!$E$7:$E$206,MATCH(B209,'12 P6 activities'!$A$7:$A$206,0)),""))</f>
        <v/>
      </c>
      <c r="H209" s="143"/>
      <c r="I209" s="143"/>
      <c r="J209" s="6"/>
      <c r="K209" s="6"/>
      <c r="L209" s="6"/>
      <c r="M209" s="6"/>
      <c r="N209" s="6"/>
      <c r="O209" s="6"/>
      <c r="P209" s="6"/>
      <c r="Q209" s="6"/>
      <c r="R209" s="6"/>
      <c r="S209" s="6"/>
      <c r="T209" s="6"/>
      <c r="U209" s="6"/>
      <c r="V209" s="6"/>
      <c r="W209" s="6"/>
      <c r="X209" s="6"/>
      <c r="Y209" s="6"/>
      <c r="Z209" s="6"/>
    </row>
    <row r="210" spans="1:26" ht="18" customHeight="1" x14ac:dyDescent="0.3">
      <c r="A210" s="142"/>
      <c r="B210" s="143"/>
      <c r="C210" s="151" t="str">
        <f>IF(B210="","",IFERROR(INDEX('12 P6 activities'!$B$7:$B$206,MATCH(B210,'12 P6 activities'!$A$7:$A$206,0)),"ID not in P6 list"))</f>
        <v/>
      </c>
      <c r="D210" s="151" t="str">
        <f>IF(B210="","",IFERROR(INDEX('12 P6 activities'!$C$7:$C$206,MATCH(B210,'12 P6 activities'!$A$7:$A$206,0)),"⚠ not in P6 list"))</f>
        <v/>
      </c>
      <c r="E210" s="143"/>
      <c r="F210" s="147"/>
      <c r="G210" s="145" t="str">
        <f>IF(B210="","",IFERROR(INDEX('12 P6 activities'!$E$7:$E$206,MATCH(B210,'12 P6 activities'!$A$7:$A$206,0)),""))</f>
        <v/>
      </c>
      <c r="H210" s="143"/>
      <c r="I210" s="143"/>
      <c r="J210" s="6"/>
      <c r="K210" s="6"/>
      <c r="L210" s="6"/>
      <c r="M210" s="6"/>
      <c r="N210" s="6"/>
      <c r="O210" s="6"/>
      <c r="P210" s="6"/>
      <c r="Q210" s="6"/>
      <c r="R210" s="6"/>
      <c r="S210" s="6"/>
      <c r="T210" s="6"/>
      <c r="U210" s="6"/>
      <c r="V210" s="6"/>
      <c r="W210" s="6"/>
      <c r="X210" s="6"/>
      <c r="Y210" s="6"/>
      <c r="Z210" s="6"/>
    </row>
    <row r="211" spans="1:26" ht="18" customHeight="1" x14ac:dyDescent="0.3">
      <c r="A211" s="142"/>
      <c r="B211" s="143"/>
      <c r="C211" s="151" t="str">
        <f>IF(B211="","",IFERROR(INDEX('12 P6 activities'!$B$7:$B$206,MATCH(B211,'12 P6 activities'!$A$7:$A$206,0)),"ID not in P6 list"))</f>
        <v/>
      </c>
      <c r="D211" s="151" t="str">
        <f>IF(B211="","",IFERROR(INDEX('12 P6 activities'!$C$7:$C$206,MATCH(B211,'12 P6 activities'!$A$7:$A$206,0)),"⚠ not in P6 list"))</f>
        <v/>
      </c>
      <c r="E211" s="143"/>
      <c r="F211" s="147"/>
      <c r="G211" s="145" t="str">
        <f>IF(B211="","",IFERROR(INDEX('12 P6 activities'!$E$7:$E$206,MATCH(B211,'12 P6 activities'!$A$7:$A$206,0)),""))</f>
        <v/>
      </c>
      <c r="H211" s="143"/>
      <c r="I211" s="143"/>
      <c r="J211" s="6"/>
      <c r="K211" s="6"/>
      <c r="L211" s="6"/>
      <c r="M211" s="6"/>
      <c r="N211" s="6"/>
      <c r="O211" s="6"/>
      <c r="P211" s="6"/>
      <c r="Q211" s="6"/>
      <c r="R211" s="6"/>
      <c r="S211" s="6"/>
      <c r="T211" s="6"/>
      <c r="U211" s="6"/>
      <c r="V211" s="6"/>
      <c r="W211" s="6"/>
      <c r="X211" s="6"/>
      <c r="Y211" s="6"/>
      <c r="Z211" s="6"/>
    </row>
    <row r="212" spans="1:26" ht="18" customHeight="1" x14ac:dyDescent="0.3">
      <c r="A212" s="142"/>
      <c r="B212" s="143"/>
      <c r="C212" s="151" t="str">
        <f>IF(B212="","",IFERROR(INDEX('12 P6 activities'!$B$7:$B$206,MATCH(B212,'12 P6 activities'!$A$7:$A$206,0)),"ID not in P6 list"))</f>
        <v/>
      </c>
      <c r="D212" s="151" t="str">
        <f>IF(B212="","",IFERROR(INDEX('12 P6 activities'!$C$7:$C$206,MATCH(B212,'12 P6 activities'!$A$7:$A$206,0)),"⚠ not in P6 list"))</f>
        <v/>
      </c>
      <c r="E212" s="143"/>
      <c r="F212" s="147"/>
      <c r="G212" s="145" t="str">
        <f>IF(B212="","",IFERROR(INDEX('12 P6 activities'!$E$7:$E$206,MATCH(B212,'12 P6 activities'!$A$7:$A$206,0)),""))</f>
        <v/>
      </c>
      <c r="H212" s="143"/>
      <c r="I212" s="143"/>
      <c r="J212" s="6"/>
      <c r="K212" s="6"/>
      <c r="L212" s="6"/>
      <c r="M212" s="6"/>
      <c r="N212" s="6"/>
      <c r="O212" s="6"/>
      <c r="P212" s="6"/>
      <c r="Q212" s="6"/>
      <c r="R212" s="6"/>
      <c r="S212" s="6"/>
      <c r="T212" s="6"/>
      <c r="U212" s="6"/>
      <c r="V212" s="6"/>
      <c r="W212" s="6"/>
      <c r="X212" s="6"/>
      <c r="Y212" s="6"/>
      <c r="Z212" s="6"/>
    </row>
    <row r="213" spans="1:26" ht="18" customHeight="1" x14ac:dyDescent="0.3">
      <c r="A213" s="142"/>
      <c r="B213" s="143"/>
      <c r="C213" s="151" t="str">
        <f>IF(B213="","",IFERROR(INDEX('12 P6 activities'!$B$7:$B$206,MATCH(B213,'12 P6 activities'!$A$7:$A$206,0)),"ID not in P6 list"))</f>
        <v/>
      </c>
      <c r="D213" s="151" t="str">
        <f>IF(B213="","",IFERROR(INDEX('12 P6 activities'!$C$7:$C$206,MATCH(B213,'12 P6 activities'!$A$7:$A$206,0)),"⚠ not in P6 list"))</f>
        <v/>
      </c>
      <c r="E213" s="143"/>
      <c r="F213" s="147"/>
      <c r="G213" s="145" t="str">
        <f>IF(B213="","",IFERROR(INDEX('12 P6 activities'!$E$7:$E$206,MATCH(B213,'12 P6 activities'!$A$7:$A$206,0)),""))</f>
        <v/>
      </c>
      <c r="H213" s="143"/>
      <c r="I213" s="143"/>
      <c r="J213" s="6"/>
      <c r="K213" s="6"/>
      <c r="L213" s="6"/>
      <c r="M213" s="6"/>
      <c r="N213" s="6"/>
      <c r="O213" s="6"/>
      <c r="P213" s="6"/>
      <c r="Q213" s="6"/>
      <c r="R213" s="6"/>
      <c r="S213" s="6"/>
      <c r="T213" s="6"/>
      <c r="U213" s="6"/>
      <c r="V213" s="6"/>
      <c r="W213" s="6"/>
      <c r="X213" s="6"/>
      <c r="Y213" s="6"/>
      <c r="Z213" s="6"/>
    </row>
    <row r="214" spans="1:26" ht="18" customHeight="1" x14ac:dyDescent="0.3">
      <c r="A214" s="142"/>
      <c r="B214" s="143"/>
      <c r="C214" s="151" t="str">
        <f>IF(B214="","",IFERROR(INDEX('12 P6 activities'!$B$7:$B$206,MATCH(B214,'12 P6 activities'!$A$7:$A$206,0)),"ID not in P6 list"))</f>
        <v/>
      </c>
      <c r="D214" s="151" t="str">
        <f>IF(B214="","",IFERROR(INDEX('12 P6 activities'!$C$7:$C$206,MATCH(B214,'12 P6 activities'!$A$7:$A$206,0)),"⚠ not in P6 list"))</f>
        <v/>
      </c>
      <c r="E214" s="143"/>
      <c r="F214" s="147"/>
      <c r="G214" s="145" t="str">
        <f>IF(B214="","",IFERROR(INDEX('12 P6 activities'!$E$7:$E$206,MATCH(B214,'12 P6 activities'!$A$7:$A$206,0)),""))</f>
        <v/>
      </c>
      <c r="H214" s="143"/>
      <c r="I214" s="143"/>
      <c r="J214" s="6"/>
      <c r="K214" s="6"/>
      <c r="L214" s="6"/>
      <c r="M214" s="6"/>
      <c r="N214" s="6"/>
      <c r="O214" s="6"/>
      <c r="P214" s="6"/>
      <c r="Q214" s="6"/>
      <c r="R214" s="6"/>
      <c r="S214" s="6"/>
      <c r="T214" s="6"/>
      <c r="U214" s="6"/>
      <c r="V214" s="6"/>
      <c r="W214" s="6"/>
      <c r="X214" s="6"/>
      <c r="Y214" s="6"/>
      <c r="Z214" s="6"/>
    </row>
    <row r="215" spans="1:26" ht="18" customHeight="1" x14ac:dyDescent="0.3">
      <c r="A215" s="142"/>
      <c r="B215" s="143"/>
      <c r="C215" s="151" t="str">
        <f>IF(B215="","",IFERROR(INDEX('12 P6 activities'!$B$7:$B$206,MATCH(B215,'12 P6 activities'!$A$7:$A$206,0)),"ID not in P6 list"))</f>
        <v/>
      </c>
      <c r="D215" s="151" t="str">
        <f>IF(B215="","",IFERROR(INDEX('12 P6 activities'!$C$7:$C$206,MATCH(B215,'12 P6 activities'!$A$7:$A$206,0)),"⚠ not in P6 list"))</f>
        <v/>
      </c>
      <c r="E215" s="143"/>
      <c r="F215" s="147"/>
      <c r="G215" s="145" t="str">
        <f>IF(B215="","",IFERROR(INDEX('12 P6 activities'!$E$7:$E$206,MATCH(B215,'12 P6 activities'!$A$7:$A$206,0)),""))</f>
        <v/>
      </c>
      <c r="H215" s="143"/>
      <c r="I215" s="143"/>
      <c r="J215" s="6"/>
      <c r="K215" s="6"/>
      <c r="L215" s="6"/>
      <c r="M215" s="6"/>
      <c r="N215" s="6"/>
      <c r="O215" s="6"/>
      <c r="P215" s="6"/>
      <c r="Q215" s="6"/>
      <c r="R215" s="6"/>
      <c r="S215" s="6"/>
      <c r="T215" s="6"/>
      <c r="U215" s="6"/>
      <c r="V215" s="6"/>
      <c r="W215" s="6"/>
      <c r="X215" s="6"/>
      <c r="Y215" s="6"/>
      <c r="Z215" s="6"/>
    </row>
    <row r="216" spans="1:26" ht="18" customHeight="1" x14ac:dyDescent="0.3">
      <c r="A216" s="142"/>
      <c r="B216" s="143"/>
      <c r="C216" s="151" t="str">
        <f>IF(B216="","",IFERROR(INDEX('12 P6 activities'!$B$7:$B$206,MATCH(B216,'12 P6 activities'!$A$7:$A$206,0)),"ID not in P6 list"))</f>
        <v/>
      </c>
      <c r="D216" s="151" t="str">
        <f>IF(B216="","",IFERROR(INDEX('12 P6 activities'!$C$7:$C$206,MATCH(B216,'12 P6 activities'!$A$7:$A$206,0)),"⚠ not in P6 list"))</f>
        <v/>
      </c>
      <c r="E216" s="143"/>
      <c r="F216" s="147"/>
      <c r="G216" s="145" t="str">
        <f>IF(B216="","",IFERROR(INDEX('12 P6 activities'!$E$7:$E$206,MATCH(B216,'12 P6 activities'!$A$7:$A$206,0)),""))</f>
        <v/>
      </c>
      <c r="H216" s="143"/>
      <c r="I216" s="143"/>
      <c r="J216" s="6"/>
      <c r="K216" s="6"/>
      <c r="L216" s="6"/>
      <c r="M216" s="6"/>
      <c r="N216" s="6"/>
      <c r="O216" s="6"/>
      <c r="P216" s="6"/>
      <c r="Q216" s="6"/>
      <c r="R216" s="6"/>
      <c r="S216" s="6"/>
      <c r="T216" s="6"/>
      <c r="U216" s="6"/>
      <c r="V216" s="6"/>
      <c r="W216" s="6"/>
      <c r="X216" s="6"/>
      <c r="Y216" s="6"/>
      <c r="Z216" s="6"/>
    </row>
    <row r="217" spans="1:26" ht="18" customHeight="1" x14ac:dyDescent="0.3">
      <c r="A217" s="142"/>
      <c r="B217" s="143"/>
      <c r="C217" s="151" t="str">
        <f>IF(B217="","",IFERROR(INDEX('12 P6 activities'!$B$7:$B$206,MATCH(B217,'12 P6 activities'!$A$7:$A$206,0)),"ID not in P6 list"))</f>
        <v/>
      </c>
      <c r="D217" s="151" t="str">
        <f>IF(B217="","",IFERROR(INDEX('12 P6 activities'!$C$7:$C$206,MATCH(B217,'12 P6 activities'!$A$7:$A$206,0)),"⚠ not in P6 list"))</f>
        <v/>
      </c>
      <c r="E217" s="143"/>
      <c r="F217" s="147"/>
      <c r="G217" s="145" t="str">
        <f>IF(B217="","",IFERROR(INDEX('12 P6 activities'!$E$7:$E$206,MATCH(B217,'12 P6 activities'!$A$7:$A$206,0)),""))</f>
        <v/>
      </c>
      <c r="H217" s="143"/>
      <c r="I217" s="143"/>
      <c r="J217" s="6"/>
      <c r="K217" s="6"/>
      <c r="L217" s="6"/>
      <c r="M217" s="6"/>
      <c r="N217" s="6"/>
      <c r="O217" s="6"/>
      <c r="P217" s="6"/>
      <c r="Q217" s="6"/>
      <c r="R217" s="6"/>
      <c r="S217" s="6"/>
      <c r="T217" s="6"/>
      <c r="U217" s="6"/>
      <c r="V217" s="6"/>
      <c r="W217" s="6"/>
      <c r="X217" s="6"/>
      <c r="Y217" s="6"/>
      <c r="Z217" s="6"/>
    </row>
    <row r="218" spans="1:26" ht="18" customHeight="1" x14ac:dyDescent="0.3">
      <c r="A218" s="142"/>
      <c r="B218" s="143"/>
      <c r="C218" s="151" t="str">
        <f>IF(B218="","",IFERROR(INDEX('12 P6 activities'!$B$7:$B$206,MATCH(B218,'12 P6 activities'!$A$7:$A$206,0)),"ID not in P6 list"))</f>
        <v/>
      </c>
      <c r="D218" s="151" t="str">
        <f>IF(B218="","",IFERROR(INDEX('12 P6 activities'!$C$7:$C$206,MATCH(B218,'12 P6 activities'!$A$7:$A$206,0)),"⚠ not in P6 list"))</f>
        <v/>
      </c>
      <c r="E218" s="143"/>
      <c r="F218" s="147"/>
      <c r="G218" s="145" t="str">
        <f>IF(B218="","",IFERROR(INDEX('12 P6 activities'!$E$7:$E$206,MATCH(B218,'12 P6 activities'!$A$7:$A$206,0)),""))</f>
        <v/>
      </c>
      <c r="H218" s="143"/>
      <c r="I218" s="143"/>
      <c r="J218" s="6"/>
      <c r="K218" s="6"/>
      <c r="L218" s="6"/>
      <c r="M218" s="6"/>
      <c r="N218" s="6"/>
      <c r="O218" s="6"/>
      <c r="P218" s="6"/>
      <c r="Q218" s="6"/>
      <c r="R218" s="6"/>
      <c r="S218" s="6"/>
      <c r="T218" s="6"/>
      <c r="U218" s="6"/>
      <c r="V218" s="6"/>
      <c r="W218" s="6"/>
      <c r="X218" s="6"/>
      <c r="Y218" s="6"/>
      <c r="Z218" s="6"/>
    </row>
    <row r="219" spans="1:26" ht="18" customHeight="1" x14ac:dyDescent="0.3">
      <c r="A219" s="142"/>
      <c r="B219" s="143"/>
      <c r="C219" s="151" t="str">
        <f>IF(B219="","",IFERROR(INDEX('12 P6 activities'!$B$7:$B$206,MATCH(B219,'12 P6 activities'!$A$7:$A$206,0)),"ID not in P6 list"))</f>
        <v/>
      </c>
      <c r="D219" s="151" t="str">
        <f>IF(B219="","",IFERROR(INDEX('12 P6 activities'!$C$7:$C$206,MATCH(B219,'12 P6 activities'!$A$7:$A$206,0)),"⚠ not in P6 list"))</f>
        <v/>
      </c>
      <c r="E219" s="143"/>
      <c r="F219" s="147"/>
      <c r="G219" s="145" t="str">
        <f>IF(B219="","",IFERROR(INDEX('12 P6 activities'!$E$7:$E$206,MATCH(B219,'12 P6 activities'!$A$7:$A$206,0)),""))</f>
        <v/>
      </c>
      <c r="H219" s="143"/>
      <c r="I219" s="143"/>
      <c r="J219" s="6"/>
      <c r="K219" s="6"/>
      <c r="L219" s="6"/>
      <c r="M219" s="6"/>
      <c r="N219" s="6"/>
      <c r="O219" s="6"/>
      <c r="P219" s="6"/>
      <c r="Q219" s="6"/>
      <c r="R219" s="6"/>
      <c r="S219" s="6"/>
      <c r="T219" s="6"/>
      <c r="U219" s="6"/>
      <c r="V219" s="6"/>
      <c r="W219" s="6"/>
      <c r="X219" s="6"/>
      <c r="Y219" s="6"/>
      <c r="Z219" s="6"/>
    </row>
    <row r="220" spans="1:26" ht="18" customHeight="1" x14ac:dyDescent="0.3">
      <c r="A220" s="142"/>
      <c r="B220" s="143"/>
      <c r="C220" s="151" t="str">
        <f>IF(B220="","",IFERROR(INDEX('12 P6 activities'!$B$7:$B$206,MATCH(B220,'12 P6 activities'!$A$7:$A$206,0)),"ID not in P6 list"))</f>
        <v/>
      </c>
      <c r="D220" s="151" t="str">
        <f>IF(B220="","",IFERROR(INDEX('12 P6 activities'!$C$7:$C$206,MATCH(B220,'12 P6 activities'!$A$7:$A$206,0)),"⚠ not in P6 list"))</f>
        <v/>
      </c>
      <c r="E220" s="143"/>
      <c r="F220" s="147"/>
      <c r="G220" s="145" t="str">
        <f>IF(B220="","",IFERROR(INDEX('12 P6 activities'!$E$7:$E$206,MATCH(B220,'12 P6 activities'!$A$7:$A$206,0)),""))</f>
        <v/>
      </c>
      <c r="H220" s="143"/>
      <c r="I220" s="143"/>
      <c r="J220" s="6"/>
      <c r="K220" s="6"/>
      <c r="L220" s="6"/>
      <c r="M220" s="6"/>
      <c r="N220" s="6"/>
      <c r="O220" s="6"/>
      <c r="P220" s="6"/>
      <c r="Q220" s="6"/>
      <c r="R220" s="6"/>
      <c r="S220" s="6"/>
      <c r="T220" s="6"/>
      <c r="U220" s="6"/>
      <c r="V220" s="6"/>
      <c r="W220" s="6"/>
      <c r="X220" s="6"/>
      <c r="Y220" s="6"/>
      <c r="Z220" s="6"/>
    </row>
    <row r="221" spans="1:26" ht="18" customHeight="1" x14ac:dyDescent="0.3">
      <c r="A221" s="142"/>
      <c r="B221" s="143"/>
      <c r="C221" s="151" t="str">
        <f>IF(B221="","",IFERROR(INDEX('12 P6 activities'!$B$7:$B$206,MATCH(B221,'12 P6 activities'!$A$7:$A$206,0)),"ID not in P6 list"))</f>
        <v/>
      </c>
      <c r="D221" s="151" t="str">
        <f>IF(B221="","",IFERROR(INDEX('12 P6 activities'!$C$7:$C$206,MATCH(B221,'12 P6 activities'!$A$7:$A$206,0)),"⚠ not in P6 list"))</f>
        <v/>
      </c>
      <c r="E221" s="143"/>
      <c r="F221" s="147"/>
      <c r="G221" s="145" t="str">
        <f>IF(B221="","",IFERROR(INDEX('12 P6 activities'!$E$7:$E$206,MATCH(B221,'12 P6 activities'!$A$7:$A$206,0)),""))</f>
        <v/>
      </c>
      <c r="H221" s="143"/>
      <c r="I221" s="143"/>
      <c r="J221" s="6"/>
      <c r="K221" s="6"/>
      <c r="L221" s="6"/>
      <c r="M221" s="6"/>
      <c r="N221" s="6"/>
      <c r="O221" s="6"/>
      <c r="P221" s="6"/>
      <c r="Q221" s="6"/>
      <c r="R221" s="6"/>
      <c r="S221" s="6"/>
      <c r="T221" s="6"/>
      <c r="U221" s="6"/>
      <c r="V221" s="6"/>
      <c r="W221" s="6"/>
      <c r="X221" s="6"/>
      <c r="Y221" s="6"/>
      <c r="Z221" s="6"/>
    </row>
    <row r="222" spans="1:26" ht="18" customHeight="1" x14ac:dyDescent="0.3">
      <c r="A222" s="142"/>
      <c r="B222" s="143"/>
      <c r="C222" s="151" t="str">
        <f>IF(B222="","",IFERROR(INDEX('12 P6 activities'!$B$7:$B$206,MATCH(B222,'12 P6 activities'!$A$7:$A$206,0)),"ID not in P6 list"))</f>
        <v/>
      </c>
      <c r="D222" s="151" t="str">
        <f>IF(B222="","",IFERROR(INDEX('12 P6 activities'!$C$7:$C$206,MATCH(B222,'12 P6 activities'!$A$7:$A$206,0)),"⚠ not in P6 list"))</f>
        <v/>
      </c>
      <c r="E222" s="143"/>
      <c r="F222" s="147"/>
      <c r="G222" s="145" t="str">
        <f>IF(B222="","",IFERROR(INDEX('12 P6 activities'!$E$7:$E$206,MATCH(B222,'12 P6 activities'!$A$7:$A$206,0)),""))</f>
        <v/>
      </c>
      <c r="H222" s="143"/>
      <c r="I222" s="143"/>
      <c r="J222" s="6"/>
      <c r="K222" s="6"/>
      <c r="L222" s="6"/>
      <c r="M222" s="6"/>
      <c r="N222" s="6"/>
      <c r="O222" s="6"/>
      <c r="P222" s="6"/>
      <c r="Q222" s="6"/>
      <c r="R222" s="6"/>
      <c r="S222" s="6"/>
      <c r="T222" s="6"/>
      <c r="U222" s="6"/>
      <c r="V222" s="6"/>
      <c r="W222" s="6"/>
      <c r="X222" s="6"/>
      <c r="Y222" s="6"/>
      <c r="Z222" s="6"/>
    </row>
    <row r="223" spans="1:26" ht="18" customHeight="1" x14ac:dyDescent="0.3">
      <c r="A223" s="142"/>
      <c r="B223" s="143"/>
      <c r="C223" s="151" t="str">
        <f>IF(B223="","",IFERROR(INDEX('12 P6 activities'!$B$7:$B$206,MATCH(B223,'12 P6 activities'!$A$7:$A$206,0)),"ID not in P6 list"))</f>
        <v/>
      </c>
      <c r="D223" s="151" t="str">
        <f>IF(B223="","",IFERROR(INDEX('12 P6 activities'!$C$7:$C$206,MATCH(B223,'12 P6 activities'!$A$7:$A$206,0)),"⚠ not in P6 list"))</f>
        <v/>
      </c>
      <c r="E223" s="143"/>
      <c r="F223" s="147"/>
      <c r="G223" s="145" t="str">
        <f>IF(B223="","",IFERROR(INDEX('12 P6 activities'!$E$7:$E$206,MATCH(B223,'12 P6 activities'!$A$7:$A$206,0)),""))</f>
        <v/>
      </c>
      <c r="H223" s="143"/>
      <c r="I223" s="143"/>
      <c r="J223" s="6"/>
      <c r="K223" s="6"/>
      <c r="L223" s="6"/>
      <c r="M223" s="6"/>
      <c r="N223" s="6"/>
      <c r="O223" s="6"/>
      <c r="P223" s="6"/>
      <c r="Q223" s="6"/>
      <c r="R223" s="6"/>
      <c r="S223" s="6"/>
      <c r="T223" s="6"/>
      <c r="U223" s="6"/>
      <c r="V223" s="6"/>
      <c r="W223" s="6"/>
      <c r="X223" s="6"/>
      <c r="Y223" s="6"/>
      <c r="Z223" s="6"/>
    </row>
    <row r="224" spans="1:26" ht="18" customHeight="1" x14ac:dyDescent="0.3">
      <c r="A224" s="142"/>
      <c r="B224" s="143"/>
      <c r="C224" s="151" t="str">
        <f>IF(B224="","",IFERROR(INDEX('12 P6 activities'!$B$7:$B$206,MATCH(B224,'12 P6 activities'!$A$7:$A$206,0)),"ID not in P6 list"))</f>
        <v/>
      </c>
      <c r="D224" s="151" t="str">
        <f>IF(B224="","",IFERROR(INDEX('12 P6 activities'!$C$7:$C$206,MATCH(B224,'12 P6 activities'!$A$7:$A$206,0)),"⚠ not in P6 list"))</f>
        <v/>
      </c>
      <c r="E224" s="143"/>
      <c r="F224" s="147"/>
      <c r="G224" s="145" t="str">
        <f>IF(B224="","",IFERROR(INDEX('12 P6 activities'!$E$7:$E$206,MATCH(B224,'12 P6 activities'!$A$7:$A$206,0)),""))</f>
        <v/>
      </c>
      <c r="H224" s="143"/>
      <c r="I224" s="143"/>
      <c r="J224" s="6"/>
      <c r="K224" s="6"/>
      <c r="L224" s="6"/>
      <c r="M224" s="6"/>
      <c r="N224" s="6"/>
      <c r="O224" s="6"/>
      <c r="P224" s="6"/>
      <c r="Q224" s="6"/>
      <c r="R224" s="6"/>
      <c r="S224" s="6"/>
      <c r="T224" s="6"/>
      <c r="U224" s="6"/>
      <c r="V224" s="6"/>
      <c r="W224" s="6"/>
      <c r="X224" s="6"/>
      <c r="Y224" s="6"/>
      <c r="Z224" s="6"/>
    </row>
    <row r="225" spans="1:26" ht="18" customHeight="1" x14ac:dyDescent="0.3">
      <c r="A225" s="142"/>
      <c r="B225" s="143"/>
      <c r="C225" s="151" t="str">
        <f>IF(B225="","",IFERROR(INDEX('12 P6 activities'!$B$7:$B$206,MATCH(B225,'12 P6 activities'!$A$7:$A$206,0)),"ID not in P6 list"))</f>
        <v/>
      </c>
      <c r="D225" s="151" t="str">
        <f>IF(B225="","",IFERROR(INDEX('12 P6 activities'!$C$7:$C$206,MATCH(B225,'12 P6 activities'!$A$7:$A$206,0)),"⚠ not in P6 list"))</f>
        <v/>
      </c>
      <c r="E225" s="143"/>
      <c r="F225" s="147"/>
      <c r="G225" s="145" t="str">
        <f>IF(B225="","",IFERROR(INDEX('12 P6 activities'!$E$7:$E$206,MATCH(B225,'12 P6 activities'!$A$7:$A$206,0)),""))</f>
        <v/>
      </c>
      <c r="H225" s="143"/>
      <c r="I225" s="143"/>
      <c r="J225" s="6"/>
      <c r="K225" s="6"/>
      <c r="L225" s="6"/>
      <c r="M225" s="6"/>
      <c r="N225" s="6"/>
      <c r="O225" s="6"/>
      <c r="P225" s="6"/>
      <c r="Q225" s="6"/>
      <c r="R225" s="6"/>
      <c r="S225" s="6"/>
      <c r="T225" s="6"/>
      <c r="U225" s="6"/>
      <c r="V225" s="6"/>
      <c r="W225" s="6"/>
      <c r="X225" s="6"/>
      <c r="Y225" s="6"/>
      <c r="Z225" s="6"/>
    </row>
    <row r="226" spans="1:26" ht="18" customHeight="1" x14ac:dyDescent="0.3">
      <c r="A226" s="142"/>
      <c r="B226" s="143"/>
      <c r="C226" s="151" t="str">
        <f>IF(B226="","",IFERROR(INDEX('12 P6 activities'!$B$7:$B$206,MATCH(B226,'12 P6 activities'!$A$7:$A$206,0)),"ID not in P6 list"))</f>
        <v/>
      </c>
      <c r="D226" s="151" t="str">
        <f>IF(B226="","",IFERROR(INDEX('12 P6 activities'!$C$7:$C$206,MATCH(B226,'12 P6 activities'!$A$7:$A$206,0)),"⚠ not in P6 list"))</f>
        <v/>
      </c>
      <c r="E226" s="143"/>
      <c r="F226" s="147"/>
      <c r="G226" s="145" t="str">
        <f>IF(B226="","",IFERROR(INDEX('12 P6 activities'!$E$7:$E$206,MATCH(B226,'12 P6 activities'!$A$7:$A$206,0)),""))</f>
        <v/>
      </c>
      <c r="H226" s="143"/>
      <c r="I226" s="143"/>
      <c r="J226" s="6"/>
      <c r="K226" s="6"/>
      <c r="L226" s="6"/>
      <c r="M226" s="6"/>
      <c r="N226" s="6"/>
      <c r="O226" s="6"/>
      <c r="P226" s="6"/>
      <c r="Q226" s="6"/>
      <c r="R226" s="6"/>
      <c r="S226" s="6"/>
      <c r="T226" s="6"/>
      <c r="U226" s="6"/>
      <c r="V226" s="6"/>
      <c r="W226" s="6"/>
      <c r="X226" s="6"/>
      <c r="Y226" s="6"/>
      <c r="Z226" s="6"/>
    </row>
    <row r="227" spans="1:26" ht="18" customHeight="1" x14ac:dyDescent="0.3">
      <c r="A227" s="142"/>
      <c r="B227" s="143"/>
      <c r="C227" s="151" t="str">
        <f>IF(B227="","",IFERROR(INDEX('12 P6 activities'!$B$7:$B$206,MATCH(B227,'12 P6 activities'!$A$7:$A$206,0)),"ID not in P6 list"))</f>
        <v/>
      </c>
      <c r="D227" s="151" t="str">
        <f>IF(B227="","",IFERROR(INDEX('12 P6 activities'!$C$7:$C$206,MATCH(B227,'12 P6 activities'!$A$7:$A$206,0)),"⚠ not in P6 list"))</f>
        <v/>
      </c>
      <c r="E227" s="143"/>
      <c r="F227" s="147"/>
      <c r="G227" s="145" t="str">
        <f>IF(B227="","",IFERROR(INDEX('12 P6 activities'!$E$7:$E$206,MATCH(B227,'12 P6 activities'!$A$7:$A$206,0)),""))</f>
        <v/>
      </c>
      <c r="H227" s="143"/>
      <c r="I227" s="143"/>
      <c r="J227" s="6"/>
      <c r="K227" s="6"/>
      <c r="L227" s="6"/>
      <c r="M227" s="6"/>
      <c r="N227" s="6"/>
      <c r="O227" s="6"/>
      <c r="P227" s="6"/>
      <c r="Q227" s="6"/>
      <c r="R227" s="6"/>
      <c r="S227" s="6"/>
      <c r="T227" s="6"/>
      <c r="U227" s="6"/>
      <c r="V227" s="6"/>
      <c r="W227" s="6"/>
      <c r="X227" s="6"/>
      <c r="Y227" s="6"/>
      <c r="Z227" s="6"/>
    </row>
    <row r="228" spans="1:26" ht="18" customHeight="1" x14ac:dyDescent="0.3">
      <c r="A228" s="142"/>
      <c r="B228" s="143"/>
      <c r="C228" s="151" t="str">
        <f>IF(B228="","",IFERROR(INDEX('12 P6 activities'!$B$7:$B$206,MATCH(B228,'12 P6 activities'!$A$7:$A$206,0)),"ID not in P6 list"))</f>
        <v/>
      </c>
      <c r="D228" s="151" t="str">
        <f>IF(B228="","",IFERROR(INDEX('12 P6 activities'!$C$7:$C$206,MATCH(B228,'12 P6 activities'!$A$7:$A$206,0)),"⚠ not in P6 list"))</f>
        <v/>
      </c>
      <c r="E228" s="143"/>
      <c r="F228" s="147"/>
      <c r="G228" s="145" t="str">
        <f>IF(B228="","",IFERROR(INDEX('12 P6 activities'!$E$7:$E$206,MATCH(B228,'12 P6 activities'!$A$7:$A$206,0)),""))</f>
        <v/>
      </c>
      <c r="H228" s="143"/>
      <c r="I228" s="143"/>
      <c r="J228" s="6"/>
      <c r="K228" s="6"/>
      <c r="L228" s="6"/>
      <c r="M228" s="6"/>
      <c r="N228" s="6"/>
      <c r="O228" s="6"/>
      <c r="P228" s="6"/>
      <c r="Q228" s="6"/>
      <c r="R228" s="6"/>
      <c r="S228" s="6"/>
      <c r="T228" s="6"/>
      <c r="U228" s="6"/>
      <c r="V228" s="6"/>
      <c r="W228" s="6"/>
      <c r="X228" s="6"/>
      <c r="Y228" s="6"/>
      <c r="Z228" s="6"/>
    </row>
    <row r="229" spans="1:26" ht="18" customHeight="1" x14ac:dyDescent="0.3">
      <c r="A229" s="142"/>
      <c r="B229" s="143"/>
      <c r="C229" s="151" t="str">
        <f>IF(B229="","",IFERROR(INDEX('12 P6 activities'!$B$7:$B$206,MATCH(B229,'12 P6 activities'!$A$7:$A$206,0)),"ID not in P6 list"))</f>
        <v/>
      </c>
      <c r="D229" s="151" t="str">
        <f>IF(B229="","",IFERROR(INDEX('12 P6 activities'!$C$7:$C$206,MATCH(B229,'12 P6 activities'!$A$7:$A$206,0)),"⚠ not in P6 list"))</f>
        <v/>
      </c>
      <c r="E229" s="143"/>
      <c r="F229" s="147"/>
      <c r="G229" s="145" t="str">
        <f>IF(B229="","",IFERROR(INDEX('12 P6 activities'!$E$7:$E$206,MATCH(B229,'12 P6 activities'!$A$7:$A$206,0)),""))</f>
        <v/>
      </c>
      <c r="H229" s="143"/>
      <c r="I229" s="143"/>
      <c r="J229" s="6"/>
      <c r="K229" s="6"/>
      <c r="L229" s="6"/>
      <c r="M229" s="6"/>
      <c r="N229" s="6"/>
      <c r="O229" s="6"/>
      <c r="P229" s="6"/>
      <c r="Q229" s="6"/>
      <c r="R229" s="6"/>
      <c r="S229" s="6"/>
      <c r="T229" s="6"/>
      <c r="U229" s="6"/>
      <c r="V229" s="6"/>
      <c r="W229" s="6"/>
      <c r="X229" s="6"/>
      <c r="Y229" s="6"/>
      <c r="Z229" s="6"/>
    </row>
    <row r="230" spans="1:26" ht="18" customHeight="1" x14ac:dyDescent="0.3">
      <c r="A230" s="142"/>
      <c r="B230" s="143"/>
      <c r="C230" s="151" t="str">
        <f>IF(B230="","",IFERROR(INDEX('12 P6 activities'!$B$7:$B$206,MATCH(B230,'12 P6 activities'!$A$7:$A$206,0)),"ID not in P6 list"))</f>
        <v/>
      </c>
      <c r="D230" s="151" t="str">
        <f>IF(B230="","",IFERROR(INDEX('12 P6 activities'!$C$7:$C$206,MATCH(B230,'12 P6 activities'!$A$7:$A$206,0)),"⚠ not in P6 list"))</f>
        <v/>
      </c>
      <c r="E230" s="143"/>
      <c r="F230" s="147"/>
      <c r="G230" s="145" t="str">
        <f>IF(B230="","",IFERROR(INDEX('12 P6 activities'!$E$7:$E$206,MATCH(B230,'12 P6 activities'!$A$7:$A$206,0)),""))</f>
        <v/>
      </c>
      <c r="H230" s="143"/>
      <c r="I230" s="143"/>
      <c r="J230" s="6"/>
      <c r="K230" s="6"/>
      <c r="L230" s="6"/>
      <c r="M230" s="6"/>
      <c r="N230" s="6"/>
      <c r="O230" s="6"/>
      <c r="P230" s="6"/>
      <c r="Q230" s="6"/>
      <c r="R230" s="6"/>
      <c r="S230" s="6"/>
      <c r="T230" s="6"/>
      <c r="U230" s="6"/>
      <c r="V230" s="6"/>
      <c r="W230" s="6"/>
      <c r="X230" s="6"/>
      <c r="Y230" s="6"/>
      <c r="Z230" s="6"/>
    </row>
    <row r="231" spans="1:26" ht="18" customHeight="1" x14ac:dyDescent="0.3">
      <c r="A231" s="142"/>
      <c r="B231" s="143"/>
      <c r="C231" s="151" t="str">
        <f>IF(B231="","",IFERROR(INDEX('12 P6 activities'!$B$7:$B$206,MATCH(B231,'12 P6 activities'!$A$7:$A$206,0)),"ID not in P6 list"))</f>
        <v/>
      </c>
      <c r="D231" s="151" t="str">
        <f>IF(B231="","",IFERROR(INDEX('12 P6 activities'!$C$7:$C$206,MATCH(B231,'12 P6 activities'!$A$7:$A$206,0)),"⚠ not in P6 list"))</f>
        <v/>
      </c>
      <c r="E231" s="143"/>
      <c r="F231" s="147"/>
      <c r="G231" s="145" t="str">
        <f>IF(B231="","",IFERROR(INDEX('12 P6 activities'!$E$7:$E$206,MATCH(B231,'12 P6 activities'!$A$7:$A$206,0)),""))</f>
        <v/>
      </c>
      <c r="H231" s="143"/>
      <c r="I231" s="143"/>
      <c r="J231" s="6"/>
      <c r="K231" s="6"/>
      <c r="L231" s="6"/>
      <c r="M231" s="6"/>
      <c r="N231" s="6"/>
      <c r="O231" s="6"/>
      <c r="P231" s="6"/>
      <c r="Q231" s="6"/>
      <c r="R231" s="6"/>
      <c r="S231" s="6"/>
      <c r="T231" s="6"/>
      <c r="U231" s="6"/>
      <c r="V231" s="6"/>
      <c r="W231" s="6"/>
      <c r="X231" s="6"/>
      <c r="Y231" s="6"/>
      <c r="Z231" s="6"/>
    </row>
    <row r="232" spans="1:26" ht="18" customHeight="1" x14ac:dyDescent="0.3">
      <c r="A232" s="142"/>
      <c r="B232" s="143"/>
      <c r="C232" s="151" t="str">
        <f>IF(B232="","",IFERROR(INDEX('12 P6 activities'!$B$7:$B$206,MATCH(B232,'12 P6 activities'!$A$7:$A$206,0)),"ID not in P6 list"))</f>
        <v/>
      </c>
      <c r="D232" s="151" t="str">
        <f>IF(B232="","",IFERROR(INDEX('12 P6 activities'!$C$7:$C$206,MATCH(B232,'12 P6 activities'!$A$7:$A$206,0)),"⚠ not in P6 list"))</f>
        <v/>
      </c>
      <c r="E232" s="143"/>
      <c r="F232" s="147"/>
      <c r="G232" s="145" t="str">
        <f>IF(B232="","",IFERROR(INDEX('12 P6 activities'!$E$7:$E$206,MATCH(B232,'12 P6 activities'!$A$7:$A$206,0)),""))</f>
        <v/>
      </c>
      <c r="H232" s="143"/>
      <c r="I232" s="143"/>
      <c r="J232" s="6"/>
      <c r="K232" s="6"/>
      <c r="L232" s="6"/>
      <c r="M232" s="6"/>
      <c r="N232" s="6"/>
      <c r="O232" s="6"/>
      <c r="P232" s="6"/>
      <c r="Q232" s="6"/>
      <c r="R232" s="6"/>
      <c r="S232" s="6"/>
      <c r="T232" s="6"/>
      <c r="U232" s="6"/>
      <c r="V232" s="6"/>
      <c r="W232" s="6"/>
      <c r="X232" s="6"/>
      <c r="Y232" s="6"/>
      <c r="Z232" s="6"/>
    </row>
    <row r="233" spans="1:26" ht="18" customHeight="1" x14ac:dyDescent="0.3">
      <c r="A233" s="142"/>
      <c r="B233" s="143"/>
      <c r="C233" s="151" t="str">
        <f>IF(B233="","",IFERROR(INDEX('12 P6 activities'!$B$7:$B$206,MATCH(B233,'12 P6 activities'!$A$7:$A$206,0)),"ID not in P6 list"))</f>
        <v/>
      </c>
      <c r="D233" s="151" t="str">
        <f>IF(B233="","",IFERROR(INDEX('12 P6 activities'!$C$7:$C$206,MATCH(B233,'12 P6 activities'!$A$7:$A$206,0)),"⚠ not in P6 list"))</f>
        <v/>
      </c>
      <c r="E233" s="143"/>
      <c r="F233" s="147"/>
      <c r="G233" s="145" t="str">
        <f>IF(B233="","",IFERROR(INDEX('12 P6 activities'!$E$7:$E$206,MATCH(B233,'12 P6 activities'!$A$7:$A$206,0)),""))</f>
        <v/>
      </c>
      <c r="H233" s="143"/>
      <c r="I233" s="143"/>
      <c r="J233" s="6"/>
      <c r="K233" s="6"/>
      <c r="L233" s="6"/>
      <c r="M233" s="6"/>
      <c r="N233" s="6"/>
      <c r="O233" s="6"/>
      <c r="P233" s="6"/>
      <c r="Q233" s="6"/>
      <c r="R233" s="6"/>
      <c r="S233" s="6"/>
      <c r="T233" s="6"/>
      <c r="U233" s="6"/>
      <c r="V233" s="6"/>
      <c r="W233" s="6"/>
      <c r="X233" s="6"/>
      <c r="Y233" s="6"/>
      <c r="Z233" s="6"/>
    </row>
    <row r="234" spans="1:26" ht="18" customHeight="1" x14ac:dyDescent="0.3">
      <c r="A234" s="142"/>
      <c r="B234" s="143"/>
      <c r="C234" s="151" t="str">
        <f>IF(B234="","",IFERROR(INDEX('12 P6 activities'!$B$7:$B$206,MATCH(B234,'12 P6 activities'!$A$7:$A$206,0)),"ID not in P6 list"))</f>
        <v/>
      </c>
      <c r="D234" s="151" t="str">
        <f>IF(B234="","",IFERROR(INDEX('12 P6 activities'!$C$7:$C$206,MATCH(B234,'12 P6 activities'!$A$7:$A$206,0)),"⚠ not in P6 list"))</f>
        <v/>
      </c>
      <c r="E234" s="143"/>
      <c r="F234" s="147"/>
      <c r="G234" s="145" t="str">
        <f>IF(B234="","",IFERROR(INDEX('12 P6 activities'!$E$7:$E$206,MATCH(B234,'12 P6 activities'!$A$7:$A$206,0)),""))</f>
        <v/>
      </c>
      <c r="H234" s="143"/>
      <c r="I234" s="143"/>
      <c r="J234" s="6"/>
      <c r="K234" s="6"/>
      <c r="L234" s="6"/>
      <c r="M234" s="6"/>
      <c r="N234" s="6"/>
      <c r="O234" s="6"/>
      <c r="P234" s="6"/>
      <c r="Q234" s="6"/>
      <c r="R234" s="6"/>
      <c r="S234" s="6"/>
      <c r="T234" s="6"/>
      <c r="U234" s="6"/>
      <c r="V234" s="6"/>
      <c r="W234" s="6"/>
      <c r="X234" s="6"/>
      <c r="Y234" s="6"/>
      <c r="Z234" s="6"/>
    </row>
    <row r="235" spans="1:26" ht="18" customHeight="1" x14ac:dyDescent="0.3">
      <c r="A235" s="142"/>
      <c r="B235" s="143"/>
      <c r="C235" s="151" t="str">
        <f>IF(B235="","",IFERROR(INDEX('12 P6 activities'!$B$7:$B$206,MATCH(B235,'12 P6 activities'!$A$7:$A$206,0)),"ID not in P6 list"))</f>
        <v/>
      </c>
      <c r="D235" s="151" t="str">
        <f>IF(B235="","",IFERROR(INDEX('12 P6 activities'!$C$7:$C$206,MATCH(B235,'12 P6 activities'!$A$7:$A$206,0)),"⚠ not in P6 list"))</f>
        <v/>
      </c>
      <c r="E235" s="143"/>
      <c r="F235" s="147"/>
      <c r="G235" s="145" t="str">
        <f>IF(B235="","",IFERROR(INDEX('12 P6 activities'!$E$7:$E$206,MATCH(B235,'12 P6 activities'!$A$7:$A$206,0)),""))</f>
        <v/>
      </c>
      <c r="H235" s="143"/>
      <c r="I235" s="143"/>
      <c r="J235" s="6"/>
      <c r="K235" s="6"/>
      <c r="L235" s="6"/>
      <c r="M235" s="6"/>
      <c r="N235" s="6"/>
      <c r="O235" s="6"/>
      <c r="P235" s="6"/>
      <c r="Q235" s="6"/>
      <c r="R235" s="6"/>
      <c r="S235" s="6"/>
      <c r="T235" s="6"/>
      <c r="U235" s="6"/>
      <c r="V235" s="6"/>
      <c r="W235" s="6"/>
      <c r="X235" s="6"/>
      <c r="Y235" s="6"/>
      <c r="Z235" s="6"/>
    </row>
    <row r="236" spans="1:26" ht="18" customHeight="1" x14ac:dyDescent="0.3">
      <c r="A236" s="142"/>
      <c r="B236" s="143"/>
      <c r="C236" s="151" t="str">
        <f>IF(B236="","",IFERROR(INDEX('12 P6 activities'!$B$7:$B$206,MATCH(B236,'12 P6 activities'!$A$7:$A$206,0)),"ID not in P6 list"))</f>
        <v/>
      </c>
      <c r="D236" s="151" t="str">
        <f>IF(B236="","",IFERROR(INDEX('12 P6 activities'!$C$7:$C$206,MATCH(B236,'12 P6 activities'!$A$7:$A$206,0)),"⚠ not in P6 list"))</f>
        <v/>
      </c>
      <c r="E236" s="143"/>
      <c r="F236" s="147"/>
      <c r="G236" s="145" t="str">
        <f>IF(B236="","",IFERROR(INDEX('12 P6 activities'!$E$7:$E$206,MATCH(B236,'12 P6 activities'!$A$7:$A$206,0)),""))</f>
        <v/>
      </c>
      <c r="H236" s="143"/>
      <c r="I236" s="143"/>
      <c r="J236" s="6"/>
      <c r="K236" s="6"/>
      <c r="L236" s="6"/>
      <c r="M236" s="6"/>
      <c r="N236" s="6"/>
      <c r="O236" s="6"/>
      <c r="P236" s="6"/>
      <c r="Q236" s="6"/>
      <c r="R236" s="6"/>
      <c r="S236" s="6"/>
      <c r="T236" s="6"/>
      <c r="U236" s="6"/>
      <c r="V236" s="6"/>
      <c r="W236" s="6"/>
      <c r="X236" s="6"/>
      <c r="Y236" s="6"/>
      <c r="Z236" s="6"/>
    </row>
    <row r="237" spans="1:26" ht="18" customHeight="1" x14ac:dyDescent="0.3">
      <c r="A237" s="142"/>
      <c r="B237" s="143"/>
      <c r="C237" s="151" t="str">
        <f>IF(B237="","",IFERROR(INDEX('12 P6 activities'!$B$7:$B$206,MATCH(B237,'12 P6 activities'!$A$7:$A$206,0)),"ID not in P6 list"))</f>
        <v/>
      </c>
      <c r="D237" s="151" t="str">
        <f>IF(B237="","",IFERROR(INDEX('12 P6 activities'!$C$7:$C$206,MATCH(B237,'12 P6 activities'!$A$7:$A$206,0)),"⚠ not in P6 list"))</f>
        <v/>
      </c>
      <c r="E237" s="143"/>
      <c r="F237" s="147"/>
      <c r="G237" s="145" t="str">
        <f>IF(B237="","",IFERROR(INDEX('12 P6 activities'!$E$7:$E$206,MATCH(B237,'12 P6 activities'!$A$7:$A$206,0)),""))</f>
        <v/>
      </c>
      <c r="H237" s="143"/>
      <c r="I237" s="143"/>
      <c r="J237" s="6"/>
      <c r="K237" s="6"/>
      <c r="L237" s="6"/>
      <c r="M237" s="6"/>
      <c r="N237" s="6"/>
      <c r="O237" s="6"/>
      <c r="P237" s="6"/>
      <c r="Q237" s="6"/>
      <c r="R237" s="6"/>
      <c r="S237" s="6"/>
      <c r="T237" s="6"/>
      <c r="U237" s="6"/>
      <c r="V237" s="6"/>
      <c r="W237" s="6"/>
      <c r="X237" s="6"/>
      <c r="Y237" s="6"/>
      <c r="Z237" s="6"/>
    </row>
    <row r="238" spans="1:26" ht="18" customHeight="1" x14ac:dyDescent="0.3">
      <c r="A238" s="142"/>
      <c r="B238" s="143"/>
      <c r="C238" s="151" t="str">
        <f>IF(B238="","",IFERROR(INDEX('12 P6 activities'!$B$7:$B$206,MATCH(B238,'12 P6 activities'!$A$7:$A$206,0)),"ID not in P6 list"))</f>
        <v/>
      </c>
      <c r="D238" s="151" t="str">
        <f>IF(B238="","",IFERROR(INDEX('12 P6 activities'!$C$7:$C$206,MATCH(B238,'12 P6 activities'!$A$7:$A$206,0)),"⚠ not in P6 list"))</f>
        <v/>
      </c>
      <c r="E238" s="143"/>
      <c r="F238" s="147"/>
      <c r="G238" s="145" t="str">
        <f>IF(B238="","",IFERROR(INDEX('12 P6 activities'!$E$7:$E$206,MATCH(B238,'12 P6 activities'!$A$7:$A$206,0)),""))</f>
        <v/>
      </c>
      <c r="H238" s="143"/>
      <c r="I238" s="143"/>
      <c r="J238" s="6"/>
      <c r="K238" s="6"/>
      <c r="L238" s="6"/>
      <c r="M238" s="6"/>
      <c r="N238" s="6"/>
      <c r="O238" s="6"/>
      <c r="P238" s="6"/>
      <c r="Q238" s="6"/>
      <c r="R238" s="6"/>
      <c r="S238" s="6"/>
      <c r="T238" s="6"/>
      <c r="U238" s="6"/>
      <c r="V238" s="6"/>
      <c r="W238" s="6"/>
      <c r="X238" s="6"/>
      <c r="Y238" s="6"/>
      <c r="Z238" s="6"/>
    </row>
    <row r="239" spans="1:26" ht="18" customHeight="1" x14ac:dyDescent="0.3">
      <c r="A239" s="142"/>
      <c r="B239" s="143"/>
      <c r="C239" s="151" t="str">
        <f>IF(B239="","",IFERROR(INDEX('12 P6 activities'!$B$7:$B$206,MATCH(B239,'12 P6 activities'!$A$7:$A$206,0)),"ID not in P6 list"))</f>
        <v/>
      </c>
      <c r="D239" s="151" t="str">
        <f>IF(B239="","",IFERROR(INDEX('12 P6 activities'!$C$7:$C$206,MATCH(B239,'12 P6 activities'!$A$7:$A$206,0)),"⚠ not in P6 list"))</f>
        <v/>
      </c>
      <c r="E239" s="143"/>
      <c r="F239" s="147"/>
      <c r="G239" s="145" t="str">
        <f>IF(B239="","",IFERROR(INDEX('12 P6 activities'!$E$7:$E$206,MATCH(B239,'12 P6 activities'!$A$7:$A$206,0)),""))</f>
        <v/>
      </c>
      <c r="H239" s="143"/>
      <c r="I239" s="143"/>
      <c r="J239" s="6"/>
      <c r="K239" s="6"/>
      <c r="L239" s="6"/>
      <c r="M239" s="6"/>
      <c r="N239" s="6"/>
      <c r="O239" s="6"/>
      <c r="P239" s="6"/>
      <c r="Q239" s="6"/>
      <c r="R239" s="6"/>
      <c r="S239" s="6"/>
      <c r="T239" s="6"/>
      <c r="U239" s="6"/>
      <c r="V239" s="6"/>
      <c r="W239" s="6"/>
      <c r="X239" s="6"/>
      <c r="Y239" s="6"/>
      <c r="Z239" s="6"/>
    </row>
    <row r="240" spans="1:26" ht="18" customHeight="1" x14ac:dyDescent="0.3">
      <c r="A240" s="142"/>
      <c r="B240" s="143"/>
      <c r="C240" s="151" t="str">
        <f>IF(B240="","",IFERROR(INDEX('12 P6 activities'!$B$7:$B$206,MATCH(B240,'12 P6 activities'!$A$7:$A$206,0)),"ID not in P6 list"))</f>
        <v/>
      </c>
      <c r="D240" s="151" t="str">
        <f>IF(B240="","",IFERROR(INDEX('12 P6 activities'!$C$7:$C$206,MATCH(B240,'12 P6 activities'!$A$7:$A$206,0)),"⚠ not in P6 list"))</f>
        <v/>
      </c>
      <c r="E240" s="143"/>
      <c r="F240" s="147"/>
      <c r="G240" s="145" t="str">
        <f>IF(B240="","",IFERROR(INDEX('12 P6 activities'!$E$7:$E$206,MATCH(B240,'12 P6 activities'!$A$7:$A$206,0)),""))</f>
        <v/>
      </c>
      <c r="H240" s="143"/>
      <c r="I240" s="143"/>
      <c r="J240" s="6"/>
      <c r="K240" s="6"/>
      <c r="L240" s="6"/>
      <c r="M240" s="6"/>
      <c r="N240" s="6"/>
      <c r="O240" s="6"/>
      <c r="P240" s="6"/>
      <c r="Q240" s="6"/>
      <c r="R240" s="6"/>
      <c r="S240" s="6"/>
      <c r="T240" s="6"/>
      <c r="U240" s="6"/>
      <c r="V240" s="6"/>
      <c r="W240" s="6"/>
      <c r="X240" s="6"/>
      <c r="Y240" s="6"/>
      <c r="Z240" s="6"/>
    </row>
    <row r="241" spans="1:26" ht="18" customHeight="1" x14ac:dyDescent="0.3">
      <c r="A241" s="142"/>
      <c r="B241" s="143"/>
      <c r="C241" s="151" t="str">
        <f>IF(B241="","",IFERROR(INDEX('12 P6 activities'!$B$7:$B$206,MATCH(B241,'12 P6 activities'!$A$7:$A$206,0)),"ID not in P6 list"))</f>
        <v/>
      </c>
      <c r="D241" s="151" t="str">
        <f>IF(B241="","",IFERROR(INDEX('12 P6 activities'!$C$7:$C$206,MATCH(B241,'12 P6 activities'!$A$7:$A$206,0)),"⚠ not in P6 list"))</f>
        <v/>
      </c>
      <c r="E241" s="143"/>
      <c r="F241" s="147"/>
      <c r="G241" s="145" t="str">
        <f>IF(B241="","",IFERROR(INDEX('12 P6 activities'!$E$7:$E$206,MATCH(B241,'12 P6 activities'!$A$7:$A$206,0)),""))</f>
        <v/>
      </c>
      <c r="H241" s="143"/>
      <c r="I241" s="143"/>
      <c r="J241" s="6"/>
      <c r="K241" s="6"/>
      <c r="L241" s="6"/>
      <c r="M241" s="6"/>
      <c r="N241" s="6"/>
      <c r="O241" s="6"/>
      <c r="P241" s="6"/>
      <c r="Q241" s="6"/>
      <c r="R241" s="6"/>
      <c r="S241" s="6"/>
      <c r="T241" s="6"/>
      <c r="U241" s="6"/>
      <c r="V241" s="6"/>
      <c r="W241" s="6"/>
      <c r="X241" s="6"/>
      <c r="Y241" s="6"/>
      <c r="Z241" s="6"/>
    </row>
    <row r="242" spans="1:26" ht="18" customHeight="1" x14ac:dyDescent="0.3">
      <c r="A242" s="142"/>
      <c r="B242" s="143"/>
      <c r="C242" s="151" t="str">
        <f>IF(B242="","",IFERROR(INDEX('12 P6 activities'!$B$7:$B$206,MATCH(B242,'12 P6 activities'!$A$7:$A$206,0)),"ID not in P6 list"))</f>
        <v/>
      </c>
      <c r="D242" s="151" t="str">
        <f>IF(B242="","",IFERROR(INDEX('12 P6 activities'!$C$7:$C$206,MATCH(B242,'12 P6 activities'!$A$7:$A$206,0)),"⚠ not in P6 list"))</f>
        <v/>
      </c>
      <c r="E242" s="143"/>
      <c r="F242" s="147"/>
      <c r="G242" s="145" t="str">
        <f>IF(B242="","",IFERROR(INDEX('12 P6 activities'!$E$7:$E$206,MATCH(B242,'12 P6 activities'!$A$7:$A$206,0)),""))</f>
        <v/>
      </c>
      <c r="H242" s="143"/>
      <c r="I242" s="143"/>
      <c r="J242" s="6"/>
      <c r="K242" s="6"/>
      <c r="L242" s="6"/>
      <c r="M242" s="6"/>
      <c r="N242" s="6"/>
      <c r="O242" s="6"/>
      <c r="P242" s="6"/>
      <c r="Q242" s="6"/>
      <c r="R242" s="6"/>
      <c r="S242" s="6"/>
      <c r="T242" s="6"/>
      <c r="U242" s="6"/>
      <c r="V242" s="6"/>
      <c r="W242" s="6"/>
      <c r="X242" s="6"/>
      <c r="Y242" s="6"/>
      <c r="Z242" s="6"/>
    </row>
    <row r="243" spans="1:26" ht="18" customHeight="1" x14ac:dyDescent="0.3">
      <c r="A243" s="142"/>
      <c r="B243" s="143"/>
      <c r="C243" s="151" t="str">
        <f>IF(B243="","",IFERROR(INDEX('12 P6 activities'!$B$7:$B$206,MATCH(B243,'12 P6 activities'!$A$7:$A$206,0)),"ID not in P6 list"))</f>
        <v/>
      </c>
      <c r="D243" s="151" t="str">
        <f>IF(B243="","",IFERROR(INDEX('12 P6 activities'!$C$7:$C$206,MATCH(B243,'12 P6 activities'!$A$7:$A$206,0)),"⚠ not in P6 list"))</f>
        <v/>
      </c>
      <c r="E243" s="143"/>
      <c r="F243" s="147"/>
      <c r="G243" s="145" t="str">
        <f>IF(B243="","",IFERROR(INDEX('12 P6 activities'!$E$7:$E$206,MATCH(B243,'12 P6 activities'!$A$7:$A$206,0)),""))</f>
        <v/>
      </c>
      <c r="H243" s="143"/>
      <c r="I243" s="143"/>
      <c r="J243" s="6"/>
      <c r="K243" s="6"/>
      <c r="L243" s="6"/>
      <c r="M243" s="6"/>
      <c r="N243" s="6"/>
      <c r="O243" s="6"/>
      <c r="P243" s="6"/>
      <c r="Q243" s="6"/>
      <c r="R243" s="6"/>
      <c r="S243" s="6"/>
      <c r="T243" s="6"/>
      <c r="U243" s="6"/>
      <c r="V243" s="6"/>
      <c r="W243" s="6"/>
      <c r="X243" s="6"/>
      <c r="Y243" s="6"/>
      <c r="Z243" s="6"/>
    </row>
    <row r="244" spans="1:26" ht="18" customHeight="1" x14ac:dyDescent="0.3">
      <c r="A244" s="142"/>
      <c r="B244" s="143"/>
      <c r="C244" s="151" t="str">
        <f>IF(B244="","",IFERROR(INDEX('12 P6 activities'!$B$7:$B$206,MATCH(B244,'12 P6 activities'!$A$7:$A$206,0)),"ID not in P6 list"))</f>
        <v/>
      </c>
      <c r="D244" s="151" t="str">
        <f>IF(B244="","",IFERROR(INDEX('12 P6 activities'!$C$7:$C$206,MATCH(B244,'12 P6 activities'!$A$7:$A$206,0)),"⚠ not in P6 list"))</f>
        <v/>
      </c>
      <c r="E244" s="143"/>
      <c r="F244" s="147"/>
      <c r="G244" s="145" t="str">
        <f>IF(B244="","",IFERROR(INDEX('12 P6 activities'!$E$7:$E$206,MATCH(B244,'12 P6 activities'!$A$7:$A$206,0)),""))</f>
        <v/>
      </c>
      <c r="H244" s="143"/>
      <c r="I244" s="143"/>
      <c r="J244" s="6"/>
      <c r="K244" s="6"/>
      <c r="L244" s="6"/>
      <c r="M244" s="6"/>
      <c r="N244" s="6"/>
      <c r="O244" s="6"/>
      <c r="P244" s="6"/>
      <c r="Q244" s="6"/>
      <c r="R244" s="6"/>
      <c r="S244" s="6"/>
      <c r="T244" s="6"/>
      <c r="U244" s="6"/>
      <c r="V244" s="6"/>
      <c r="W244" s="6"/>
      <c r="X244" s="6"/>
      <c r="Y244" s="6"/>
      <c r="Z244" s="6"/>
    </row>
    <row r="245" spans="1:26" ht="18" customHeight="1" x14ac:dyDescent="0.3">
      <c r="A245" s="142"/>
      <c r="B245" s="143"/>
      <c r="C245" s="151" t="str">
        <f>IF(B245="","",IFERROR(INDEX('12 P6 activities'!$B$7:$B$206,MATCH(B245,'12 P6 activities'!$A$7:$A$206,0)),"ID not in P6 list"))</f>
        <v/>
      </c>
      <c r="D245" s="151" t="str">
        <f>IF(B245="","",IFERROR(INDEX('12 P6 activities'!$C$7:$C$206,MATCH(B245,'12 P6 activities'!$A$7:$A$206,0)),"⚠ not in P6 list"))</f>
        <v/>
      </c>
      <c r="E245" s="143"/>
      <c r="F245" s="147"/>
      <c r="G245" s="145" t="str">
        <f>IF(B245="","",IFERROR(INDEX('12 P6 activities'!$E$7:$E$206,MATCH(B245,'12 P6 activities'!$A$7:$A$206,0)),""))</f>
        <v/>
      </c>
      <c r="H245" s="143"/>
      <c r="I245" s="143"/>
      <c r="J245" s="6"/>
      <c r="K245" s="6"/>
      <c r="L245" s="6"/>
      <c r="M245" s="6"/>
      <c r="N245" s="6"/>
      <c r="O245" s="6"/>
      <c r="P245" s="6"/>
      <c r="Q245" s="6"/>
      <c r="R245" s="6"/>
      <c r="S245" s="6"/>
      <c r="T245" s="6"/>
      <c r="U245" s="6"/>
      <c r="V245" s="6"/>
      <c r="W245" s="6"/>
      <c r="X245" s="6"/>
      <c r="Y245" s="6"/>
      <c r="Z245" s="6"/>
    </row>
    <row r="246" spans="1:26" ht="18" customHeight="1" x14ac:dyDescent="0.3">
      <c r="A246" s="142"/>
      <c r="B246" s="143"/>
      <c r="C246" s="151" t="str">
        <f>IF(B246="","",IFERROR(INDEX('12 P6 activities'!$B$7:$B$206,MATCH(B246,'12 P6 activities'!$A$7:$A$206,0)),"ID not in P6 list"))</f>
        <v/>
      </c>
      <c r="D246" s="151" t="str">
        <f>IF(B246="","",IFERROR(INDEX('12 P6 activities'!$C$7:$C$206,MATCH(B246,'12 P6 activities'!$A$7:$A$206,0)),"⚠ not in P6 list"))</f>
        <v/>
      </c>
      <c r="E246" s="143"/>
      <c r="F246" s="147"/>
      <c r="G246" s="145" t="str">
        <f>IF(B246="","",IFERROR(INDEX('12 P6 activities'!$E$7:$E$206,MATCH(B246,'12 P6 activities'!$A$7:$A$206,0)),""))</f>
        <v/>
      </c>
      <c r="H246" s="143"/>
      <c r="I246" s="143"/>
      <c r="J246" s="6"/>
      <c r="K246" s="6"/>
      <c r="L246" s="6"/>
      <c r="M246" s="6"/>
      <c r="N246" s="6"/>
      <c r="O246" s="6"/>
      <c r="P246" s="6"/>
      <c r="Q246" s="6"/>
      <c r="R246" s="6"/>
      <c r="S246" s="6"/>
      <c r="T246" s="6"/>
      <c r="U246" s="6"/>
      <c r="V246" s="6"/>
      <c r="W246" s="6"/>
      <c r="X246" s="6"/>
      <c r="Y246" s="6"/>
      <c r="Z246" s="6"/>
    </row>
    <row r="247" spans="1:26" ht="18" customHeight="1" x14ac:dyDescent="0.3">
      <c r="A247" s="142"/>
      <c r="B247" s="143"/>
      <c r="C247" s="151" t="str">
        <f>IF(B247="","",IFERROR(INDEX('12 P6 activities'!$B$7:$B$206,MATCH(B247,'12 P6 activities'!$A$7:$A$206,0)),"ID not in P6 list"))</f>
        <v/>
      </c>
      <c r="D247" s="151" t="str">
        <f>IF(B247="","",IFERROR(INDEX('12 P6 activities'!$C$7:$C$206,MATCH(B247,'12 P6 activities'!$A$7:$A$206,0)),"⚠ not in P6 list"))</f>
        <v/>
      </c>
      <c r="E247" s="143"/>
      <c r="F247" s="147"/>
      <c r="G247" s="145" t="str">
        <f>IF(B247="","",IFERROR(INDEX('12 P6 activities'!$E$7:$E$206,MATCH(B247,'12 P6 activities'!$A$7:$A$206,0)),""))</f>
        <v/>
      </c>
      <c r="H247" s="143"/>
      <c r="I247" s="143"/>
      <c r="J247" s="6"/>
      <c r="K247" s="6"/>
      <c r="L247" s="6"/>
      <c r="M247" s="6"/>
      <c r="N247" s="6"/>
      <c r="O247" s="6"/>
      <c r="P247" s="6"/>
      <c r="Q247" s="6"/>
      <c r="R247" s="6"/>
      <c r="S247" s="6"/>
      <c r="T247" s="6"/>
      <c r="U247" s="6"/>
      <c r="V247" s="6"/>
      <c r="W247" s="6"/>
      <c r="X247" s="6"/>
      <c r="Y247" s="6"/>
      <c r="Z247" s="6"/>
    </row>
    <row r="248" spans="1:26" ht="18" customHeight="1" x14ac:dyDescent="0.3">
      <c r="A248" s="142"/>
      <c r="B248" s="143"/>
      <c r="C248" s="151" t="str">
        <f>IF(B248="","",IFERROR(INDEX('12 P6 activities'!$B$7:$B$206,MATCH(B248,'12 P6 activities'!$A$7:$A$206,0)),"ID not in P6 list"))</f>
        <v/>
      </c>
      <c r="D248" s="151" t="str">
        <f>IF(B248="","",IFERROR(INDEX('12 P6 activities'!$C$7:$C$206,MATCH(B248,'12 P6 activities'!$A$7:$A$206,0)),"⚠ not in P6 list"))</f>
        <v/>
      </c>
      <c r="E248" s="143"/>
      <c r="F248" s="147"/>
      <c r="G248" s="145" t="str">
        <f>IF(B248="","",IFERROR(INDEX('12 P6 activities'!$E$7:$E$206,MATCH(B248,'12 P6 activities'!$A$7:$A$206,0)),""))</f>
        <v/>
      </c>
      <c r="H248" s="143"/>
      <c r="I248" s="143"/>
      <c r="J248" s="6"/>
      <c r="K248" s="6"/>
      <c r="L248" s="6"/>
      <c r="M248" s="6"/>
      <c r="N248" s="6"/>
      <c r="O248" s="6"/>
      <c r="P248" s="6"/>
      <c r="Q248" s="6"/>
      <c r="R248" s="6"/>
      <c r="S248" s="6"/>
      <c r="T248" s="6"/>
      <c r="U248" s="6"/>
      <c r="V248" s="6"/>
      <c r="W248" s="6"/>
      <c r="X248" s="6"/>
      <c r="Y248" s="6"/>
      <c r="Z248" s="6"/>
    </row>
    <row r="249" spans="1:26" ht="18" customHeight="1" x14ac:dyDescent="0.3">
      <c r="A249" s="142"/>
      <c r="B249" s="143"/>
      <c r="C249" s="151" t="str">
        <f>IF(B249="","",IFERROR(INDEX('12 P6 activities'!$B$7:$B$206,MATCH(B249,'12 P6 activities'!$A$7:$A$206,0)),"ID not in P6 list"))</f>
        <v/>
      </c>
      <c r="D249" s="151" t="str">
        <f>IF(B249="","",IFERROR(INDEX('12 P6 activities'!$C$7:$C$206,MATCH(B249,'12 P6 activities'!$A$7:$A$206,0)),"⚠ not in P6 list"))</f>
        <v/>
      </c>
      <c r="E249" s="143"/>
      <c r="F249" s="147"/>
      <c r="G249" s="145" t="str">
        <f>IF(B249="","",IFERROR(INDEX('12 P6 activities'!$E$7:$E$206,MATCH(B249,'12 P6 activities'!$A$7:$A$206,0)),""))</f>
        <v/>
      </c>
      <c r="H249" s="143"/>
      <c r="I249" s="143"/>
      <c r="J249" s="6"/>
      <c r="K249" s="6"/>
      <c r="L249" s="6"/>
      <c r="M249" s="6"/>
      <c r="N249" s="6"/>
      <c r="O249" s="6"/>
      <c r="P249" s="6"/>
      <c r="Q249" s="6"/>
      <c r="R249" s="6"/>
      <c r="S249" s="6"/>
      <c r="T249" s="6"/>
      <c r="U249" s="6"/>
      <c r="V249" s="6"/>
      <c r="W249" s="6"/>
      <c r="X249" s="6"/>
      <c r="Y249" s="6"/>
      <c r="Z249" s="6"/>
    </row>
    <row r="250" spans="1:26" ht="18" customHeight="1" x14ac:dyDescent="0.3">
      <c r="A250" s="142"/>
      <c r="B250" s="143"/>
      <c r="C250" s="151" t="str">
        <f>IF(B250="","",IFERROR(INDEX('12 P6 activities'!$B$7:$B$206,MATCH(B250,'12 P6 activities'!$A$7:$A$206,0)),"ID not in P6 list"))</f>
        <v/>
      </c>
      <c r="D250" s="151" t="str">
        <f>IF(B250="","",IFERROR(INDEX('12 P6 activities'!$C$7:$C$206,MATCH(B250,'12 P6 activities'!$A$7:$A$206,0)),"⚠ not in P6 list"))</f>
        <v/>
      </c>
      <c r="E250" s="143"/>
      <c r="F250" s="147"/>
      <c r="G250" s="145" t="str">
        <f>IF(B250="","",IFERROR(INDEX('12 P6 activities'!$E$7:$E$206,MATCH(B250,'12 P6 activities'!$A$7:$A$206,0)),""))</f>
        <v/>
      </c>
      <c r="H250" s="143"/>
      <c r="I250" s="143"/>
      <c r="J250" s="6"/>
      <c r="K250" s="6"/>
      <c r="L250" s="6"/>
      <c r="M250" s="6"/>
      <c r="N250" s="6"/>
      <c r="O250" s="6"/>
      <c r="P250" s="6"/>
      <c r="Q250" s="6"/>
      <c r="R250" s="6"/>
      <c r="S250" s="6"/>
      <c r="T250" s="6"/>
      <c r="U250" s="6"/>
      <c r="V250" s="6"/>
      <c r="W250" s="6"/>
      <c r="X250" s="6"/>
      <c r="Y250" s="6"/>
      <c r="Z250" s="6"/>
    </row>
    <row r="251" spans="1:26" ht="18" customHeight="1" x14ac:dyDescent="0.3">
      <c r="A251" s="142"/>
      <c r="B251" s="143"/>
      <c r="C251" s="151" t="str">
        <f>IF(B251="","",IFERROR(INDEX('12 P6 activities'!$B$7:$B$206,MATCH(B251,'12 P6 activities'!$A$7:$A$206,0)),"ID not in P6 list"))</f>
        <v/>
      </c>
      <c r="D251" s="151" t="str">
        <f>IF(B251="","",IFERROR(INDEX('12 P6 activities'!$C$7:$C$206,MATCH(B251,'12 P6 activities'!$A$7:$A$206,0)),"⚠ not in P6 list"))</f>
        <v/>
      </c>
      <c r="E251" s="143"/>
      <c r="F251" s="147"/>
      <c r="G251" s="145" t="str">
        <f>IF(B251="","",IFERROR(INDEX('12 P6 activities'!$E$7:$E$206,MATCH(B251,'12 P6 activities'!$A$7:$A$206,0)),""))</f>
        <v/>
      </c>
      <c r="H251" s="143"/>
      <c r="I251" s="143"/>
      <c r="J251" s="6"/>
      <c r="K251" s="6"/>
      <c r="L251" s="6"/>
      <c r="M251" s="6"/>
      <c r="N251" s="6"/>
      <c r="O251" s="6"/>
      <c r="P251" s="6"/>
      <c r="Q251" s="6"/>
      <c r="R251" s="6"/>
      <c r="S251" s="6"/>
      <c r="T251" s="6"/>
      <c r="U251" s="6"/>
      <c r="V251" s="6"/>
      <c r="W251" s="6"/>
      <c r="X251" s="6"/>
      <c r="Y251" s="6"/>
      <c r="Z251" s="6"/>
    </row>
    <row r="252" spans="1:26" ht="18" customHeight="1" x14ac:dyDescent="0.3">
      <c r="A252" s="142"/>
      <c r="B252" s="143"/>
      <c r="C252" s="151" t="str">
        <f>IF(B252="","",IFERROR(INDEX('12 P6 activities'!$B$7:$B$206,MATCH(B252,'12 P6 activities'!$A$7:$A$206,0)),"ID not in P6 list"))</f>
        <v/>
      </c>
      <c r="D252" s="151" t="str">
        <f>IF(B252="","",IFERROR(INDEX('12 P6 activities'!$C$7:$C$206,MATCH(B252,'12 P6 activities'!$A$7:$A$206,0)),"⚠ not in P6 list"))</f>
        <v/>
      </c>
      <c r="E252" s="143"/>
      <c r="F252" s="147"/>
      <c r="G252" s="145" t="str">
        <f>IF(B252="","",IFERROR(INDEX('12 P6 activities'!$E$7:$E$206,MATCH(B252,'12 P6 activities'!$A$7:$A$206,0)),""))</f>
        <v/>
      </c>
      <c r="H252" s="143"/>
      <c r="I252" s="143"/>
      <c r="J252" s="6"/>
      <c r="K252" s="6"/>
      <c r="L252" s="6"/>
      <c r="M252" s="6"/>
      <c r="N252" s="6"/>
      <c r="O252" s="6"/>
      <c r="P252" s="6"/>
      <c r="Q252" s="6"/>
      <c r="R252" s="6"/>
      <c r="S252" s="6"/>
      <c r="T252" s="6"/>
      <c r="U252" s="6"/>
      <c r="V252" s="6"/>
      <c r="W252" s="6"/>
      <c r="X252" s="6"/>
      <c r="Y252" s="6"/>
      <c r="Z252" s="6"/>
    </row>
    <row r="253" spans="1:26" ht="18" customHeight="1" x14ac:dyDescent="0.3">
      <c r="A253" s="142"/>
      <c r="B253" s="143"/>
      <c r="C253" s="151" t="str">
        <f>IF(B253="","",IFERROR(INDEX('12 P6 activities'!$B$7:$B$206,MATCH(B253,'12 P6 activities'!$A$7:$A$206,0)),"ID not in P6 list"))</f>
        <v/>
      </c>
      <c r="D253" s="151" t="str">
        <f>IF(B253="","",IFERROR(INDEX('12 P6 activities'!$C$7:$C$206,MATCH(B253,'12 P6 activities'!$A$7:$A$206,0)),"⚠ not in P6 list"))</f>
        <v/>
      </c>
      <c r="E253" s="143"/>
      <c r="F253" s="147"/>
      <c r="G253" s="145" t="str">
        <f>IF(B253="","",IFERROR(INDEX('12 P6 activities'!$E$7:$E$206,MATCH(B253,'12 P6 activities'!$A$7:$A$206,0)),""))</f>
        <v/>
      </c>
      <c r="H253" s="143"/>
      <c r="I253" s="143"/>
      <c r="J253" s="6"/>
      <c r="K253" s="6"/>
      <c r="L253" s="6"/>
      <c r="M253" s="6"/>
      <c r="N253" s="6"/>
      <c r="O253" s="6"/>
      <c r="P253" s="6"/>
      <c r="Q253" s="6"/>
      <c r="R253" s="6"/>
      <c r="S253" s="6"/>
      <c r="T253" s="6"/>
      <c r="U253" s="6"/>
      <c r="V253" s="6"/>
      <c r="W253" s="6"/>
      <c r="X253" s="6"/>
      <c r="Y253" s="6"/>
      <c r="Z253" s="6"/>
    </row>
    <row r="254" spans="1:26" ht="18" customHeight="1" x14ac:dyDescent="0.3">
      <c r="A254" s="142"/>
      <c r="B254" s="143"/>
      <c r="C254" s="151" t="str">
        <f>IF(B254="","",IFERROR(INDEX('12 P6 activities'!$B$7:$B$206,MATCH(B254,'12 P6 activities'!$A$7:$A$206,0)),"ID not in P6 list"))</f>
        <v/>
      </c>
      <c r="D254" s="151" t="str">
        <f>IF(B254="","",IFERROR(INDEX('12 P6 activities'!$C$7:$C$206,MATCH(B254,'12 P6 activities'!$A$7:$A$206,0)),"⚠ not in P6 list"))</f>
        <v/>
      </c>
      <c r="E254" s="143"/>
      <c r="F254" s="147"/>
      <c r="G254" s="145" t="str">
        <f>IF(B254="","",IFERROR(INDEX('12 P6 activities'!$E$7:$E$206,MATCH(B254,'12 P6 activities'!$A$7:$A$206,0)),""))</f>
        <v/>
      </c>
      <c r="H254" s="143"/>
      <c r="I254" s="143"/>
      <c r="J254" s="6"/>
      <c r="K254" s="6"/>
      <c r="L254" s="6"/>
      <c r="M254" s="6"/>
      <c r="N254" s="6"/>
      <c r="O254" s="6"/>
      <c r="P254" s="6"/>
      <c r="Q254" s="6"/>
      <c r="R254" s="6"/>
      <c r="S254" s="6"/>
      <c r="T254" s="6"/>
      <c r="U254" s="6"/>
      <c r="V254" s="6"/>
      <c r="W254" s="6"/>
      <c r="X254" s="6"/>
      <c r="Y254" s="6"/>
      <c r="Z254" s="6"/>
    </row>
    <row r="255" spans="1:26" ht="18" customHeight="1" x14ac:dyDescent="0.3">
      <c r="A255" s="142"/>
      <c r="B255" s="143"/>
      <c r="C255" s="151" t="str">
        <f>IF(B255="","",IFERROR(INDEX('12 P6 activities'!$B$7:$B$206,MATCH(B255,'12 P6 activities'!$A$7:$A$206,0)),"ID not in P6 list"))</f>
        <v/>
      </c>
      <c r="D255" s="151" t="str">
        <f>IF(B255="","",IFERROR(INDEX('12 P6 activities'!$C$7:$C$206,MATCH(B255,'12 P6 activities'!$A$7:$A$206,0)),"⚠ not in P6 list"))</f>
        <v/>
      </c>
      <c r="E255" s="143"/>
      <c r="F255" s="147"/>
      <c r="G255" s="145" t="str">
        <f>IF(B255="","",IFERROR(INDEX('12 P6 activities'!$E$7:$E$206,MATCH(B255,'12 P6 activities'!$A$7:$A$206,0)),""))</f>
        <v/>
      </c>
      <c r="H255" s="143"/>
      <c r="I255" s="143"/>
      <c r="J255" s="6"/>
      <c r="K255" s="6"/>
      <c r="L255" s="6"/>
      <c r="M255" s="6"/>
      <c r="N255" s="6"/>
      <c r="O255" s="6"/>
      <c r="P255" s="6"/>
      <c r="Q255" s="6"/>
      <c r="R255" s="6"/>
      <c r="S255" s="6"/>
      <c r="T255" s="6"/>
      <c r="U255" s="6"/>
      <c r="V255" s="6"/>
      <c r="W255" s="6"/>
      <c r="X255" s="6"/>
      <c r="Y255" s="6"/>
      <c r="Z255" s="6"/>
    </row>
    <row r="256" spans="1:26" ht="18" customHeight="1" x14ac:dyDescent="0.3">
      <c r="A256" s="142"/>
      <c r="B256" s="143"/>
      <c r="C256" s="151" t="str">
        <f>IF(B256="","",IFERROR(INDEX('12 P6 activities'!$B$7:$B$206,MATCH(B256,'12 P6 activities'!$A$7:$A$206,0)),"ID not in P6 list"))</f>
        <v/>
      </c>
      <c r="D256" s="151" t="str">
        <f>IF(B256="","",IFERROR(INDEX('12 P6 activities'!$C$7:$C$206,MATCH(B256,'12 P6 activities'!$A$7:$A$206,0)),"⚠ not in P6 list"))</f>
        <v/>
      </c>
      <c r="E256" s="143"/>
      <c r="F256" s="147"/>
      <c r="G256" s="145" t="str">
        <f>IF(B256="","",IFERROR(INDEX('12 P6 activities'!$E$7:$E$206,MATCH(B256,'12 P6 activities'!$A$7:$A$206,0)),""))</f>
        <v/>
      </c>
      <c r="H256" s="143"/>
      <c r="I256" s="143"/>
      <c r="J256" s="6"/>
      <c r="K256" s="6"/>
      <c r="L256" s="6"/>
      <c r="M256" s="6"/>
      <c r="N256" s="6"/>
      <c r="O256" s="6"/>
      <c r="P256" s="6"/>
      <c r="Q256" s="6"/>
      <c r="R256" s="6"/>
      <c r="S256" s="6"/>
      <c r="T256" s="6"/>
      <c r="U256" s="6"/>
      <c r="V256" s="6"/>
      <c r="W256" s="6"/>
      <c r="X256" s="6"/>
      <c r="Y256" s="6"/>
      <c r="Z256" s="6"/>
    </row>
    <row r="257" spans="1:26" ht="18" customHeight="1" x14ac:dyDescent="0.3">
      <c r="A257" s="142"/>
      <c r="B257" s="143"/>
      <c r="C257" s="151" t="str">
        <f>IF(B257="","",IFERROR(INDEX('12 P6 activities'!$B$7:$B$206,MATCH(B257,'12 P6 activities'!$A$7:$A$206,0)),"ID not in P6 list"))</f>
        <v/>
      </c>
      <c r="D257" s="151" t="str">
        <f>IF(B257="","",IFERROR(INDEX('12 P6 activities'!$C$7:$C$206,MATCH(B257,'12 P6 activities'!$A$7:$A$206,0)),"⚠ not in P6 list"))</f>
        <v/>
      </c>
      <c r="E257" s="143"/>
      <c r="F257" s="147"/>
      <c r="G257" s="145" t="str">
        <f>IF(B257="","",IFERROR(INDEX('12 P6 activities'!$E$7:$E$206,MATCH(B257,'12 P6 activities'!$A$7:$A$206,0)),""))</f>
        <v/>
      </c>
      <c r="H257" s="143"/>
      <c r="I257" s="143"/>
      <c r="J257" s="6"/>
      <c r="K257" s="6"/>
      <c r="L257" s="6"/>
      <c r="M257" s="6"/>
      <c r="N257" s="6"/>
      <c r="O257" s="6"/>
      <c r="P257" s="6"/>
      <c r="Q257" s="6"/>
      <c r="R257" s="6"/>
      <c r="S257" s="6"/>
      <c r="T257" s="6"/>
      <c r="U257" s="6"/>
      <c r="V257" s="6"/>
      <c r="W257" s="6"/>
      <c r="X257" s="6"/>
      <c r="Y257" s="6"/>
      <c r="Z257" s="6"/>
    </row>
    <row r="258" spans="1:26" ht="18" customHeight="1" x14ac:dyDescent="0.3">
      <c r="A258" s="142"/>
      <c r="B258" s="143"/>
      <c r="C258" s="151" t="str">
        <f>IF(B258="","",IFERROR(INDEX('12 P6 activities'!$B$7:$B$206,MATCH(B258,'12 P6 activities'!$A$7:$A$206,0)),"ID not in P6 list"))</f>
        <v/>
      </c>
      <c r="D258" s="151" t="str">
        <f>IF(B258="","",IFERROR(INDEX('12 P6 activities'!$C$7:$C$206,MATCH(B258,'12 P6 activities'!$A$7:$A$206,0)),"⚠ not in P6 list"))</f>
        <v/>
      </c>
      <c r="E258" s="143"/>
      <c r="F258" s="147"/>
      <c r="G258" s="145" t="str">
        <f>IF(B258="","",IFERROR(INDEX('12 P6 activities'!$E$7:$E$206,MATCH(B258,'12 P6 activities'!$A$7:$A$206,0)),""))</f>
        <v/>
      </c>
      <c r="H258" s="143"/>
      <c r="I258" s="143"/>
      <c r="J258" s="6"/>
      <c r="K258" s="6"/>
      <c r="L258" s="6"/>
      <c r="M258" s="6"/>
      <c r="N258" s="6"/>
      <c r="O258" s="6"/>
      <c r="P258" s="6"/>
      <c r="Q258" s="6"/>
      <c r="R258" s="6"/>
      <c r="S258" s="6"/>
      <c r="T258" s="6"/>
      <c r="U258" s="6"/>
      <c r="V258" s="6"/>
      <c r="W258" s="6"/>
      <c r="X258" s="6"/>
      <c r="Y258" s="6"/>
      <c r="Z258" s="6"/>
    </row>
    <row r="259" spans="1:26" ht="18" customHeight="1" x14ac:dyDescent="0.3">
      <c r="A259" s="142"/>
      <c r="B259" s="143"/>
      <c r="C259" s="151" t="str">
        <f>IF(B259="","",IFERROR(INDEX('12 P6 activities'!$B$7:$B$206,MATCH(B259,'12 P6 activities'!$A$7:$A$206,0)),"ID not in P6 list"))</f>
        <v/>
      </c>
      <c r="D259" s="151" t="str">
        <f>IF(B259="","",IFERROR(INDEX('12 P6 activities'!$C$7:$C$206,MATCH(B259,'12 P6 activities'!$A$7:$A$206,0)),"⚠ not in P6 list"))</f>
        <v/>
      </c>
      <c r="E259" s="143"/>
      <c r="F259" s="147"/>
      <c r="G259" s="145" t="str">
        <f>IF(B259="","",IFERROR(INDEX('12 P6 activities'!$E$7:$E$206,MATCH(B259,'12 P6 activities'!$A$7:$A$206,0)),""))</f>
        <v/>
      </c>
      <c r="H259" s="143"/>
      <c r="I259" s="143"/>
      <c r="J259" s="6"/>
      <c r="K259" s="6"/>
      <c r="L259" s="6"/>
      <c r="M259" s="6"/>
      <c r="N259" s="6"/>
      <c r="O259" s="6"/>
      <c r="P259" s="6"/>
      <c r="Q259" s="6"/>
      <c r="R259" s="6"/>
      <c r="S259" s="6"/>
      <c r="T259" s="6"/>
      <c r="U259" s="6"/>
      <c r="V259" s="6"/>
      <c r="W259" s="6"/>
      <c r="X259" s="6"/>
      <c r="Y259" s="6"/>
      <c r="Z259" s="6"/>
    </row>
    <row r="260" spans="1:26" ht="18" customHeight="1" x14ac:dyDescent="0.3">
      <c r="A260" s="142"/>
      <c r="B260" s="143"/>
      <c r="C260" s="151" t="str">
        <f>IF(B260="","",IFERROR(INDEX('12 P6 activities'!$B$7:$B$206,MATCH(B260,'12 P6 activities'!$A$7:$A$206,0)),"ID not in P6 list"))</f>
        <v/>
      </c>
      <c r="D260" s="151" t="str">
        <f>IF(B260="","",IFERROR(INDEX('12 P6 activities'!$C$7:$C$206,MATCH(B260,'12 P6 activities'!$A$7:$A$206,0)),"⚠ not in P6 list"))</f>
        <v/>
      </c>
      <c r="E260" s="143"/>
      <c r="F260" s="147"/>
      <c r="G260" s="145" t="str">
        <f>IF(B260="","",IFERROR(INDEX('12 P6 activities'!$E$7:$E$206,MATCH(B260,'12 P6 activities'!$A$7:$A$206,0)),""))</f>
        <v/>
      </c>
      <c r="H260" s="143"/>
      <c r="I260" s="143"/>
      <c r="J260" s="6"/>
      <c r="K260" s="6"/>
      <c r="L260" s="6"/>
      <c r="M260" s="6"/>
      <c r="N260" s="6"/>
      <c r="O260" s="6"/>
      <c r="P260" s="6"/>
      <c r="Q260" s="6"/>
      <c r="R260" s="6"/>
      <c r="S260" s="6"/>
      <c r="T260" s="6"/>
      <c r="U260" s="6"/>
      <c r="V260" s="6"/>
      <c r="W260" s="6"/>
      <c r="X260" s="6"/>
      <c r="Y260" s="6"/>
      <c r="Z260" s="6"/>
    </row>
    <row r="261" spans="1:26" ht="18" customHeight="1" x14ac:dyDescent="0.3">
      <c r="A261" s="142"/>
      <c r="B261" s="143"/>
      <c r="C261" s="151" t="str">
        <f>IF(B261="","",IFERROR(INDEX('12 P6 activities'!$B$7:$B$206,MATCH(B261,'12 P6 activities'!$A$7:$A$206,0)),"ID not in P6 list"))</f>
        <v/>
      </c>
      <c r="D261" s="151" t="str">
        <f>IF(B261="","",IFERROR(INDEX('12 P6 activities'!$C$7:$C$206,MATCH(B261,'12 P6 activities'!$A$7:$A$206,0)),"⚠ not in P6 list"))</f>
        <v/>
      </c>
      <c r="E261" s="143"/>
      <c r="F261" s="147"/>
      <c r="G261" s="145" t="str">
        <f>IF(B261="","",IFERROR(INDEX('12 P6 activities'!$E$7:$E$206,MATCH(B261,'12 P6 activities'!$A$7:$A$206,0)),""))</f>
        <v/>
      </c>
      <c r="H261" s="143"/>
      <c r="I261" s="143"/>
      <c r="J261" s="6"/>
      <c r="K261" s="6"/>
      <c r="L261" s="6"/>
      <c r="M261" s="6"/>
      <c r="N261" s="6"/>
      <c r="O261" s="6"/>
      <c r="P261" s="6"/>
      <c r="Q261" s="6"/>
      <c r="R261" s="6"/>
      <c r="S261" s="6"/>
      <c r="T261" s="6"/>
      <c r="U261" s="6"/>
      <c r="V261" s="6"/>
      <c r="W261" s="6"/>
      <c r="X261" s="6"/>
      <c r="Y261" s="6"/>
      <c r="Z261" s="6"/>
    </row>
    <row r="262" spans="1:26" ht="18" customHeight="1" x14ac:dyDescent="0.3">
      <c r="A262" s="142"/>
      <c r="B262" s="143"/>
      <c r="C262" s="151" t="str">
        <f>IF(B262="","",IFERROR(INDEX('12 P6 activities'!$B$7:$B$206,MATCH(B262,'12 P6 activities'!$A$7:$A$206,0)),"ID not in P6 list"))</f>
        <v/>
      </c>
      <c r="D262" s="151" t="str">
        <f>IF(B262="","",IFERROR(INDEX('12 P6 activities'!$C$7:$C$206,MATCH(B262,'12 P6 activities'!$A$7:$A$206,0)),"⚠ not in P6 list"))</f>
        <v/>
      </c>
      <c r="E262" s="143"/>
      <c r="F262" s="147"/>
      <c r="G262" s="145" t="str">
        <f>IF(B262="","",IFERROR(INDEX('12 P6 activities'!$E$7:$E$206,MATCH(B262,'12 P6 activities'!$A$7:$A$206,0)),""))</f>
        <v/>
      </c>
      <c r="H262" s="143"/>
      <c r="I262" s="143"/>
      <c r="J262" s="6"/>
      <c r="K262" s="6"/>
      <c r="L262" s="6"/>
      <c r="M262" s="6"/>
      <c r="N262" s="6"/>
      <c r="O262" s="6"/>
      <c r="P262" s="6"/>
      <c r="Q262" s="6"/>
      <c r="R262" s="6"/>
      <c r="S262" s="6"/>
      <c r="T262" s="6"/>
      <c r="U262" s="6"/>
      <c r="V262" s="6"/>
      <c r="W262" s="6"/>
      <c r="X262" s="6"/>
      <c r="Y262" s="6"/>
      <c r="Z262" s="6"/>
    </row>
    <row r="263" spans="1:26" ht="18" customHeight="1" x14ac:dyDescent="0.3">
      <c r="A263" s="142"/>
      <c r="B263" s="143"/>
      <c r="C263" s="151" t="str">
        <f>IF(B263="","",IFERROR(INDEX('12 P6 activities'!$B$7:$B$206,MATCH(B263,'12 P6 activities'!$A$7:$A$206,0)),"ID not in P6 list"))</f>
        <v/>
      </c>
      <c r="D263" s="151" t="str">
        <f>IF(B263="","",IFERROR(INDEX('12 P6 activities'!$C$7:$C$206,MATCH(B263,'12 P6 activities'!$A$7:$A$206,0)),"⚠ not in P6 list"))</f>
        <v/>
      </c>
      <c r="E263" s="143"/>
      <c r="F263" s="147"/>
      <c r="G263" s="145" t="str">
        <f>IF(B263="","",IFERROR(INDEX('12 P6 activities'!$E$7:$E$206,MATCH(B263,'12 P6 activities'!$A$7:$A$206,0)),""))</f>
        <v/>
      </c>
      <c r="H263" s="143"/>
      <c r="I263" s="143"/>
      <c r="J263" s="6"/>
      <c r="K263" s="6"/>
      <c r="L263" s="6"/>
      <c r="M263" s="6"/>
      <c r="N263" s="6"/>
      <c r="O263" s="6"/>
      <c r="P263" s="6"/>
      <c r="Q263" s="6"/>
      <c r="R263" s="6"/>
      <c r="S263" s="6"/>
      <c r="T263" s="6"/>
      <c r="U263" s="6"/>
      <c r="V263" s="6"/>
      <c r="W263" s="6"/>
      <c r="X263" s="6"/>
      <c r="Y263" s="6"/>
      <c r="Z263" s="6"/>
    </row>
    <row r="264" spans="1:26" ht="18" customHeight="1" x14ac:dyDescent="0.3">
      <c r="A264" s="142"/>
      <c r="B264" s="143"/>
      <c r="C264" s="151" t="str">
        <f>IF(B264="","",IFERROR(INDEX('12 P6 activities'!$B$7:$B$206,MATCH(B264,'12 P6 activities'!$A$7:$A$206,0)),"ID not in P6 list"))</f>
        <v/>
      </c>
      <c r="D264" s="151" t="str">
        <f>IF(B264="","",IFERROR(INDEX('12 P6 activities'!$C$7:$C$206,MATCH(B264,'12 P6 activities'!$A$7:$A$206,0)),"⚠ not in P6 list"))</f>
        <v/>
      </c>
      <c r="E264" s="143"/>
      <c r="F264" s="147"/>
      <c r="G264" s="145" t="str">
        <f>IF(B264="","",IFERROR(INDEX('12 P6 activities'!$E$7:$E$206,MATCH(B264,'12 P6 activities'!$A$7:$A$206,0)),""))</f>
        <v/>
      </c>
      <c r="H264" s="143"/>
      <c r="I264" s="143"/>
      <c r="J264" s="6"/>
      <c r="K264" s="6"/>
      <c r="L264" s="6"/>
      <c r="M264" s="6"/>
      <c r="N264" s="6"/>
      <c r="O264" s="6"/>
      <c r="P264" s="6"/>
      <c r="Q264" s="6"/>
      <c r="R264" s="6"/>
      <c r="S264" s="6"/>
      <c r="T264" s="6"/>
      <c r="U264" s="6"/>
      <c r="V264" s="6"/>
      <c r="W264" s="6"/>
      <c r="X264" s="6"/>
      <c r="Y264" s="6"/>
      <c r="Z264" s="6"/>
    </row>
    <row r="265" spans="1:26" ht="18" customHeight="1" x14ac:dyDescent="0.3">
      <c r="A265" s="142"/>
      <c r="B265" s="143"/>
      <c r="C265" s="151" t="str">
        <f>IF(B265="","",IFERROR(INDEX('12 P6 activities'!$B$7:$B$206,MATCH(B265,'12 P6 activities'!$A$7:$A$206,0)),"ID not in P6 list"))</f>
        <v/>
      </c>
      <c r="D265" s="151" t="str">
        <f>IF(B265="","",IFERROR(INDEX('12 P6 activities'!$C$7:$C$206,MATCH(B265,'12 P6 activities'!$A$7:$A$206,0)),"⚠ not in P6 list"))</f>
        <v/>
      </c>
      <c r="E265" s="143"/>
      <c r="F265" s="147"/>
      <c r="G265" s="145" t="str">
        <f>IF(B265="","",IFERROR(INDEX('12 P6 activities'!$E$7:$E$206,MATCH(B265,'12 P6 activities'!$A$7:$A$206,0)),""))</f>
        <v/>
      </c>
      <c r="H265" s="143"/>
      <c r="I265" s="143"/>
      <c r="J265" s="6"/>
      <c r="K265" s="6"/>
      <c r="L265" s="6"/>
      <c r="M265" s="6"/>
      <c r="N265" s="6"/>
      <c r="O265" s="6"/>
      <c r="P265" s="6"/>
      <c r="Q265" s="6"/>
      <c r="R265" s="6"/>
      <c r="S265" s="6"/>
      <c r="T265" s="6"/>
      <c r="U265" s="6"/>
      <c r="V265" s="6"/>
      <c r="W265" s="6"/>
      <c r="X265" s="6"/>
      <c r="Y265" s="6"/>
      <c r="Z265" s="6"/>
    </row>
    <row r="266" spans="1:26" ht="18" customHeight="1" x14ac:dyDescent="0.3">
      <c r="A266" s="142"/>
      <c r="B266" s="143"/>
      <c r="C266" s="151" t="str">
        <f>IF(B266="","",IFERROR(INDEX('12 P6 activities'!$B$7:$B$206,MATCH(B266,'12 P6 activities'!$A$7:$A$206,0)),"ID not in P6 list"))</f>
        <v/>
      </c>
      <c r="D266" s="151" t="str">
        <f>IF(B266="","",IFERROR(INDEX('12 P6 activities'!$C$7:$C$206,MATCH(B266,'12 P6 activities'!$A$7:$A$206,0)),"⚠ not in P6 list"))</f>
        <v/>
      </c>
      <c r="E266" s="143"/>
      <c r="F266" s="147"/>
      <c r="G266" s="145" t="str">
        <f>IF(B266="","",IFERROR(INDEX('12 P6 activities'!$E$7:$E$206,MATCH(B266,'12 P6 activities'!$A$7:$A$206,0)),""))</f>
        <v/>
      </c>
      <c r="H266" s="143"/>
      <c r="I266" s="143"/>
      <c r="J266" s="6"/>
      <c r="K266" s="6"/>
      <c r="L266" s="6"/>
      <c r="M266" s="6"/>
      <c r="N266" s="6"/>
      <c r="O266" s="6"/>
      <c r="P266" s="6"/>
      <c r="Q266" s="6"/>
      <c r="R266" s="6"/>
      <c r="S266" s="6"/>
      <c r="T266" s="6"/>
      <c r="U266" s="6"/>
      <c r="V266" s="6"/>
      <c r="W266" s="6"/>
      <c r="X266" s="6"/>
      <c r="Y266" s="6"/>
      <c r="Z266" s="6"/>
    </row>
    <row r="267" spans="1:26" ht="18" customHeight="1" x14ac:dyDescent="0.3">
      <c r="A267" s="142"/>
      <c r="B267" s="143"/>
      <c r="C267" s="151" t="str">
        <f>IF(B267="","",IFERROR(INDEX('12 P6 activities'!$B$7:$B$206,MATCH(B267,'12 P6 activities'!$A$7:$A$206,0)),"ID not in P6 list"))</f>
        <v/>
      </c>
      <c r="D267" s="151" t="str">
        <f>IF(B267="","",IFERROR(INDEX('12 P6 activities'!$C$7:$C$206,MATCH(B267,'12 P6 activities'!$A$7:$A$206,0)),"⚠ not in P6 list"))</f>
        <v/>
      </c>
      <c r="E267" s="143"/>
      <c r="F267" s="147"/>
      <c r="G267" s="145" t="str">
        <f>IF(B267="","",IFERROR(INDEX('12 P6 activities'!$E$7:$E$206,MATCH(B267,'12 P6 activities'!$A$7:$A$206,0)),""))</f>
        <v/>
      </c>
      <c r="H267" s="143"/>
      <c r="I267" s="143"/>
      <c r="J267" s="6"/>
      <c r="K267" s="6"/>
      <c r="L267" s="6"/>
      <c r="M267" s="6"/>
      <c r="N267" s="6"/>
      <c r="O267" s="6"/>
      <c r="P267" s="6"/>
      <c r="Q267" s="6"/>
      <c r="R267" s="6"/>
      <c r="S267" s="6"/>
      <c r="T267" s="6"/>
      <c r="U267" s="6"/>
      <c r="V267" s="6"/>
      <c r="W267" s="6"/>
      <c r="X267" s="6"/>
      <c r="Y267" s="6"/>
      <c r="Z267" s="6"/>
    </row>
    <row r="268" spans="1:26" ht="18" customHeight="1" x14ac:dyDescent="0.3">
      <c r="A268" s="142"/>
      <c r="B268" s="143"/>
      <c r="C268" s="151" t="str">
        <f>IF(B268="","",IFERROR(INDEX('12 P6 activities'!$B$7:$B$206,MATCH(B268,'12 P6 activities'!$A$7:$A$206,0)),"ID not in P6 list"))</f>
        <v/>
      </c>
      <c r="D268" s="151" t="str">
        <f>IF(B268="","",IFERROR(INDEX('12 P6 activities'!$C$7:$C$206,MATCH(B268,'12 P6 activities'!$A$7:$A$206,0)),"⚠ not in P6 list"))</f>
        <v/>
      </c>
      <c r="E268" s="143"/>
      <c r="F268" s="147"/>
      <c r="G268" s="145" t="str">
        <f>IF(B268="","",IFERROR(INDEX('12 P6 activities'!$E$7:$E$206,MATCH(B268,'12 P6 activities'!$A$7:$A$206,0)),""))</f>
        <v/>
      </c>
      <c r="H268" s="143"/>
      <c r="I268" s="143"/>
      <c r="J268" s="6"/>
      <c r="K268" s="6"/>
      <c r="L268" s="6"/>
      <c r="M268" s="6"/>
      <c r="N268" s="6"/>
      <c r="O268" s="6"/>
      <c r="P268" s="6"/>
      <c r="Q268" s="6"/>
      <c r="R268" s="6"/>
      <c r="S268" s="6"/>
      <c r="T268" s="6"/>
      <c r="U268" s="6"/>
      <c r="V268" s="6"/>
      <c r="W268" s="6"/>
      <c r="X268" s="6"/>
      <c r="Y268" s="6"/>
      <c r="Z268" s="6"/>
    </row>
    <row r="269" spans="1:26" ht="18" customHeight="1" x14ac:dyDescent="0.3">
      <c r="A269" s="142"/>
      <c r="B269" s="143"/>
      <c r="C269" s="151" t="str">
        <f>IF(B269="","",IFERROR(INDEX('12 P6 activities'!$B$7:$B$206,MATCH(B269,'12 P6 activities'!$A$7:$A$206,0)),"ID not in P6 list"))</f>
        <v/>
      </c>
      <c r="D269" s="151" t="str">
        <f>IF(B269="","",IFERROR(INDEX('12 P6 activities'!$C$7:$C$206,MATCH(B269,'12 P6 activities'!$A$7:$A$206,0)),"⚠ not in P6 list"))</f>
        <v/>
      </c>
      <c r="E269" s="143"/>
      <c r="F269" s="147"/>
      <c r="G269" s="145" t="str">
        <f>IF(B269="","",IFERROR(INDEX('12 P6 activities'!$E$7:$E$206,MATCH(B269,'12 P6 activities'!$A$7:$A$206,0)),""))</f>
        <v/>
      </c>
      <c r="H269" s="143"/>
      <c r="I269" s="143"/>
      <c r="J269" s="6"/>
      <c r="K269" s="6"/>
      <c r="L269" s="6"/>
      <c r="M269" s="6"/>
      <c r="N269" s="6"/>
      <c r="O269" s="6"/>
      <c r="P269" s="6"/>
      <c r="Q269" s="6"/>
      <c r="R269" s="6"/>
      <c r="S269" s="6"/>
      <c r="T269" s="6"/>
      <c r="U269" s="6"/>
      <c r="V269" s="6"/>
      <c r="W269" s="6"/>
      <c r="X269" s="6"/>
      <c r="Y269" s="6"/>
      <c r="Z269" s="6"/>
    </row>
    <row r="270" spans="1:26" ht="18" customHeight="1" x14ac:dyDescent="0.3">
      <c r="A270" s="142"/>
      <c r="B270" s="143"/>
      <c r="C270" s="151" t="str">
        <f>IF(B270="","",IFERROR(INDEX('12 P6 activities'!$B$7:$B$206,MATCH(B270,'12 P6 activities'!$A$7:$A$206,0)),"ID not in P6 list"))</f>
        <v/>
      </c>
      <c r="D270" s="151" t="str">
        <f>IF(B270="","",IFERROR(INDEX('12 P6 activities'!$C$7:$C$206,MATCH(B270,'12 P6 activities'!$A$7:$A$206,0)),"⚠ not in P6 list"))</f>
        <v/>
      </c>
      <c r="E270" s="143"/>
      <c r="F270" s="147"/>
      <c r="G270" s="145" t="str">
        <f>IF(B270="","",IFERROR(INDEX('12 P6 activities'!$E$7:$E$206,MATCH(B270,'12 P6 activities'!$A$7:$A$206,0)),""))</f>
        <v/>
      </c>
      <c r="H270" s="143"/>
      <c r="I270" s="143"/>
      <c r="J270" s="6"/>
      <c r="K270" s="6"/>
      <c r="L270" s="6"/>
      <c r="M270" s="6"/>
      <c r="N270" s="6"/>
      <c r="O270" s="6"/>
      <c r="P270" s="6"/>
      <c r="Q270" s="6"/>
      <c r="R270" s="6"/>
      <c r="S270" s="6"/>
      <c r="T270" s="6"/>
      <c r="U270" s="6"/>
      <c r="V270" s="6"/>
      <c r="W270" s="6"/>
      <c r="X270" s="6"/>
      <c r="Y270" s="6"/>
      <c r="Z270" s="6"/>
    </row>
    <row r="271" spans="1:26" ht="18" customHeight="1" x14ac:dyDescent="0.3">
      <c r="A271" s="142"/>
      <c r="B271" s="143"/>
      <c r="C271" s="151" t="str">
        <f>IF(B271="","",IFERROR(INDEX('12 P6 activities'!$B$7:$B$206,MATCH(B271,'12 P6 activities'!$A$7:$A$206,0)),"ID not in P6 list"))</f>
        <v/>
      </c>
      <c r="D271" s="151" t="str">
        <f>IF(B271="","",IFERROR(INDEX('12 P6 activities'!$C$7:$C$206,MATCH(B271,'12 P6 activities'!$A$7:$A$206,0)),"⚠ not in P6 list"))</f>
        <v/>
      </c>
      <c r="E271" s="143"/>
      <c r="F271" s="147"/>
      <c r="G271" s="145" t="str">
        <f>IF(B271="","",IFERROR(INDEX('12 P6 activities'!$E$7:$E$206,MATCH(B271,'12 P6 activities'!$A$7:$A$206,0)),""))</f>
        <v/>
      </c>
      <c r="H271" s="143"/>
      <c r="I271" s="143"/>
      <c r="J271" s="6"/>
      <c r="K271" s="6"/>
      <c r="L271" s="6"/>
      <c r="M271" s="6"/>
      <c r="N271" s="6"/>
      <c r="O271" s="6"/>
      <c r="P271" s="6"/>
      <c r="Q271" s="6"/>
      <c r="R271" s="6"/>
      <c r="S271" s="6"/>
      <c r="T271" s="6"/>
      <c r="U271" s="6"/>
      <c r="V271" s="6"/>
      <c r="W271" s="6"/>
      <c r="X271" s="6"/>
      <c r="Y271" s="6"/>
      <c r="Z271" s="6"/>
    </row>
    <row r="272" spans="1:26" ht="18" customHeight="1" x14ac:dyDescent="0.3">
      <c r="A272" s="142"/>
      <c r="B272" s="143"/>
      <c r="C272" s="151" t="str">
        <f>IF(B272="","",IFERROR(INDEX('12 P6 activities'!$B$7:$B$206,MATCH(B272,'12 P6 activities'!$A$7:$A$206,0)),"ID not in P6 list"))</f>
        <v/>
      </c>
      <c r="D272" s="151" t="str">
        <f>IF(B272="","",IFERROR(INDEX('12 P6 activities'!$C$7:$C$206,MATCH(B272,'12 P6 activities'!$A$7:$A$206,0)),"⚠ not in P6 list"))</f>
        <v/>
      </c>
      <c r="E272" s="143"/>
      <c r="F272" s="147"/>
      <c r="G272" s="145" t="str">
        <f>IF(B272="","",IFERROR(INDEX('12 P6 activities'!$E$7:$E$206,MATCH(B272,'12 P6 activities'!$A$7:$A$206,0)),""))</f>
        <v/>
      </c>
      <c r="H272" s="143"/>
      <c r="I272" s="143"/>
      <c r="J272" s="6"/>
      <c r="K272" s="6"/>
      <c r="L272" s="6"/>
      <c r="M272" s="6"/>
      <c r="N272" s="6"/>
      <c r="O272" s="6"/>
      <c r="P272" s="6"/>
      <c r="Q272" s="6"/>
      <c r="R272" s="6"/>
      <c r="S272" s="6"/>
      <c r="T272" s="6"/>
      <c r="U272" s="6"/>
      <c r="V272" s="6"/>
      <c r="W272" s="6"/>
      <c r="X272" s="6"/>
      <c r="Y272" s="6"/>
      <c r="Z272" s="6"/>
    </row>
    <row r="273" spans="1:26" ht="18" customHeight="1" x14ac:dyDescent="0.3">
      <c r="A273" s="142"/>
      <c r="B273" s="143"/>
      <c r="C273" s="151" t="str">
        <f>IF(B273="","",IFERROR(INDEX('12 P6 activities'!$B$7:$B$206,MATCH(B273,'12 P6 activities'!$A$7:$A$206,0)),"ID not in P6 list"))</f>
        <v/>
      </c>
      <c r="D273" s="151" t="str">
        <f>IF(B273="","",IFERROR(INDEX('12 P6 activities'!$C$7:$C$206,MATCH(B273,'12 P6 activities'!$A$7:$A$206,0)),"⚠ not in P6 list"))</f>
        <v/>
      </c>
      <c r="E273" s="143"/>
      <c r="F273" s="147"/>
      <c r="G273" s="145" t="str">
        <f>IF(B273="","",IFERROR(INDEX('12 P6 activities'!$E$7:$E$206,MATCH(B273,'12 P6 activities'!$A$7:$A$206,0)),""))</f>
        <v/>
      </c>
      <c r="H273" s="143"/>
      <c r="I273" s="143"/>
      <c r="J273" s="6"/>
      <c r="K273" s="6"/>
      <c r="L273" s="6"/>
      <c r="M273" s="6"/>
      <c r="N273" s="6"/>
      <c r="O273" s="6"/>
      <c r="P273" s="6"/>
      <c r="Q273" s="6"/>
      <c r="R273" s="6"/>
      <c r="S273" s="6"/>
      <c r="T273" s="6"/>
      <c r="U273" s="6"/>
      <c r="V273" s="6"/>
      <c r="W273" s="6"/>
      <c r="X273" s="6"/>
      <c r="Y273" s="6"/>
      <c r="Z273" s="6"/>
    </row>
    <row r="274" spans="1:26" ht="18" customHeight="1" x14ac:dyDescent="0.3">
      <c r="A274" s="142"/>
      <c r="B274" s="143"/>
      <c r="C274" s="151" t="str">
        <f>IF(B274="","",IFERROR(INDEX('12 P6 activities'!$B$7:$B$206,MATCH(B274,'12 P6 activities'!$A$7:$A$206,0)),"ID not in P6 list"))</f>
        <v/>
      </c>
      <c r="D274" s="151" t="str">
        <f>IF(B274="","",IFERROR(INDEX('12 P6 activities'!$C$7:$C$206,MATCH(B274,'12 P6 activities'!$A$7:$A$206,0)),"⚠ not in P6 list"))</f>
        <v/>
      </c>
      <c r="E274" s="143"/>
      <c r="F274" s="147"/>
      <c r="G274" s="145" t="str">
        <f>IF(B274="","",IFERROR(INDEX('12 P6 activities'!$E$7:$E$206,MATCH(B274,'12 P6 activities'!$A$7:$A$206,0)),""))</f>
        <v/>
      </c>
      <c r="H274" s="143"/>
      <c r="I274" s="143"/>
      <c r="J274" s="6"/>
      <c r="K274" s="6"/>
      <c r="L274" s="6"/>
      <c r="M274" s="6"/>
      <c r="N274" s="6"/>
      <c r="O274" s="6"/>
      <c r="P274" s="6"/>
      <c r="Q274" s="6"/>
      <c r="R274" s="6"/>
      <c r="S274" s="6"/>
      <c r="T274" s="6"/>
      <c r="U274" s="6"/>
      <c r="V274" s="6"/>
      <c r="W274" s="6"/>
      <c r="X274" s="6"/>
      <c r="Y274" s="6"/>
      <c r="Z274" s="6"/>
    </row>
    <row r="275" spans="1:26" ht="18" customHeight="1" x14ac:dyDescent="0.3">
      <c r="A275" s="142"/>
      <c r="B275" s="143"/>
      <c r="C275" s="151" t="str">
        <f>IF(B275="","",IFERROR(INDEX('12 P6 activities'!$B$7:$B$206,MATCH(B275,'12 P6 activities'!$A$7:$A$206,0)),"ID not in P6 list"))</f>
        <v/>
      </c>
      <c r="D275" s="151" t="str">
        <f>IF(B275="","",IFERROR(INDEX('12 P6 activities'!$C$7:$C$206,MATCH(B275,'12 P6 activities'!$A$7:$A$206,0)),"⚠ not in P6 list"))</f>
        <v/>
      </c>
      <c r="E275" s="143"/>
      <c r="F275" s="147"/>
      <c r="G275" s="145" t="str">
        <f>IF(B275="","",IFERROR(INDEX('12 P6 activities'!$E$7:$E$206,MATCH(B275,'12 P6 activities'!$A$7:$A$206,0)),""))</f>
        <v/>
      </c>
      <c r="H275" s="143"/>
      <c r="I275" s="143"/>
      <c r="J275" s="6"/>
      <c r="K275" s="6"/>
      <c r="L275" s="6"/>
      <c r="M275" s="6"/>
      <c r="N275" s="6"/>
      <c r="O275" s="6"/>
      <c r="P275" s="6"/>
      <c r="Q275" s="6"/>
      <c r="R275" s="6"/>
      <c r="S275" s="6"/>
      <c r="T275" s="6"/>
      <c r="U275" s="6"/>
      <c r="V275" s="6"/>
      <c r="W275" s="6"/>
      <c r="X275" s="6"/>
      <c r="Y275" s="6"/>
      <c r="Z275" s="6"/>
    </row>
    <row r="276" spans="1:26" ht="18" customHeight="1" x14ac:dyDescent="0.3">
      <c r="A276" s="142"/>
      <c r="B276" s="143"/>
      <c r="C276" s="151" t="str">
        <f>IF(B276="","",IFERROR(INDEX('12 P6 activities'!$B$7:$B$206,MATCH(B276,'12 P6 activities'!$A$7:$A$206,0)),"ID not in P6 list"))</f>
        <v/>
      </c>
      <c r="D276" s="151" t="str">
        <f>IF(B276="","",IFERROR(INDEX('12 P6 activities'!$C$7:$C$206,MATCH(B276,'12 P6 activities'!$A$7:$A$206,0)),"⚠ not in P6 list"))</f>
        <v/>
      </c>
      <c r="E276" s="143"/>
      <c r="F276" s="147"/>
      <c r="G276" s="145" t="str">
        <f>IF(B276="","",IFERROR(INDEX('12 P6 activities'!$E$7:$E$206,MATCH(B276,'12 P6 activities'!$A$7:$A$206,0)),""))</f>
        <v/>
      </c>
      <c r="H276" s="143"/>
      <c r="I276" s="143"/>
      <c r="J276" s="6"/>
      <c r="K276" s="6"/>
      <c r="L276" s="6"/>
      <c r="M276" s="6"/>
      <c r="N276" s="6"/>
      <c r="O276" s="6"/>
      <c r="P276" s="6"/>
      <c r="Q276" s="6"/>
      <c r="R276" s="6"/>
      <c r="S276" s="6"/>
      <c r="T276" s="6"/>
      <c r="U276" s="6"/>
      <c r="V276" s="6"/>
      <c r="W276" s="6"/>
      <c r="X276" s="6"/>
      <c r="Y276" s="6"/>
      <c r="Z276" s="6"/>
    </row>
    <row r="277" spans="1:26" ht="18" customHeight="1" x14ac:dyDescent="0.3">
      <c r="A277" s="142"/>
      <c r="B277" s="143"/>
      <c r="C277" s="151" t="str">
        <f>IF(B277="","",IFERROR(INDEX('12 P6 activities'!$B$7:$B$206,MATCH(B277,'12 P6 activities'!$A$7:$A$206,0)),"ID not in P6 list"))</f>
        <v/>
      </c>
      <c r="D277" s="151" t="str">
        <f>IF(B277="","",IFERROR(INDEX('12 P6 activities'!$C$7:$C$206,MATCH(B277,'12 P6 activities'!$A$7:$A$206,0)),"⚠ not in P6 list"))</f>
        <v/>
      </c>
      <c r="E277" s="143"/>
      <c r="F277" s="147"/>
      <c r="G277" s="145" t="str">
        <f>IF(B277="","",IFERROR(INDEX('12 P6 activities'!$E$7:$E$206,MATCH(B277,'12 P6 activities'!$A$7:$A$206,0)),""))</f>
        <v/>
      </c>
      <c r="H277" s="143"/>
      <c r="I277" s="143"/>
      <c r="J277" s="6"/>
      <c r="K277" s="6"/>
      <c r="L277" s="6"/>
      <c r="M277" s="6"/>
      <c r="N277" s="6"/>
      <c r="O277" s="6"/>
      <c r="P277" s="6"/>
      <c r="Q277" s="6"/>
      <c r="R277" s="6"/>
      <c r="S277" s="6"/>
      <c r="T277" s="6"/>
      <c r="U277" s="6"/>
      <c r="V277" s="6"/>
      <c r="W277" s="6"/>
      <c r="X277" s="6"/>
      <c r="Y277" s="6"/>
      <c r="Z277" s="6"/>
    </row>
    <row r="278" spans="1:26" ht="18" customHeight="1" x14ac:dyDescent="0.3">
      <c r="A278" s="142"/>
      <c r="B278" s="143"/>
      <c r="C278" s="151" t="str">
        <f>IF(B278="","",IFERROR(INDEX('12 P6 activities'!$B$7:$B$206,MATCH(B278,'12 P6 activities'!$A$7:$A$206,0)),"ID not in P6 list"))</f>
        <v/>
      </c>
      <c r="D278" s="151" t="str">
        <f>IF(B278="","",IFERROR(INDEX('12 P6 activities'!$C$7:$C$206,MATCH(B278,'12 P6 activities'!$A$7:$A$206,0)),"⚠ not in P6 list"))</f>
        <v/>
      </c>
      <c r="E278" s="143"/>
      <c r="F278" s="147"/>
      <c r="G278" s="145" t="str">
        <f>IF(B278="","",IFERROR(INDEX('12 P6 activities'!$E$7:$E$206,MATCH(B278,'12 P6 activities'!$A$7:$A$206,0)),""))</f>
        <v/>
      </c>
      <c r="H278" s="143"/>
      <c r="I278" s="143"/>
      <c r="J278" s="6"/>
      <c r="K278" s="6"/>
      <c r="L278" s="6"/>
      <c r="M278" s="6"/>
      <c r="N278" s="6"/>
      <c r="O278" s="6"/>
      <c r="P278" s="6"/>
      <c r="Q278" s="6"/>
      <c r="R278" s="6"/>
      <c r="S278" s="6"/>
      <c r="T278" s="6"/>
      <c r="U278" s="6"/>
      <c r="V278" s="6"/>
      <c r="W278" s="6"/>
      <c r="X278" s="6"/>
      <c r="Y278" s="6"/>
      <c r="Z278" s="6"/>
    </row>
    <row r="279" spans="1:26" ht="18" customHeight="1" x14ac:dyDescent="0.3">
      <c r="A279" s="142"/>
      <c r="B279" s="143"/>
      <c r="C279" s="151" t="str">
        <f>IF(B279="","",IFERROR(INDEX('12 P6 activities'!$B$7:$B$206,MATCH(B279,'12 P6 activities'!$A$7:$A$206,0)),"ID not in P6 list"))</f>
        <v/>
      </c>
      <c r="D279" s="151" t="str">
        <f>IF(B279="","",IFERROR(INDEX('12 P6 activities'!$C$7:$C$206,MATCH(B279,'12 P6 activities'!$A$7:$A$206,0)),"⚠ not in P6 list"))</f>
        <v/>
      </c>
      <c r="E279" s="143"/>
      <c r="F279" s="147"/>
      <c r="G279" s="145" t="str">
        <f>IF(B279="","",IFERROR(INDEX('12 P6 activities'!$E$7:$E$206,MATCH(B279,'12 P6 activities'!$A$7:$A$206,0)),""))</f>
        <v/>
      </c>
      <c r="H279" s="143"/>
      <c r="I279" s="143"/>
      <c r="J279" s="6"/>
      <c r="K279" s="6"/>
      <c r="L279" s="6"/>
      <c r="M279" s="6"/>
      <c r="N279" s="6"/>
      <c r="O279" s="6"/>
      <c r="P279" s="6"/>
      <c r="Q279" s="6"/>
      <c r="R279" s="6"/>
      <c r="S279" s="6"/>
      <c r="T279" s="6"/>
      <c r="U279" s="6"/>
      <c r="V279" s="6"/>
      <c r="W279" s="6"/>
      <c r="X279" s="6"/>
      <c r="Y279" s="6"/>
      <c r="Z279" s="6"/>
    </row>
    <row r="280" spans="1:26" ht="18" customHeight="1" x14ac:dyDescent="0.3">
      <c r="A280" s="142"/>
      <c r="B280" s="143"/>
      <c r="C280" s="151" t="str">
        <f>IF(B280="","",IFERROR(INDEX('12 P6 activities'!$B$7:$B$206,MATCH(B280,'12 P6 activities'!$A$7:$A$206,0)),"ID not in P6 list"))</f>
        <v/>
      </c>
      <c r="D280" s="151" t="str">
        <f>IF(B280="","",IFERROR(INDEX('12 P6 activities'!$C$7:$C$206,MATCH(B280,'12 P6 activities'!$A$7:$A$206,0)),"⚠ not in P6 list"))</f>
        <v/>
      </c>
      <c r="E280" s="143"/>
      <c r="F280" s="147"/>
      <c r="G280" s="145" t="str">
        <f>IF(B280="","",IFERROR(INDEX('12 P6 activities'!$E$7:$E$206,MATCH(B280,'12 P6 activities'!$A$7:$A$206,0)),""))</f>
        <v/>
      </c>
      <c r="H280" s="143"/>
      <c r="I280" s="143"/>
      <c r="J280" s="6"/>
      <c r="K280" s="6"/>
      <c r="L280" s="6"/>
      <c r="M280" s="6"/>
      <c r="N280" s="6"/>
      <c r="O280" s="6"/>
      <c r="P280" s="6"/>
      <c r="Q280" s="6"/>
      <c r="R280" s="6"/>
      <c r="S280" s="6"/>
      <c r="T280" s="6"/>
      <c r="U280" s="6"/>
      <c r="V280" s="6"/>
      <c r="W280" s="6"/>
      <c r="X280" s="6"/>
      <c r="Y280" s="6"/>
      <c r="Z280" s="6"/>
    </row>
    <row r="281" spans="1:26" ht="18" customHeight="1" x14ac:dyDescent="0.3">
      <c r="A281" s="142"/>
      <c r="B281" s="143"/>
      <c r="C281" s="151" t="str">
        <f>IF(B281="","",IFERROR(INDEX('12 P6 activities'!$B$7:$B$206,MATCH(B281,'12 P6 activities'!$A$7:$A$206,0)),"ID not in P6 list"))</f>
        <v/>
      </c>
      <c r="D281" s="151" t="str">
        <f>IF(B281="","",IFERROR(INDEX('12 P6 activities'!$C$7:$C$206,MATCH(B281,'12 P6 activities'!$A$7:$A$206,0)),"⚠ not in P6 list"))</f>
        <v/>
      </c>
      <c r="E281" s="143"/>
      <c r="F281" s="147"/>
      <c r="G281" s="145" t="str">
        <f>IF(B281="","",IFERROR(INDEX('12 P6 activities'!$E$7:$E$206,MATCH(B281,'12 P6 activities'!$A$7:$A$206,0)),""))</f>
        <v/>
      </c>
      <c r="H281" s="143"/>
      <c r="I281" s="143"/>
      <c r="J281" s="6"/>
      <c r="K281" s="6"/>
      <c r="L281" s="6"/>
      <c r="M281" s="6"/>
      <c r="N281" s="6"/>
      <c r="O281" s="6"/>
      <c r="P281" s="6"/>
      <c r="Q281" s="6"/>
      <c r="R281" s="6"/>
      <c r="S281" s="6"/>
      <c r="T281" s="6"/>
      <c r="U281" s="6"/>
      <c r="V281" s="6"/>
      <c r="W281" s="6"/>
      <c r="X281" s="6"/>
      <c r="Y281" s="6"/>
      <c r="Z281" s="6"/>
    </row>
    <row r="282" spans="1:26" ht="18" customHeight="1" x14ac:dyDescent="0.3">
      <c r="A282" s="142"/>
      <c r="B282" s="143"/>
      <c r="C282" s="151" t="str">
        <f>IF(B282="","",IFERROR(INDEX('12 P6 activities'!$B$7:$B$206,MATCH(B282,'12 P6 activities'!$A$7:$A$206,0)),"ID not in P6 list"))</f>
        <v/>
      </c>
      <c r="D282" s="151" t="str">
        <f>IF(B282="","",IFERROR(INDEX('12 P6 activities'!$C$7:$C$206,MATCH(B282,'12 P6 activities'!$A$7:$A$206,0)),"⚠ not in P6 list"))</f>
        <v/>
      </c>
      <c r="E282" s="143"/>
      <c r="F282" s="147"/>
      <c r="G282" s="145" t="str">
        <f>IF(B282="","",IFERROR(INDEX('12 P6 activities'!$E$7:$E$206,MATCH(B282,'12 P6 activities'!$A$7:$A$206,0)),""))</f>
        <v/>
      </c>
      <c r="H282" s="143"/>
      <c r="I282" s="143"/>
      <c r="J282" s="6"/>
      <c r="K282" s="6"/>
      <c r="L282" s="6"/>
      <c r="M282" s="6"/>
      <c r="N282" s="6"/>
      <c r="O282" s="6"/>
      <c r="P282" s="6"/>
      <c r="Q282" s="6"/>
      <c r="R282" s="6"/>
      <c r="S282" s="6"/>
      <c r="T282" s="6"/>
      <c r="U282" s="6"/>
      <c r="V282" s="6"/>
      <c r="W282" s="6"/>
      <c r="X282" s="6"/>
      <c r="Y282" s="6"/>
      <c r="Z282" s="6"/>
    </row>
    <row r="283" spans="1:26" ht="18" customHeight="1" x14ac:dyDescent="0.3">
      <c r="A283" s="142"/>
      <c r="B283" s="143"/>
      <c r="C283" s="151" t="str">
        <f>IF(B283="","",IFERROR(INDEX('12 P6 activities'!$B$7:$B$206,MATCH(B283,'12 P6 activities'!$A$7:$A$206,0)),"ID not in P6 list"))</f>
        <v/>
      </c>
      <c r="D283" s="151" t="str">
        <f>IF(B283="","",IFERROR(INDEX('12 P6 activities'!$C$7:$C$206,MATCH(B283,'12 P6 activities'!$A$7:$A$206,0)),"⚠ not in P6 list"))</f>
        <v/>
      </c>
      <c r="E283" s="143"/>
      <c r="F283" s="147"/>
      <c r="G283" s="145" t="str">
        <f>IF(B283="","",IFERROR(INDEX('12 P6 activities'!$E$7:$E$206,MATCH(B283,'12 P6 activities'!$A$7:$A$206,0)),""))</f>
        <v/>
      </c>
      <c r="H283" s="143"/>
      <c r="I283" s="143"/>
      <c r="J283" s="6"/>
      <c r="K283" s="6"/>
      <c r="L283" s="6"/>
      <c r="M283" s="6"/>
      <c r="N283" s="6"/>
      <c r="O283" s="6"/>
      <c r="P283" s="6"/>
      <c r="Q283" s="6"/>
      <c r="R283" s="6"/>
      <c r="S283" s="6"/>
      <c r="T283" s="6"/>
      <c r="U283" s="6"/>
      <c r="V283" s="6"/>
      <c r="W283" s="6"/>
      <c r="X283" s="6"/>
      <c r="Y283" s="6"/>
      <c r="Z283" s="6"/>
    </row>
    <row r="284" spans="1:26" ht="18" customHeight="1" x14ac:dyDescent="0.3">
      <c r="A284" s="142"/>
      <c r="B284" s="143"/>
      <c r="C284" s="151" t="str">
        <f>IF(B284="","",IFERROR(INDEX('12 P6 activities'!$B$7:$B$206,MATCH(B284,'12 P6 activities'!$A$7:$A$206,0)),"ID not in P6 list"))</f>
        <v/>
      </c>
      <c r="D284" s="151" t="str">
        <f>IF(B284="","",IFERROR(INDEX('12 P6 activities'!$C$7:$C$206,MATCH(B284,'12 P6 activities'!$A$7:$A$206,0)),"⚠ not in P6 list"))</f>
        <v/>
      </c>
      <c r="E284" s="143"/>
      <c r="F284" s="147"/>
      <c r="G284" s="145" t="str">
        <f>IF(B284="","",IFERROR(INDEX('12 P6 activities'!$E$7:$E$206,MATCH(B284,'12 P6 activities'!$A$7:$A$206,0)),""))</f>
        <v/>
      </c>
      <c r="H284" s="143"/>
      <c r="I284" s="143"/>
      <c r="J284" s="6"/>
      <c r="K284" s="6"/>
      <c r="L284" s="6"/>
      <c r="M284" s="6"/>
      <c r="N284" s="6"/>
      <c r="O284" s="6"/>
      <c r="P284" s="6"/>
      <c r="Q284" s="6"/>
      <c r="R284" s="6"/>
      <c r="S284" s="6"/>
      <c r="T284" s="6"/>
      <c r="U284" s="6"/>
      <c r="V284" s="6"/>
      <c r="W284" s="6"/>
      <c r="X284" s="6"/>
      <c r="Y284" s="6"/>
      <c r="Z284" s="6"/>
    </row>
    <row r="285" spans="1:26" ht="18" customHeight="1" x14ac:dyDescent="0.3">
      <c r="A285" s="142"/>
      <c r="B285" s="143"/>
      <c r="C285" s="151" t="str">
        <f>IF(B285="","",IFERROR(INDEX('12 P6 activities'!$B$7:$B$206,MATCH(B285,'12 P6 activities'!$A$7:$A$206,0)),"ID not in P6 list"))</f>
        <v/>
      </c>
      <c r="D285" s="151" t="str">
        <f>IF(B285="","",IFERROR(INDEX('12 P6 activities'!$C$7:$C$206,MATCH(B285,'12 P6 activities'!$A$7:$A$206,0)),"⚠ not in P6 list"))</f>
        <v/>
      </c>
      <c r="E285" s="143"/>
      <c r="F285" s="147"/>
      <c r="G285" s="145" t="str">
        <f>IF(B285="","",IFERROR(INDEX('12 P6 activities'!$E$7:$E$206,MATCH(B285,'12 P6 activities'!$A$7:$A$206,0)),""))</f>
        <v/>
      </c>
      <c r="H285" s="143"/>
      <c r="I285" s="143"/>
      <c r="J285" s="6"/>
      <c r="K285" s="6"/>
      <c r="L285" s="6"/>
      <c r="M285" s="6"/>
      <c r="N285" s="6"/>
      <c r="O285" s="6"/>
      <c r="P285" s="6"/>
      <c r="Q285" s="6"/>
      <c r="R285" s="6"/>
      <c r="S285" s="6"/>
      <c r="T285" s="6"/>
      <c r="U285" s="6"/>
      <c r="V285" s="6"/>
      <c r="W285" s="6"/>
      <c r="X285" s="6"/>
      <c r="Y285" s="6"/>
      <c r="Z285" s="6"/>
    </row>
    <row r="286" spans="1:26" ht="18" customHeight="1" x14ac:dyDescent="0.3">
      <c r="A286" s="142"/>
      <c r="B286" s="143"/>
      <c r="C286" s="151" t="str">
        <f>IF(B286="","",IFERROR(INDEX('12 P6 activities'!$B$7:$B$206,MATCH(B286,'12 P6 activities'!$A$7:$A$206,0)),"ID not in P6 list"))</f>
        <v/>
      </c>
      <c r="D286" s="151" t="str">
        <f>IF(B286="","",IFERROR(INDEX('12 P6 activities'!$C$7:$C$206,MATCH(B286,'12 P6 activities'!$A$7:$A$206,0)),"⚠ not in P6 list"))</f>
        <v/>
      </c>
      <c r="E286" s="143"/>
      <c r="F286" s="147"/>
      <c r="G286" s="145" t="str">
        <f>IF(B286="","",IFERROR(INDEX('12 P6 activities'!$E$7:$E$206,MATCH(B286,'12 P6 activities'!$A$7:$A$206,0)),""))</f>
        <v/>
      </c>
      <c r="H286" s="143"/>
      <c r="I286" s="143"/>
      <c r="J286" s="6"/>
      <c r="K286" s="6"/>
      <c r="L286" s="6"/>
      <c r="M286" s="6"/>
      <c r="N286" s="6"/>
      <c r="O286" s="6"/>
      <c r="P286" s="6"/>
      <c r="Q286" s="6"/>
      <c r="R286" s="6"/>
      <c r="S286" s="6"/>
      <c r="T286" s="6"/>
      <c r="U286" s="6"/>
      <c r="V286" s="6"/>
      <c r="W286" s="6"/>
      <c r="X286" s="6"/>
      <c r="Y286" s="6"/>
      <c r="Z286" s="6"/>
    </row>
    <row r="287" spans="1:26" ht="18" customHeight="1" x14ac:dyDescent="0.3">
      <c r="A287" s="142"/>
      <c r="B287" s="143"/>
      <c r="C287" s="151" t="str">
        <f>IF(B287="","",IFERROR(INDEX('12 P6 activities'!$B$7:$B$206,MATCH(B287,'12 P6 activities'!$A$7:$A$206,0)),"ID not in P6 list"))</f>
        <v/>
      </c>
      <c r="D287" s="151" t="str">
        <f>IF(B287="","",IFERROR(INDEX('12 P6 activities'!$C$7:$C$206,MATCH(B287,'12 P6 activities'!$A$7:$A$206,0)),"⚠ not in P6 list"))</f>
        <v/>
      </c>
      <c r="E287" s="143"/>
      <c r="F287" s="147"/>
      <c r="G287" s="145" t="str">
        <f>IF(B287="","",IFERROR(INDEX('12 P6 activities'!$E$7:$E$206,MATCH(B287,'12 P6 activities'!$A$7:$A$206,0)),""))</f>
        <v/>
      </c>
      <c r="H287" s="143"/>
      <c r="I287" s="143"/>
      <c r="J287" s="6"/>
      <c r="K287" s="6"/>
      <c r="L287" s="6"/>
      <c r="M287" s="6"/>
      <c r="N287" s="6"/>
      <c r="O287" s="6"/>
      <c r="P287" s="6"/>
      <c r="Q287" s="6"/>
      <c r="R287" s="6"/>
      <c r="S287" s="6"/>
      <c r="T287" s="6"/>
      <c r="U287" s="6"/>
      <c r="V287" s="6"/>
      <c r="W287" s="6"/>
      <c r="X287" s="6"/>
      <c r="Y287" s="6"/>
      <c r="Z287" s="6"/>
    </row>
    <row r="288" spans="1:26" ht="18" customHeight="1" x14ac:dyDescent="0.3">
      <c r="A288" s="142"/>
      <c r="B288" s="143"/>
      <c r="C288" s="151" t="str">
        <f>IF(B288="","",IFERROR(INDEX('12 P6 activities'!$B$7:$B$206,MATCH(B288,'12 P6 activities'!$A$7:$A$206,0)),"ID not in P6 list"))</f>
        <v/>
      </c>
      <c r="D288" s="151" t="str">
        <f>IF(B288="","",IFERROR(INDEX('12 P6 activities'!$C$7:$C$206,MATCH(B288,'12 P6 activities'!$A$7:$A$206,0)),"⚠ not in P6 list"))</f>
        <v/>
      </c>
      <c r="E288" s="143"/>
      <c r="F288" s="147"/>
      <c r="G288" s="145" t="str">
        <f>IF(B288="","",IFERROR(INDEX('12 P6 activities'!$E$7:$E$206,MATCH(B288,'12 P6 activities'!$A$7:$A$206,0)),""))</f>
        <v/>
      </c>
      <c r="H288" s="143"/>
      <c r="I288" s="143"/>
      <c r="J288" s="6"/>
      <c r="K288" s="6"/>
      <c r="L288" s="6"/>
      <c r="M288" s="6"/>
      <c r="N288" s="6"/>
      <c r="O288" s="6"/>
      <c r="P288" s="6"/>
      <c r="Q288" s="6"/>
      <c r="R288" s="6"/>
      <c r="S288" s="6"/>
      <c r="T288" s="6"/>
      <c r="U288" s="6"/>
      <c r="V288" s="6"/>
      <c r="W288" s="6"/>
      <c r="X288" s="6"/>
      <c r="Y288" s="6"/>
      <c r="Z288" s="6"/>
    </row>
    <row r="289" spans="1:26" ht="18" customHeight="1" x14ac:dyDescent="0.3">
      <c r="A289" s="142"/>
      <c r="B289" s="143"/>
      <c r="C289" s="151" t="str">
        <f>IF(B289="","",IFERROR(INDEX('12 P6 activities'!$B$7:$B$206,MATCH(B289,'12 P6 activities'!$A$7:$A$206,0)),"ID not in P6 list"))</f>
        <v/>
      </c>
      <c r="D289" s="151" t="str">
        <f>IF(B289="","",IFERROR(INDEX('12 P6 activities'!$C$7:$C$206,MATCH(B289,'12 P6 activities'!$A$7:$A$206,0)),"⚠ not in P6 list"))</f>
        <v/>
      </c>
      <c r="E289" s="143"/>
      <c r="F289" s="147"/>
      <c r="G289" s="145" t="str">
        <f>IF(B289="","",IFERROR(INDEX('12 P6 activities'!$E$7:$E$206,MATCH(B289,'12 P6 activities'!$A$7:$A$206,0)),""))</f>
        <v/>
      </c>
      <c r="H289" s="143"/>
      <c r="I289" s="143"/>
      <c r="J289" s="6"/>
      <c r="K289" s="6"/>
      <c r="L289" s="6"/>
      <c r="M289" s="6"/>
      <c r="N289" s="6"/>
      <c r="O289" s="6"/>
      <c r="P289" s="6"/>
      <c r="Q289" s="6"/>
      <c r="R289" s="6"/>
      <c r="S289" s="6"/>
      <c r="T289" s="6"/>
      <c r="U289" s="6"/>
      <c r="V289" s="6"/>
      <c r="W289" s="6"/>
      <c r="X289" s="6"/>
      <c r="Y289" s="6"/>
      <c r="Z289" s="6"/>
    </row>
    <row r="290" spans="1:26" ht="18" customHeight="1" x14ac:dyDescent="0.3">
      <c r="A290" s="142"/>
      <c r="B290" s="143"/>
      <c r="C290" s="151" t="str">
        <f>IF(B290="","",IFERROR(INDEX('12 P6 activities'!$B$7:$B$206,MATCH(B290,'12 P6 activities'!$A$7:$A$206,0)),"ID not in P6 list"))</f>
        <v/>
      </c>
      <c r="D290" s="151" t="str">
        <f>IF(B290="","",IFERROR(INDEX('12 P6 activities'!$C$7:$C$206,MATCH(B290,'12 P6 activities'!$A$7:$A$206,0)),"⚠ not in P6 list"))</f>
        <v/>
      </c>
      <c r="E290" s="143"/>
      <c r="F290" s="147"/>
      <c r="G290" s="145" t="str">
        <f>IF(B290="","",IFERROR(INDEX('12 P6 activities'!$E$7:$E$206,MATCH(B290,'12 P6 activities'!$A$7:$A$206,0)),""))</f>
        <v/>
      </c>
      <c r="H290" s="143"/>
      <c r="I290" s="143"/>
      <c r="J290" s="6"/>
      <c r="K290" s="6"/>
      <c r="L290" s="6"/>
      <c r="M290" s="6"/>
      <c r="N290" s="6"/>
      <c r="O290" s="6"/>
      <c r="P290" s="6"/>
      <c r="Q290" s="6"/>
      <c r="R290" s="6"/>
      <c r="S290" s="6"/>
      <c r="T290" s="6"/>
      <c r="U290" s="6"/>
      <c r="V290" s="6"/>
      <c r="W290" s="6"/>
      <c r="X290" s="6"/>
      <c r="Y290" s="6"/>
      <c r="Z290" s="6"/>
    </row>
    <row r="291" spans="1:26" ht="18" customHeight="1" x14ac:dyDescent="0.3">
      <c r="A291" s="142"/>
      <c r="B291" s="143"/>
      <c r="C291" s="151" t="str">
        <f>IF(B291="","",IFERROR(INDEX('12 P6 activities'!$B$7:$B$206,MATCH(B291,'12 P6 activities'!$A$7:$A$206,0)),"ID not in P6 list"))</f>
        <v/>
      </c>
      <c r="D291" s="151" t="str">
        <f>IF(B291="","",IFERROR(INDEX('12 P6 activities'!$C$7:$C$206,MATCH(B291,'12 P6 activities'!$A$7:$A$206,0)),"⚠ not in P6 list"))</f>
        <v/>
      </c>
      <c r="E291" s="143"/>
      <c r="F291" s="147"/>
      <c r="G291" s="145" t="str">
        <f>IF(B291="","",IFERROR(INDEX('12 P6 activities'!$E$7:$E$206,MATCH(B291,'12 P6 activities'!$A$7:$A$206,0)),""))</f>
        <v/>
      </c>
      <c r="H291" s="143"/>
      <c r="I291" s="143"/>
      <c r="J291" s="6"/>
      <c r="K291" s="6"/>
      <c r="L291" s="6"/>
      <c r="M291" s="6"/>
      <c r="N291" s="6"/>
      <c r="O291" s="6"/>
      <c r="P291" s="6"/>
      <c r="Q291" s="6"/>
      <c r="R291" s="6"/>
      <c r="S291" s="6"/>
      <c r="T291" s="6"/>
      <c r="U291" s="6"/>
      <c r="V291" s="6"/>
      <c r="W291" s="6"/>
      <c r="X291" s="6"/>
      <c r="Y291" s="6"/>
      <c r="Z291" s="6"/>
    </row>
    <row r="292" spans="1:26" ht="18" customHeight="1" x14ac:dyDescent="0.3">
      <c r="A292" s="142"/>
      <c r="B292" s="143"/>
      <c r="C292" s="151" t="str">
        <f>IF(B292="","",IFERROR(INDEX('12 P6 activities'!$B$7:$B$206,MATCH(B292,'12 P6 activities'!$A$7:$A$206,0)),"ID not in P6 list"))</f>
        <v/>
      </c>
      <c r="D292" s="151" t="str">
        <f>IF(B292="","",IFERROR(INDEX('12 P6 activities'!$C$7:$C$206,MATCH(B292,'12 P6 activities'!$A$7:$A$206,0)),"⚠ not in P6 list"))</f>
        <v/>
      </c>
      <c r="E292" s="143"/>
      <c r="F292" s="147"/>
      <c r="G292" s="145" t="str">
        <f>IF(B292="","",IFERROR(INDEX('12 P6 activities'!$E$7:$E$206,MATCH(B292,'12 P6 activities'!$A$7:$A$206,0)),""))</f>
        <v/>
      </c>
      <c r="H292" s="143"/>
      <c r="I292" s="143"/>
      <c r="J292" s="6"/>
      <c r="K292" s="6"/>
      <c r="L292" s="6"/>
      <c r="M292" s="6"/>
      <c r="N292" s="6"/>
      <c r="O292" s="6"/>
      <c r="P292" s="6"/>
      <c r="Q292" s="6"/>
      <c r="R292" s="6"/>
      <c r="S292" s="6"/>
      <c r="T292" s="6"/>
      <c r="U292" s="6"/>
      <c r="V292" s="6"/>
      <c r="W292" s="6"/>
      <c r="X292" s="6"/>
      <c r="Y292" s="6"/>
      <c r="Z292" s="6"/>
    </row>
    <row r="293" spans="1:26" ht="18" customHeight="1" x14ac:dyDescent="0.3">
      <c r="A293" s="142"/>
      <c r="B293" s="143"/>
      <c r="C293" s="151" t="str">
        <f>IF(B293="","",IFERROR(INDEX('12 P6 activities'!$B$7:$B$206,MATCH(B293,'12 P6 activities'!$A$7:$A$206,0)),"ID not in P6 list"))</f>
        <v/>
      </c>
      <c r="D293" s="151" t="str">
        <f>IF(B293="","",IFERROR(INDEX('12 P6 activities'!$C$7:$C$206,MATCH(B293,'12 P6 activities'!$A$7:$A$206,0)),"⚠ not in P6 list"))</f>
        <v/>
      </c>
      <c r="E293" s="143"/>
      <c r="F293" s="147"/>
      <c r="G293" s="145" t="str">
        <f>IF(B293="","",IFERROR(INDEX('12 P6 activities'!$E$7:$E$206,MATCH(B293,'12 P6 activities'!$A$7:$A$206,0)),""))</f>
        <v/>
      </c>
      <c r="H293" s="143"/>
      <c r="I293" s="143"/>
      <c r="J293" s="6"/>
      <c r="K293" s="6"/>
      <c r="L293" s="6"/>
      <c r="M293" s="6"/>
      <c r="N293" s="6"/>
      <c r="O293" s="6"/>
      <c r="P293" s="6"/>
      <c r="Q293" s="6"/>
      <c r="R293" s="6"/>
      <c r="S293" s="6"/>
      <c r="T293" s="6"/>
      <c r="U293" s="6"/>
      <c r="V293" s="6"/>
      <c r="W293" s="6"/>
      <c r="X293" s="6"/>
      <c r="Y293" s="6"/>
      <c r="Z293" s="6"/>
    </row>
    <row r="294" spans="1:26" ht="18" customHeight="1" x14ac:dyDescent="0.3">
      <c r="A294" s="142"/>
      <c r="B294" s="143"/>
      <c r="C294" s="151" t="str">
        <f>IF(B294="","",IFERROR(INDEX('12 P6 activities'!$B$7:$B$206,MATCH(B294,'12 P6 activities'!$A$7:$A$206,0)),"ID not in P6 list"))</f>
        <v/>
      </c>
      <c r="D294" s="151" t="str">
        <f>IF(B294="","",IFERROR(INDEX('12 P6 activities'!$C$7:$C$206,MATCH(B294,'12 P6 activities'!$A$7:$A$206,0)),"⚠ not in P6 list"))</f>
        <v/>
      </c>
      <c r="E294" s="143"/>
      <c r="F294" s="147"/>
      <c r="G294" s="145" t="str">
        <f>IF(B294="","",IFERROR(INDEX('12 P6 activities'!$E$7:$E$206,MATCH(B294,'12 P6 activities'!$A$7:$A$206,0)),""))</f>
        <v/>
      </c>
      <c r="H294" s="143"/>
      <c r="I294" s="143"/>
      <c r="J294" s="6"/>
      <c r="K294" s="6"/>
      <c r="L294" s="6"/>
      <c r="M294" s="6"/>
      <c r="N294" s="6"/>
      <c r="O294" s="6"/>
      <c r="P294" s="6"/>
      <c r="Q294" s="6"/>
      <c r="R294" s="6"/>
      <c r="S294" s="6"/>
      <c r="T294" s="6"/>
      <c r="U294" s="6"/>
      <c r="V294" s="6"/>
      <c r="W294" s="6"/>
      <c r="X294" s="6"/>
      <c r="Y294" s="6"/>
      <c r="Z294" s="6"/>
    </row>
    <row r="295" spans="1:26" ht="18" customHeight="1" x14ac:dyDescent="0.3">
      <c r="A295" s="142"/>
      <c r="B295" s="143"/>
      <c r="C295" s="151" t="str">
        <f>IF(B295="","",IFERROR(INDEX('12 P6 activities'!$B$7:$B$206,MATCH(B295,'12 P6 activities'!$A$7:$A$206,0)),"ID not in P6 list"))</f>
        <v/>
      </c>
      <c r="D295" s="151" t="str">
        <f>IF(B295="","",IFERROR(INDEX('12 P6 activities'!$C$7:$C$206,MATCH(B295,'12 P6 activities'!$A$7:$A$206,0)),"⚠ not in P6 list"))</f>
        <v/>
      </c>
      <c r="E295" s="143"/>
      <c r="F295" s="147"/>
      <c r="G295" s="145" t="str">
        <f>IF(B295="","",IFERROR(INDEX('12 P6 activities'!$E$7:$E$206,MATCH(B295,'12 P6 activities'!$A$7:$A$206,0)),""))</f>
        <v/>
      </c>
      <c r="H295" s="143"/>
      <c r="I295" s="143"/>
      <c r="J295" s="6"/>
      <c r="K295" s="6"/>
      <c r="L295" s="6"/>
      <c r="M295" s="6"/>
      <c r="N295" s="6"/>
      <c r="O295" s="6"/>
      <c r="P295" s="6"/>
      <c r="Q295" s="6"/>
      <c r="R295" s="6"/>
      <c r="S295" s="6"/>
      <c r="T295" s="6"/>
      <c r="U295" s="6"/>
      <c r="V295" s="6"/>
      <c r="W295" s="6"/>
      <c r="X295" s="6"/>
      <c r="Y295" s="6"/>
      <c r="Z295" s="6"/>
    </row>
    <row r="296" spans="1:26" ht="18" customHeight="1" x14ac:dyDescent="0.3">
      <c r="A296" s="142"/>
      <c r="B296" s="143"/>
      <c r="C296" s="151" t="str">
        <f>IF(B296="","",IFERROR(INDEX('12 P6 activities'!$B$7:$B$206,MATCH(B296,'12 P6 activities'!$A$7:$A$206,0)),"ID not in P6 list"))</f>
        <v/>
      </c>
      <c r="D296" s="151" t="str">
        <f>IF(B296="","",IFERROR(INDEX('12 P6 activities'!$C$7:$C$206,MATCH(B296,'12 P6 activities'!$A$7:$A$206,0)),"⚠ not in P6 list"))</f>
        <v/>
      </c>
      <c r="E296" s="143"/>
      <c r="F296" s="147"/>
      <c r="G296" s="145" t="str">
        <f>IF(B296="","",IFERROR(INDEX('12 P6 activities'!$E$7:$E$206,MATCH(B296,'12 P6 activities'!$A$7:$A$206,0)),""))</f>
        <v/>
      </c>
      <c r="H296" s="143"/>
      <c r="I296" s="143"/>
      <c r="J296" s="6"/>
      <c r="K296" s="6"/>
      <c r="L296" s="6"/>
      <c r="M296" s="6"/>
      <c r="N296" s="6"/>
      <c r="O296" s="6"/>
      <c r="P296" s="6"/>
      <c r="Q296" s="6"/>
      <c r="R296" s="6"/>
      <c r="S296" s="6"/>
      <c r="T296" s="6"/>
      <c r="U296" s="6"/>
      <c r="V296" s="6"/>
      <c r="W296" s="6"/>
      <c r="X296" s="6"/>
      <c r="Y296" s="6"/>
      <c r="Z296" s="6"/>
    </row>
    <row r="297" spans="1:26" ht="18" customHeight="1" x14ac:dyDescent="0.3">
      <c r="A297" s="142"/>
      <c r="B297" s="143"/>
      <c r="C297" s="151" t="str">
        <f>IF(B297="","",IFERROR(INDEX('12 P6 activities'!$B$7:$B$206,MATCH(B297,'12 P6 activities'!$A$7:$A$206,0)),"ID not in P6 list"))</f>
        <v/>
      </c>
      <c r="D297" s="151" t="str">
        <f>IF(B297="","",IFERROR(INDEX('12 P6 activities'!$C$7:$C$206,MATCH(B297,'12 P6 activities'!$A$7:$A$206,0)),"⚠ not in P6 list"))</f>
        <v/>
      </c>
      <c r="E297" s="143"/>
      <c r="F297" s="147"/>
      <c r="G297" s="145" t="str">
        <f>IF(B297="","",IFERROR(INDEX('12 P6 activities'!$E$7:$E$206,MATCH(B297,'12 P6 activities'!$A$7:$A$206,0)),""))</f>
        <v/>
      </c>
      <c r="H297" s="143"/>
      <c r="I297" s="143"/>
      <c r="J297" s="6"/>
      <c r="K297" s="6"/>
      <c r="L297" s="6"/>
      <c r="M297" s="6"/>
      <c r="N297" s="6"/>
      <c r="O297" s="6"/>
      <c r="P297" s="6"/>
      <c r="Q297" s="6"/>
      <c r="R297" s="6"/>
      <c r="S297" s="6"/>
      <c r="T297" s="6"/>
      <c r="U297" s="6"/>
      <c r="V297" s="6"/>
      <c r="W297" s="6"/>
      <c r="X297" s="6"/>
      <c r="Y297" s="6"/>
      <c r="Z297" s="6"/>
    </row>
    <row r="298" spans="1:26" ht="18" customHeight="1" x14ac:dyDescent="0.3">
      <c r="A298" s="142"/>
      <c r="B298" s="143"/>
      <c r="C298" s="151" t="str">
        <f>IF(B298="","",IFERROR(INDEX('12 P6 activities'!$B$7:$B$206,MATCH(B298,'12 P6 activities'!$A$7:$A$206,0)),"ID not in P6 list"))</f>
        <v/>
      </c>
      <c r="D298" s="151" t="str">
        <f>IF(B298="","",IFERROR(INDEX('12 P6 activities'!$C$7:$C$206,MATCH(B298,'12 P6 activities'!$A$7:$A$206,0)),"⚠ not in P6 list"))</f>
        <v/>
      </c>
      <c r="E298" s="143"/>
      <c r="F298" s="147"/>
      <c r="G298" s="145" t="str">
        <f>IF(B298="","",IFERROR(INDEX('12 P6 activities'!$E$7:$E$206,MATCH(B298,'12 P6 activities'!$A$7:$A$206,0)),""))</f>
        <v/>
      </c>
      <c r="H298" s="143"/>
      <c r="I298" s="143"/>
      <c r="J298" s="6"/>
      <c r="K298" s="6"/>
      <c r="L298" s="6"/>
      <c r="M298" s="6"/>
      <c r="N298" s="6"/>
      <c r="O298" s="6"/>
      <c r="P298" s="6"/>
      <c r="Q298" s="6"/>
      <c r="R298" s="6"/>
      <c r="S298" s="6"/>
      <c r="T298" s="6"/>
      <c r="U298" s="6"/>
      <c r="V298" s="6"/>
      <c r="W298" s="6"/>
      <c r="X298" s="6"/>
      <c r="Y298" s="6"/>
      <c r="Z298" s="6"/>
    </row>
    <row r="299" spans="1:26" ht="18" customHeight="1" x14ac:dyDescent="0.3">
      <c r="A299" s="142"/>
      <c r="B299" s="143"/>
      <c r="C299" s="151" t="str">
        <f>IF(B299="","",IFERROR(INDEX('12 P6 activities'!$B$7:$B$206,MATCH(B299,'12 P6 activities'!$A$7:$A$206,0)),"ID not in P6 list"))</f>
        <v/>
      </c>
      <c r="D299" s="151" t="str">
        <f>IF(B299="","",IFERROR(INDEX('12 P6 activities'!$C$7:$C$206,MATCH(B299,'12 P6 activities'!$A$7:$A$206,0)),"⚠ not in P6 list"))</f>
        <v/>
      </c>
      <c r="E299" s="143"/>
      <c r="F299" s="147"/>
      <c r="G299" s="145" t="str">
        <f>IF(B299="","",IFERROR(INDEX('12 P6 activities'!$E$7:$E$206,MATCH(B299,'12 P6 activities'!$A$7:$A$206,0)),""))</f>
        <v/>
      </c>
      <c r="H299" s="143"/>
      <c r="I299" s="143"/>
      <c r="J299" s="6"/>
      <c r="K299" s="6"/>
      <c r="L299" s="6"/>
      <c r="M299" s="6"/>
      <c r="N299" s="6"/>
      <c r="O299" s="6"/>
      <c r="P299" s="6"/>
      <c r="Q299" s="6"/>
      <c r="R299" s="6"/>
      <c r="S299" s="6"/>
      <c r="T299" s="6"/>
      <c r="U299" s="6"/>
      <c r="V299" s="6"/>
      <c r="W299" s="6"/>
      <c r="X299" s="6"/>
      <c r="Y299" s="6"/>
      <c r="Z299" s="6"/>
    </row>
    <row r="300" spans="1:26" ht="18" customHeight="1" x14ac:dyDescent="0.3">
      <c r="A300" s="142"/>
      <c r="B300" s="143"/>
      <c r="C300" s="151" t="str">
        <f>IF(B300="","",IFERROR(INDEX('12 P6 activities'!$B$7:$B$206,MATCH(B300,'12 P6 activities'!$A$7:$A$206,0)),"ID not in P6 list"))</f>
        <v/>
      </c>
      <c r="D300" s="151" t="str">
        <f>IF(B300="","",IFERROR(INDEX('12 P6 activities'!$C$7:$C$206,MATCH(B300,'12 P6 activities'!$A$7:$A$206,0)),"⚠ not in P6 list"))</f>
        <v/>
      </c>
      <c r="E300" s="143"/>
      <c r="F300" s="147"/>
      <c r="G300" s="145" t="str">
        <f>IF(B300="","",IFERROR(INDEX('12 P6 activities'!$E$7:$E$206,MATCH(B300,'12 P6 activities'!$A$7:$A$206,0)),""))</f>
        <v/>
      </c>
      <c r="H300" s="143"/>
      <c r="I300" s="143"/>
      <c r="J300" s="6"/>
      <c r="K300" s="6"/>
      <c r="L300" s="6"/>
      <c r="M300" s="6"/>
      <c r="N300" s="6"/>
      <c r="O300" s="6"/>
      <c r="P300" s="6"/>
      <c r="Q300" s="6"/>
      <c r="R300" s="6"/>
      <c r="S300" s="6"/>
      <c r="T300" s="6"/>
      <c r="U300" s="6"/>
      <c r="V300" s="6"/>
      <c r="W300" s="6"/>
      <c r="X300" s="6"/>
      <c r="Y300" s="6"/>
      <c r="Z300" s="6"/>
    </row>
    <row r="301" spans="1:26" ht="18" customHeight="1" x14ac:dyDescent="0.3">
      <c r="A301" s="142"/>
      <c r="B301" s="143"/>
      <c r="C301" s="151" t="str">
        <f>IF(B301="","",IFERROR(INDEX('12 P6 activities'!$B$7:$B$206,MATCH(B301,'12 P6 activities'!$A$7:$A$206,0)),"ID not in P6 list"))</f>
        <v/>
      </c>
      <c r="D301" s="151" t="str">
        <f>IF(B301="","",IFERROR(INDEX('12 P6 activities'!$C$7:$C$206,MATCH(B301,'12 P6 activities'!$A$7:$A$206,0)),"⚠ not in P6 list"))</f>
        <v/>
      </c>
      <c r="E301" s="143"/>
      <c r="F301" s="147"/>
      <c r="G301" s="145" t="str">
        <f>IF(B301="","",IFERROR(INDEX('12 P6 activities'!$E$7:$E$206,MATCH(B301,'12 P6 activities'!$A$7:$A$206,0)),""))</f>
        <v/>
      </c>
      <c r="H301" s="143"/>
      <c r="I301" s="143"/>
      <c r="J301" s="6"/>
      <c r="K301" s="6"/>
      <c r="L301" s="6"/>
      <c r="M301" s="6"/>
      <c r="N301" s="6"/>
      <c r="O301" s="6"/>
      <c r="P301" s="6"/>
      <c r="Q301" s="6"/>
      <c r="R301" s="6"/>
      <c r="S301" s="6"/>
      <c r="T301" s="6"/>
      <c r="U301" s="6"/>
      <c r="V301" s="6"/>
      <c r="W301" s="6"/>
      <c r="X301" s="6"/>
      <c r="Y301" s="6"/>
      <c r="Z301" s="6"/>
    </row>
    <row r="302" spans="1:26" ht="18" customHeight="1" x14ac:dyDescent="0.3">
      <c r="A302" s="142"/>
      <c r="B302" s="143"/>
      <c r="C302" s="151" t="str">
        <f>IF(B302="","",IFERROR(INDEX('12 P6 activities'!$B$7:$B$206,MATCH(B302,'12 P6 activities'!$A$7:$A$206,0)),"ID not in P6 list"))</f>
        <v/>
      </c>
      <c r="D302" s="151" t="str">
        <f>IF(B302="","",IFERROR(INDEX('12 P6 activities'!$C$7:$C$206,MATCH(B302,'12 P6 activities'!$A$7:$A$206,0)),"⚠ not in P6 list"))</f>
        <v/>
      </c>
      <c r="E302" s="143"/>
      <c r="F302" s="147"/>
      <c r="G302" s="145" t="str">
        <f>IF(B302="","",IFERROR(INDEX('12 P6 activities'!$E$7:$E$206,MATCH(B302,'12 P6 activities'!$A$7:$A$206,0)),""))</f>
        <v/>
      </c>
      <c r="H302" s="143"/>
      <c r="I302" s="143"/>
      <c r="J302" s="6"/>
      <c r="K302" s="6"/>
      <c r="L302" s="6"/>
      <c r="M302" s="6"/>
      <c r="N302" s="6"/>
      <c r="O302" s="6"/>
      <c r="P302" s="6"/>
      <c r="Q302" s="6"/>
      <c r="R302" s="6"/>
      <c r="S302" s="6"/>
      <c r="T302" s="6"/>
      <c r="U302" s="6"/>
      <c r="V302" s="6"/>
      <c r="W302" s="6"/>
      <c r="X302" s="6"/>
      <c r="Y302" s="6"/>
      <c r="Z302" s="6"/>
    </row>
    <row r="303" spans="1:26" ht="18" customHeight="1" x14ac:dyDescent="0.3">
      <c r="A303" s="142"/>
      <c r="B303" s="143"/>
      <c r="C303" s="151" t="str">
        <f>IF(B303="","",IFERROR(INDEX('12 P6 activities'!$B$7:$B$206,MATCH(B303,'12 P6 activities'!$A$7:$A$206,0)),"ID not in P6 list"))</f>
        <v/>
      </c>
      <c r="D303" s="151" t="str">
        <f>IF(B303="","",IFERROR(INDEX('12 P6 activities'!$C$7:$C$206,MATCH(B303,'12 P6 activities'!$A$7:$A$206,0)),"⚠ not in P6 list"))</f>
        <v/>
      </c>
      <c r="E303" s="143"/>
      <c r="F303" s="147"/>
      <c r="G303" s="145" t="str">
        <f>IF(B303="","",IFERROR(INDEX('12 P6 activities'!$E$7:$E$206,MATCH(B303,'12 P6 activities'!$A$7:$A$206,0)),""))</f>
        <v/>
      </c>
      <c r="H303" s="143"/>
      <c r="I303" s="143"/>
      <c r="J303" s="6"/>
      <c r="K303" s="6"/>
      <c r="L303" s="6"/>
      <c r="M303" s="6"/>
      <c r="N303" s="6"/>
      <c r="O303" s="6"/>
      <c r="P303" s="6"/>
      <c r="Q303" s="6"/>
      <c r="R303" s="6"/>
      <c r="S303" s="6"/>
      <c r="T303" s="6"/>
      <c r="U303" s="6"/>
      <c r="V303" s="6"/>
      <c r="W303" s="6"/>
      <c r="X303" s="6"/>
      <c r="Y303" s="6"/>
      <c r="Z303" s="6"/>
    </row>
    <row r="304" spans="1:26" ht="18" customHeight="1" x14ac:dyDescent="0.3">
      <c r="A304" s="142"/>
      <c r="B304" s="143"/>
      <c r="C304" s="151" t="str">
        <f>IF(B304="","",IFERROR(INDEX('12 P6 activities'!$B$7:$B$206,MATCH(B304,'12 P6 activities'!$A$7:$A$206,0)),"ID not in P6 list"))</f>
        <v/>
      </c>
      <c r="D304" s="151" t="str">
        <f>IF(B304="","",IFERROR(INDEX('12 P6 activities'!$C$7:$C$206,MATCH(B304,'12 P6 activities'!$A$7:$A$206,0)),"⚠ not in P6 list"))</f>
        <v/>
      </c>
      <c r="E304" s="143"/>
      <c r="F304" s="147"/>
      <c r="G304" s="145" t="str">
        <f>IF(B304="","",IFERROR(INDEX('12 P6 activities'!$E$7:$E$206,MATCH(B304,'12 P6 activities'!$A$7:$A$206,0)),""))</f>
        <v/>
      </c>
      <c r="H304" s="143"/>
      <c r="I304" s="143"/>
      <c r="J304" s="6"/>
      <c r="K304" s="6"/>
      <c r="L304" s="6"/>
      <c r="M304" s="6"/>
      <c r="N304" s="6"/>
      <c r="O304" s="6"/>
      <c r="P304" s="6"/>
      <c r="Q304" s="6"/>
      <c r="R304" s="6"/>
      <c r="S304" s="6"/>
      <c r="T304" s="6"/>
      <c r="U304" s="6"/>
      <c r="V304" s="6"/>
      <c r="W304" s="6"/>
      <c r="X304" s="6"/>
      <c r="Y304" s="6"/>
      <c r="Z304" s="6"/>
    </row>
    <row r="305" spans="1:26" ht="18" customHeight="1" x14ac:dyDescent="0.3">
      <c r="A305" s="142"/>
      <c r="B305" s="143"/>
      <c r="C305" s="151" t="str">
        <f>IF(B305="","",IFERROR(INDEX('12 P6 activities'!$B$7:$B$206,MATCH(B305,'12 P6 activities'!$A$7:$A$206,0)),"ID not in P6 list"))</f>
        <v/>
      </c>
      <c r="D305" s="151" t="str">
        <f>IF(B305="","",IFERROR(INDEX('12 P6 activities'!$C$7:$C$206,MATCH(B305,'12 P6 activities'!$A$7:$A$206,0)),"⚠ not in P6 list"))</f>
        <v/>
      </c>
      <c r="E305" s="143"/>
      <c r="F305" s="147"/>
      <c r="G305" s="145" t="str">
        <f>IF(B305="","",IFERROR(INDEX('12 P6 activities'!$E$7:$E$206,MATCH(B305,'12 P6 activities'!$A$7:$A$206,0)),""))</f>
        <v/>
      </c>
      <c r="H305" s="143"/>
      <c r="I305" s="143"/>
      <c r="J305" s="6"/>
      <c r="K305" s="6"/>
      <c r="L305" s="6"/>
      <c r="M305" s="6"/>
      <c r="N305" s="6"/>
      <c r="O305" s="6"/>
      <c r="P305" s="6"/>
      <c r="Q305" s="6"/>
      <c r="R305" s="6"/>
      <c r="S305" s="6"/>
      <c r="T305" s="6"/>
      <c r="U305" s="6"/>
      <c r="V305" s="6"/>
      <c r="W305" s="6"/>
      <c r="X305" s="6"/>
      <c r="Y305" s="6"/>
      <c r="Z305" s="6"/>
    </row>
    <row r="306" spans="1:26" ht="18" customHeight="1" x14ac:dyDescent="0.3">
      <c r="A306" s="142"/>
      <c r="B306" s="143"/>
      <c r="C306" s="151" t="str">
        <f>IF(B306="","",IFERROR(INDEX('12 P6 activities'!$B$7:$B$206,MATCH(B306,'12 P6 activities'!$A$7:$A$206,0)),"ID not in P6 list"))</f>
        <v/>
      </c>
      <c r="D306" s="151" t="str">
        <f>IF(B306="","",IFERROR(INDEX('12 P6 activities'!$C$7:$C$206,MATCH(B306,'12 P6 activities'!$A$7:$A$206,0)),"⚠ not in P6 list"))</f>
        <v/>
      </c>
      <c r="E306" s="143"/>
      <c r="F306" s="147"/>
      <c r="G306" s="145" t="str">
        <f>IF(B306="","",IFERROR(INDEX('12 P6 activities'!$E$7:$E$206,MATCH(B306,'12 P6 activities'!$A$7:$A$206,0)),""))</f>
        <v/>
      </c>
      <c r="H306" s="143"/>
      <c r="I306" s="143"/>
      <c r="J306" s="6"/>
      <c r="K306" s="6"/>
      <c r="L306" s="6"/>
      <c r="M306" s="6"/>
      <c r="N306" s="6"/>
      <c r="O306" s="6"/>
      <c r="P306" s="6"/>
      <c r="Q306" s="6"/>
      <c r="R306" s="6"/>
      <c r="S306" s="6"/>
      <c r="T306" s="6"/>
      <c r="U306" s="6"/>
      <c r="V306" s="6"/>
      <c r="W306" s="6"/>
      <c r="X306" s="6"/>
      <c r="Y306" s="6"/>
      <c r="Z306" s="6"/>
    </row>
    <row r="307" spans="1:26" ht="18" customHeight="1" x14ac:dyDescent="0.3">
      <c r="A307" s="142"/>
      <c r="B307" s="143"/>
      <c r="C307" s="151" t="str">
        <f>IF(B307="","",IFERROR(INDEX('12 P6 activities'!$B$7:$B$206,MATCH(B307,'12 P6 activities'!$A$7:$A$206,0)),"ID not in P6 list"))</f>
        <v/>
      </c>
      <c r="D307" s="151" t="str">
        <f>IF(B307="","",IFERROR(INDEX('12 P6 activities'!$C$7:$C$206,MATCH(B307,'12 P6 activities'!$A$7:$A$206,0)),"⚠ not in P6 list"))</f>
        <v/>
      </c>
      <c r="E307" s="143"/>
      <c r="F307" s="147"/>
      <c r="G307" s="145" t="str">
        <f>IF(B307="","",IFERROR(INDEX('12 P6 activities'!$E$7:$E$206,MATCH(B307,'12 P6 activities'!$A$7:$A$206,0)),""))</f>
        <v/>
      </c>
      <c r="H307" s="143"/>
      <c r="I307" s="143"/>
      <c r="J307" s="6"/>
      <c r="K307" s="6"/>
      <c r="L307" s="6"/>
      <c r="M307" s="6"/>
      <c r="N307" s="6"/>
      <c r="O307" s="6"/>
      <c r="P307" s="6"/>
      <c r="Q307" s="6"/>
      <c r="R307" s="6"/>
      <c r="S307" s="6"/>
      <c r="T307" s="6"/>
      <c r="U307" s="6"/>
      <c r="V307" s="6"/>
      <c r="W307" s="6"/>
      <c r="X307" s="6"/>
      <c r="Y307" s="6"/>
      <c r="Z307" s="6"/>
    </row>
    <row r="308" spans="1:26" ht="18" customHeight="1" x14ac:dyDescent="0.3">
      <c r="A308" s="142"/>
      <c r="B308" s="143"/>
      <c r="C308" s="151" t="str">
        <f>IF(B308="","",IFERROR(INDEX('12 P6 activities'!$B$7:$B$206,MATCH(B308,'12 P6 activities'!$A$7:$A$206,0)),"ID not in P6 list"))</f>
        <v/>
      </c>
      <c r="D308" s="151" t="str">
        <f>IF(B308="","",IFERROR(INDEX('12 P6 activities'!$C$7:$C$206,MATCH(B308,'12 P6 activities'!$A$7:$A$206,0)),"⚠ not in P6 list"))</f>
        <v/>
      </c>
      <c r="E308" s="143"/>
      <c r="F308" s="147"/>
      <c r="G308" s="145" t="str">
        <f>IF(B308="","",IFERROR(INDEX('12 P6 activities'!$E$7:$E$206,MATCH(B308,'12 P6 activities'!$A$7:$A$206,0)),""))</f>
        <v/>
      </c>
      <c r="H308" s="143"/>
      <c r="I308" s="143"/>
      <c r="J308" s="6"/>
      <c r="K308" s="6"/>
      <c r="L308" s="6"/>
      <c r="M308" s="6"/>
      <c r="N308" s="6"/>
      <c r="O308" s="6"/>
      <c r="P308" s="6"/>
      <c r="Q308" s="6"/>
      <c r="R308" s="6"/>
      <c r="S308" s="6"/>
      <c r="T308" s="6"/>
      <c r="U308" s="6"/>
      <c r="V308" s="6"/>
      <c r="W308" s="6"/>
      <c r="X308" s="6"/>
      <c r="Y308" s="6"/>
      <c r="Z308" s="6"/>
    </row>
    <row r="309" spans="1:26" ht="18" customHeight="1" x14ac:dyDescent="0.3">
      <c r="A309" s="142"/>
      <c r="B309" s="143"/>
      <c r="C309" s="151" t="str">
        <f>IF(B309="","",IFERROR(INDEX('12 P6 activities'!$B$7:$B$206,MATCH(B309,'12 P6 activities'!$A$7:$A$206,0)),"ID not in P6 list"))</f>
        <v/>
      </c>
      <c r="D309" s="151" t="str">
        <f>IF(B309="","",IFERROR(INDEX('12 P6 activities'!$C$7:$C$206,MATCH(B309,'12 P6 activities'!$A$7:$A$206,0)),"⚠ not in P6 list"))</f>
        <v/>
      </c>
      <c r="E309" s="143"/>
      <c r="F309" s="147"/>
      <c r="G309" s="145" t="str">
        <f>IF(B309="","",IFERROR(INDEX('12 P6 activities'!$E$7:$E$206,MATCH(B309,'12 P6 activities'!$A$7:$A$206,0)),""))</f>
        <v/>
      </c>
      <c r="H309" s="143"/>
      <c r="I309" s="143"/>
      <c r="J309" s="6"/>
      <c r="K309" s="6"/>
      <c r="L309" s="6"/>
      <c r="M309" s="6"/>
      <c r="N309" s="6"/>
      <c r="O309" s="6"/>
      <c r="P309" s="6"/>
      <c r="Q309" s="6"/>
      <c r="R309" s="6"/>
      <c r="S309" s="6"/>
      <c r="T309" s="6"/>
      <c r="U309" s="6"/>
      <c r="V309" s="6"/>
      <c r="W309" s="6"/>
      <c r="X309" s="6"/>
      <c r="Y309" s="6"/>
      <c r="Z309" s="6"/>
    </row>
    <row r="310" spans="1:26" ht="18" customHeight="1" x14ac:dyDescent="0.3">
      <c r="A310" s="142"/>
      <c r="B310" s="143"/>
      <c r="C310" s="151" t="str">
        <f>IF(B310="","",IFERROR(INDEX('12 P6 activities'!$B$7:$B$206,MATCH(B310,'12 P6 activities'!$A$7:$A$206,0)),"ID not in P6 list"))</f>
        <v/>
      </c>
      <c r="D310" s="151" t="str">
        <f>IF(B310="","",IFERROR(INDEX('12 P6 activities'!$C$7:$C$206,MATCH(B310,'12 P6 activities'!$A$7:$A$206,0)),"⚠ not in P6 list"))</f>
        <v/>
      </c>
      <c r="E310" s="143"/>
      <c r="F310" s="147"/>
      <c r="G310" s="145" t="str">
        <f>IF(B310="","",IFERROR(INDEX('12 P6 activities'!$E$7:$E$206,MATCH(B310,'12 P6 activities'!$A$7:$A$206,0)),""))</f>
        <v/>
      </c>
      <c r="H310" s="143"/>
      <c r="I310" s="143"/>
      <c r="J310" s="6"/>
      <c r="K310" s="6"/>
      <c r="L310" s="6"/>
      <c r="M310" s="6"/>
      <c r="N310" s="6"/>
      <c r="O310" s="6"/>
      <c r="P310" s="6"/>
      <c r="Q310" s="6"/>
      <c r="R310" s="6"/>
      <c r="S310" s="6"/>
      <c r="T310" s="6"/>
      <c r="U310" s="6"/>
      <c r="V310" s="6"/>
      <c r="W310" s="6"/>
      <c r="X310" s="6"/>
      <c r="Y310" s="6"/>
      <c r="Z310" s="6"/>
    </row>
    <row r="311" spans="1:26" ht="18" customHeight="1" x14ac:dyDescent="0.3">
      <c r="A311" s="142"/>
      <c r="B311" s="143"/>
      <c r="C311" s="151" t="str">
        <f>IF(B311="","",IFERROR(INDEX('12 P6 activities'!$B$7:$B$206,MATCH(B311,'12 P6 activities'!$A$7:$A$206,0)),"ID not in P6 list"))</f>
        <v/>
      </c>
      <c r="D311" s="151" t="str">
        <f>IF(B311="","",IFERROR(INDEX('12 P6 activities'!$C$7:$C$206,MATCH(B311,'12 P6 activities'!$A$7:$A$206,0)),"⚠ not in P6 list"))</f>
        <v/>
      </c>
      <c r="E311" s="143"/>
      <c r="F311" s="147"/>
      <c r="G311" s="145" t="str">
        <f>IF(B311="","",IFERROR(INDEX('12 P6 activities'!$E$7:$E$206,MATCH(B311,'12 P6 activities'!$A$7:$A$206,0)),""))</f>
        <v/>
      </c>
      <c r="H311" s="143"/>
      <c r="I311" s="143"/>
      <c r="J311" s="6"/>
      <c r="K311" s="6"/>
      <c r="L311" s="6"/>
      <c r="M311" s="6"/>
      <c r="N311" s="6"/>
      <c r="O311" s="6"/>
      <c r="P311" s="6"/>
      <c r="Q311" s="6"/>
      <c r="R311" s="6"/>
      <c r="S311" s="6"/>
      <c r="T311" s="6"/>
      <c r="U311" s="6"/>
      <c r="V311" s="6"/>
      <c r="W311" s="6"/>
      <c r="X311" s="6"/>
      <c r="Y311" s="6"/>
      <c r="Z311" s="6"/>
    </row>
    <row r="312" spans="1:26" ht="18" customHeight="1" x14ac:dyDescent="0.3">
      <c r="A312" s="142"/>
      <c r="B312" s="143"/>
      <c r="C312" s="151" t="str">
        <f>IF(B312="","",IFERROR(INDEX('12 P6 activities'!$B$7:$B$206,MATCH(B312,'12 P6 activities'!$A$7:$A$206,0)),"ID not in P6 list"))</f>
        <v/>
      </c>
      <c r="D312" s="151" t="str">
        <f>IF(B312="","",IFERROR(INDEX('12 P6 activities'!$C$7:$C$206,MATCH(B312,'12 P6 activities'!$A$7:$A$206,0)),"⚠ not in P6 list"))</f>
        <v/>
      </c>
      <c r="E312" s="143"/>
      <c r="F312" s="147"/>
      <c r="G312" s="145" t="str">
        <f>IF(B312="","",IFERROR(INDEX('12 P6 activities'!$E$7:$E$206,MATCH(B312,'12 P6 activities'!$A$7:$A$206,0)),""))</f>
        <v/>
      </c>
      <c r="H312" s="143"/>
      <c r="I312" s="143"/>
      <c r="J312" s="6"/>
      <c r="K312" s="6"/>
      <c r="L312" s="6"/>
      <c r="M312" s="6"/>
      <c r="N312" s="6"/>
      <c r="O312" s="6"/>
      <c r="P312" s="6"/>
      <c r="Q312" s="6"/>
      <c r="R312" s="6"/>
      <c r="S312" s="6"/>
      <c r="T312" s="6"/>
      <c r="U312" s="6"/>
      <c r="V312" s="6"/>
      <c r="W312" s="6"/>
      <c r="X312" s="6"/>
      <c r="Y312" s="6"/>
      <c r="Z312" s="6"/>
    </row>
    <row r="313" spans="1:26" ht="18" customHeight="1" x14ac:dyDescent="0.3">
      <c r="A313" s="142"/>
      <c r="B313" s="143"/>
      <c r="C313" s="151" t="str">
        <f>IF(B313="","",IFERROR(INDEX('12 P6 activities'!$B$7:$B$206,MATCH(B313,'12 P6 activities'!$A$7:$A$206,0)),"ID not in P6 list"))</f>
        <v/>
      </c>
      <c r="D313" s="151" t="str">
        <f>IF(B313="","",IFERROR(INDEX('12 P6 activities'!$C$7:$C$206,MATCH(B313,'12 P6 activities'!$A$7:$A$206,0)),"⚠ not in P6 list"))</f>
        <v/>
      </c>
      <c r="E313" s="143"/>
      <c r="F313" s="147"/>
      <c r="G313" s="145" t="str">
        <f>IF(B313="","",IFERROR(INDEX('12 P6 activities'!$E$7:$E$206,MATCH(B313,'12 P6 activities'!$A$7:$A$206,0)),""))</f>
        <v/>
      </c>
      <c r="H313" s="143"/>
      <c r="I313" s="143"/>
      <c r="J313" s="6"/>
      <c r="K313" s="6"/>
      <c r="L313" s="6"/>
      <c r="M313" s="6"/>
      <c r="N313" s="6"/>
      <c r="O313" s="6"/>
      <c r="P313" s="6"/>
      <c r="Q313" s="6"/>
      <c r="R313" s="6"/>
      <c r="S313" s="6"/>
      <c r="T313" s="6"/>
      <c r="U313" s="6"/>
      <c r="V313" s="6"/>
      <c r="W313" s="6"/>
      <c r="X313" s="6"/>
      <c r="Y313" s="6"/>
      <c r="Z313" s="6"/>
    </row>
    <row r="314" spans="1:26" ht="18" customHeight="1" x14ac:dyDescent="0.3">
      <c r="A314" s="142"/>
      <c r="B314" s="143"/>
      <c r="C314" s="151" t="str">
        <f>IF(B314="","",IFERROR(INDEX('12 P6 activities'!$B$7:$B$206,MATCH(B314,'12 P6 activities'!$A$7:$A$206,0)),"ID not in P6 list"))</f>
        <v/>
      </c>
      <c r="D314" s="151" t="str">
        <f>IF(B314="","",IFERROR(INDEX('12 P6 activities'!$C$7:$C$206,MATCH(B314,'12 P6 activities'!$A$7:$A$206,0)),"⚠ not in P6 list"))</f>
        <v/>
      </c>
      <c r="E314" s="143"/>
      <c r="F314" s="147"/>
      <c r="G314" s="145" t="str">
        <f>IF(B314="","",IFERROR(INDEX('12 P6 activities'!$E$7:$E$206,MATCH(B314,'12 P6 activities'!$A$7:$A$206,0)),""))</f>
        <v/>
      </c>
      <c r="H314" s="143"/>
      <c r="I314" s="143"/>
      <c r="J314" s="6"/>
      <c r="K314" s="6"/>
      <c r="L314" s="6"/>
      <c r="M314" s="6"/>
      <c r="N314" s="6"/>
      <c r="O314" s="6"/>
      <c r="P314" s="6"/>
      <c r="Q314" s="6"/>
      <c r="R314" s="6"/>
      <c r="S314" s="6"/>
      <c r="T314" s="6"/>
      <c r="U314" s="6"/>
      <c r="V314" s="6"/>
      <c r="W314" s="6"/>
      <c r="X314" s="6"/>
      <c r="Y314" s="6"/>
      <c r="Z314" s="6"/>
    </row>
    <row r="315" spans="1:26" ht="18" customHeight="1" x14ac:dyDescent="0.3">
      <c r="A315" s="142"/>
      <c r="B315" s="143"/>
      <c r="C315" s="151" t="str">
        <f>IF(B315="","",IFERROR(INDEX('12 P6 activities'!$B$7:$B$206,MATCH(B315,'12 P6 activities'!$A$7:$A$206,0)),"ID not in P6 list"))</f>
        <v/>
      </c>
      <c r="D315" s="151" t="str">
        <f>IF(B315="","",IFERROR(INDEX('12 P6 activities'!$C$7:$C$206,MATCH(B315,'12 P6 activities'!$A$7:$A$206,0)),"⚠ not in P6 list"))</f>
        <v/>
      </c>
      <c r="E315" s="143"/>
      <c r="F315" s="147"/>
      <c r="G315" s="145" t="str">
        <f>IF(B315="","",IFERROR(INDEX('12 P6 activities'!$E$7:$E$206,MATCH(B315,'12 P6 activities'!$A$7:$A$206,0)),""))</f>
        <v/>
      </c>
      <c r="H315" s="143"/>
      <c r="I315" s="143"/>
      <c r="J315" s="6"/>
      <c r="K315" s="6"/>
      <c r="L315" s="6"/>
      <c r="M315" s="6"/>
      <c r="N315" s="6"/>
      <c r="O315" s="6"/>
      <c r="P315" s="6"/>
      <c r="Q315" s="6"/>
      <c r="R315" s="6"/>
      <c r="S315" s="6"/>
      <c r="T315" s="6"/>
      <c r="U315" s="6"/>
      <c r="V315" s="6"/>
      <c r="W315" s="6"/>
      <c r="X315" s="6"/>
      <c r="Y315" s="6"/>
      <c r="Z315" s="6"/>
    </row>
    <row r="316" spans="1:26" ht="18" customHeight="1" x14ac:dyDescent="0.3">
      <c r="A316" s="142"/>
      <c r="B316" s="143"/>
      <c r="C316" s="151" t="str">
        <f>IF(B316="","",IFERROR(INDEX('12 P6 activities'!$B$7:$B$206,MATCH(B316,'12 P6 activities'!$A$7:$A$206,0)),"ID not in P6 list"))</f>
        <v/>
      </c>
      <c r="D316" s="151" t="str">
        <f>IF(B316="","",IFERROR(INDEX('12 P6 activities'!$C$7:$C$206,MATCH(B316,'12 P6 activities'!$A$7:$A$206,0)),"⚠ not in P6 list"))</f>
        <v/>
      </c>
      <c r="E316" s="143"/>
      <c r="F316" s="147"/>
      <c r="G316" s="145" t="str">
        <f>IF(B316="","",IFERROR(INDEX('12 P6 activities'!$E$7:$E$206,MATCH(B316,'12 P6 activities'!$A$7:$A$206,0)),""))</f>
        <v/>
      </c>
      <c r="H316" s="143"/>
      <c r="I316" s="143"/>
      <c r="J316" s="6"/>
      <c r="K316" s="6"/>
      <c r="L316" s="6"/>
      <c r="M316" s="6"/>
      <c r="N316" s="6"/>
      <c r="O316" s="6"/>
      <c r="P316" s="6"/>
      <c r="Q316" s="6"/>
      <c r="R316" s="6"/>
      <c r="S316" s="6"/>
      <c r="T316" s="6"/>
      <c r="U316" s="6"/>
      <c r="V316" s="6"/>
      <c r="W316" s="6"/>
      <c r="X316" s="6"/>
      <c r="Y316" s="6"/>
      <c r="Z316" s="6"/>
    </row>
    <row r="317" spans="1:26" ht="18" customHeight="1" x14ac:dyDescent="0.3">
      <c r="A317" s="142"/>
      <c r="B317" s="143"/>
      <c r="C317" s="151" t="str">
        <f>IF(B317="","",IFERROR(INDEX('12 P6 activities'!$B$7:$B$206,MATCH(B317,'12 P6 activities'!$A$7:$A$206,0)),"ID not in P6 list"))</f>
        <v/>
      </c>
      <c r="D317" s="151" t="str">
        <f>IF(B317="","",IFERROR(INDEX('12 P6 activities'!$C$7:$C$206,MATCH(B317,'12 P6 activities'!$A$7:$A$206,0)),"⚠ not in P6 list"))</f>
        <v/>
      </c>
      <c r="E317" s="143"/>
      <c r="F317" s="147"/>
      <c r="G317" s="145" t="str">
        <f>IF(B317="","",IFERROR(INDEX('12 P6 activities'!$E$7:$E$206,MATCH(B317,'12 P6 activities'!$A$7:$A$206,0)),""))</f>
        <v/>
      </c>
      <c r="H317" s="143"/>
      <c r="I317" s="143"/>
      <c r="J317" s="6"/>
      <c r="K317" s="6"/>
      <c r="L317" s="6"/>
      <c r="M317" s="6"/>
      <c r="N317" s="6"/>
      <c r="O317" s="6"/>
      <c r="P317" s="6"/>
      <c r="Q317" s="6"/>
      <c r="R317" s="6"/>
      <c r="S317" s="6"/>
      <c r="T317" s="6"/>
      <c r="U317" s="6"/>
      <c r="V317" s="6"/>
      <c r="W317" s="6"/>
      <c r="X317" s="6"/>
      <c r="Y317" s="6"/>
      <c r="Z317" s="6"/>
    </row>
    <row r="318" spans="1:26" ht="18" customHeight="1" x14ac:dyDescent="0.3">
      <c r="A318" s="142"/>
      <c r="B318" s="143"/>
      <c r="C318" s="151" t="str">
        <f>IF(B318="","",IFERROR(INDEX('12 P6 activities'!$B$7:$B$206,MATCH(B318,'12 P6 activities'!$A$7:$A$206,0)),"ID not in P6 list"))</f>
        <v/>
      </c>
      <c r="D318" s="151" t="str">
        <f>IF(B318="","",IFERROR(INDEX('12 P6 activities'!$C$7:$C$206,MATCH(B318,'12 P6 activities'!$A$7:$A$206,0)),"⚠ not in P6 list"))</f>
        <v/>
      </c>
      <c r="E318" s="143"/>
      <c r="F318" s="147"/>
      <c r="G318" s="145" t="str">
        <f>IF(B318="","",IFERROR(INDEX('12 P6 activities'!$E$7:$E$206,MATCH(B318,'12 P6 activities'!$A$7:$A$206,0)),""))</f>
        <v/>
      </c>
      <c r="H318" s="143"/>
      <c r="I318" s="143"/>
      <c r="J318" s="6"/>
      <c r="K318" s="6"/>
      <c r="L318" s="6"/>
      <c r="M318" s="6"/>
      <c r="N318" s="6"/>
      <c r="O318" s="6"/>
      <c r="P318" s="6"/>
      <c r="Q318" s="6"/>
      <c r="R318" s="6"/>
      <c r="S318" s="6"/>
      <c r="T318" s="6"/>
      <c r="U318" s="6"/>
      <c r="V318" s="6"/>
      <c r="W318" s="6"/>
      <c r="X318" s="6"/>
      <c r="Y318" s="6"/>
      <c r="Z318" s="6"/>
    </row>
    <row r="319" spans="1:26" ht="18" customHeight="1" x14ac:dyDescent="0.3">
      <c r="A319" s="142"/>
      <c r="B319" s="143"/>
      <c r="C319" s="151" t="str">
        <f>IF(B319="","",IFERROR(INDEX('12 P6 activities'!$B$7:$B$206,MATCH(B319,'12 P6 activities'!$A$7:$A$206,0)),"ID not in P6 list"))</f>
        <v/>
      </c>
      <c r="D319" s="151" t="str">
        <f>IF(B319="","",IFERROR(INDEX('12 P6 activities'!$C$7:$C$206,MATCH(B319,'12 P6 activities'!$A$7:$A$206,0)),"⚠ not in P6 list"))</f>
        <v/>
      </c>
      <c r="E319" s="143"/>
      <c r="F319" s="147"/>
      <c r="G319" s="145" t="str">
        <f>IF(B319="","",IFERROR(INDEX('12 P6 activities'!$E$7:$E$206,MATCH(B319,'12 P6 activities'!$A$7:$A$206,0)),""))</f>
        <v/>
      </c>
      <c r="H319" s="143"/>
      <c r="I319" s="143"/>
      <c r="J319" s="6"/>
      <c r="K319" s="6"/>
      <c r="L319" s="6"/>
      <c r="M319" s="6"/>
      <c r="N319" s="6"/>
      <c r="O319" s="6"/>
      <c r="P319" s="6"/>
      <c r="Q319" s="6"/>
      <c r="R319" s="6"/>
      <c r="S319" s="6"/>
      <c r="T319" s="6"/>
      <c r="U319" s="6"/>
      <c r="V319" s="6"/>
      <c r="W319" s="6"/>
      <c r="X319" s="6"/>
      <c r="Y319" s="6"/>
      <c r="Z319" s="6"/>
    </row>
    <row r="320" spans="1:26" ht="18" customHeight="1" x14ac:dyDescent="0.3">
      <c r="A320" s="142"/>
      <c r="B320" s="143"/>
      <c r="C320" s="151" t="str">
        <f>IF(B320="","",IFERROR(INDEX('12 P6 activities'!$B$7:$B$206,MATCH(B320,'12 P6 activities'!$A$7:$A$206,0)),"ID not in P6 list"))</f>
        <v/>
      </c>
      <c r="D320" s="151" t="str">
        <f>IF(B320="","",IFERROR(INDEX('12 P6 activities'!$C$7:$C$206,MATCH(B320,'12 P6 activities'!$A$7:$A$206,0)),"⚠ not in P6 list"))</f>
        <v/>
      </c>
      <c r="E320" s="143"/>
      <c r="F320" s="147"/>
      <c r="G320" s="145" t="str">
        <f>IF(B320="","",IFERROR(INDEX('12 P6 activities'!$E$7:$E$206,MATCH(B320,'12 P6 activities'!$A$7:$A$206,0)),""))</f>
        <v/>
      </c>
      <c r="H320" s="143"/>
      <c r="I320" s="143"/>
      <c r="J320" s="6"/>
      <c r="K320" s="6"/>
      <c r="L320" s="6"/>
      <c r="M320" s="6"/>
      <c r="N320" s="6"/>
      <c r="O320" s="6"/>
      <c r="P320" s="6"/>
      <c r="Q320" s="6"/>
      <c r="R320" s="6"/>
      <c r="S320" s="6"/>
      <c r="T320" s="6"/>
      <c r="U320" s="6"/>
      <c r="V320" s="6"/>
      <c r="W320" s="6"/>
      <c r="X320" s="6"/>
      <c r="Y320" s="6"/>
      <c r="Z320" s="6"/>
    </row>
    <row r="321" spans="1:26" ht="18" customHeight="1" x14ac:dyDescent="0.3">
      <c r="A321" s="142"/>
      <c r="B321" s="143"/>
      <c r="C321" s="151" t="str">
        <f>IF(B321="","",IFERROR(INDEX('12 P6 activities'!$B$7:$B$206,MATCH(B321,'12 P6 activities'!$A$7:$A$206,0)),"ID not in P6 list"))</f>
        <v/>
      </c>
      <c r="D321" s="151" t="str">
        <f>IF(B321="","",IFERROR(INDEX('12 P6 activities'!$C$7:$C$206,MATCH(B321,'12 P6 activities'!$A$7:$A$206,0)),"⚠ not in P6 list"))</f>
        <v/>
      </c>
      <c r="E321" s="143"/>
      <c r="F321" s="147"/>
      <c r="G321" s="145" t="str">
        <f>IF(B321="","",IFERROR(INDEX('12 P6 activities'!$E$7:$E$206,MATCH(B321,'12 P6 activities'!$A$7:$A$206,0)),""))</f>
        <v/>
      </c>
      <c r="H321" s="143"/>
      <c r="I321" s="143"/>
      <c r="J321" s="6"/>
      <c r="K321" s="6"/>
      <c r="L321" s="6"/>
      <c r="M321" s="6"/>
      <c r="N321" s="6"/>
      <c r="O321" s="6"/>
      <c r="P321" s="6"/>
      <c r="Q321" s="6"/>
      <c r="R321" s="6"/>
      <c r="S321" s="6"/>
      <c r="T321" s="6"/>
      <c r="U321" s="6"/>
      <c r="V321" s="6"/>
      <c r="W321" s="6"/>
      <c r="X321" s="6"/>
      <c r="Y321" s="6"/>
      <c r="Z321" s="6"/>
    </row>
    <row r="322" spans="1:26" ht="18" customHeight="1" x14ac:dyDescent="0.3">
      <c r="A322" s="142"/>
      <c r="B322" s="143"/>
      <c r="C322" s="151" t="str">
        <f>IF(B322="","",IFERROR(INDEX('12 P6 activities'!$B$7:$B$206,MATCH(B322,'12 P6 activities'!$A$7:$A$206,0)),"ID not in P6 list"))</f>
        <v/>
      </c>
      <c r="D322" s="151" t="str">
        <f>IF(B322="","",IFERROR(INDEX('12 P6 activities'!$C$7:$C$206,MATCH(B322,'12 P6 activities'!$A$7:$A$206,0)),"⚠ not in P6 list"))</f>
        <v/>
      </c>
      <c r="E322" s="143"/>
      <c r="F322" s="147"/>
      <c r="G322" s="145" t="str">
        <f>IF(B322="","",IFERROR(INDEX('12 P6 activities'!$E$7:$E$206,MATCH(B322,'12 P6 activities'!$A$7:$A$206,0)),""))</f>
        <v/>
      </c>
      <c r="H322" s="143"/>
      <c r="I322" s="143"/>
      <c r="J322" s="6"/>
      <c r="K322" s="6"/>
      <c r="L322" s="6"/>
      <c r="M322" s="6"/>
      <c r="N322" s="6"/>
      <c r="O322" s="6"/>
      <c r="P322" s="6"/>
      <c r="Q322" s="6"/>
      <c r="R322" s="6"/>
      <c r="S322" s="6"/>
      <c r="T322" s="6"/>
      <c r="U322" s="6"/>
      <c r="V322" s="6"/>
      <c r="W322" s="6"/>
      <c r="X322" s="6"/>
      <c r="Y322" s="6"/>
      <c r="Z322" s="6"/>
    </row>
    <row r="323" spans="1:26" ht="18" customHeight="1" x14ac:dyDescent="0.3">
      <c r="A323" s="142"/>
      <c r="B323" s="143"/>
      <c r="C323" s="151" t="str">
        <f>IF(B323="","",IFERROR(INDEX('12 P6 activities'!$B$7:$B$206,MATCH(B323,'12 P6 activities'!$A$7:$A$206,0)),"ID not in P6 list"))</f>
        <v/>
      </c>
      <c r="D323" s="151" t="str">
        <f>IF(B323="","",IFERROR(INDEX('12 P6 activities'!$C$7:$C$206,MATCH(B323,'12 P6 activities'!$A$7:$A$206,0)),"⚠ not in P6 list"))</f>
        <v/>
      </c>
      <c r="E323" s="143"/>
      <c r="F323" s="147"/>
      <c r="G323" s="145" t="str">
        <f>IF(B323="","",IFERROR(INDEX('12 P6 activities'!$E$7:$E$206,MATCH(B323,'12 P6 activities'!$A$7:$A$206,0)),""))</f>
        <v/>
      </c>
      <c r="H323" s="143"/>
      <c r="I323" s="143"/>
      <c r="J323" s="6"/>
      <c r="K323" s="6"/>
      <c r="L323" s="6"/>
      <c r="M323" s="6"/>
      <c r="N323" s="6"/>
      <c r="O323" s="6"/>
      <c r="P323" s="6"/>
      <c r="Q323" s="6"/>
      <c r="R323" s="6"/>
      <c r="S323" s="6"/>
      <c r="T323" s="6"/>
      <c r="U323" s="6"/>
      <c r="V323" s="6"/>
      <c r="W323" s="6"/>
      <c r="X323" s="6"/>
      <c r="Y323" s="6"/>
      <c r="Z323" s="6"/>
    </row>
    <row r="324" spans="1:26" ht="18" customHeight="1" x14ac:dyDescent="0.3">
      <c r="A324" s="142"/>
      <c r="B324" s="143"/>
      <c r="C324" s="151" t="str">
        <f>IF(B324="","",IFERROR(INDEX('12 P6 activities'!$B$7:$B$206,MATCH(B324,'12 P6 activities'!$A$7:$A$206,0)),"ID not in P6 list"))</f>
        <v/>
      </c>
      <c r="D324" s="151" t="str">
        <f>IF(B324="","",IFERROR(INDEX('12 P6 activities'!$C$7:$C$206,MATCH(B324,'12 P6 activities'!$A$7:$A$206,0)),"⚠ not in P6 list"))</f>
        <v/>
      </c>
      <c r="E324" s="143"/>
      <c r="F324" s="147"/>
      <c r="G324" s="145" t="str">
        <f>IF(B324="","",IFERROR(INDEX('12 P6 activities'!$E$7:$E$206,MATCH(B324,'12 P6 activities'!$A$7:$A$206,0)),""))</f>
        <v/>
      </c>
      <c r="H324" s="143"/>
      <c r="I324" s="143"/>
      <c r="J324" s="6"/>
      <c r="K324" s="6"/>
      <c r="L324" s="6"/>
      <c r="M324" s="6"/>
      <c r="N324" s="6"/>
      <c r="O324" s="6"/>
      <c r="P324" s="6"/>
      <c r="Q324" s="6"/>
      <c r="R324" s="6"/>
      <c r="S324" s="6"/>
      <c r="T324" s="6"/>
      <c r="U324" s="6"/>
      <c r="V324" s="6"/>
      <c r="W324" s="6"/>
      <c r="X324" s="6"/>
      <c r="Y324" s="6"/>
      <c r="Z324" s="6"/>
    </row>
    <row r="325" spans="1:26" ht="18" customHeight="1" x14ac:dyDescent="0.3">
      <c r="A325" s="142"/>
      <c r="B325" s="143"/>
      <c r="C325" s="151" t="str">
        <f>IF(B325="","",IFERROR(INDEX('12 P6 activities'!$B$7:$B$206,MATCH(B325,'12 P6 activities'!$A$7:$A$206,0)),"ID not in P6 list"))</f>
        <v/>
      </c>
      <c r="D325" s="151" t="str">
        <f>IF(B325="","",IFERROR(INDEX('12 P6 activities'!$C$7:$C$206,MATCH(B325,'12 P6 activities'!$A$7:$A$206,0)),"⚠ not in P6 list"))</f>
        <v/>
      </c>
      <c r="E325" s="143"/>
      <c r="F325" s="147"/>
      <c r="G325" s="145" t="str">
        <f>IF(B325="","",IFERROR(INDEX('12 P6 activities'!$E$7:$E$206,MATCH(B325,'12 P6 activities'!$A$7:$A$206,0)),""))</f>
        <v/>
      </c>
      <c r="H325" s="143"/>
      <c r="I325" s="143"/>
      <c r="J325" s="6"/>
      <c r="K325" s="6"/>
      <c r="L325" s="6"/>
      <c r="M325" s="6"/>
      <c r="N325" s="6"/>
      <c r="O325" s="6"/>
      <c r="P325" s="6"/>
      <c r="Q325" s="6"/>
      <c r="R325" s="6"/>
      <c r="S325" s="6"/>
      <c r="T325" s="6"/>
      <c r="U325" s="6"/>
      <c r="V325" s="6"/>
      <c r="W325" s="6"/>
      <c r="X325" s="6"/>
      <c r="Y325" s="6"/>
      <c r="Z325" s="6"/>
    </row>
    <row r="326" spans="1:26" ht="18" customHeight="1" x14ac:dyDescent="0.3">
      <c r="A326" s="142"/>
      <c r="B326" s="143"/>
      <c r="C326" s="151" t="str">
        <f>IF(B326="","",IFERROR(INDEX('12 P6 activities'!$B$7:$B$206,MATCH(B326,'12 P6 activities'!$A$7:$A$206,0)),"ID not in P6 list"))</f>
        <v/>
      </c>
      <c r="D326" s="151" t="str">
        <f>IF(B326="","",IFERROR(INDEX('12 P6 activities'!$C$7:$C$206,MATCH(B326,'12 P6 activities'!$A$7:$A$206,0)),"⚠ not in P6 list"))</f>
        <v/>
      </c>
      <c r="E326" s="143"/>
      <c r="F326" s="147"/>
      <c r="G326" s="145" t="str">
        <f>IF(B326="","",IFERROR(INDEX('12 P6 activities'!$E$7:$E$206,MATCH(B326,'12 P6 activities'!$A$7:$A$206,0)),""))</f>
        <v/>
      </c>
      <c r="H326" s="143"/>
      <c r="I326" s="143"/>
      <c r="J326" s="6"/>
      <c r="K326" s="6"/>
      <c r="L326" s="6"/>
      <c r="M326" s="6"/>
      <c r="N326" s="6"/>
      <c r="O326" s="6"/>
      <c r="P326" s="6"/>
      <c r="Q326" s="6"/>
      <c r="R326" s="6"/>
      <c r="S326" s="6"/>
      <c r="T326" s="6"/>
      <c r="U326" s="6"/>
      <c r="V326" s="6"/>
      <c r="W326" s="6"/>
      <c r="X326" s="6"/>
      <c r="Y326" s="6"/>
      <c r="Z326" s="6"/>
    </row>
    <row r="327" spans="1:26" ht="18" customHeight="1" x14ac:dyDescent="0.3">
      <c r="A327" s="142"/>
      <c r="B327" s="143"/>
      <c r="C327" s="151" t="str">
        <f>IF(B327="","",IFERROR(INDEX('12 P6 activities'!$B$7:$B$206,MATCH(B327,'12 P6 activities'!$A$7:$A$206,0)),"ID not in P6 list"))</f>
        <v/>
      </c>
      <c r="D327" s="151" t="str">
        <f>IF(B327="","",IFERROR(INDEX('12 P6 activities'!$C$7:$C$206,MATCH(B327,'12 P6 activities'!$A$7:$A$206,0)),"⚠ not in P6 list"))</f>
        <v/>
      </c>
      <c r="E327" s="143"/>
      <c r="F327" s="147"/>
      <c r="G327" s="145" t="str">
        <f>IF(B327="","",IFERROR(INDEX('12 P6 activities'!$E$7:$E$206,MATCH(B327,'12 P6 activities'!$A$7:$A$206,0)),""))</f>
        <v/>
      </c>
      <c r="H327" s="143"/>
      <c r="I327" s="143"/>
      <c r="J327" s="6"/>
      <c r="K327" s="6"/>
      <c r="L327" s="6"/>
      <c r="M327" s="6"/>
      <c r="N327" s="6"/>
      <c r="O327" s="6"/>
      <c r="P327" s="6"/>
      <c r="Q327" s="6"/>
      <c r="R327" s="6"/>
      <c r="S327" s="6"/>
      <c r="T327" s="6"/>
      <c r="U327" s="6"/>
      <c r="V327" s="6"/>
      <c r="W327" s="6"/>
      <c r="X327" s="6"/>
      <c r="Y327" s="6"/>
      <c r="Z327" s="6"/>
    </row>
    <row r="328" spans="1:26" ht="18" customHeight="1" x14ac:dyDescent="0.3">
      <c r="A328" s="142"/>
      <c r="B328" s="143"/>
      <c r="C328" s="151" t="str">
        <f>IF(B328="","",IFERROR(INDEX('12 P6 activities'!$B$7:$B$206,MATCH(B328,'12 P6 activities'!$A$7:$A$206,0)),"ID not in P6 list"))</f>
        <v/>
      </c>
      <c r="D328" s="151" t="str">
        <f>IF(B328="","",IFERROR(INDEX('12 P6 activities'!$C$7:$C$206,MATCH(B328,'12 P6 activities'!$A$7:$A$206,0)),"⚠ not in P6 list"))</f>
        <v/>
      </c>
      <c r="E328" s="143"/>
      <c r="F328" s="147"/>
      <c r="G328" s="145" t="str">
        <f>IF(B328="","",IFERROR(INDEX('12 P6 activities'!$E$7:$E$206,MATCH(B328,'12 P6 activities'!$A$7:$A$206,0)),""))</f>
        <v/>
      </c>
      <c r="H328" s="143"/>
      <c r="I328" s="143"/>
      <c r="J328" s="6"/>
      <c r="K328" s="6"/>
      <c r="L328" s="6"/>
      <c r="M328" s="6"/>
      <c r="N328" s="6"/>
      <c r="O328" s="6"/>
      <c r="P328" s="6"/>
      <c r="Q328" s="6"/>
      <c r="R328" s="6"/>
      <c r="S328" s="6"/>
      <c r="T328" s="6"/>
      <c r="U328" s="6"/>
      <c r="V328" s="6"/>
      <c r="W328" s="6"/>
      <c r="X328" s="6"/>
      <c r="Y328" s="6"/>
      <c r="Z328" s="6"/>
    </row>
    <row r="329" spans="1:26" ht="18" customHeight="1" x14ac:dyDescent="0.3">
      <c r="A329" s="142"/>
      <c r="B329" s="143"/>
      <c r="C329" s="151" t="str">
        <f>IF(B329="","",IFERROR(INDEX('12 P6 activities'!$B$7:$B$206,MATCH(B329,'12 P6 activities'!$A$7:$A$206,0)),"ID not in P6 list"))</f>
        <v/>
      </c>
      <c r="D329" s="151" t="str">
        <f>IF(B329="","",IFERROR(INDEX('12 P6 activities'!$C$7:$C$206,MATCH(B329,'12 P6 activities'!$A$7:$A$206,0)),"⚠ not in P6 list"))</f>
        <v/>
      </c>
      <c r="E329" s="143"/>
      <c r="F329" s="147"/>
      <c r="G329" s="145" t="str">
        <f>IF(B329="","",IFERROR(INDEX('12 P6 activities'!$E$7:$E$206,MATCH(B329,'12 P6 activities'!$A$7:$A$206,0)),""))</f>
        <v/>
      </c>
      <c r="H329" s="143"/>
      <c r="I329" s="143"/>
      <c r="J329" s="6"/>
      <c r="K329" s="6"/>
      <c r="L329" s="6"/>
      <c r="M329" s="6"/>
      <c r="N329" s="6"/>
      <c r="O329" s="6"/>
      <c r="P329" s="6"/>
      <c r="Q329" s="6"/>
      <c r="R329" s="6"/>
      <c r="S329" s="6"/>
      <c r="T329" s="6"/>
      <c r="U329" s="6"/>
      <c r="V329" s="6"/>
      <c r="W329" s="6"/>
      <c r="X329" s="6"/>
      <c r="Y329" s="6"/>
      <c r="Z329" s="6"/>
    </row>
    <row r="330" spans="1:26" ht="18" customHeight="1" x14ac:dyDescent="0.3">
      <c r="A330" s="142"/>
      <c r="B330" s="143"/>
      <c r="C330" s="151" t="str">
        <f>IF(B330="","",IFERROR(INDEX('12 P6 activities'!$B$7:$B$206,MATCH(B330,'12 P6 activities'!$A$7:$A$206,0)),"ID not in P6 list"))</f>
        <v/>
      </c>
      <c r="D330" s="151" t="str">
        <f>IF(B330="","",IFERROR(INDEX('12 P6 activities'!$C$7:$C$206,MATCH(B330,'12 P6 activities'!$A$7:$A$206,0)),"⚠ not in P6 list"))</f>
        <v/>
      </c>
      <c r="E330" s="143"/>
      <c r="F330" s="147"/>
      <c r="G330" s="145" t="str">
        <f>IF(B330="","",IFERROR(INDEX('12 P6 activities'!$E$7:$E$206,MATCH(B330,'12 P6 activities'!$A$7:$A$206,0)),""))</f>
        <v/>
      </c>
      <c r="H330" s="143"/>
      <c r="I330" s="143"/>
      <c r="J330" s="6"/>
      <c r="K330" s="6"/>
      <c r="L330" s="6"/>
      <c r="M330" s="6"/>
      <c r="N330" s="6"/>
      <c r="O330" s="6"/>
      <c r="P330" s="6"/>
      <c r="Q330" s="6"/>
      <c r="R330" s="6"/>
      <c r="S330" s="6"/>
      <c r="T330" s="6"/>
      <c r="U330" s="6"/>
      <c r="V330" s="6"/>
      <c r="W330" s="6"/>
      <c r="X330" s="6"/>
      <c r="Y330" s="6"/>
      <c r="Z330" s="6"/>
    </row>
    <row r="331" spans="1:26" ht="18" customHeight="1" x14ac:dyDescent="0.3">
      <c r="A331" s="142"/>
      <c r="B331" s="143"/>
      <c r="C331" s="151" t="str">
        <f>IF(B331="","",IFERROR(INDEX('12 P6 activities'!$B$7:$B$206,MATCH(B331,'12 P6 activities'!$A$7:$A$206,0)),"ID not in P6 list"))</f>
        <v/>
      </c>
      <c r="D331" s="151" t="str">
        <f>IF(B331="","",IFERROR(INDEX('12 P6 activities'!$C$7:$C$206,MATCH(B331,'12 P6 activities'!$A$7:$A$206,0)),"⚠ not in P6 list"))</f>
        <v/>
      </c>
      <c r="E331" s="143"/>
      <c r="F331" s="147"/>
      <c r="G331" s="145" t="str">
        <f>IF(B331="","",IFERROR(INDEX('12 P6 activities'!$E$7:$E$206,MATCH(B331,'12 P6 activities'!$A$7:$A$206,0)),""))</f>
        <v/>
      </c>
      <c r="H331" s="143"/>
      <c r="I331" s="143"/>
      <c r="J331" s="6"/>
      <c r="K331" s="6"/>
      <c r="L331" s="6"/>
      <c r="M331" s="6"/>
      <c r="N331" s="6"/>
      <c r="O331" s="6"/>
      <c r="P331" s="6"/>
      <c r="Q331" s="6"/>
      <c r="R331" s="6"/>
      <c r="S331" s="6"/>
      <c r="T331" s="6"/>
      <c r="U331" s="6"/>
      <c r="V331" s="6"/>
      <c r="W331" s="6"/>
      <c r="X331" s="6"/>
      <c r="Y331" s="6"/>
      <c r="Z331" s="6"/>
    </row>
    <row r="332" spans="1:26" ht="18" customHeight="1" x14ac:dyDescent="0.3">
      <c r="A332" s="142"/>
      <c r="B332" s="143"/>
      <c r="C332" s="151" t="str">
        <f>IF(B332="","",IFERROR(INDEX('12 P6 activities'!$B$7:$B$206,MATCH(B332,'12 P6 activities'!$A$7:$A$206,0)),"ID not in P6 list"))</f>
        <v/>
      </c>
      <c r="D332" s="151" t="str">
        <f>IF(B332="","",IFERROR(INDEX('12 P6 activities'!$C$7:$C$206,MATCH(B332,'12 P6 activities'!$A$7:$A$206,0)),"⚠ not in P6 list"))</f>
        <v/>
      </c>
      <c r="E332" s="143"/>
      <c r="F332" s="147"/>
      <c r="G332" s="145" t="str">
        <f>IF(B332="","",IFERROR(INDEX('12 P6 activities'!$E$7:$E$206,MATCH(B332,'12 P6 activities'!$A$7:$A$206,0)),""))</f>
        <v/>
      </c>
      <c r="H332" s="143"/>
      <c r="I332" s="143"/>
      <c r="J332" s="6"/>
      <c r="K332" s="6"/>
      <c r="L332" s="6"/>
      <c r="M332" s="6"/>
      <c r="N332" s="6"/>
      <c r="O332" s="6"/>
      <c r="P332" s="6"/>
      <c r="Q332" s="6"/>
      <c r="R332" s="6"/>
      <c r="S332" s="6"/>
      <c r="T332" s="6"/>
      <c r="U332" s="6"/>
      <c r="V332" s="6"/>
      <c r="W332" s="6"/>
      <c r="X332" s="6"/>
      <c r="Y332" s="6"/>
      <c r="Z332" s="6"/>
    </row>
    <row r="333" spans="1:26" ht="18" customHeight="1" x14ac:dyDescent="0.3">
      <c r="A333" s="142"/>
      <c r="B333" s="143"/>
      <c r="C333" s="151" t="str">
        <f>IF(B333="","",IFERROR(INDEX('12 P6 activities'!$B$7:$B$206,MATCH(B333,'12 P6 activities'!$A$7:$A$206,0)),"ID not in P6 list"))</f>
        <v/>
      </c>
      <c r="D333" s="151" t="str">
        <f>IF(B333="","",IFERROR(INDEX('12 P6 activities'!$C$7:$C$206,MATCH(B333,'12 P6 activities'!$A$7:$A$206,0)),"⚠ not in P6 list"))</f>
        <v/>
      </c>
      <c r="E333" s="143"/>
      <c r="F333" s="147"/>
      <c r="G333" s="145" t="str">
        <f>IF(B333="","",IFERROR(INDEX('12 P6 activities'!$E$7:$E$206,MATCH(B333,'12 P6 activities'!$A$7:$A$206,0)),""))</f>
        <v/>
      </c>
      <c r="H333" s="143"/>
      <c r="I333" s="143"/>
      <c r="J333" s="6"/>
      <c r="K333" s="6"/>
      <c r="L333" s="6"/>
      <c r="M333" s="6"/>
      <c r="N333" s="6"/>
      <c r="O333" s="6"/>
      <c r="P333" s="6"/>
      <c r="Q333" s="6"/>
      <c r="R333" s="6"/>
      <c r="S333" s="6"/>
      <c r="T333" s="6"/>
      <c r="U333" s="6"/>
      <c r="V333" s="6"/>
      <c r="W333" s="6"/>
      <c r="X333" s="6"/>
      <c r="Y333" s="6"/>
      <c r="Z333" s="6"/>
    </row>
    <row r="334" spans="1:26" ht="18" customHeight="1" x14ac:dyDescent="0.3">
      <c r="A334" s="142"/>
      <c r="B334" s="143"/>
      <c r="C334" s="151" t="str">
        <f>IF(B334="","",IFERROR(INDEX('12 P6 activities'!$B$7:$B$206,MATCH(B334,'12 P6 activities'!$A$7:$A$206,0)),"ID not in P6 list"))</f>
        <v/>
      </c>
      <c r="D334" s="151" t="str">
        <f>IF(B334="","",IFERROR(INDEX('12 P6 activities'!$C$7:$C$206,MATCH(B334,'12 P6 activities'!$A$7:$A$206,0)),"⚠ not in P6 list"))</f>
        <v/>
      </c>
      <c r="E334" s="143"/>
      <c r="F334" s="147"/>
      <c r="G334" s="145" t="str">
        <f>IF(B334="","",IFERROR(INDEX('12 P6 activities'!$E$7:$E$206,MATCH(B334,'12 P6 activities'!$A$7:$A$206,0)),""))</f>
        <v/>
      </c>
      <c r="H334" s="143"/>
      <c r="I334" s="143"/>
      <c r="J334" s="6"/>
      <c r="K334" s="6"/>
      <c r="L334" s="6"/>
      <c r="M334" s="6"/>
      <c r="N334" s="6"/>
      <c r="O334" s="6"/>
      <c r="P334" s="6"/>
      <c r="Q334" s="6"/>
      <c r="R334" s="6"/>
      <c r="S334" s="6"/>
      <c r="T334" s="6"/>
      <c r="U334" s="6"/>
      <c r="V334" s="6"/>
      <c r="W334" s="6"/>
      <c r="X334" s="6"/>
      <c r="Y334" s="6"/>
      <c r="Z334" s="6"/>
    </row>
    <row r="335" spans="1:26" ht="18" customHeight="1" x14ac:dyDescent="0.3">
      <c r="A335" s="142"/>
      <c r="B335" s="143"/>
      <c r="C335" s="151" t="str">
        <f>IF(B335="","",IFERROR(INDEX('12 P6 activities'!$B$7:$B$206,MATCH(B335,'12 P6 activities'!$A$7:$A$206,0)),"ID not in P6 list"))</f>
        <v/>
      </c>
      <c r="D335" s="151" t="str">
        <f>IF(B335="","",IFERROR(INDEX('12 P6 activities'!$C$7:$C$206,MATCH(B335,'12 P6 activities'!$A$7:$A$206,0)),"⚠ not in P6 list"))</f>
        <v/>
      </c>
      <c r="E335" s="143"/>
      <c r="F335" s="147"/>
      <c r="G335" s="145" t="str">
        <f>IF(B335="","",IFERROR(INDEX('12 P6 activities'!$E$7:$E$206,MATCH(B335,'12 P6 activities'!$A$7:$A$206,0)),""))</f>
        <v/>
      </c>
      <c r="H335" s="143"/>
      <c r="I335" s="143"/>
      <c r="J335" s="6"/>
      <c r="K335" s="6"/>
      <c r="L335" s="6"/>
      <c r="M335" s="6"/>
      <c r="N335" s="6"/>
      <c r="O335" s="6"/>
      <c r="P335" s="6"/>
      <c r="Q335" s="6"/>
      <c r="R335" s="6"/>
      <c r="S335" s="6"/>
      <c r="T335" s="6"/>
      <c r="U335" s="6"/>
      <c r="V335" s="6"/>
      <c r="W335" s="6"/>
      <c r="X335" s="6"/>
      <c r="Y335" s="6"/>
      <c r="Z335" s="6"/>
    </row>
    <row r="336" spans="1:26" ht="18" customHeight="1" x14ac:dyDescent="0.3">
      <c r="A336" s="142"/>
      <c r="B336" s="143"/>
      <c r="C336" s="151" t="str">
        <f>IF(B336="","",IFERROR(INDEX('12 P6 activities'!$B$7:$B$206,MATCH(B336,'12 P6 activities'!$A$7:$A$206,0)),"ID not in P6 list"))</f>
        <v/>
      </c>
      <c r="D336" s="151" t="str">
        <f>IF(B336="","",IFERROR(INDEX('12 P6 activities'!$C$7:$C$206,MATCH(B336,'12 P6 activities'!$A$7:$A$206,0)),"⚠ not in P6 list"))</f>
        <v/>
      </c>
      <c r="E336" s="143"/>
      <c r="F336" s="147"/>
      <c r="G336" s="145" t="str">
        <f>IF(B336="","",IFERROR(INDEX('12 P6 activities'!$E$7:$E$206,MATCH(B336,'12 P6 activities'!$A$7:$A$206,0)),""))</f>
        <v/>
      </c>
      <c r="H336" s="143"/>
      <c r="I336" s="143"/>
      <c r="J336" s="6"/>
      <c r="K336" s="6"/>
      <c r="L336" s="6"/>
      <c r="M336" s="6"/>
      <c r="N336" s="6"/>
      <c r="O336" s="6"/>
      <c r="P336" s="6"/>
      <c r="Q336" s="6"/>
      <c r="R336" s="6"/>
      <c r="S336" s="6"/>
      <c r="T336" s="6"/>
      <c r="U336" s="6"/>
      <c r="V336" s="6"/>
      <c r="W336" s="6"/>
      <c r="X336" s="6"/>
      <c r="Y336" s="6"/>
      <c r="Z336" s="6"/>
    </row>
    <row r="337" spans="1:26" ht="18" customHeight="1" x14ac:dyDescent="0.3">
      <c r="A337" s="142"/>
      <c r="B337" s="143"/>
      <c r="C337" s="151" t="str">
        <f>IF(B337="","",IFERROR(INDEX('12 P6 activities'!$B$7:$B$206,MATCH(B337,'12 P6 activities'!$A$7:$A$206,0)),"ID not in P6 list"))</f>
        <v/>
      </c>
      <c r="D337" s="151" t="str">
        <f>IF(B337="","",IFERROR(INDEX('12 P6 activities'!$C$7:$C$206,MATCH(B337,'12 P6 activities'!$A$7:$A$206,0)),"⚠ not in P6 list"))</f>
        <v/>
      </c>
      <c r="E337" s="143"/>
      <c r="F337" s="147"/>
      <c r="G337" s="145" t="str">
        <f>IF(B337="","",IFERROR(INDEX('12 P6 activities'!$E$7:$E$206,MATCH(B337,'12 P6 activities'!$A$7:$A$206,0)),""))</f>
        <v/>
      </c>
      <c r="H337" s="143"/>
      <c r="I337" s="143"/>
      <c r="J337" s="6"/>
      <c r="K337" s="6"/>
      <c r="L337" s="6"/>
      <c r="M337" s="6"/>
      <c r="N337" s="6"/>
      <c r="O337" s="6"/>
      <c r="P337" s="6"/>
      <c r="Q337" s="6"/>
      <c r="R337" s="6"/>
      <c r="S337" s="6"/>
      <c r="T337" s="6"/>
      <c r="U337" s="6"/>
      <c r="V337" s="6"/>
      <c r="W337" s="6"/>
      <c r="X337" s="6"/>
      <c r="Y337" s="6"/>
      <c r="Z337" s="6"/>
    </row>
    <row r="338" spans="1:26" ht="18" customHeight="1" x14ac:dyDescent="0.3">
      <c r="A338" s="142"/>
      <c r="B338" s="143"/>
      <c r="C338" s="151" t="str">
        <f>IF(B338="","",IFERROR(INDEX('12 P6 activities'!$B$7:$B$206,MATCH(B338,'12 P6 activities'!$A$7:$A$206,0)),"ID not in P6 list"))</f>
        <v/>
      </c>
      <c r="D338" s="151" t="str">
        <f>IF(B338="","",IFERROR(INDEX('12 P6 activities'!$C$7:$C$206,MATCH(B338,'12 P6 activities'!$A$7:$A$206,0)),"⚠ not in P6 list"))</f>
        <v/>
      </c>
      <c r="E338" s="143"/>
      <c r="F338" s="147"/>
      <c r="G338" s="145" t="str">
        <f>IF(B338="","",IFERROR(INDEX('12 P6 activities'!$E$7:$E$206,MATCH(B338,'12 P6 activities'!$A$7:$A$206,0)),""))</f>
        <v/>
      </c>
      <c r="H338" s="143"/>
      <c r="I338" s="143"/>
      <c r="J338" s="6"/>
      <c r="K338" s="6"/>
      <c r="L338" s="6"/>
      <c r="M338" s="6"/>
      <c r="N338" s="6"/>
      <c r="O338" s="6"/>
      <c r="P338" s="6"/>
      <c r="Q338" s="6"/>
      <c r="R338" s="6"/>
      <c r="S338" s="6"/>
      <c r="T338" s="6"/>
      <c r="U338" s="6"/>
      <c r="V338" s="6"/>
      <c r="W338" s="6"/>
      <c r="X338" s="6"/>
      <c r="Y338" s="6"/>
      <c r="Z338" s="6"/>
    </row>
    <row r="339" spans="1:26" ht="18" customHeight="1" x14ac:dyDescent="0.3">
      <c r="A339" s="142"/>
      <c r="B339" s="143"/>
      <c r="C339" s="151" t="str">
        <f>IF(B339="","",IFERROR(INDEX('12 P6 activities'!$B$7:$B$206,MATCH(B339,'12 P6 activities'!$A$7:$A$206,0)),"ID not in P6 list"))</f>
        <v/>
      </c>
      <c r="D339" s="151" t="str">
        <f>IF(B339="","",IFERROR(INDEX('12 P6 activities'!$C$7:$C$206,MATCH(B339,'12 P6 activities'!$A$7:$A$206,0)),"⚠ not in P6 list"))</f>
        <v/>
      </c>
      <c r="E339" s="143"/>
      <c r="F339" s="147"/>
      <c r="G339" s="145" t="str">
        <f>IF(B339="","",IFERROR(INDEX('12 P6 activities'!$E$7:$E$206,MATCH(B339,'12 P6 activities'!$A$7:$A$206,0)),""))</f>
        <v/>
      </c>
      <c r="H339" s="143"/>
      <c r="I339" s="143"/>
      <c r="J339" s="6"/>
      <c r="K339" s="6"/>
      <c r="L339" s="6"/>
      <c r="M339" s="6"/>
      <c r="N339" s="6"/>
      <c r="O339" s="6"/>
      <c r="P339" s="6"/>
      <c r="Q339" s="6"/>
      <c r="R339" s="6"/>
      <c r="S339" s="6"/>
      <c r="T339" s="6"/>
      <c r="U339" s="6"/>
      <c r="V339" s="6"/>
      <c r="W339" s="6"/>
      <c r="X339" s="6"/>
      <c r="Y339" s="6"/>
      <c r="Z339" s="6"/>
    </row>
    <row r="340" spans="1:26" ht="18" customHeight="1" x14ac:dyDescent="0.3">
      <c r="A340" s="142"/>
      <c r="B340" s="143"/>
      <c r="C340" s="151" t="str">
        <f>IF(B340="","",IFERROR(INDEX('12 P6 activities'!$B$7:$B$206,MATCH(B340,'12 P6 activities'!$A$7:$A$206,0)),"ID not in P6 list"))</f>
        <v/>
      </c>
      <c r="D340" s="151" t="str">
        <f>IF(B340="","",IFERROR(INDEX('12 P6 activities'!$C$7:$C$206,MATCH(B340,'12 P6 activities'!$A$7:$A$206,0)),"⚠ not in P6 list"))</f>
        <v/>
      </c>
      <c r="E340" s="143"/>
      <c r="F340" s="147"/>
      <c r="G340" s="145" t="str">
        <f>IF(B340="","",IFERROR(INDEX('12 P6 activities'!$E$7:$E$206,MATCH(B340,'12 P6 activities'!$A$7:$A$206,0)),""))</f>
        <v/>
      </c>
      <c r="H340" s="143"/>
      <c r="I340" s="143"/>
      <c r="J340" s="6"/>
      <c r="K340" s="6"/>
      <c r="L340" s="6"/>
      <c r="M340" s="6"/>
      <c r="N340" s="6"/>
      <c r="O340" s="6"/>
      <c r="P340" s="6"/>
      <c r="Q340" s="6"/>
      <c r="R340" s="6"/>
      <c r="S340" s="6"/>
      <c r="T340" s="6"/>
      <c r="U340" s="6"/>
      <c r="V340" s="6"/>
      <c r="W340" s="6"/>
      <c r="X340" s="6"/>
      <c r="Y340" s="6"/>
      <c r="Z340" s="6"/>
    </row>
    <row r="341" spans="1:26" ht="18" customHeight="1" x14ac:dyDescent="0.3">
      <c r="A341" s="142"/>
      <c r="B341" s="143"/>
      <c r="C341" s="151" t="str">
        <f>IF(B341="","",IFERROR(INDEX('12 P6 activities'!$B$7:$B$206,MATCH(B341,'12 P6 activities'!$A$7:$A$206,0)),"ID not in P6 list"))</f>
        <v/>
      </c>
      <c r="D341" s="151" t="str">
        <f>IF(B341="","",IFERROR(INDEX('12 P6 activities'!$C$7:$C$206,MATCH(B341,'12 P6 activities'!$A$7:$A$206,0)),"⚠ not in P6 list"))</f>
        <v/>
      </c>
      <c r="E341" s="143"/>
      <c r="F341" s="147"/>
      <c r="G341" s="145" t="str">
        <f>IF(B341="","",IFERROR(INDEX('12 P6 activities'!$E$7:$E$206,MATCH(B341,'12 P6 activities'!$A$7:$A$206,0)),""))</f>
        <v/>
      </c>
      <c r="H341" s="143"/>
      <c r="I341" s="143"/>
      <c r="J341" s="6"/>
      <c r="K341" s="6"/>
      <c r="L341" s="6"/>
      <c r="M341" s="6"/>
      <c r="N341" s="6"/>
      <c r="O341" s="6"/>
      <c r="P341" s="6"/>
      <c r="Q341" s="6"/>
      <c r="R341" s="6"/>
      <c r="S341" s="6"/>
      <c r="T341" s="6"/>
      <c r="U341" s="6"/>
      <c r="V341" s="6"/>
      <c r="W341" s="6"/>
      <c r="X341" s="6"/>
      <c r="Y341" s="6"/>
      <c r="Z341" s="6"/>
    </row>
    <row r="342" spans="1:26" ht="18" customHeight="1" x14ac:dyDescent="0.3">
      <c r="A342" s="142"/>
      <c r="B342" s="143"/>
      <c r="C342" s="151" t="str">
        <f>IF(B342="","",IFERROR(INDEX('12 P6 activities'!$B$7:$B$206,MATCH(B342,'12 P6 activities'!$A$7:$A$206,0)),"ID not in P6 list"))</f>
        <v/>
      </c>
      <c r="D342" s="151" t="str">
        <f>IF(B342="","",IFERROR(INDEX('12 P6 activities'!$C$7:$C$206,MATCH(B342,'12 P6 activities'!$A$7:$A$206,0)),"⚠ not in P6 list"))</f>
        <v/>
      </c>
      <c r="E342" s="143"/>
      <c r="F342" s="147"/>
      <c r="G342" s="145" t="str">
        <f>IF(B342="","",IFERROR(INDEX('12 P6 activities'!$E$7:$E$206,MATCH(B342,'12 P6 activities'!$A$7:$A$206,0)),""))</f>
        <v/>
      </c>
      <c r="H342" s="143"/>
      <c r="I342" s="143"/>
      <c r="J342" s="6"/>
      <c r="K342" s="6"/>
      <c r="L342" s="6"/>
      <c r="M342" s="6"/>
      <c r="N342" s="6"/>
      <c r="O342" s="6"/>
      <c r="P342" s="6"/>
      <c r="Q342" s="6"/>
      <c r="R342" s="6"/>
      <c r="S342" s="6"/>
      <c r="T342" s="6"/>
      <c r="U342" s="6"/>
      <c r="V342" s="6"/>
      <c r="W342" s="6"/>
      <c r="X342" s="6"/>
      <c r="Y342" s="6"/>
      <c r="Z342" s="6"/>
    </row>
    <row r="343" spans="1:26" ht="18" customHeight="1" x14ac:dyDescent="0.3">
      <c r="A343" s="142"/>
      <c r="B343" s="143"/>
      <c r="C343" s="151" t="str">
        <f>IF(B343="","",IFERROR(INDEX('12 P6 activities'!$B$7:$B$206,MATCH(B343,'12 P6 activities'!$A$7:$A$206,0)),"ID not in P6 list"))</f>
        <v/>
      </c>
      <c r="D343" s="151" t="str">
        <f>IF(B343="","",IFERROR(INDEX('12 P6 activities'!$C$7:$C$206,MATCH(B343,'12 P6 activities'!$A$7:$A$206,0)),"⚠ not in P6 list"))</f>
        <v/>
      </c>
      <c r="E343" s="143"/>
      <c r="F343" s="147"/>
      <c r="G343" s="145" t="str">
        <f>IF(B343="","",IFERROR(INDEX('12 P6 activities'!$E$7:$E$206,MATCH(B343,'12 P6 activities'!$A$7:$A$206,0)),""))</f>
        <v/>
      </c>
      <c r="H343" s="143"/>
      <c r="I343" s="143"/>
      <c r="J343" s="6"/>
      <c r="K343" s="6"/>
      <c r="L343" s="6"/>
      <c r="M343" s="6"/>
      <c r="N343" s="6"/>
      <c r="O343" s="6"/>
      <c r="P343" s="6"/>
      <c r="Q343" s="6"/>
      <c r="R343" s="6"/>
      <c r="S343" s="6"/>
      <c r="T343" s="6"/>
      <c r="U343" s="6"/>
      <c r="V343" s="6"/>
      <c r="W343" s="6"/>
      <c r="X343" s="6"/>
      <c r="Y343" s="6"/>
      <c r="Z343" s="6"/>
    </row>
    <row r="344" spans="1:26" ht="18" customHeight="1" x14ac:dyDescent="0.3">
      <c r="A344" s="142"/>
      <c r="B344" s="143"/>
      <c r="C344" s="151" t="str">
        <f>IF(B344="","",IFERROR(INDEX('12 P6 activities'!$B$7:$B$206,MATCH(B344,'12 P6 activities'!$A$7:$A$206,0)),"ID not in P6 list"))</f>
        <v/>
      </c>
      <c r="D344" s="151" t="str">
        <f>IF(B344="","",IFERROR(INDEX('12 P6 activities'!$C$7:$C$206,MATCH(B344,'12 P6 activities'!$A$7:$A$206,0)),"⚠ not in P6 list"))</f>
        <v/>
      </c>
      <c r="E344" s="143"/>
      <c r="F344" s="147"/>
      <c r="G344" s="145" t="str">
        <f>IF(B344="","",IFERROR(INDEX('12 P6 activities'!$E$7:$E$206,MATCH(B344,'12 P6 activities'!$A$7:$A$206,0)),""))</f>
        <v/>
      </c>
      <c r="H344" s="143"/>
      <c r="I344" s="143"/>
      <c r="J344" s="6"/>
      <c r="K344" s="6"/>
      <c r="L344" s="6"/>
      <c r="M344" s="6"/>
      <c r="N344" s="6"/>
      <c r="O344" s="6"/>
      <c r="P344" s="6"/>
      <c r="Q344" s="6"/>
      <c r="R344" s="6"/>
      <c r="S344" s="6"/>
      <c r="T344" s="6"/>
      <c r="U344" s="6"/>
      <c r="V344" s="6"/>
      <c r="W344" s="6"/>
      <c r="X344" s="6"/>
      <c r="Y344" s="6"/>
      <c r="Z344" s="6"/>
    </row>
    <row r="345" spans="1:26" ht="18" customHeight="1" x14ac:dyDescent="0.3">
      <c r="A345" s="142"/>
      <c r="B345" s="143"/>
      <c r="C345" s="151" t="str">
        <f>IF(B345="","",IFERROR(INDEX('12 P6 activities'!$B$7:$B$206,MATCH(B345,'12 P6 activities'!$A$7:$A$206,0)),"ID not in P6 list"))</f>
        <v/>
      </c>
      <c r="D345" s="151" t="str">
        <f>IF(B345="","",IFERROR(INDEX('12 P6 activities'!$C$7:$C$206,MATCH(B345,'12 P6 activities'!$A$7:$A$206,0)),"⚠ not in P6 list"))</f>
        <v/>
      </c>
      <c r="E345" s="143"/>
      <c r="F345" s="147"/>
      <c r="G345" s="145" t="str">
        <f>IF(B345="","",IFERROR(INDEX('12 P6 activities'!$E$7:$E$206,MATCH(B345,'12 P6 activities'!$A$7:$A$206,0)),""))</f>
        <v/>
      </c>
      <c r="H345" s="143"/>
      <c r="I345" s="143"/>
      <c r="J345" s="6"/>
      <c r="K345" s="6"/>
      <c r="L345" s="6"/>
      <c r="M345" s="6"/>
      <c r="N345" s="6"/>
      <c r="O345" s="6"/>
      <c r="P345" s="6"/>
      <c r="Q345" s="6"/>
      <c r="R345" s="6"/>
      <c r="S345" s="6"/>
      <c r="T345" s="6"/>
      <c r="U345" s="6"/>
      <c r="V345" s="6"/>
      <c r="W345" s="6"/>
      <c r="X345" s="6"/>
      <c r="Y345" s="6"/>
      <c r="Z345" s="6"/>
    </row>
    <row r="346" spans="1:26" ht="18" customHeight="1" x14ac:dyDescent="0.3">
      <c r="A346" s="142"/>
      <c r="B346" s="143"/>
      <c r="C346" s="151" t="str">
        <f>IF(B346="","",IFERROR(INDEX('12 P6 activities'!$B$7:$B$206,MATCH(B346,'12 P6 activities'!$A$7:$A$206,0)),"ID not in P6 list"))</f>
        <v/>
      </c>
      <c r="D346" s="151" t="str">
        <f>IF(B346="","",IFERROR(INDEX('12 P6 activities'!$C$7:$C$206,MATCH(B346,'12 P6 activities'!$A$7:$A$206,0)),"⚠ not in P6 list"))</f>
        <v/>
      </c>
      <c r="E346" s="143"/>
      <c r="F346" s="147"/>
      <c r="G346" s="145" t="str">
        <f>IF(B346="","",IFERROR(INDEX('12 P6 activities'!$E$7:$E$206,MATCH(B346,'12 P6 activities'!$A$7:$A$206,0)),""))</f>
        <v/>
      </c>
      <c r="H346" s="143"/>
      <c r="I346" s="143"/>
      <c r="J346" s="6"/>
      <c r="K346" s="6"/>
      <c r="L346" s="6"/>
      <c r="M346" s="6"/>
      <c r="N346" s="6"/>
      <c r="O346" s="6"/>
      <c r="P346" s="6"/>
      <c r="Q346" s="6"/>
      <c r="R346" s="6"/>
      <c r="S346" s="6"/>
      <c r="T346" s="6"/>
      <c r="U346" s="6"/>
      <c r="V346" s="6"/>
      <c r="W346" s="6"/>
      <c r="X346" s="6"/>
      <c r="Y346" s="6"/>
      <c r="Z346" s="6"/>
    </row>
    <row r="347" spans="1:26" ht="18" customHeight="1" x14ac:dyDescent="0.3">
      <c r="A347" s="142"/>
      <c r="B347" s="143"/>
      <c r="C347" s="151" t="str">
        <f>IF(B347="","",IFERROR(INDEX('12 P6 activities'!$B$7:$B$206,MATCH(B347,'12 P6 activities'!$A$7:$A$206,0)),"ID not in P6 list"))</f>
        <v/>
      </c>
      <c r="D347" s="151" t="str">
        <f>IF(B347="","",IFERROR(INDEX('12 P6 activities'!$C$7:$C$206,MATCH(B347,'12 P6 activities'!$A$7:$A$206,0)),"⚠ not in P6 list"))</f>
        <v/>
      </c>
      <c r="E347" s="143"/>
      <c r="F347" s="147"/>
      <c r="G347" s="145" t="str">
        <f>IF(B347="","",IFERROR(INDEX('12 P6 activities'!$E$7:$E$206,MATCH(B347,'12 P6 activities'!$A$7:$A$206,0)),""))</f>
        <v/>
      </c>
      <c r="H347" s="143"/>
      <c r="I347" s="143"/>
      <c r="J347" s="6"/>
      <c r="K347" s="6"/>
      <c r="L347" s="6"/>
      <c r="M347" s="6"/>
      <c r="N347" s="6"/>
      <c r="O347" s="6"/>
      <c r="P347" s="6"/>
      <c r="Q347" s="6"/>
      <c r="R347" s="6"/>
      <c r="S347" s="6"/>
      <c r="T347" s="6"/>
      <c r="U347" s="6"/>
      <c r="V347" s="6"/>
      <c r="W347" s="6"/>
      <c r="X347" s="6"/>
      <c r="Y347" s="6"/>
      <c r="Z347" s="6"/>
    </row>
    <row r="348" spans="1:26" ht="18" customHeight="1" x14ac:dyDescent="0.3">
      <c r="A348" s="142"/>
      <c r="B348" s="143"/>
      <c r="C348" s="151" t="str">
        <f>IF(B348="","",IFERROR(INDEX('12 P6 activities'!$B$7:$B$206,MATCH(B348,'12 P6 activities'!$A$7:$A$206,0)),"ID not in P6 list"))</f>
        <v/>
      </c>
      <c r="D348" s="151" t="str">
        <f>IF(B348="","",IFERROR(INDEX('12 P6 activities'!$C$7:$C$206,MATCH(B348,'12 P6 activities'!$A$7:$A$206,0)),"⚠ not in P6 list"))</f>
        <v/>
      </c>
      <c r="E348" s="143"/>
      <c r="F348" s="147"/>
      <c r="G348" s="145" t="str">
        <f>IF(B348="","",IFERROR(INDEX('12 P6 activities'!$E$7:$E$206,MATCH(B348,'12 P6 activities'!$A$7:$A$206,0)),""))</f>
        <v/>
      </c>
      <c r="H348" s="143"/>
      <c r="I348" s="143"/>
      <c r="J348" s="6"/>
      <c r="K348" s="6"/>
      <c r="L348" s="6"/>
      <c r="M348" s="6"/>
      <c r="N348" s="6"/>
      <c r="O348" s="6"/>
      <c r="P348" s="6"/>
      <c r="Q348" s="6"/>
      <c r="R348" s="6"/>
      <c r="S348" s="6"/>
      <c r="T348" s="6"/>
      <c r="U348" s="6"/>
      <c r="V348" s="6"/>
      <c r="W348" s="6"/>
      <c r="X348" s="6"/>
      <c r="Y348" s="6"/>
      <c r="Z348" s="6"/>
    </row>
    <row r="349" spans="1:26" ht="18" customHeight="1" x14ac:dyDescent="0.3">
      <c r="A349" s="142"/>
      <c r="B349" s="143"/>
      <c r="C349" s="151" t="str">
        <f>IF(B349="","",IFERROR(INDEX('12 P6 activities'!$B$7:$B$206,MATCH(B349,'12 P6 activities'!$A$7:$A$206,0)),"ID not in P6 list"))</f>
        <v/>
      </c>
      <c r="D349" s="151" t="str">
        <f>IF(B349="","",IFERROR(INDEX('12 P6 activities'!$C$7:$C$206,MATCH(B349,'12 P6 activities'!$A$7:$A$206,0)),"⚠ not in P6 list"))</f>
        <v/>
      </c>
      <c r="E349" s="143"/>
      <c r="F349" s="147"/>
      <c r="G349" s="145" t="str">
        <f>IF(B349="","",IFERROR(INDEX('12 P6 activities'!$E$7:$E$206,MATCH(B349,'12 P6 activities'!$A$7:$A$206,0)),""))</f>
        <v/>
      </c>
      <c r="H349" s="143"/>
      <c r="I349" s="143"/>
      <c r="J349" s="6"/>
      <c r="K349" s="6"/>
      <c r="L349" s="6"/>
      <c r="M349" s="6"/>
      <c r="N349" s="6"/>
      <c r="O349" s="6"/>
      <c r="P349" s="6"/>
      <c r="Q349" s="6"/>
      <c r="R349" s="6"/>
      <c r="S349" s="6"/>
      <c r="T349" s="6"/>
      <c r="U349" s="6"/>
      <c r="V349" s="6"/>
      <c r="W349" s="6"/>
      <c r="X349" s="6"/>
      <c r="Y349" s="6"/>
      <c r="Z349" s="6"/>
    </row>
    <row r="350" spans="1:26" ht="18" customHeight="1" x14ac:dyDescent="0.3">
      <c r="A350" s="142"/>
      <c r="B350" s="143"/>
      <c r="C350" s="151" t="str">
        <f>IF(B350="","",IFERROR(INDEX('12 P6 activities'!$B$7:$B$206,MATCH(B350,'12 P6 activities'!$A$7:$A$206,0)),"ID not in P6 list"))</f>
        <v/>
      </c>
      <c r="D350" s="151" t="str">
        <f>IF(B350="","",IFERROR(INDEX('12 P6 activities'!$C$7:$C$206,MATCH(B350,'12 P6 activities'!$A$7:$A$206,0)),"⚠ not in P6 list"))</f>
        <v/>
      </c>
      <c r="E350" s="143"/>
      <c r="F350" s="147"/>
      <c r="G350" s="145" t="str">
        <f>IF(B350="","",IFERROR(INDEX('12 P6 activities'!$E$7:$E$206,MATCH(B350,'12 P6 activities'!$A$7:$A$206,0)),""))</f>
        <v/>
      </c>
      <c r="H350" s="143"/>
      <c r="I350" s="143"/>
      <c r="J350" s="6"/>
      <c r="K350" s="6"/>
      <c r="L350" s="6"/>
      <c r="M350" s="6"/>
      <c r="N350" s="6"/>
      <c r="O350" s="6"/>
      <c r="P350" s="6"/>
      <c r="Q350" s="6"/>
      <c r="R350" s="6"/>
      <c r="S350" s="6"/>
      <c r="T350" s="6"/>
      <c r="U350" s="6"/>
      <c r="V350" s="6"/>
      <c r="W350" s="6"/>
      <c r="X350" s="6"/>
      <c r="Y350" s="6"/>
      <c r="Z350" s="6"/>
    </row>
    <row r="351" spans="1:26" ht="18" customHeight="1" x14ac:dyDescent="0.3">
      <c r="A351" s="142"/>
      <c r="B351" s="143"/>
      <c r="C351" s="151" t="str">
        <f>IF(B351="","",IFERROR(INDEX('12 P6 activities'!$B$7:$B$206,MATCH(B351,'12 P6 activities'!$A$7:$A$206,0)),"ID not in P6 list"))</f>
        <v/>
      </c>
      <c r="D351" s="151" t="str">
        <f>IF(B351="","",IFERROR(INDEX('12 P6 activities'!$C$7:$C$206,MATCH(B351,'12 P6 activities'!$A$7:$A$206,0)),"⚠ not in P6 list"))</f>
        <v/>
      </c>
      <c r="E351" s="143"/>
      <c r="F351" s="147"/>
      <c r="G351" s="145" t="str">
        <f>IF(B351="","",IFERROR(INDEX('12 P6 activities'!$E$7:$E$206,MATCH(B351,'12 P6 activities'!$A$7:$A$206,0)),""))</f>
        <v/>
      </c>
      <c r="H351" s="143"/>
      <c r="I351" s="143"/>
      <c r="J351" s="6"/>
      <c r="K351" s="6"/>
      <c r="L351" s="6"/>
      <c r="M351" s="6"/>
      <c r="N351" s="6"/>
      <c r="O351" s="6"/>
      <c r="P351" s="6"/>
      <c r="Q351" s="6"/>
      <c r="R351" s="6"/>
      <c r="S351" s="6"/>
      <c r="T351" s="6"/>
      <c r="U351" s="6"/>
      <c r="V351" s="6"/>
      <c r="W351" s="6"/>
      <c r="X351" s="6"/>
      <c r="Y351" s="6"/>
      <c r="Z351" s="6"/>
    </row>
    <row r="352" spans="1:26" ht="18" customHeight="1" x14ac:dyDescent="0.3">
      <c r="A352" s="142"/>
      <c r="B352" s="143"/>
      <c r="C352" s="151" t="str">
        <f>IF(B352="","",IFERROR(INDEX('12 P6 activities'!$B$7:$B$206,MATCH(B352,'12 P6 activities'!$A$7:$A$206,0)),"ID not in P6 list"))</f>
        <v/>
      </c>
      <c r="D352" s="151" t="str">
        <f>IF(B352="","",IFERROR(INDEX('12 P6 activities'!$C$7:$C$206,MATCH(B352,'12 P6 activities'!$A$7:$A$206,0)),"⚠ not in P6 list"))</f>
        <v/>
      </c>
      <c r="E352" s="143"/>
      <c r="F352" s="147"/>
      <c r="G352" s="145" t="str">
        <f>IF(B352="","",IFERROR(INDEX('12 P6 activities'!$E$7:$E$206,MATCH(B352,'12 P6 activities'!$A$7:$A$206,0)),""))</f>
        <v/>
      </c>
      <c r="H352" s="143"/>
      <c r="I352" s="143"/>
      <c r="J352" s="6"/>
      <c r="K352" s="6"/>
      <c r="L352" s="6"/>
      <c r="M352" s="6"/>
      <c r="N352" s="6"/>
      <c r="O352" s="6"/>
      <c r="P352" s="6"/>
      <c r="Q352" s="6"/>
      <c r="R352" s="6"/>
      <c r="S352" s="6"/>
      <c r="T352" s="6"/>
      <c r="U352" s="6"/>
      <c r="V352" s="6"/>
      <c r="W352" s="6"/>
      <c r="X352" s="6"/>
      <c r="Y352" s="6"/>
      <c r="Z352" s="6"/>
    </row>
    <row r="353" spans="1:26" ht="18" customHeight="1" x14ac:dyDescent="0.3">
      <c r="A353" s="142"/>
      <c r="B353" s="143"/>
      <c r="C353" s="151" t="str">
        <f>IF(B353="","",IFERROR(INDEX('12 P6 activities'!$B$7:$B$206,MATCH(B353,'12 P6 activities'!$A$7:$A$206,0)),"ID not in P6 list"))</f>
        <v/>
      </c>
      <c r="D353" s="151" t="str">
        <f>IF(B353="","",IFERROR(INDEX('12 P6 activities'!$C$7:$C$206,MATCH(B353,'12 P6 activities'!$A$7:$A$206,0)),"⚠ not in P6 list"))</f>
        <v/>
      </c>
      <c r="E353" s="143"/>
      <c r="F353" s="147"/>
      <c r="G353" s="145" t="str">
        <f>IF(B353="","",IFERROR(INDEX('12 P6 activities'!$E$7:$E$206,MATCH(B353,'12 P6 activities'!$A$7:$A$206,0)),""))</f>
        <v/>
      </c>
      <c r="H353" s="143"/>
      <c r="I353" s="143"/>
      <c r="J353" s="6"/>
      <c r="K353" s="6"/>
      <c r="L353" s="6"/>
      <c r="M353" s="6"/>
      <c r="N353" s="6"/>
      <c r="O353" s="6"/>
      <c r="P353" s="6"/>
      <c r="Q353" s="6"/>
      <c r="R353" s="6"/>
      <c r="S353" s="6"/>
      <c r="T353" s="6"/>
      <c r="U353" s="6"/>
      <c r="V353" s="6"/>
      <c r="W353" s="6"/>
      <c r="X353" s="6"/>
      <c r="Y353" s="6"/>
      <c r="Z353" s="6"/>
    </row>
    <row r="354" spans="1:26" ht="18" customHeight="1" x14ac:dyDescent="0.3">
      <c r="A354" s="142"/>
      <c r="B354" s="143"/>
      <c r="C354" s="151" t="str">
        <f>IF(B354="","",IFERROR(INDEX('12 P6 activities'!$B$7:$B$206,MATCH(B354,'12 P6 activities'!$A$7:$A$206,0)),"ID not in P6 list"))</f>
        <v/>
      </c>
      <c r="D354" s="151" t="str">
        <f>IF(B354="","",IFERROR(INDEX('12 P6 activities'!$C$7:$C$206,MATCH(B354,'12 P6 activities'!$A$7:$A$206,0)),"⚠ not in P6 list"))</f>
        <v/>
      </c>
      <c r="E354" s="143"/>
      <c r="F354" s="147"/>
      <c r="G354" s="145" t="str">
        <f>IF(B354="","",IFERROR(INDEX('12 P6 activities'!$E$7:$E$206,MATCH(B354,'12 P6 activities'!$A$7:$A$206,0)),""))</f>
        <v/>
      </c>
      <c r="H354" s="143"/>
      <c r="I354" s="143"/>
      <c r="J354" s="6"/>
      <c r="K354" s="6"/>
      <c r="L354" s="6"/>
      <c r="M354" s="6"/>
      <c r="N354" s="6"/>
      <c r="O354" s="6"/>
      <c r="P354" s="6"/>
      <c r="Q354" s="6"/>
      <c r="R354" s="6"/>
      <c r="S354" s="6"/>
      <c r="T354" s="6"/>
      <c r="U354" s="6"/>
      <c r="V354" s="6"/>
      <c r="W354" s="6"/>
      <c r="X354" s="6"/>
      <c r="Y354" s="6"/>
      <c r="Z354" s="6"/>
    </row>
    <row r="355" spans="1:26" ht="18" customHeight="1" x14ac:dyDescent="0.3">
      <c r="A355" s="142"/>
      <c r="B355" s="143"/>
      <c r="C355" s="151" t="str">
        <f>IF(B355="","",IFERROR(INDEX('12 P6 activities'!$B$7:$B$206,MATCH(B355,'12 P6 activities'!$A$7:$A$206,0)),"ID not in P6 list"))</f>
        <v/>
      </c>
      <c r="D355" s="151" t="str">
        <f>IF(B355="","",IFERROR(INDEX('12 P6 activities'!$C$7:$C$206,MATCH(B355,'12 P6 activities'!$A$7:$A$206,0)),"⚠ not in P6 list"))</f>
        <v/>
      </c>
      <c r="E355" s="143"/>
      <c r="F355" s="147"/>
      <c r="G355" s="145" t="str">
        <f>IF(B355="","",IFERROR(INDEX('12 P6 activities'!$E$7:$E$206,MATCH(B355,'12 P6 activities'!$A$7:$A$206,0)),""))</f>
        <v/>
      </c>
      <c r="H355" s="143"/>
      <c r="I355" s="143"/>
      <c r="J355" s="6"/>
      <c r="K355" s="6"/>
      <c r="L355" s="6"/>
      <c r="M355" s="6"/>
      <c r="N355" s="6"/>
      <c r="O355" s="6"/>
      <c r="P355" s="6"/>
      <c r="Q355" s="6"/>
      <c r="R355" s="6"/>
      <c r="S355" s="6"/>
      <c r="T355" s="6"/>
      <c r="U355" s="6"/>
      <c r="V355" s="6"/>
      <c r="W355" s="6"/>
      <c r="X355" s="6"/>
      <c r="Y355" s="6"/>
      <c r="Z355" s="6"/>
    </row>
    <row r="356" spans="1:26" ht="18" customHeight="1" x14ac:dyDescent="0.3">
      <c r="A356" s="142"/>
      <c r="B356" s="143"/>
      <c r="C356" s="151" t="str">
        <f>IF(B356="","",IFERROR(INDEX('12 P6 activities'!$B$7:$B$206,MATCH(B356,'12 P6 activities'!$A$7:$A$206,0)),"ID not in P6 list"))</f>
        <v/>
      </c>
      <c r="D356" s="151" t="str">
        <f>IF(B356="","",IFERROR(INDEX('12 P6 activities'!$C$7:$C$206,MATCH(B356,'12 P6 activities'!$A$7:$A$206,0)),"⚠ not in P6 list"))</f>
        <v/>
      </c>
      <c r="E356" s="143"/>
      <c r="F356" s="147"/>
      <c r="G356" s="145" t="str">
        <f>IF(B356="","",IFERROR(INDEX('12 P6 activities'!$E$7:$E$206,MATCH(B356,'12 P6 activities'!$A$7:$A$206,0)),""))</f>
        <v/>
      </c>
      <c r="H356" s="143"/>
      <c r="I356" s="143"/>
      <c r="J356" s="6"/>
      <c r="K356" s="6"/>
      <c r="L356" s="6"/>
      <c r="M356" s="6"/>
      <c r="N356" s="6"/>
      <c r="O356" s="6"/>
      <c r="P356" s="6"/>
      <c r="Q356" s="6"/>
      <c r="R356" s="6"/>
      <c r="S356" s="6"/>
      <c r="T356" s="6"/>
      <c r="U356" s="6"/>
      <c r="V356" s="6"/>
      <c r="W356" s="6"/>
      <c r="X356" s="6"/>
      <c r="Y356" s="6"/>
      <c r="Z356" s="6"/>
    </row>
    <row r="357" spans="1:26" ht="18" customHeight="1" x14ac:dyDescent="0.3">
      <c r="A357" s="142"/>
      <c r="B357" s="143"/>
      <c r="C357" s="151" t="str">
        <f>IF(B357="","",IFERROR(INDEX('12 P6 activities'!$B$7:$B$206,MATCH(B357,'12 P6 activities'!$A$7:$A$206,0)),"ID not in P6 list"))</f>
        <v/>
      </c>
      <c r="D357" s="151" t="str">
        <f>IF(B357="","",IFERROR(INDEX('12 P6 activities'!$C$7:$C$206,MATCH(B357,'12 P6 activities'!$A$7:$A$206,0)),"⚠ not in P6 list"))</f>
        <v/>
      </c>
      <c r="E357" s="143"/>
      <c r="F357" s="147"/>
      <c r="G357" s="145" t="str">
        <f>IF(B357="","",IFERROR(INDEX('12 P6 activities'!$E$7:$E$206,MATCH(B357,'12 P6 activities'!$A$7:$A$206,0)),""))</f>
        <v/>
      </c>
      <c r="H357" s="143"/>
      <c r="I357" s="143"/>
      <c r="J357" s="6"/>
      <c r="K357" s="6"/>
      <c r="L357" s="6"/>
      <c r="M357" s="6"/>
      <c r="N357" s="6"/>
      <c r="O357" s="6"/>
      <c r="P357" s="6"/>
      <c r="Q357" s="6"/>
      <c r="R357" s="6"/>
      <c r="S357" s="6"/>
      <c r="T357" s="6"/>
      <c r="U357" s="6"/>
      <c r="V357" s="6"/>
      <c r="W357" s="6"/>
      <c r="X357" s="6"/>
      <c r="Y357" s="6"/>
      <c r="Z357" s="6"/>
    </row>
    <row r="358" spans="1:26" ht="18" customHeight="1" x14ac:dyDescent="0.3">
      <c r="A358" s="142"/>
      <c r="B358" s="143"/>
      <c r="C358" s="151" t="str">
        <f>IF(B358="","",IFERROR(INDEX('12 P6 activities'!$B$7:$B$206,MATCH(B358,'12 P6 activities'!$A$7:$A$206,0)),"ID not in P6 list"))</f>
        <v/>
      </c>
      <c r="D358" s="151" t="str">
        <f>IF(B358="","",IFERROR(INDEX('12 P6 activities'!$C$7:$C$206,MATCH(B358,'12 P6 activities'!$A$7:$A$206,0)),"⚠ not in P6 list"))</f>
        <v/>
      </c>
      <c r="E358" s="143"/>
      <c r="F358" s="147"/>
      <c r="G358" s="145" t="str">
        <f>IF(B358="","",IFERROR(INDEX('12 P6 activities'!$E$7:$E$206,MATCH(B358,'12 P6 activities'!$A$7:$A$206,0)),""))</f>
        <v/>
      </c>
      <c r="H358" s="143"/>
      <c r="I358" s="143"/>
      <c r="J358" s="6"/>
      <c r="K358" s="6"/>
      <c r="L358" s="6"/>
      <c r="M358" s="6"/>
      <c r="N358" s="6"/>
      <c r="O358" s="6"/>
      <c r="P358" s="6"/>
      <c r="Q358" s="6"/>
      <c r="R358" s="6"/>
      <c r="S358" s="6"/>
      <c r="T358" s="6"/>
      <c r="U358" s="6"/>
      <c r="V358" s="6"/>
      <c r="W358" s="6"/>
      <c r="X358" s="6"/>
      <c r="Y358" s="6"/>
      <c r="Z358" s="6"/>
    </row>
    <row r="359" spans="1:26" ht="18" customHeight="1" x14ac:dyDescent="0.3">
      <c r="A359" s="142"/>
      <c r="B359" s="143"/>
      <c r="C359" s="151" t="str">
        <f>IF(B359="","",IFERROR(INDEX('12 P6 activities'!$B$7:$B$206,MATCH(B359,'12 P6 activities'!$A$7:$A$206,0)),"ID not in P6 list"))</f>
        <v/>
      </c>
      <c r="D359" s="151" t="str">
        <f>IF(B359="","",IFERROR(INDEX('12 P6 activities'!$C$7:$C$206,MATCH(B359,'12 P6 activities'!$A$7:$A$206,0)),"⚠ not in P6 list"))</f>
        <v/>
      </c>
      <c r="E359" s="143"/>
      <c r="F359" s="147"/>
      <c r="G359" s="145" t="str">
        <f>IF(B359="","",IFERROR(INDEX('12 P6 activities'!$E$7:$E$206,MATCH(B359,'12 P6 activities'!$A$7:$A$206,0)),""))</f>
        <v/>
      </c>
      <c r="H359" s="143"/>
      <c r="I359" s="143"/>
      <c r="J359" s="6"/>
      <c r="K359" s="6"/>
      <c r="L359" s="6"/>
      <c r="M359" s="6"/>
      <c r="N359" s="6"/>
      <c r="O359" s="6"/>
      <c r="P359" s="6"/>
      <c r="Q359" s="6"/>
      <c r="R359" s="6"/>
      <c r="S359" s="6"/>
      <c r="T359" s="6"/>
      <c r="U359" s="6"/>
      <c r="V359" s="6"/>
      <c r="W359" s="6"/>
      <c r="X359" s="6"/>
      <c r="Y359" s="6"/>
      <c r="Z359" s="6"/>
    </row>
    <row r="360" spans="1:26" ht="18" customHeight="1" x14ac:dyDescent="0.3">
      <c r="A360" s="142"/>
      <c r="B360" s="143"/>
      <c r="C360" s="151" t="str">
        <f>IF(B360="","",IFERROR(INDEX('12 P6 activities'!$B$7:$B$206,MATCH(B360,'12 P6 activities'!$A$7:$A$206,0)),"ID not in P6 list"))</f>
        <v/>
      </c>
      <c r="D360" s="151" t="str">
        <f>IF(B360="","",IFERROR(INDEX('12 P6 activities'!$C$7:$C$206,MATCH(B360,'12 P6 activities'!$A$7:$A$206,0)),"⚠ not in P6 list"))</f>
        <v/>
      </c>
      <c r="E360" s="143"/>
      <c r="F360" s="147"/>
      <c r="G360" s="145" t="str">
        <f>IF(B360="","",IFERROR(INDEX('12 P6 activities'!$E$7:$E$206,MATCH(B360,'12 P6 activities'!$A$7:$A$206,0)),""))</f>
        <v/>
      </c>
      <c r="H360" s="143"/>
      <c r="I360" s="143"/>
      <c r="J360" s="6"/>
      <c r="K360" s="6"/>
      <c r="L360" s="6"/>
      <c r="M360" s="6"/>
      <c r="N360" s="6"/>
      <c r="O360" s="6"/>
      <c r="P360" s="6"/>
      <c r="Q360" s="6"/>
      <c r="R360" s="6"/>
      <c r="S360" s="6"/>
      <c r="T360" s="6"/>
      <c r="U360" s="6"/>
      <c r="V360" s="6"/>
      <c r="W360" s="6"/>
      <c r="X360" s="6"/>
      <c r="Y360" s="6"/>
      <c r="Z360" s="6"/>
    </row>
    <row r="361" spans="1:26" ht="18" customHeight="1" x14ac:dyDescent="0.3">
      <c r="A361" s="142"/>
      <c r="B361" s="143"/>
      <c r="C361" s="151" t="str">
        <f>IF(B361="","",IFERROR(INDEX('12 P6 activities'!$B$7:$B$206,MATCH(B361,'12 P6 activities'!$A$7:$A$206,0)),"ID not in P6 list"))</f>
        <v/>
      </c>
      <c r="D361" s="151" t="str">
        <f>IF(B361="","",IFERROR(INDEX('12 P6 activities'!$C$7:$C$206,MATCH(B361,'12 P6 activities'!$A$7:$A$206,0)),"⚠ not in P6 list"))</f>
        <v/>
      </c>
      <c r="E361" s="143"/>
      <c r="F361" s="147"/>
      <c r="G361" s="145" t="str">
        <f>IF(B361="","",IFERROR(INDEX('12 P6 activities'!$E$7:$E$206,MATCH(B361,'12 P6 activities'!$A$7:$A$206,0)),""))</f>
        <v/>
      </c>
      <c r="H361" s="143"/>
      <c r="I361" s="143"/>
      <c r="J361" s="6"/>
      <c r="K361" s="6"/>
      <c r="L361" s="6"/>
      <c r="M361" s="6"/>
      <c r="N361" s="6"/>
      <c r="O361" s="6"/>
      <c r="P361" s="6"/>
      <c r="Q361" s="6"/>
      <c r="R361" s="6"/>
      <c r="S361" s="6"/>
      <c r="T361" s="6"/>
      <c r="U361" s="6"/>
      <c r="V361" s="6"/>
      <c r="W361" s="6"/>
      <c r="X361" s="6"/>
      <c r="Y361" s="6"/>
      <c r="Z361" s="6"/>
    </row>
    <row r="362" spans="1:26" ht="18" customHeight="1" x14ac:dyDescent="0.3">
      <c r="A362" s="142"/>
      <c r="B362" s="143"/>
      <c r="C362" s="151" t="str">
        <f>IF(B362="","",IFERROR(INDEX('12 P6 activities'!$B$7:$B$206,MATCH(B362,'12 P6 activities'!$A$7:$A$206,0)),"ID not in P6 list"))</f>
        <v/>
      </c>
      <c r="D362" s="151" t="str">
        <f>IF(B362="","",IFERROR(INDEX('12 P6 activities'!$C$7:$C$206,MATCH(B362,'12 P6 activities'!$A$7:$A$206,0)),"⚠ not in P6 list"))</f>
        <v/>
      </c>
      <c r="E362" s="143"/>
      <c r="F362" s="147"/>
      <c r="G362" s="145" t="str">
        <f>IF(B362="","",IFERROR(INDEX('12 P6 activities'!$E$7:$E$206,MATCH(B362,'12 P6 activities'!$A$7:$A$206,0)),""))</f>
        <v/>
      </c>
      <c r="H362" s="143"/>
      <c r="I362" s="143"/>
      <c r="J362" s="6"/>
      <c r="K362" s="6"/>
      <c r="L362" s="6"/>
      <c r="M362" s="6"/>
      <c r="N362" s="6"/>
      <c r="O362" s="6"/>
      <c r="P362" s="6"/>
      <c r="Q362" s="6"/>
      <c r="R362" s="6"/>
      <c r="S362" s="6"/>
      <c r="T362" s="6"/>
      <c r="U362" s="6"/>
      <c r="V362" s="6"/>
      <c r="W362" s="6"/>
      <c r="X362" s="6"/>
      <c r="Y362" s="6"/>
      <c r="Z362" s="6"/>
    </row>
    <row r="363" spans="1:26" ht="18" customHeight="1" x14ac:dyDescent="0.3">
      <c r="A363" s="142"/>
      <c r="B363" s="143"/>
      <c r="C363" s="151" t="str">
        <f>IF(B363="","",IFERROR(INDEX('12 P6 activities'!$B$7:$B$206,MATCH(B363,'12 P6 activities'!$A$7:$A$206,0)),"ID not in P6 list"))</f>
        <v/>
      </c>
      <c r="D363" s="151" t="str">
        <f>IF(B363="","",IFERROR(INDEX('12 P6 activities'!$C$7:$C$206,MATCH(B363,'12 P6 activities'!$A$7:$A$206,0)),"⚠ not in P6 list"))</f>
        <v/>
      </c>
      <c r="E363" s="143"/>
      <c r="F363" s="147"/>
      <c r="G363" s="145" t="str">
        <f>IF(B363="","",IFERROR(INDEX('12 P6 activities'!$E$7:$E$206,MATCH(B363,'12 P6 activities'!$A$7:$A$206,0)),""))</f>
        <v/>
      </c>
      <c r="H363" s="143"/>
      <c r="I363" s="143"/>
      <c r="J363" s="6"/>
      <c r="K363" s="6"/>
      <c r="L363" s="6"/>
      <c r="M363" s="6"/>
      <c r="N363" s="6"/>
      <c r="O363" s="6"/>
      <c r="P363" s="6"/>
      <c r="Q363" s="6"/>
      <c r="R363" s="6"/>
      <c r="S363" s="6"/>
      <c r="T363" s="6"/>
      <c r="U363" s="6"/>
      <c r="V363" s="6"/>
      <c r="W363" s="6"/>
      <c r="X363" s="6"/>
      <c r="Y363" s="6"/>
      <c r="Z363" s="6"/>
    </row>
    <row r="364" spans="1:26" ht="18" customHeight="1" x14ac:dyDescent="0.3">
      <c r="A364" s="142"/>
      <c r="B364" s="143"/>
      <c r="C364" s="151" t="str">
        <f>IF(B364="","",IFERROR(INDEX('12 P6 activities'!$B$7:$B$206,MATCH(B364,'12 P6 activities'!$A$7:$A$206,0)),"ID not in P6 list"))</f>
        <v/>
      </c>
      <c r="D364" s="151" t="str">
        <f>IF(B364="","",IFERROR(INDEX('12 P6 activities'!$C$7:$C$206,MATCH(B364,'12 P6 activities'!$A$7:$A$206,0)),"⚠ not in P6 list"))</f>
        <v/>
      </c>
      <c r="E364" s="143"/>
      <c r="F364" s="147"/>
      <c r="G364" s="145" t="str">
        <f>IF(B364="","",IFERROR(INDEX('12 P6 activities'!$E$7:$E$206,MATCH(B364,'12 P6 activities'!$A$7:$A$206,0)),""))</f>
        <v/>
      </c>
      <c r="H364" s="143"/>
      <c r="I364" s="143"/>
      <c r="J364" s="6"/>
      <c r="K364" s="6"/>
      <c r="L364" s="6"/>
      <c r="M364" s="6"/>
      <c r="N364" s="6"/>
      <c r="O364" s="6"/>
      <c r="P364" s="6"/>
      <c r="Q364" s="6"/>
      <c r="R364" s="6"/>
      <c r="S364" s="6"/>
      <c r="T364" s="6"/>
      <c r="U364" s="6"/>
      <c r="V364" s="6"/>
      <c r="W364" s="6"/>
      <c r="X364" s="6"/>
      <c r="Y364" s="6"/>
      <c r="Z364" s="6"/>
    </row>
    <row r="365" spans="1:26" ht="18" customHeight="1" x14ac:dyDescent="0.3">
      <c r="A365" s="142"/>
      <c r="B365" s="143"/>
      <c r="C365" s="151" t="str">
        <f>IF(B365="","",IFERROR(INDEX('12 P6 activities'!$B$7:$B$206,MATCH(B365,'12 P6 activities'!$A$7:$A$206,0)),"ID not in P6 list"))</f>
        <v/>
      </c>
      <c r="D365" s="151" t="str">
        <f>IF(B365="","",IFERROR(INDEX('12 P6 activities'!$C$7:$C$206,MATCH(B365,'12 P6 activities'!$A$7:$A$206,0)),"⚠ not in P6 list"))</f>
        <v/>
      </c>
      <c r="E365" s="143"/>
      <c r="F365" s="147"/>
      <c r="G365" s="145" t="str">
        <f>IF(B365="","",IFERROR(INDEX('12 P6 activities'!$E$7:$E$206,MATCH(B365,'12 P6 activities'!$A$7:$A$206,0)),""))</f>
        <v/>
      </c>
      <c r="H365" s="143"/>
      <c r="I365" s="143"/>
      <c r="J365" s="6"/>
      <c r="K365" s="6"/>
      <c r="L365" s="6"/>
      <c r="M365" s="6"/>
      <c r="N365" s="6"/>
      <c r="O365" s="6"/>
      <c r="P365" s="6"/>
      <c r="Q365" s="6"/>
      <c r="R365" s="6"/>
      <c r="S365" s="6"/>
      <c r="T365" s="6"/>
      <c r="U365" s="6"/>
      <c r="V365" s="6"/>
      <c r="W365" s="6"/>
      <c r="X365" s="6"/>
      <c r="Y365" s="6"/>
      <c r="Z365" s="6"/>
    </row>
    <row r="366" spans="1:26" ht="18" customHeight="1" x14ac:dyDescent="0.3">
      <c r="A366" s="142"/>
      <c r="B366" s="143"/>
      <c r="C366" s="151" t="str">
        <f>IF(B366="","",IFERROR(INDEX('12 P6 activities'!$B$7:$B$206,MATCH(B366,'12 P6 activities'!$A$7:$A$206,0)),"ID not in P6 list"))</f>
        <v/>
      </c>
      <c r="D366" s="151" t="str">
        <f>IF(B366="","",IFERROR(INDEX('12 P6 activities'!$C$7:$C$206,MATCH(B366,'12 P6 activities'!$A$7:$A$206,0)),"⚠ not in P6 list"))</f>
        <v/>
      </c>
      <c r="E366" s="143"/>
      <c r="F366" s="147"/>
      <c r="G366" s="145" t="str">
        <f>IF(B366="","",IFERROR(INDEX('12 P6 activities'!$E$7:$E$206,MATCH(B366,'12 P6 activities'!$A$7:$A$206,0)),""))</f>
        <v/>
      </c>
      <c r="H366" s="143"/>
      <c r="I366" s="143"/>
      <c r="J366" s="6"/>
      <c r="K366" s="6"/>
      <c r="L366" s="6"/>
      <c r="M366" s="6"/>
      <c r="N366" s="6"/>
      <c r="O366" s="6"/>
      <c r="P366" s="6"/>
      <c r="Q366" s="6"/>
      <c r="R366" s="6"/>
      <c r="S366" s="6"/>
      <c r="T366" s="6"/>
      <c r="U366" s="6"/>
      <c r="V366" s="6"/>
      <c r="W366" s="6"/>
      <c r="X366" s="6"/>
      <c r="Y366" s="6"/>
      <c r="Z366" s="6"/>
    </row>
    <row r="367" spans="1:26" ht="18" customHeight="1" x14ac:dyDescent="0.3">
      <c r="A367" s="142"/>
      <c r="B367" s="143"/>
      <c r="C367" s="151" t="str">
        <f>IF(B367="","",IFERROR(INDEX('12 P6 activities'!$B$7:$B$206,MATCH(B367,'12 P6 activities'!$A$7:$A$206,0)),"ID not in P6 list"))</f>
        <v/>
      </c>
      <c r="D367" s="151" t="str">
        <f>IF(B367="","",IFERROR(INDEX('12 P6 activities'!$C$7:$C$206,MATCH(B367,'12 P6 activities'!$A$7:$A$206,0)),"⚠ not in P6 list"))</f>
        <v/>
      </c>
      <c r="E367" s="143"/>
      <c r="F367" s="147"/>
      <c r="G367" s="145" t="str">
        <f>IF(B367="","",IFERROR(INDEX('12 P6 activities'!$E$7:$E$206,MATCH(B367,'12 P6 activities'!$A$7:$A$206,0)),""))</f>
        <v/>
      </c>
      <c r="H367" s="143"/>
      <c r="I367" s="143"/>
      <c r="J367" s="6"/>
      <c r="K367" s="6"/>
      <c r="L367" s="6"/>
      <c r="M367" s="6"/>
      <c r="N367" s="6"/>
      <c r="O367" s="6"/>
      <c r="P367" s="6"/>
      <c r="Q367" s="6"/>
      <c r="R367" s="6"/>
      <c r="S367" s="6"/>
      <c r="T367" s="6"/>
      <c r="U367" s="6"/>
      <c r="V367" s="6"/>
      <c r="W367" s="6"/>
      <c r="X367" s="6"/>
      <c r="Y367" s="6"/>
      <c r="Z367" s="6"/>
    </row>
    <row r="368" spans="1:26" ht="18" customHeight="1" x14ac:dyDescent="0.3">
      <c r="A368" s="142"/>
      <c r="B368" s="143"/>
      <c r="C368" s="151" t="str">
        <f>IF(B368="","",IFERROR(INDEX('12 P6 activities'!$B$7:$B$206,MATCH(B368,'12 P6 activities'!$A$7:$A$206,0)),"ID not in P6 list"))</f>
        <v/>
      </c>
      <c r="D368" s="151" t="str">
        <f>IF(B368="","",IFERROR(INDEX('12 P6 activities'!$C$7:$C$206,MATCH(B368,'12 P6 activities'!$A$7:$A$206,0)),"⚠ not in P6 list"))</f>
        <v/>
      </c>
      <c r="E368" s="143"/>
      <c r="F368" s="147"/>
      <c r="G368" s="145" t="str">
        <f>IF(B368="","",IFERROR(INDEX('12 P6 activities'!$E$7:$E$206,MATCH(B368,'12 P6 activities'!$A$7:$A$206,0)),""))</f>
        <v/>
      </c>
      <c r="H368" s="143"/>
      <c r="I368" s="143"/>
      <c r="J368" s="6"/>
      <c r="K368" s="6"/>
      <c r="L368" s="6"/>
      <c r="M368" s="6"/>
      <c r="N368" s="6"/>
      <c r="O368" s="6"/>
      <c r="P368" s="6"/>
      <c r="Q368" s="6"/>
      <c r="R368" s="6"/>
      <c r="S368" s="6"/>
      <c r="T368" s="6"/>
      <c r="U368" s="6"/>
      <c r="V368" s="6"/>
      <c r="W368" s="6"/>
      <c r="X368" s="6"/>
      <c r="Y368" s="6"/>
      <c r="Z368" s="6"/>
    </row>
    <row r="369" spans="1:26" ht="18" customHeight="1" x14ac:dyDescent="0.3">
      <c r="A369" s="142"/>
      <c r="B369" s="143"/>
      <c r="C369" s="151" t="str">
        <f>IF(B369="","",IFERROR(INDEX('12 P6 activities'!$B$7:$B$206,MATCH(B369,'12 P6 activities'!$A$7:$A$206,0)),"ID not in P6 list"))</f>
        <v/>
      </c>
      <c r="D369" s="151" t="str">
        <f>IF(B369="","",IFERROR(INDEX('12 P6 activities'!$C$7:$C$206,MATCH(B369,'12 P6 activities'!$A$7:$A$206,0)),"⚠ not in P6 list"))</f>
        <v/>
      </c>
      <c r="E369" s="143"/>
      <c r="F369" s="147"/>
      <c r="G369" s="145" t="str">
        <f>IF(B369="","",IFERROR(INDEX('12 P6 activities'!$E$7:$E$206,MATCH(B369,'12 P6 activities'!$A$7:$A$206,0)),""))</f>
        <v/>
      </c>
      <c r="H369" s="143"/>
      <c r="I369" s="143"/>
      <c r="J369" s="6"/>
      <c r="K369" s="6"/>
      <c r="L369" s="6"/>
      <c r="M369" s="6"/>
      <c r="N369" s="6"/>
      <c r="O369" s="6"/>
      <c r="P369" s="6"/>
      <c r="Q369" s="6"/>
      <c r="R369" s="6"/>
      <c r="S369" s="6"/>
      <c r="T369" s="6"/>
      <c r="U369" s="6"/>
      <c r="V369" s="6"/>
      <c r="W369" s="6"/>
      <c r="X369" s="6"/>
      <c r="Y369" s="6"/>
      <c r="Z369" s="6"/>
    </row>
    <row r="370" spans="1:26" ht="18" customHeight="1" x14ac:dyDescent="0.3">
      <c r="A370" s="142"/>
      <c r="B370" s="143"/>
      <c r="C370" s="151" t="str">
        <f>IF(B370="","",IFERROR(INDEX('12 P6 activities'!$B$7:$B$206,MATCH(B370,'12 P6 activities'!$A$7:$A$206,0)),"ID not in P6 list"))</f>
        <v/>
      </c>
      <c r="D370" s="151" t="str">
        <f>IF(B370="","",IFERROR(INDEX('12 P6 activities'!$C$7:$C$206,MATCH(B370,'12 P6 activities'!$A$7:$A$206,0)),"⚠ not in P6 list"))</f>
        <v/>
      </c>
      <c r="E370" s="143"/>
      <c r="F370" s="147"/>
      <c r="G370" s="145" t="str">
        <f>IF(B370="","",IFERROR(INDEX('12 P6 activities'!$E$7:$E$206,MATCH(B370,'12 P6 activities'!$A$7:$A$206,0)),""))</f>
        <v/>
      </c>
      <c r="H370" s="143"/>
      <c r="I370" s="143"/>
      <c r="J370" s="6"/>
      <c r="K370" s="6"/>
      <c r="L370" s="6"/>
      <c r="M370" s="6"/>
      <c r="N370" s="6"/>
      <c r="O370" s="6"/>
      <c r="P370" s="6"/>
      <c r="Q370" s="6"/>
      <c r="R370" s="6"/>
      <c r="S370" s="6"/>
      <c r="T370" s="6"/>
      <c r="U370" s="6"/>
      <c r="V370" s="6"/>
      <c r="W370" s="6"/>
      <c r="X370" s="6"/>
      <c r="Y370" s="6"/>
      <c r="Z370" s="6"/>
    </row>
    <row r="371" spans="1:26" ht="18" customHeight="1" x14ac:dyDescent="0.3">
      <c r="A371" s="142"/>
      <c r="B371" s="143"/>
      <c r="C371" s="151" t="str">
        <f>IF(B371="","",IFERROR(INDEX('12 P6 activities'!$B$7:$B$206,MATCH(B371,'12 P6 activities'!$A$7:$A$206,0)),"ID not in P6 list"))</f>
        <v/>
      </c>
      <c r="D371" s="151" t="str">
        <f>IF(B371="","",IFERROR(INDEX('12 P6 activities'!$C$7:$C$206,MATCH(B371,'12 P6 activities'!$A$7:$A$206,0)),"⚠ not in P6 list"))</f>
        <v/>
      </c>
      <c r="E371" s="143"/>
      <c r="F371" s="147"/>
      <c r="G371" s="145" t="str">
        <f>IF(B371="","",IFERROR(INDEX('12 P6 activities'!$E$7:$E$206,MATCH(B371,'12 P6 activities'!$A$7:$A$206,0)),""))</f>
        <v/>
      </c>
      <c r="H371" s="143"/>
      <c r="I371" s="143"/>
      <c r="J371" s="6"/>
      <c r="K371" s="6"/>
      <c r="L371" s="6"/>
      <c r="M371" s="6"/>
      <c r="N371" s="6"/>
      <c r="O371" s="6"/>
      <c r="P371" s="6"/>
      <c r="Q371" s="6"/>
      <c r="R371" s="6"/>
      <c r="S371" s="6"/>
      <c r="T371" s="6"/>
      <c r="U371" s="6"/>
      <c r="V371" s="6"/>
      <c r="W371" s="6"/>
      <c r="X371" s="6"/>
      <c r="Y371" s="6"/>
      <c r="Z371" s="6"/>
    </row>
    <row r="372" spans="1:26" ht="18" customHeight="1" x14ac:dyDescent="0.3">
      <c r="A372" s="142"/>
      <c r="B372" s="143"/>
      <c r="C372" s="151" t="str">
        <f>IF(B372="","",IFERROR(INDEX('12 P6 activities'!$B$7:$B$206,MATCH(B372,'12 P6 activities'!$A$7:$A$206,0)),"ID not in P6 list"))</f>
        <v/>
      </c>
      <c r="D372" s="151" t="str">
        <f>IF(B372="","",IFERROR(INDEX('12 P6 activities'!$C$7:$C$206,MATCH(B372,'12 P6 activities'!$A$7:$A$206,0)),"⚠ not in P6 list"))</f>
        <v/>
      </c>
      <c r="E372" s="143"/>
      <c r="F372" s="147"/>
      <c r="G372" s="145" t="str">
        <f>IF(B372="","",IFERROR(INDEX('12 P6 activities'!$E$7:$E$206,MATCH(B372,'12 P6 activities'!$A$7:$A$206,0)),""))</f>
        <v/>
      </c>
      <c r="H372" s="143"/>
      <c r="I372" s="143"/>
      <c r="J372" s="6"/>
      <c r="K372" s="6"/>
      <c r="L372" s="6"/>
      <c r="M372" s="6"/>
      <c r="N372" s="6"/>
      <c r="O372" s="6"/>
      <c r="P372" s="6"/>
      <c r="Q372" s="6"/>
      <c r="R372" s="6"/>
      <c r="S372" s="6"/>
      <c r="T372" s="6"/>
      <c r="U372" s="6"/>
      <c r="V372" s="6"/>
      <c r="W372" s="6"/>
      <c r="X372" s="6"/>
      <c r="Y372" s="6"/>
      <c r="Z372" s="6"/>
    </row>
    <row r="373" spans="1:26" ht="18" customHeight="1" x14ac:dyDescent="0.3">
      <c r="A373" s="142"/>
      <c r="B373" s="143"/>
      <c r="C373" s="151" t="str">
        <f>IF(B373="","",IFERROR(INDEX('12 P6 activities'!$B$7:$B$206,MATCH(B373,'12 P6 activities'!$A$7:$A$206,0)),"ID not in P6 list"))</f>
        <v/>
      </c>
      <c r="D373" s="151" t="str">
        <f>IF(B373="","",IFERROR(INDEX('12 P6 activities'!$C$7:$C$206,MATCH(B373,'12 P6 activities'!$A$7:$A$206,0)),"⚠ not in P6 list"))</f>
        <v/>
      </c>
      <c r="E373" s="143"/>
      <c r="F373" s="147"/>
      <c r="G373" s="145" t="str">
        <f>IF(B373="","",IFERROR(INDEX('12 P6 activities'!$E$7:$E$206,MATCH(B373,'12 P6 activities'!$A$7:$A$206,0)),""))</f>
        <v/>
      </c>
      <c r="H373" s="143"/>
      <c r="I373" s="143"/>
      <c r="J373" s="6"/>
      <c r="K373" s="6"/>
      <c r="L373" s="6"/>
      <c r="M373" s="6"/>
      <c r="N373" s="6"/>
      <c r="O373" s="6"/>
      <c r="P373" s="6"/>
      <c r="Q373" s="6"/>
      <c r="R373" s="6"/>
      <c r="S373" s="6"/>
      <c r="T373" s="6"/>
      <c r="U373" s="6"/>
      <c r="V373" s="6"/>
      <c r="W373" s="6"/>
      <c r="X373" s="6"/>
      <c r="Y373" s="6"/>
      <c r="Z373" s="6"/>
    </row>
    <row r="374" spans="1:26" ht="18" customHeight="1" x14ac:dyDescent="0.3">
      <c r="A374" s="142"/>
      <c r="B374" s="143"/>
      <c r="C374" s="151" t="str">
        <f>IF(B374="","",IFERROR(INDEX('12 P6 activities'!$B$7:$B$206,MATCH(B374,'12 P6 activities'!$A$7:$A$206,0)),"ID not in P6 list"))</f>
        <v/>
      </c>
      <c r="D374" s="151" t="str">
        <f>IF(B374="","",IFERROR(INDEX('12 P6 activities'!$C$7:$C$206,MATCH(B374,'12 P6 activities'!$A$7:$A$206,0)),"⚠ not in P6 list"))</f>
        <v/>
      </c>
      <c r="E374" s="143"/>
      <c r="F374" s="147"/>
      <c r="G374" s="145" t="str">
        <f>IF(B374="","",IFERROR(INDEX('12 P6 activities'!$E$7:$E$206,MATCH(B374,'12 P6 activities'!$A$7:$A$206,0)),""))</f>
        <v/>
      </c>
      <c r="H374" s="143"/>
      <c r="I374" s="143"/>
      <c r="J374" s="6"/>
      <c r="K374" s="6"/>
      <c r="L374" s="6"/>
      <c r="M374" s="6"/>
      <c r="N374" s="6"/>
      <c r="O374" s="6"/>
      <c r="P374" s="6"/>
      <c r="Q374" s="6"/>
      <c r="R374" s="6"/>
      <c r="S374" s="6"/>
      <c r="T374" s="6"/>
      <c r="U374" s="6"/>
      <c r="V374" s="6"/>
      <c r="W374" s="6"/>
      <c r="X374" s="6"/>
      <c r="Y374" s="6"/>
      <c r="Z374" s="6"/>
    </row>
    <row r="375" spans="1:26" ht="18" customHeight="1" x14ac:dyDescent="0.3">
      <c r="A375" s="142"/>
      <c r="B375" s="143"/>
      <c r="C375" s="151" t="str">
        <f>IF(B375="","",IFERROR(INDEX('12 P6 activities'!$B$7:$B$206,MATCH(B375,'12 P6 activities'!$A$7:$A$206,0)),"ID not in P6 list"))</f>
        <v/>
      </c>
      <c r="D375" s="151" t="str">
        <f>IF(B375="","",IFERROR(INDEX('12 P6 activities'!$C$7:$C$206,MATCH(B375,'12 P6 activities'!$A$7:$A$206,0)),"⚠ not in P6 list"))</f>
        <v/>
      </c>
      <c r="E375" s="143"/>
      <c r="F375" s="147"/>
      <c r="G375" s="145" t="str">
        <f>IF(B375="","",IFERROR(INDEX('12 P6 activities'!$E$7:$E$206,MATCH(B375,'12 P6 activities'!$A$7:$A$206,0)),""))</f>
        <v/>
      </c>
      <c r="H375" s="143"/>
      <c r="I375" s="143"/>
      <c r="J375" s="6"/>
      <c r="K375" s="6"/>
      <c r="L375" s="6"/>
      <c r="M375" s="6"/>
      <c r="N375" s="6"/>
      <c r="O375" s="6"/>
      <c r="P375" s="6"/>
      <c r="Q375" s="6"/>
      <c r="R375" s="6"/>
      <c r="S375" s="6"/>
      <c r="T375" s="6"/>
      <c r="U375" s="6"/>
      <c r="V375" s="6"/>
      <c r="W375" s="6"/>
      <c r="X375" s="6"/>
      <c r="Y375" s="6"/>
      <c r="Z375" s="6"/>
    </row>
    <row r="376" spans="1:26" ht="18" customHeight="1" x14ac:dyDescent="0.3">
      <c r="A376" s="142"/>
      <c r="B376" s="143"/>
      <c r="C376" s="151" t="str">
        <f>IF(B376="","",IFERROR(INDEX('12 P6 activities'!$B$7:$B$206,MATCH(B376,'12 P6 activities'!$A$7:$A$206,0)),"ID not in P6 list"))</f>
        <v/>
      </c>
      <c r="D376" s="151" t="str">
        <f>IF(B376="","",IFERROR(INDEX('12 P6 activities'!$C$7:$C$206,MATCH(B376,'12 P6 activities'!$A$7:$A$206,0)),"⚠ not in P6 list"))</f>
        <v/>
      </c>
      <c r="E376" s="143"/>
      <c r="F376" s="147"/>
      <c r="G376" s="145" t="str">
        <f>IF(B376="","",IFERROR(INDEX('12 P6 activities'!$E$7:$E$206,MATCH(B376,'12 P6 activities'!$A$7:$A$206,0)),""))</f>
        <v/>
      </c>
      <c r="H376" s="143"/>
      <c r="I376" s="143"/>
      <c r="J376" s="6"/>
      <c r="K376" s="6"/>
      <c r="L376" s="6"/>
      <c r="M376" s="6"/>
      <c r="N376" s="6"/>
      <c r="O376" s="6"/>
      <c r="P376" s="6"/>
      <c r="Q376" s="6"/>
      <c r="R376" s="6"/>
      <c r="S376" s="6"/>
      <c r="T376" s="6"/>
      <c r="U376" s="6"/>
      <c r="V376" s="6"/>
      <c r="W376" s="6"/>
      <c r="X376" s="6"/>
      <c r="Y376" s="6"/>
      <c r="Z376" s="6"/>
    </row>
    <row r="377" spans="1:26" ht="18" customHeight="1" x14ac:dyDescent="0.3">
      <c r="A377" s="142"/>
      <c r="B377" s="143"/>
      <c r="C377" s="151" t="str">
        <f>IF(B377="","",IFERROR(INDEX('12 P6 activities'!$B$7:$B$206,MATCH(B377,'12 P6 activities'!$A$7:$A$206,0)),"ID not in P6 list"))</f>
        <v/>
      </c>
      <c r="D377" s="151" t="str">
        <f>IF(B377="","",IFERROR(INDEX('12 P6 activities'!$C$7:$C$206,MATCH(B377,'12 P6 activities'!$A$7:$A$206,0)),"⚠ not in P6 list"))</f>
        <v/>
      </c>
      <c r="E377" s="143"/>
      <c r="F377" s="147"/>
      <c r="G377" s="145" t="str">
        <f>IF(B377="","",IFERROR(INDEX('12 P6 activities'!$E$7:$E$206,MATCH(B377,'12 P6 activities'!$A$7:$A$206,0)),""))</f>
        <v/>
      </c>
      <c r="H377" s="143"/>
      <c r="I377" s="143"/>
      <c r="J377" s="6"/>
      <c r="K377" s="6"/>
      <c r="L377" s="6"/>
      <c r="M377" s="6"/>
      <c r="N377" s="6"/>
      <c r="O377" s="6"/>
      <c r="P377" s="6"/>
      <c r="Q377" s="6"/>
      <c r="R377" s="6"/>
      <c r="S377" s="6"/>
      <c r="T377" s="6"/>
      <c r="U377" s="6"/>
      <c r="V377" s="6"/>
      <c r="W377" s="6"/>
      <c r="X377" s="6"/>
      <c r="Y377" s="6"/>
      <c r="Z377" s="6"/>
    </row>
    <row r="378" spans="1:26" ht="18" customHeight="1" x14ac:dyDescent="0.3">
      <c r="A378" s="142"/>
      <c r="B378" s="143"/>
      <c r="C378" s="151" t="str">
        <f>IF(B378="","",IFERROR(INDEX('12 P6 activities'!$B$7:$B$206,MATCH(B378,'12 P6 activities'!$A$7:$A$206,0)),"ID not in P6 list"))</f>
        <v/>
      </c>
      <c r="D378" s="151" t="str">
        <f>IF(B378="","",IFERROR(INDEX('12 P6 activities'!$C$7:$C$206,MATCH(B378,'12 P6 activities'!$A$7:$A$206,0)),"⚠ not in P6 list"))</f>
        <v/>
      </c>
      <c r="E378" s="143"/>
      <c r="F378" s="147"/>
      <c r="G378" s="145" t="str">
        <f>IF(B378="","",IFERROR(INDEX('12 P6 activities'!$E$7:$E$206,MATCH(B378,'12 P6 activities'!$A$7:$A$206,0)),""))</f>
        <v/>
      </c>
      <c r="H378" s="143"/>
      <c r="I378" s="143"/>
      <c r="J378" s="6"/>
      <c r="K378" s="6"/>
      <c r="L378" s="6"/>
      <c r="M378" s="6"/>
      <c r="N378" s="6"/>
      <c r="O378" s="6"/>
      <c r="P378" s="6"/>
      <c r="Q378" s="6"/>
      <c r="R378" s="6"/>
      <c r="S378" s="6"/>
      <c r="T378" s="6"/>
      <c r="U378" s="6"/>
      <c r="V378" s="6"/>
      <c r="W378" s="6"/>
      <c r="X378" s="6"/>
      <c r="Y378" s="6"/>
      <c r="Z378" s="6"/>
    </row>
    <row r="379" spans="1:26" ht="18" customHeight="1" x14ac:dyDescent="0.3">
      <c r="A379" s="142"/>
      <c r="B379" s="143"/>
      <c r="C379" s="151" t="str">
        <f>IF(B379="","",IFERROR(INDEX('12 P6 activities'!$B$7:$B$206,MATCH(B379,'12 P6 activities'!$A$7:$A$206,0)),"ID not in P6 list"))</f>
        <v/>
      </c>
      <c r="D379" s="151" t="str">
        <f>IF(B379="","",IFERROR(INDEX('12 P6 activities'!$C$7:$C$206,MATCH(B379,'12 P6 activities'!$A$7:$A$206,0)),"⚠ not in P6 list"))</f>
        <v/>
      </c>
      <c r="E379" s="143"/>
      <c r="F379" s="147"/>
      <c r="G379" s="145" t="str">
        <f>IF(B379="","",IFERROR(INDEX('12 P6 activities'!$E$7:$E$206,MATCH(B379,'12 P6 activities'!$A$7:$A$206,0)),""))</f>
        <v/>
      </c>
      <c r="H379" s="143"/>
      <c r="I379" s="143"/>
      <c r="J379" s="6"/>
      <c r="K379" s="6"/>
      <c r="L379" s="6"/>
      <c r="M379" s="6"/>
      <c r="N379" s="6"/>
      <c r="O379" s="6"/>
      <c r="P379" s="6"/>
      <c r="Q379" s="6"/>
      <c r="R379" s="6"/>
      <c r="S379" s="6"/>
      <c r="T379" s="6"/>
      <c r="U379" s="6"/>
      <c r="V379" s="6"/>
      <c r="W379" s="6"/>
      <c r="X379" s="6"/>
      <c r="Y379" s="6"/>
      <c r="Z379" s="6"/>
    </row>
    <row r="380" spans="1:26" ht="18" customHeight="1" x14ac:dyDescent="0.3">
      <c r="A380" s="142"/>
      <c r="B380" s="143"/>
      <c r="C380" s="151" t="str">
        <f>IF(B380="","",IFERROR(INDEX('12 P6 activities'!$B$7:$B$206,MATCH(B380,'12 P6 activities'!$A$7:$A$206,0)),"ID not in P6 list"))</f>
        <v/>
      </c>
      <c r="D380" s="151" t="str">
        <f>IF(B380="","",IFERROR(INDEX('12 P6 activities'!$C$7:$C$206,MATCH(B380,'12 P6 activities'!$A$7:$A$206,0)),"⚠ not in P6 list"))</f>
        <v/>
      </c>
      <c r="E380" s="143"/>
      <c r="F380" s="147"/>
      <c r="G380" s="145" t="str">
        <f>IF(B380="","",IFERROR(INDEX('12 P6 activities'!$E$7:$E$206,MATCH(B380,'12 P6 activities'!$A$7:$A$206,0)),""))</f>
        <v/>
      </c>
      <c r="H380" s="143"/>
      <c r="I380" s="143"/>
      <c r="J380" s="6"/>
      <c r="K380" s="6"/>
      <c r="L380" s="6"/>
      <c r="M380" s="6"/>
      <c r="N380" s="6"/>
      <c r="O380" s="6"/>
      <c r="P380" s="6"/>
      <c r="Q380" s="6"/>
      <c r="R380" s="6"/>
      <c r="S380" s="6"/>
      <c r="T380" s="6"/>
      <c r="U380" s="6"/>
      <c r="V380" s="6"/>
      <c r="W380" s="6"/>
      <c r="X380" s="6"/>
      <c r="Y380" s="6"/>
      <c r="Z380" s="6"/>
    </row>
    <row r="381" spans="1:26" ht="18" customHeight="1" x14ac:dyDescent="0.3">
      <c r="A381" s="142"/>
      <c r="B381" s="143"/>
      <c r="C381" s="151" t="str">
        <f>IF(B381="","",IFERROR(INDEX('12 P6 activities'!$B$7:$B$206,MATCH(B381,'12 P6 activities'!$A$7:$A$206,0)),"ID not in P6 list"))</f>
        <v/>
      </c>
      <c r="D381" s="151" t="str">
        <f>IF(B381="","",IFERROR(INDEX('12 P6 activities'!$C$7:$C$206,MATCH(B381,'12 P6 activities'!$A$7:$A$206,0)),"⚠ not in P6 list"))</f>
        <v/>
      </c>
      <c r="E381" s="143"/>
      <c r="F381" s="147"/>
      <c r="G381" s="145" t="str">
        <f>IF(B381="","",IFERROR(INDEX('12 P6 activities'!$E$7:$E$206,MATCH(B381,'12 P6 activities'!$A$7:$A$206,0)),""))</f>
        <v/>
      </c>
      <c r="H381" s="143"/>
      <c r="I381" s="143"/>
      <c r="J381" s="6"/>
      <c r="K381" s="6"/>
      <c r="L381" s="6"/>
      <c r="M381" s="6"/>
      <c r="N381" s="6"/>
      <c r="O381" s="6"/>
      <c r="P381" s="6"/>
      <c r="Q381" s="6"/>
      <c r="R381" s="6"/>
      <c r="S381" s="6"/>
      <c r="T381" s="6"/>
      <c r="U381" s="6"/>
      <c r="V381" s="6"/>
      <c r="W381" s="6"/>
      <c r="X381" s="6"/>
      <c r="Y381" s="6"/>
      <c r="Z381" s="6"/>
    </row>
    <row r="382" spans="1:26" ht="18" customHeight="1" x14ac:dyDescent="0.3">
      <c r="A382" s="142"/>
      <c r="B382" s="143"/>
      <c r="C382" s="151" t="str">
        <f>IF(B382="","",IFERROR(INDEX('12 P6 activities'!$B$7:$B$206,MATCH(B382,'12 P6 activities'!$A$7:$A$206,0)),"ID not in P6 list"))</f>
        <v/>
      </c>
      <c r="D382" s="151" t="str">
        <f>IF(B382="","",IFERROR(INDEX('12 P6 activities'!$C$7:$C$206,MATCH(B382,'12 P6 activities'!$A$7:$A$206,0)),"⚠ not in P6 list"))</f>
        <v/>
      </c>
      <c r="E382" s="143"/>
      <c r="F382" s="147"/>
      <c r="G382" s="145" t="str">
        <f>IF(B382="","",IFERROR(INDEX('12 P6 activities'!$E$7:$E$206,MATCH(B382,'12 P6 activities'!$A$7:$A$206,0)),""))</f>
        <v/>
      </c>
      <c r="H382" s="143"/>
      <c r="I382" s="143"/>
      <c r="J382" s="6"/>
      <c r="K382" s="6"/>
      <c r="L382" s="6"/>
      <c r="M382" s="6"/>
      <c r="N382" s="6"/>
      <c r="O382" s="6"/>
      <c r="P382" s="6"/>
      <c r="Q382" s="6"/>
      <c r="R382" s="6"/>
      <c r="S382" s="6"/>
      <c r="T382" s="6"/>
      <c r="U382" s="6"/>
      <c r="V382" s="6"/>
      <c r="W382" s="6"/>
      <c r="X382" s="6"/>
      <c r="Y382" s="6"/>
      <c r="Z382" s="6"/>
    </row>
    <row r="383" spans="1:26" ht="18" customHeight="1" x14ac:dyDescent="0.3">
      <c r="A383" s="142"/>
      <c r="B383" s="143"/>
      <c r="C383" s="151" t="str">
        <f>IF(B383="","",IFERROR(INDEX('12 P6 activities'!$B$7:$B$206,MATCH(B383,'12 P6 activities'!$A$7:$A$206,0)),"ID not in P6 list"))</f>
        <v/>
      </c>
      <c r="D383" s="151" t="str">
        <f>IF(B383="","",IFERROR(INDEX('12 P6 activities'!$C$7:$C$206,MATCH(B383,'12 P6 activities'!$A$7:$A$206,0)),"⚠ not in P6 list"))</f>
        <v/>
      </c>
      <c r="E383" s="143"/>
      <c r="F383" s="147"/>
      <c r="G383" s="145" t="str">
        <f>IF(B383="","",IFERROR(INDEX('12 P6 activities'!$E$7:$E$206,MATCH(B383,'12 P6 activities'!$A$7:$A$206,0)),""))</f>
        <v/>
      </c>
      <c r="H383" s="143"/>
      <c r="I383" s="143"/>
      <c r="J383" s="6"/>
      <c r="K383" s="6"/>
      <c r="L383" s="6"/>
      <c r="M383" s="6"/>
      <c r="N383" s="6"/>
      <c r="O383" s="6"/>
      <c r="P383" s="6"/>
      <c r="Q383" s="6"/>
      <c r="R383" s="6"/>
      <c r="S383" s="6"/>
      <c r="T383" s="6"/>
      <c r="U383" s="6"/>
      <c r="V383" s="6"/>
      <c r="W383" s="6"/>
      <c r="X383" s="6"/>
      <c r="Y383" s="6"/>
      <c r="Z383" s="6"/>
    </row>
    <row r="384" spans="1:26" ht="18" customHeight="1" x14ac:dyDescent="0.3">
      <c r="A384" s="142"/>
      <c r="B384" s="143"/>
      <c r="C384" s="151" t="str">
        <f>IF(B384="","",IFERROR(INDEX('12 P6 activities'!$B$7:$B$206,MATCH(B384,'12 P6 activities'!$A$7:$A$206,0)),"ID not in P6 list"))</f>
        <v/>
      </c>
      <c r="D384" s="151" t="str">
        <f>IF(B384="","",IFERROR(INDEX('12 P6 activities'!$C$7:$C$206,MATCH(B384,'12 P6 activities'!$A$7:$A$206,0)),"⚠ not in P6 list"))</f>
        <v/>
      </c>
      <c r="E384" s="143"/>
      <c r="F384" s="147"/>
      <c r="G384" s="145" t="str">
        <f>IF(B384="","",IFERROR(INDEX('12 P6 activities'!$E$7:$E$206,MATCH(B384,'12 P6 activities'!$A$7:$A$206,0)),""))</f>
        <v/>
      </c>
      <c r="H384" s="143"/>
      <c r="I384" s="143"/>
      <c r="J384" s="6"/>
      <c r="K384" s="6"/>
      <c r="L384" s="6"/>
      <c r="M384" s="6"/>
      <c r="N384" s="6"/>
      <c r="O384" s="6"/>
      <c r="P384" s="6"/>
      <c r="Q384" s="6"/>
      <c r="R384" s="6"/>
      <c r="S384" s="6"/>
      <c r="T384" s="6"/>
      <c r="U384" s="6"/>
      <c r="V384" s="6"/>
      <c r="W384" s="6"/>
      <c r="X384" s="6"/>
      <c r="Y384" s="6"/>
      <c r="Z384" s="6"/>
    </row>
    <row r="385" spans="1:26" ht="18" customHeight="1" x14ac:dyDescent="0.3">
      <c r="A385" s="142"/>
      <c r="B385" s="143"/>
      <c r="C385" s="151" t="str">
        <f>IF(B385="","",IFERROR(INDEX('12 P6 activities'!$B$7:$B$206,MATCH(B385,'12 P6 activities'!$A$7:$A$206,0)),"ID not in P6 list"))</f>
        <v/>
      </c>
      <c r="D385" s="151" t="str">
        <f>IF(B385="","",IFERROR(INDEX('12 P6 activities'!$C$7:$C$206,MATCH(B385,'12 P6 activities'!$A$7:$A$206,0)),"⚠ not in P6 list"))</f>
        <v/>
      </c>
      <c r="E385" s="143"/>
      <c r="F385" s="147"/>
      <c r="G385" s="145" t="str">
        <f>IF(B385="","",IFERROR(INDEX('12 P6 activities'!$E$7:$E$206,MATCH(B385,'12 P6 activities'!$A$7:$A$206,0)),""))</f>
        <v/>
      </c>
      <c r="H385" s="143"/>
      <c r="I385" s="143"/>
      <c r="J385" s="6"/>
      <c r="K385" s="6"/>
      <c r="L385" s="6"/>
      <c r="M385" s="6"/>
      <c r="N385" s="6"/>
      <c r="O385" s="6"/>
      <c r="P385" s="6"/>
      <c r="Q385" s="6"/>
      <c r="R385" s="6"/>
      <c r="S385" s="6"/>
      <c r="T385" s="6"/>
      <c r="U385" s="6"/>
      <c r="V385" s="6"/>
      <c r="W385" s="6"/>
      <c r="X385" s="6"/>
      <c r="Y385" s="6"/>
      <c r="Z385" s="6"/>
    </row>
    <row r="386" spans="1:26" ht="18" customHeight="1" x14ac:dyDescent="0.3">
      <c r="A386" s="142"/>
      <c r="B386" s="143"/>
      <c r="C386" s="151" t="str">
        <f>IF(B386="","",IFERROR(INDEX('12 P6 activities'!$B$7:$B$206,MATCH(B386,'12 P6 activities'!$A$7:$A$206,0)),"ID not in P6 list"))</f>
        <v/>
      </c>
      <c r="D386" s="151" t="str">
        <f>IF(B386="","",IFERROR(INDEX('12 P6 activities'!$C$7:$C$206,MATCH(B386,'12 P6 activities'!$A$7:$A$206,0)),"⚠ not in P6 list"))</f>
        <v/>
      </c>
      <c r="E386" s="143"/>
      <c r="F386" s="147"/>
      <c r="G386" s="145" t="str">
        <f>IF(B386="","",IFERROR(INDEX('12 P6 activities'!$E$7:$E$206,MATCH(B386,'12 P6 activities'!$A$7:$A$206,0)),""))</f>
        <v/>
      </c>
      <c r="H386" s="143"/>
      <c r="I386" s="143"/>
      <c r="J386" s="6"/>
      <c r="K386" s="6"/>
      <c r="L386" s="6"/>
      <c r="M386" s="6"/>
      <c r="N386" s="6"/>
      <c r="O386" s="6"/>
      <c r="P386" s="6"/>
      <c r="Q386" s="6"/>
      <c r="R386" s="6"/>
      <c r="S386" s="6"/>
      <c r="T386" s="6"/>
      <c r="U386" s="6"/>
      <c r="V386" s="6"/>
      <c r="W386" s="6"/>
      <c r="X386" s="6"/>
      <c r="Y386" s="6"/>
      <c r="Z386" s="6"/>
    </row>
    <row r="387" spans="1:26" ht="18" customHeight="1" x14ac:dyDescent="0.3">
      <c r="A387" s="142"/>
      <c r="B387" s="143"/>
      <c r="C387" s="151" t="str">
        <f>IF(B387="","",IFERROR(INDEX('12 P6 activities'!$B$7:$B$206,MATCH(B387,'12 P6 activities'!$A$7:$A$206,0)),"ID not in P6 list"))</f>
        <v/>
      </c>
      <c r="D387" s="151" t="str">
        <f>IF(B387="","",IFERROR(INDEX('12 P6 activities'!$C$7:$C$206,MATCH(B387,'12 P6 activities'!$A$7:$A$206,0)),"⚠ not in P6 list"))</f>
        <v/>
      </c>
      <c r="E387" s="143"/>
      <c r="F387" s="147"/>
      <c r="G387" s="145" t="str">
        <f>IF(B387="","",IFERROR(INDEX('12 P6 activities'!$E$7:$E$206,MATCH(B387,'12 P6 activities'!$A$7:$A$206,0)),""))</f>
        <v/>
      </c>
      <c r="H387" s="143"/>
      <c r="I387" s="143"/>
      <c r="J387" s="6"/>
      <c r="K387" s="6"/>
      <c r="L387" s="6"/>
      <c r="M387" s="6"/>
      <c r="N387" s="6"/>
      <c r="O387" s="6"/>
      <c r="P387" s="6"/>
      <c r="Q387" s="6"/>
      <c r="R387" s="6"/>
      <c r="S387" s="6"/>
      <c r="T387" s="6"/>
      <c r="U387" s="6"/>
      <c r="V387" s="6"/>
      <c r="W387" s="6"/>
      <c r="X387" s="6"/>
      <c r="Y387" s="6"/>
      <c r="Z387" s="6"/>
    </row>
    <row r="388" spans="1:26" ht="18" customHeight="1" x14ac:dyDescent="0.3">
      <c r="A388" s="142"/>
      <c r="B388" s="143"/>
      <c r="C388" s="151" t="str">
        <f>IF(B388="","",IFERROR(INDEX('12 P6 activities'!$B$7:$B$206,MATCH(B388,'12 P6 activities'!$A$7:$A$206,0)),"ID not in P6 list"))</f>
        <v/>
      </c>
      <c r="D388" s="151" t="str">
        <f>IF(B388="","",IFERROR(INDEX('12 P6 activities'!$C$7:$C$206,MATCH(B388,'12 P6 activities'!$A$7:$A$206,0)),"⚠ not in P6 list"))</f>
        <v/>
      </c>
      <c r="E388" s="143"/>
      <c r="F388" s="147"/>
      <c r="G388" s="145" t="str">
        <f>IF(B388="","",IFERROR(INDEX('12 P6 activities'!$E$7:$E$206,MATCH(B388,'12 P6 activities'!$A$7:$A$206,0)),""))</f>
        <v/>
      </c>
      <c r="H388" s="143"/>
      <c r="I388" s="143"/>
      <c r="J388" s="6"/>
      <c r="K388" s="6"/>
      <c r="L388" s="6"/>
      <c r="M388" s="6"/>
      <c r="N388" s="6"/>
      <c r="O388" s="6"/>
      <c r="P388" s="6"/>
      <c r="Q388" s="6"/>
      <c r="R388" s="6"/>
      <c r="S388" s="6"/>
      <c r="T388" s="6"/>
      <c r="U388" s="6"/>
      <c r="V388" s="6"/>
      <c r="W388" s="6"/>
      <c r="X388" s="6"/>
      <c r="Y388" s="6"/>
      <c r="Z388" s="6"/>
    </row>
    <row r="389" spans="1:26" ht="18" customHeight="1" x14ac:dyDescent="0.3">
      <c r="A389" s="142"/>
      <c r="B389" s="143"/>
      <c r="C389" s="151" t="str">
        <f>IF(B389="","",IFERROR(INDEX('12 P6 activities'!$B$7:$B$206,MATCH(B389,'12 P6 activities'!$A$7:$A$206,0)),"ID not in P6 list"))</f>
        <v/>
      </c>
      <c r="D389" s="151" t="str">
        <f>IF(B389="","",IFERROR(INDEX('12 P6 activities'!$C$7:$C$206,MATCH(B389,'12 P6 activities'!$A$7:$A$206,0)),"⚠ not in P6 list"))</f>
        <v/>
      </c>
      <c r="E389" s="143"/>
      <c r="F389" s="147"/>
      <c r="G389" s="145" t="str">
        <f>IF(B389="","",IFERROR(INDEX('12 P6 activities'!$E$7:$E$206,MATCH(B389,'12 P6 activities'!$A$7:$A$206,0)),""))</f>
        <v/>
      </c>
      <c r="H389" s="143"/>
      <c r="I389" s="143"/>
      <c r="J389" s="6"/>
      <c r="K389" s="6"/>
      <c r="L389" s="6"/>
      <c r="M389" s="6"/>
      <c r="N389" s="6"/>
      <c r="O389" s="6"/>
      <c r="P389" s="6"/>
      <c r="Q389" s="6"/>
      <c r="R389" s="6"/>
      <c r="S389" s="6"/>
      <c r="T389" s="6"/>
      <c r="U389" s="6"/>
      <c r="V389" s="6"/>
      <c r="W389" s="6"/>
      <c r="X389" s="6"/>
      <c r="Y389" s="6"/>
      <c r="Z389" s="6"/>
    </row>
    <row r="390" spans="1:26" ht="18" customHeight="1" x14ac:dyDescent="0.3">
      <c r="A390" s="142"/>
      <c r="B390" s="143"/>
      <c r="C390" s="151" t="str">
        <f>IF(B390="","",IFERROR(INDEX('12 P6 activities'!$B$7:$B$206,MATCH(B390,'12 P6 activities'!$A$7:$A$206,0)),"ID not in P6 list"))</f>
        <v/>
      </c>
      <c r="D390" s="151" t="str">
        <f>IF(B390="","",IFERROR(INDEX('12 P6 activities'!$C$7:$C$206,MATCH(B390,'12 P6 activities'!$A$7:$A$206,0)),"⚠ not in P6 list"))</f>
        <v/>
      </c>
      <c r="E390" s="143"/>
      <c r="F390" s="147"/>
      <c r="G390" s="145" t="str">
        <f>IF(B390="","",IFERROR(INDEX('12 P6 activities'!$E$7:$E$206,MATCH(B390,'12 P6 activities'!$A$7:$A$206,0)),""))</f>
        <v/>
      </c>
      <c r="H390" s="143"/>
      <c r="I390" s="143"/>
      <c r="J390" s="6"/>
      <c r="K390" s="6"/>
      <c r="L390" s="6"/>
      <c r="M390" s="6"/>
      <c r="N390" s="6"/>
      <c r="O390" s="6"/>
      <c r="P390" s="6"/>
      <c r="Q390" s="6"/>
      <c r="R390" s="6"/>
      <c r="S390" s="6"/>
      <c r="T390" s="6"/>
      <c r="U390" s="6"/>
      <c r="V390" s="6"/>
      <c r="W390" s="6"/>
      <c r="X390" s="6"/>
      <c r="Y390" s="6"/>
      <c r="Z390" s="6"/>
    </row>
    <row r="391" spans="1:26" ht="18" customHeight="1" x14ac:dyDescent="0.3">
      <c r="A391" s="142"/>
      <c r="B391" s="143"/>
      <c r="C391" s="151" t="str">
        <f>IF(B391="","",IFERROR(INDEX('12 P6 activities'!$B$7:$B$206,MATCH(B391,'12 P6 activities'!$A$7:$A$206,0)),"ID not in P6 list"))</f>
        <v/>
      </c>
      <c r="D391" s="151" t="str">
        <f>IF(B391="","",IFERROR(INDEX('12 P6 activities'!$C$7:$C$206,MATCH(B391,'12 P6 activities'!$A$7:$A$206,0)),"⚠ not in P6 list"))</f>
        <v/>
      </c>
      <c r="E391" s="143"/>
      <c r="F391" s="147"/>
      <c r="G391" s="145" t="str">
        <f>IF(B391="","",IFERROR(INDEX('12 P6 activities'!$E$7:$E$206,MATCH(B391,'12 P6 activities'!$A$7:$A$206,0)),""))</f>
        <v/>
      </c>
      <c r="H391" s="143"/>
      <c r="I391" s="143"/>
      <c r="J391" s="6"/>
      <c r="K391" s="6"/>
      <c r="L391" s="6"/>
      <c r="M391" s="6"/>
      <c r="N391" s="6"/>
      <c r="O391" s="6"/>
      <c r="P391" s="6"/>
      <c r="Q391" s="6"/>
      <c r="R391" s="6"/>
      <c r="S391" s="6"/>
      <c r="T391" s="6"/>
      <c r="U391" s="6"/>
      <c r="V391" s="6"/>
      <c r="W391" s="6"/>
      <c r="X391" s="6"/>
      <c r="Y391" s="6"/>
      <c r="Z391" s="6"/>
    </row>
    <row r="392" spans="1:26" ht="18" customHeight="1" x14ac:dyDescent="0.3">
      <c r="A392" s="142"/>
      <c r="B392" s="143"/>
      <c r="C392" s="151" t="str">
        <f>IF(B392="","",IFERROR(INDEX('12 P6 activities'!$B$7:$B$206,MATCH(B392,'12 P6 activities'!$A$7:$A$206,0)),"ID not in P6 list"))</f>
        <v/>
      </c>
      <c r="D392" s="151" t="str">
        <f>IF(B392="","",IFERROR(INDEX('12 P6 activities'!$C$7:$C$206,MATCH(B392,'12 P6 activities'!$A$7:$A$206,0)),"⚠ not in P6 list"))</f>
        <v/>
      </c>
      <c r="E392" s="143"/>
      <c r="F392" s="147"/>
      <c r="G392" s="145" t="str">
        <f>IF(B392="","",IFERROR(INDEX('12 P6 activities'!$E$7:$E$206,MATCH(B392,'12 P6 activities'!$A$7:$A$206,0)),""))</f>
        <v/>
      </c>
      <c r="H392" s="143"/>
      <c r="I392" s="143"/>
      <c r="J392" s="6"/>
      <c r="K392" s="6"/>
      <c r="L392" s="6"/>
      <c r="M392" s="6"/>
      <c r="N392" s="6"/>
      <c r="O392" s="6"/>
      <c r="P392" s="6"/>
      <c r="Q392" s="6"/>
      <c r="R392" s="6"/>
      <c r="S392" s="6"/>
      <c r="T392" s="6"/>
      <c r="U392" s="6"/>
      <c r="V392" s="6"/>
      <c r="W392" s="6"/>
      <c r="X392" s="6"/>
      <c r="Y392" s="6"/>
      <c r="Z392" s="6"/>
    </row>
    <row r="393" spans="1:26" ht="18" customHeight="1" x14ac:dyDescent="0.3">
      <c r="A393" s="142"/>
      <c r="B393" s="143"/>
      <c r="C393" s="151" t="str">
        <f>IF(B393="","",IFERROR(INDEX('12 P6 activities'!$B$7:$B$206,MATCH(B393,'12 P6 activities'!$A$7:$A$206,0)),"ID not in P6 list"))</f>
        <v/>
      </c>
      <c r="D393" s="151" t="str">
        <f>IF(B393="","",IFERROR(INDEX('12 P6 activities'!$C$7:$C$206,MATCH(B393,'12 P6 activities'!$A$7:$A$206,0)),"⚠ not in P6 list"))</f>
        <v/>
      </c>
      <c r="E393" s="143"/>
      <c r="F393" s="147"/>
      <c r="G393" s="145" t="str">
        <f>IF(B393="","",IFERROR(INDEX('12 P6 activities'!$E$7:$E$206,MATCH(B393,'12 P6 activities'!$A$7:$A$206,0)),""))</f>
        <v/>
      </c>
      <c r="H393" s="143"/>
      <c r="I393" s="143"/>
      <c r="J393" s="6"/>
      <c r="K393" s="6"/>
      <c r="L393" s="6"/>
      <c r="M393" s="6"/>
      <c r="N393" s="6"/>
      <c r="O393" s="6"/>
      <c r="P393" s="6"/>
      <c r="Q393" s="6"/>
      <c r="R393" s="6"/>
      <c r="S393" s="6"/>
      <c r="T393" s="6"/>
      <c r="U393" s="6"/>
      <c r="V393" s="6"/>
      <c r="W393" s="6"/>
      <c r="X393" s="6"/>
      <c r="Y393" s="6"/>
      <c r="Z393" s="6"/>
    </row>
    <row r="394" spans="1:26" ht="18" customHeight="1" x14ac:dyDescent="0.3">
      <c r="A394" s="142"/>
      <c r="B394" s="143"/>
      <c r="C394" s="151" t="str">
        <f>IF(B394="","",IFERROR(INDEX('12 P6 activities'!$B$7:$B$206,MATCH(B394,'12 P6 activities'!$A$7:$A$206,0)),"ID not in P6 list"))</f>
        <v/>
      </c>
      <c r="D394" s="151" t="str">
        <f>IF(B394="","",IFERROR(INDEX('12 P6 activities'!$C$7:$C$206,MATCH(B394,'12 P6 activities'!$A$7:$A$206,0)),"⚠ not in P6 list"))</f>
        <v/>
      </c>
      <c r="E394" s="143"/>
      <c r="F394" s="147"/>
      <c r="G394" s="145" t="str">
        <f>IF(B394="","",IFERROR(INDEX('12 P6 activities'!$E$7:$E$206,MATCH(B394,'12 P6 activities'!$A$7:$A$206,0)),""))</f>
        <v/>
      </c>
      <c r="H394" s="143"/>
      <c r="I394" s="143"/>
      <c r="J394" s="6"/>
      <c r="K394" s="6"/>
      <c r="L394" s="6"/>
      <c r="M394" s="6"/>
      <c r="N394" s="6"/>
      <c r="O394" s="6"/>
      <c r="P394" s="6"/>
      <c r="Q394" s="6"/>
      <c r="R394" s="6"/>
      <c r="S394" s="6"/>
      <c r="T394" s="6"/>
      <c r="U394" s="6"/>
      <c r="V394" s="6"/>
      <c r="W394" s="6"/>
      <c r="X394" s="6"/>
      <c r="Y394" s="6"/>
      <c r="Z394" s="6"/>
    </row>
    <row r="395" spans="1:26" ht="18" customHeight="1" x14ac:dyDescent="0.3">
      <c r="A395" s="142"/>
      <c r="B395" s="143"/>
      <c r="C395" s="151" t="str">
        <f>IF(B395="","",IFERROR(INDEX('12 P6 activities'!$B$7:$B$206,MATCH(B395,'12 P6 activities'!$A$7:$A$206,0)),"ID not in P6 list"))</f>
        <v/>
      </c>
      <c r="D395" s="151" t="str">
        <f>IF(B395="","",IFERROR(INDEX('12 P6 activities'!$C$7:$C$206,MATCH(B395,'12 P6 activities'!$A$7:$A$206,0)),"⚠ not in P6 list"))</f>
        <v/>
      </c>
      <c r="E395" s="143"/>
      <c r="F395" s="147"/>
      <c r="G395" s="145" t="str">
        <f>IF(B395="","",IFERROR(INDEX('12 P6 activities'!$E$7:$E$206,MATCH(B395,'12 P6 activities'!$A$7:$A$206,0)),""))</f>
        <v/>
      </c>
      <c r="H395" s="143"/>
      <c r="I395" s="143"/>
      <c r="J395" s="6"/>
      <c r="K395" s="6"/>
      <c r="L395" s="6"/>
      <c r="M395" s="6"/>
      <c r="N395" s="6"/>
      <c r="O395" s="6"/>
      <c r="P395" s="6"/>
      <c r="Q395" s="6"/>
      <c r="R395" s="6"/>
      <c r="S395" s="6"/>
      <c r="T395" s="6"/>
      <c r="U395" s="6"/>
      <c r="V395" s="6"/>
      <c r="W395" s="6"/>
      <c r="X395" s="6"/>
      <c r="Y395" s="6"/>
      <c r="Z395" s="6"/>
    </row>
    <row r="396" spans="1:26" ht="18" customHeight="1" x14ac:dyDescent="0.3">
      <c r="A396" s="142"/>
      <c r="B396" s="143"/>
      <c r="C396" s="151" t="str">
        <f>IF(B396="","",IFERROR(INDEX('12 P6 activities'!$B$7:$B$206,MATCH(B396,'12 P6 activities'!$A$7:$A$206,0)),"ID not in P6 list"))</f>
        <v/>
      </c>
      <c r="D396" s="151" t="str">
        <f>IF(B396="","",IFERROR(INDEX('12 P6 activities'!$C$7:$C$206,MATCH(B396,'12 P6 activities'!$A$7:$A$206,0)),"⚠ not in P6 list"))</f>
        <v/>
      </c>
      <c r="E396" s="143"/>
      <c r="F396" s="147"/>
      <c r="G396" s="145" t="str">
        <f>IF(B396="","",IFERROR(INDEX('12 P6 activities'!$E$7:$E$206,MATCH(B396,'12 P6 activities'!$A$7:$A$206,0)),""))</f>
        <v/>
      </c>
      <c r="H396" s="143"/>
      <c r="I396" s="143"/>
      <c r="J396" s="6"/>
      <c r="K396" s="6"/>
      <c r="L396" s="6"/>
      <c r="M396" s="6"/>
      <c r="N396" s="6"/>
      <c r="O396" s="6"/>
      <c r="P396" s="6"/>
      <c r="Q396" s="6"/>
      <c r="R396" s="6"/>
      <c r="S396" s="6"/>
      <c r="T396" s="6"/>
      <c r="U396" s="6"/>
      <c r="V396" s="6"/>
      <c r="W396" s="6"/>
      <c r="X396" s="6"/>
      <c r="Y396" s="6"/>
      <c r="Z396" s="6"/>
    </row>
    <row r="397" spans="1:26" ht="18" customHeight="1" x14ac:dyDescent="0.3">
      <c r="A397" s="142"/>
      <c r="B397" s="143"/>
      <c r="C397" s="151" t="str">
        <f>IF(B397="","",IFERROR(INDEX('12 P6 activities'!$B$7:$B$206,MATCH(B397,'12 P6 activities'!$A$7:$A$206,0)),"ID not in P6 list"))</f>
        <v/>
      </c>
      <c r="D397" s="151" t="str">
        <f>IF(B397="","",IFERROR(INDEX('12 P6 activities'!$C$7:$C$206,MATCH(B397,'12 P6 activities'!$A$7:$A$206,0)),"⚠ not in P6 list"))</f>
        <v/>
      </c>
      <c r="E397" s="143"/>
      <c r="F397" s="147"/>
      <c r="G397" s="145" t="str">
        <f>IF(B397="","",IFERROR(INDEX('12 P6 activities'!$E$7:$E$206,MATCH(B397,'12 P6 activities'!$A$7:$A$206,0)),""))</f>
        <v/>
      </c>
      <c r="H397" s="143"/>
      <c r="I397" s="143"/>
      <c r="J397" s="6"/>
      <c r="K397" s="6"/>
      <c r="L397" s="6"/>
      <c r="M397" s="6"/>
      <c r="N397" s="6"/>
      <c r="O397" s="6"/>
      <c r="P397" s="6"/>
      <c r="Q397" s="6"/>
      <c r="R397" s="6"/>
      <c r="S397" s="6"/>
      <c r="T397" s="6"/>
      <c r="U397" s="6"/>
      <c r="V397" s="6"/>
      <c r="W397" s="6"/>
      <c r="X397" s="6"/>
      <c r="Y397" s="6"/>
      <c r="Z397" s="6"/>
    </row>
    <row r="398" spans="1:26" ht="18" customHeight="1" x14ac:dyDescent="0.3">
      <c r="A398" s="142"/>
      <c r="B398" s="143"/>
      <c r="C398" s="151" t="str">
        <f>IF(B398="","",IFERROR(INDEX('12 P6 activities'!$B$7:$B$206,MATCH(B398,'12 P6 activities'!$A$7:$A$206,0)),"ID not in P6 list"))</f>
        <v/>
      </c>
      <c r="D398" s="151" t="str">
        <f>IF(B398="","",IFERROR(INDEX('12 P6 activities'!$C$7:$C$206,MATCH(B398,'12 P6 activities'!$A$7:$A$206,0)),"⚠ not in P6 list"))</f>
        <v/>
      </c>
      <c r="E398" s="143"/>
      <c r="F398" s="147"/>
      <c r="G398" s="145" t="str">
        <f>IF(B398="","",IFERROR(INDEX('12 P6 activities'!$E$7:$E$206,MATCH(B398,'12 P6 activities'!$A$7:$A$206,0)),""))</f>
        <v/>
      </c>
      <c r="H398" s="143"/>
      <c r="I398" s="143"/>
      <c r="J398" s="6"/>
      <c r="K398" s="6"/>
      <c r="L398" s="6"/>
      <c r="M398" s="6"/>
      <c r="N398" s="6"/>
      <c r="O398" s="6"/>
      <c r="P398" s="6"/>
      <c r="Q398" s="6"/>
      <c r="R398" s="6"/>
      <c r="S398" s="6"/>
      <c r="T398" s="6"/>
      <c r="U398" s="6"/>
      <c r="V398" s="6"/>
      <c r="W398" s="6"/>
      <c r="X398" s="6"/>
      <c r="Y398" s="6"/>
      <c r="Z398" s="6"/>
    </row>
    <row r="399" spans="1:26" ht="18" customHeight="1" x14ac:dyDescent="0.3">
      <c r="A399" s="142"/>
      <c r="B399" s="143"/>
      <c r="C399" s="151" t="str">
        <f>IF(B399="","",IFERROR(INDEX('12 P6 activities'!$B$7:$B$206,MATCH(B399,'12 P6 activities'!$A$7:$A$206,0)),"ID not in P6 list"))</f>
        <v/>
      </c>
      <c r="D399" s="151" t="str">
        <f>IF(B399="","",IFERROR(INDEX('12 P6 activities'!$C$7:$C$206,MATCH(B399,'12 P6 activities'!$A$7:$A$206,0)),"⚠ not in P6 list"))</f>
        <v/>
      </c>
      <c r="E399" s="143"/>
      <c r="F399" s="147"/>
      <c r="G399" s="145" t="str">
        <f>IF(B399="","",IFERROR(INDEX('12 P6 activities'!$E$7:$E$206,MATCH(B399,'12 P6 activities'!$A$7:$A$206,0)),""))</f>
        <v/>
      </c>
      <c r="H399" s="143"/>
      <c r="I399" s="143"/>
      <c r="J399" s="6"/>
      <c r="K399" s="6"/>
      <c r="L399" s="6"/>
      <c r="M399" s="6"/>
      <c r="N399" s="6"/>
      <c r="O399" s="6"/>
      <c r="P399" s="6"/>
      <c r="Q399" s="6"/>
      <c r="R399" s="6"/>
      <c r="S399" s="6"/>
      <c r="T399" s="6"/>
      <c r="U399" s="6"/>
      <c r="V399" s="6"/>
      <c r="W399" s="6"/>
      <c r="X399" s="6"/>
      <c r="Y399" s="6"/>
      <c r="Z399" s="6"/>
    </row>
    <row r="400" spans="1:26" ht="18" customHeight="1" x14ac:dyDescent="0.3">
      <c r="A400" s="142"/>
      <c r="B400" s="143"/>
      <c r="C400" s="151" t="str">
        <f>IF(B400="","",IFERROR(INDEX('12 P6 activities'!$B$7:$B$206,MATCH(B400,'12 P6 activities'!$A$7:$A$206,0)),"ID not in P6 list"))</f>
        <v/>
      </c>
      <c r="D400" s="151" t="str">
        <f>IF(B400="","",IFERROR(INDEX('12 P6 activities'!$C$7:$C$206,MATCH(B400,'12 P6 activities'!$A$7:$A$206,0)),"⚠ not in P6 list"))</f>
        <v/>
      </c>
      <c r="E400" s="143"/>
      <c r="F400" s="147"/>
      <c r="G400" s="145" t="str">
        <f>IF(B400="","",IFERROR(INDEX('12 P6 activities'!$E$7:$E$206,MATCH(B400,'12 P6 activities'!$A$7:$A$206,0)),""))</f>
        <v/>
      </c>
      <c r="H400" s="143"/>
      <c r="I400" s="143"/>
      <c r="J400" s="6"/>
      <c r="K400" s="6"/>
      <c r="L400" s="6"/>
      <c r="M400" s="6"/>
      <c r="N400" s="6"/>
      <c r="O400" s="6"/>
      <c r="P400" s="6"/>
      <c r="Q400" s="6"/>
      <c r="R400" s="6"/>
      <c r="S400" s="6"/>
      <c r="T400" s="6"/>
      <c r="U400" s="6"/>
      <c r="V400" s="6"/>
      <c r="W400" s="6"/>
      <c r="X400" s="6"/>
      <c r="Y400" s="6"/>
      <c r="Z400" s="6"/>
    </row>
    <row r="401" spans="1:26" ht="18" customHeight="1" x14ac:dyDescent="0.3">
      <c r="A401" s="142"/>
      <c r="B401" s="143"/>
      <c r="C401" s="151" t="str">
        <f>IF(B401="","",IFERROR(INDEX('12 P6 activities'!$B$7:$B$206,MATCH(B401,'12 P6 activities'!$A$7:$A$206,0)),"ID not in P6 list"))</f>
        <v/>
      </c>
      <c r="D401" s="151" t="str">
        <f>IF(B401="","",IFERROR(INDEX('12 P6 activities'!$C$7:$C$206,MATCH(B401,'12 P6 activities'!$A$7:$A$206,0)),"⚠ not in P6 list"))</f>
        <v/>
      </c>
      <c r="E401" s="143"/>
      <c r="F401" s="147"/>
      <c r="G401" s="145" t="str">
        <f>IF(B401="","",IFERROR(INDEX('12 P6 activities'!$E$7:$E$206,MATCH(B401,'12 P6 activities'!$A$7:$A$206,0)),""))</f>
        <v/>
      </c>
      <c r="H401" s="143"/>
      <c r="I401" s="143"/>
      <c r="J401" s="6"/>
      <c r="K401" s="6"/>
      <c r="L401" s="6"/>
      <c r="M401" s="6"/>
      <c r="N401" s="6"/>
      <c r="O401" s="6"/>
      <c r="P401" s="6"/>
      <c r="Q401" s="6"/>
      <c r="R401" s="6"/>
      <c r="S401" s="6"/>
      <c r="T401" s="6"/>
      <c r="U401" s="6"/>
      <c r="V401" s="6"/>
      <c r="W401" s="6"/>
      <c r="X401" s="6"/>
      <c r="Y401" s="6"/>
      <c r="Z401" s="6"/>
    </row>
    <row r="402" spans="1:26" ht="18" customHeight="1" x14ac:dyDescent="0.3">
      <c r="A402" s="142"/>
      <c r="B402" s="143"/>
      <c r="C402" s="151" t="str">
        <f>IF(B402="","",IFERROR(INDEX('12 P6 activities'!$B$7:$B$206,MATCH(B402,'12 P6 activities'!$A$7:$A$206,0)),"ID not in P6 list"))</f>
        <v/>
      </c>
      <c r="D402" s="151" t="str">
        <f>IF(B402="","",IFERROR(INDEX('12 P6 activities'!$C$7:$C$206,MATCH(B402,'12 P6 activities'!$A$7:$A$206,0)),"⚠ not in P6 list"))</f>
        <v/>
      </c>
      <c r="E402" s="143"/>
      <c r="F402" s="147"/>
      <c r="G402" s="145" t="str">
        <f>IF(B402="","",IFERROR(INDEX('12 P6 activities'!$E$7:$E$206,MATCH(B402,'12 P6 activities'!$A$7:$A$206,0)),""))</f>
        <v/>
      </c>
      <c r="H402" s="143"/>
      <c r="I402" s="143"/>
      <c r="J402" s="6"/>
      <c r="K402" s="6"/>
      <c r="L402" s="6"/>
      <c r="M402" s="6"/>
      <c r="N402" s="6"/>
      <c r="O402" s="6"/>
      <c r="P402" s="6"/>
      <c r="Q402" s="6"/>
      <c r="R402" s="6"/>
      <c r="S402" s="6"/>
      <c r="T402" s="6"/>
      <c r="U402" s="6"/>
      <c r="V402" s="6"/>
      <c r="W402" s="6"/>
      <c r="X402" s="6"/>
      <c r="Y402" s="6"/>
      <c r="Z402" s="6"/>
    </row>
    <row r="403" spans="1:26" ht="18" customHeight="1" x14ac:dyDescent="0.3">
      <c r="A403" s="142"/>
      <c r="B403" s="143"/>
      <c r="C403" s="151" t="str">
        <f>IF(B403="","",IFERROR(INDEX('12 P6 activities'!$B$7:$B$206,MATCH(B403,'12 P6 activities'!$A$7:$A$206,0)),"ID not in P6 list"))</f>
        <v/>
      </c>
      <c r="D403" s="151" t="str">
        <f>IF(B403="","",IFERROR(INDEX('12 P6 activities'!$C$7:$C$206,MATCH(B403,'12 P6 activities'!$A$7:$A$206,0)),"⚠ not in P6 list"))</f>
        <v/>
      </c>
      <c r="E403" s="143"/>
      <c r="F403" s="147"/>
      <c r="G403" s="145" t="str">
        <f>IF(B403="","",IFERROR(INDEX('12 P6 activities'!$E$7:$E$206,MATCH(B403,'12 P6 activities'!$A$7:$A$206,0)),""))</f>
        <v/>
      </c>
      <c r="H403" s="143"/>
      <c r="I403" s="143"/>
      <c r="J403" s="6"/>
      <c r="K403" s="6"/>
      <c r="L403" s="6"/>
      <c r="M403" s="6"/>
      <c r="N403" s="6"/>
      <c r="O403" s="6"/>
      <c r="P403" s="6"/>
      <c r="Q403" s="6"/>
      <c r="R403" s="6"/>
      <c r="S403" s="6"/>
      <c r="T403" s="6"/>
      <c r="U403" s="6"/>
      <c r="V403" s="6"/>
      <c r="W403" s="6"/>
      <c r="X403" s="6"/>
      <c r="Y403" s="6"/>
      <c r="Z403" s="6"/>
    </row>
    <row r="404" spans="1:26" ht="18" customHeight="1" x14ac:dyDescent="0.3">
      <c r="A404" s="142"/>
      <c r="B404" s="143"/>
      <c r="C404" s="151" t="str">
        <f>IF(B404="","",IFERROR(INDEX('12 P6 activities'!$B$7:$B$206,MATCH(B404,'12 P6 activities'!$A$7:$A$206,0)),"ID not in P6 list"))</f>
        <v/>
      </c>
      <c r="D404" s="151" t="str">
        <f>IF(B404="","",IFERROR(INDEX('12 P6 activities'!$C$7:$C$206,MATCH(B404,'12 P6 activities'!$A$7:$A$206,0)),"⚠ not in P6 list"))</f>
        <v/>
      </c>
      <c r="E404" s="143"/>
      <c r="F404" s="147"/>
      <c r="G404" s="145" t="str">
        <f>IF(B404="","",IFERROR(INDEX('12 P6 activities'!$E$7:$E$206,MATCH(B404,'12 P6 activities'!$A$7:$A$206,0)),""))</f>
        <v/>
      </c>
      <c r="H404" s="143"/>
      <c r="I404" s="143"/>
      <c r="J404" s="6"/>
      <c r="K404" s="6"/>
      <c r="L404" s="6"/>
      <c r="M404" s="6"/>
      <c r="N404" s="6"/>
      <c r="O404" s="6"/>
      <c r="P404" s="6"/>
      <c r="Q404" s="6"/>
      <c r="R404" s="6"/>
      <c r="S404" s="6"/>
      <c r="T404" s="6"/>
      <c r="U404" s="6"/>
      <c r="V404" s="6"/>
      <c r="W404" s="6"/>
      <c r="X404" s="6"/>
      <c r="Y404" s="6"/>
      <c r="Z404" s="6"/>
    </row>
    <row r="405" spans="1:26" ht="18" customHeight="1" x14ac:dyDescent="0.3">
      <c r="A405" s="142"/>
      <c r="B405" s="143"/>
      <c r="C405" s="151" t="str">
        <f>IF(B405="","",IFERROR(INDEX('12 P6 activities'!$B$7:$B$206,MATCH(B405,'12 P6 activities'!$A$7:$A$206,0)),"ID not in P6 list"))</f>
        <v/>
      </c>
      <c r="D405" s="151" t="str">
        <f>IF(B405="","",IFERROR(INDEX('12 P6 activities'!$C$7:$C$206,MATCH(B405,'12 P6 activities'!$A$7:$A$206,0)),"⚠ not in P6 list"))</f>
        <v/>
      </c>
      <c r="E405" s="143"/>
      <c r="F405" s="147"/>
      <c r="G405" s="145" t="str">
        <f>IF(B405="","",IFERROR(INDEX('12 P6 activities'!$E$7:$E$206,MATCH(B405,'12 P6 activities'!$A$7:$A$206,0)),""))</f>
        <v/>
      </c>
      <c r="H405" s="143"/>
      <c r="I405" s="143"/>
      <c r="J405" s="6"/>
      <c r="K405" s="6"/>
      <c r="L405" s="6"/>
      <c r="M405" s="6"/>
      <c r="N405" s="6"/>
      <c r="O405" s="6"/>
      <c r="P405" s="6"/>
      <c r="Q405" s="6"/>
      <c r="R405" s="6"/>
      <c r="S405" s="6"/>
      <c r="T405" s="6"/>
      <c r="U405" s="6"/>
      <c r="V405" s="6"/>
      <c r="W405" s="6"/>
      <c r="X405" s="6"/>
      <c r="Y405" s="6"/>
      <c r="Z405" s="6"/>
    </row>
    <row r="406" spans="1:26" ht="18" customHeight="1" x14ac:dyDescent="0.3">
      <c r="A406" s="142"/>
      <c r="B406" s="143"/>
      <c r="C406" s="151" t="str">
        <f>IF(B406="","",IFERROR(INDEX('12 P6 activities'!$B$7:$B$206,MATCH(B406,'12 P6 activities'!$A$7:$A$206,0)),"ID not in P6 list"))</f>
        <v/>
      </c>
      <c r="D406" s="151" t="str">
        <f>IF(B406="","",IFERROR(INDEX('12 P6 activities'!$C$7:$C$206,MATCH(B406,'12 P6 activities'!$A$7:$A$206,0)),"⚠ not in P6 list"))</f>
        <v/>
      </c>
      <c r="E406" s="143"/>
      <c r="F406" s="147"/>
      <c r="G406" s="145" t="str">
        <f>IF(B406="","",IFERROR(INDEX('12 P6 activities'!$E$7:$E$206,MATCH(B406,'12 P6 activities'!$A$7:$A$206,0)),""))</f>
        <v/>
      </c>
      <c r="H406" s="143"/>
      <c r="I406" s="143"/>
      <c r="J406" s="6"/>
      <c r="K406" s="6"/>
      <c r="L406" s="6"/>
      <c r="M406" s="6"/>
      <c r="N406" s="6"/>
      <c r="O406" s="6"/>
      <c r="P406" s="6"/>
      <c r="Q406" s="6"/>
      <c r="R406" s="6"/>
      <c r="S406" s="6"/>
      <c r="T406" s="6"/>
      <c r="U406" s="6"/>
      <c r="V406" s="6"/>
      <c r="W406" s="6"/>
      <c r="X406" s="6"/>
      <c r="Y406" s="6"/>
      <c r="Z406" s="6"/>
    </row>
    <row r="407" spans="1:26" ht="18" customHeight="1" x14ac:dyDescent="0.3">
      <c r="A407" s="142"/>
      <c r="B407" s="143"/>
      <c r="C407" s="151" t="str">
        <f>IF(B407="","",IFERROR(INDEX('12 P6 activities'!$B$7:$B$206,MATCH(B407,'12 P6 activities'!$A$7:$A$206,0)),"ID not in P6 list"))</f>
        <v/>
      </c>
      <c r="D407" s="151" t="str">
        <f>IF(B407="","",IFERROR(INDEX('12 P6 activities'!$C$7:$C$206,MATCH(B407,'12 P6 activities'!$A$7:$A$206,0)),"⚠ not in P6 list"))</f>
        <v/>
      </c>
      <c r="E407" s="143"/>
      <c r="F407" s="147"/>
      <c r="G407" s="145" t="str">
        <f>IF(B407="","",IFERROR(INDEX('12 P6 activities'!$E$7:$E$206,MATCH(B407,'12 P6 activities'!$A$7:$A$206,0)),""))</f>
        <v/>
      </c>
      <c r="H407" s="143"/>
      <c r="I407" s="143"/>
      <c r="J407" s="6"/>
      <c r="K407" s="6"/>
      <c r="L407" s="6"/>
      <c r="M407" s="6"/>
      <c r="N407" s="6"/>
      <c r="O407" s="6"/>
      <c r="P407" s="6"/>
      <c r="Q407" s="6"/>
      <c r="R407" s="6"/>
      <c r="S407" s="6"/>
      <c r="T407" s="6"/>
      <c r="U407" s="6"/>
      <c r="V407" s="6"/>
      <c r="W407" s="6"/>
      <c r="X407" s="6"/>
      <c r="Y407" s="6"/>
      <c r="Z407" s="6"/>
    </row>
    <row r="408" spans="1:26" ht="18" customHeight="1" x14ac:dyDescent="0.3">
      <c r="A408" s="142"/>
      <c r="B408" s="143"/>
      <c r="C408" s="151" t="str">
        <f>IF(B408="","",IFERROR(INDEX('12 P6 activities'!$B$7:$B$206,MATCH(B408,'12 P6 activities'!$A$7:$A$206,0)),"ID not in P6 list"))</f>
        <v/>
      </c>
      <c r="D408" s="151" t="str">
        <f>IF(B408="","",IFERROR(INDEX('12 P6 activities'!$C$7:$C$206,MATCH(B408,'12 P6 activities'!$A$7:$A$206,0)),"⚠ not in P6 list"))</f>
        <v/>
      </c>
      <c r="E408" s="143"/>
      <c r="F408" s="147"/>
      <c r="G408" s="145" t="str">
        <f>IF(B408="","",IFERROR(INDEX('12 P6 activities'!$E$7:$E$206,MATCH(B408,'12 P6 activities'!$A$7:$A$206,0)),""))</f>
        <v/>
      </c>
      <c r="H408" s="143"/>
      <c r="I408" s="143"/>
      <c r="J408" s="6"/>
      <c r="K408" s="6"/>
      <c r="L408" s="6"/>
      <c r="M408" s="6"/>
      <c r="N408" s="6"/>
      <c r="O408" s="6"/>
      <c r="P408" s="6"/>
      <c r="Q408" s="6"/>
      <c r="R408" s="6"/>
      <c r="S408" s="6"/>
      <c r="T408" s="6"/>
      <c r="U408" s="6"/>
      <c r="V408" s="6"/>
      <c r="W408" s="6"/>
      <c r="X408" s="6"/>
      <c r="Y408" s="6"/>
      <c r="Z408" s="6"/>
    </row>
    <row r="409" spans="1:26" ht="18" customHeight="1" x14ac:dyDescent="0.3">
      <c r="A409" s="142"/>
      <c r="B409" s="143"/>
      <c r="C409" s="151" t="str">
        <f>IF(B409="","",IFERROR(INDEX('12 P6 activities'!$B$7:$B$206,MATCH(B409,'12 P6 activities'!$A$7:$A$206,0)),"ID not in P6 list"))</f>
        <v/>
      </c>
      <c r="D409" s="151" t="str">
        <f>IF(B409="","",IFERROR(INDEX('12 P6 activities'!$C$7:$C$206,MATCH(B409,'12 P6 activities'!$A$7:$A$206,0)),"⚠ not in P6 list"))</f>
        <v/>
      </c>
      <c r="E409" s="143"/>
      <c r="F409" s="147"/>
      <c r="G409" s="145" t="str">
        <f>IF(B409="","",IFERROR(INDEX('12 P6 activities'!$E$7:$E$206,MATCH(B409,'12 P6 activities'!$A$7:$A$206,0)),""))</f>
        <v/>
      </c>
      <c r="H409" s="143"/>
      <c r="I409" s="143"/>
      <c r="J409" s="6"/>
      <c r="K409" s="6"/>
      <c r="L409" s="6"/>
      <c r="M409" s="6"/>
      <c r="N409" s="6"/>
      <c r="O409" s="6"/>
      <c r="P409" s="6"/>
      <c r="Q409" s="6"/>
      <c r="R409" s="6"/>
      <c r="S409" s="6"/>
      <c r="T409" s="6"/>
      <c r="U409" s="6"/>
      <c r="V409" s="6"/>
      <c r="W409" s="6"/>
      <c r="X409" s="6"/>
      <c r="Y409" s="6"/>
      <c r="Z409" s="6"/>
    </row>
    <row r="410" spans="1:26" ht="18" customHeight="1" x14ac:dyDescent="0.3">
      <c r="A410" s="142"/>
      <c r="B410" s="143"/>
      <c r="C410" s="151" t="str">
        <f>IF(B410="","",IFERROR(INDEX('12 P6 activities'!$B$7:$B$206,MATCH(B410,'12 P6 activities'!$A$7:$A$206,0)),"ID not in P6 list"))</f>
        <v/>
      </c>
      <c r="D410" s="151" t="str">
        <f>IF(B410="","",IFERROR(INDEX('12 P6 activities'!$C$7:$C$206,MATCH(B410,'12 P6 activities'!$A$7:$A$206,0)),"⚠ not in P6 list"))</f>
        <v/>
      </c>
      <c r="E410" s="143"/>
      <c r="F410" s="147"/>
      <c r="G410" s="145" t="str">
        <f>IF(B410="","",IFERROR(INDEX('12 P6 activities'!$E$7:$E$206,MATCH(B410,'12 P6 activities'!$A$7:$A$206,0)),""))</f>
        <v/>
      </c>
      <c r="H410" s="143"/>
      <c r="I410" s="143"/>
      <c r="J410" s="6"/>
      <c r="K410" s="6"/>
      <c r="L410" s="6"/>
      <c r="M410" s="6"/>
      <c r="N410" s="6"/>
      <c r="O410" s="6"/>
      <c r="P410" s="6"/>
      <c r="Q410" s="6"/>
      <c r="R410" s="6"/>
      <c r="S410" s="6"/>
      <c r="T410" s="6"/>
      <c r="U410" s="6"/>
      <c r="V410" s="6"/>
      <c r="W410" s="6"/>
      <c r="X410" s="6"/>
      <c r="Y410" s="6"/>
      <c r="Z410" s="6"/>
    </row>
    <row r="411" spans="1:26" ht="18" customHeight="1" x14ac:dyDescent="0.3">
      <c r="A411" s="142"/>
      <c r="B411" s="143"/>
      <c r="C411" s="151" t="str">
        <f>IF(B411="","",IFERROR(INDEX('12 P6 activities'!$B$7:$B$206,MATCH(B411,'12 P6 activities'!$A$7:$A$206,0)),"ID not in P6 list"))</f>
        <v/>
      </c>
      <c r="D411" s="151" t="str">
        <f>IF(B411="","",IFERROR(INDEX('12 P6 activities'!$C$7:$C$206,MATCH(B411,'12 P6 activities'!$A$7:$A$206,0)),"⚠ not in P6 list"))</f>
        <v/>
      </c>
      <c r="E411" s="143"/>
      <c r="F411" s="147"/>
      <c r="G411" s="145" t="str">
        <f>IF(B411="","",IFERROR(INDEX('12 P6 activities'!$E$7:$E$206,MATCH(B411,'12 P6 activities'!$A$7:$A$206,0)),""))</f>
        <v/>
      </c>
      <c r="H411" s="143"/>
      <c r="I411" s="143"/>
      <c r="J411" s="6"/>
      <c r="K411" s="6"/>
      <c r="L411" s="6"/>
      <c r="M411" s="6"/>
      <c r="N411" s="6"/>
      <c r="O411" s="6"/>
      <c r="P411" s="6"/>
      <c r="Q411" s="6"/>
      <c r="R411" s="6"/>
      <c r="S411" s="6"/>
      <c r="T411" s="6"/>
      <c r="U411" s="6"/>
      <c r="V411" s="6"/>
      <c r="W411" s="6"/>
      <c r="X411" s="6"/>
      <c r="Y411" s="6"/>
      <c r="Z411" s="6"/>
    </row>
    <row r="412" spans="1:26" ht="18" customHeight="1" x14ac:dyDescent="0.3">
      <c r="A412" s="142"/>
      <c r="B412" s="143"/>
      <c r="C412" s="151" t="str">
        <f>IF(B412="","",IFERROR(INDEX('12 P6 activities'!$B$7:$B$206,MATCH(B412,'12 P6 activities'!$A$7:$A$206,0)),"ID not in P6 list"))</f>
        <v/>
      </c>
      <c r="D412" s="151" t="str">
        <f>IF(B412="","",IFERROR(INDEX('12 P6 activities'!$C$7:$C$206,MATCH(B412,'12 P6 activities'!$A$7:$A$206,0)),"⚠ not in P6 list"))</f>
        <v/>
      </c>
      <c r="E412" s="143"/>
      <c r="F412" s="147"/>
      <c r="G412" s="145" t="str">
        <f>IF(B412="","",IFERROR(INDEX('12 P6 activities'!$E$7:$E$206,MATCH(B412,'12 P6 activities'!$A$7:$A$206,0)),""))</f>
        <v/>
      </c>
      <c r="H412" s="143"/>
      <c r="I412" s="143"/>
      <c r="J412" s="6"/>
      <c r="K412" s="6"/>
      <c r="L412" s="6"/>
      <c r="M412" s="6"/>
      <c r="N412" s="6"/>
      <c r="O412" s="6"/>
      <c r="P412" s="6"/>
      <c r="Q412" s="6"/>
      <c r="R412" s="6"/>
      <c r="S412" s="6"/>
      <c r="T412" s="6"/>
      <c r="U412" s="6"/>
      <c r="V412" s="6"/>
      <c r="W412" s="6"/>
      <c r="X412" s="6"/>
      <c r="Y412" s="6"/>
      <c r="Z412" s="6"/>
    </row>
    <row r="413" spans="1:26" ht="18" customHeight="1" x14ac:dyDescent="0.3">
      <c r="A413" s="142"/>
      <c r="B413" s="143"/>
      <c r="C413" s="151" t="str">
        <f>IF(B413="","",IFERROR(INDEX('12 P6 activities'!$B$7:$B$206,MATCH(B413,'12 P6 activities'!$A$7:$A$206,0)),"ID not in P6 list"))</f>
        <v/>
      </c>
      <c r="D413" s="151" t="str">
        <f>IF(B413="","",IFERROR(INDEX('12 P6 activities'!$C$7:$C$206,MATCH(B413,'12 P6 activities'!$A$7:$A$206,0)),"⚠ not in P6 list"))</f>
        <v/>
      </c>
      <c r="E413" s="143"/>
      <c r="F413" s="147"/>
      <c r="G413" s="145" t="str">
        <f>IF(B413="","",IFERROR(INDEX('12 P6 activities'!$E$7:$E$206,MATCH(B413,'12 P6 activities'!$A$7:$A$206,0)),""))</f>
        <v/>
      </c>
      <c r="H413" s="143"/>
      <c r="I413" s="143"/>
      <c r="J413" s="6"/>
      <c r="K413" s="6"/>
      <c r="L413" s="6"/>
      <c r="M413" s="6"/>
      <c r="N413" s="6"/>
      <c r="O413" s="6"/>
      <c r="P413" s="6"/>
      <c r="Q413" s="6"/>
      <c r="R413" s="6"/>
      <c r="S413" s="6"/>
      <c r="T413" s="6"/>
      <c r="U413" s="6"/>
      <c r="V413" s="6"/>
      <c r="W413" s="6"/>
      <c r="X413" s="6"/>
      <c r="Y413" s="6"/>
      <c r="Z413" s="6"/>
    </row>
    <row r="414" spans="1:26" ht="18" customHeight="1" x14ac:dyDescent="0.3">
      <c r="A414" s="142"/>
      <c r="B414" s="143"/>
      <c r="C414" s="151" t="str">
        <f>IF(B414="","",IFERROR(INDEX('12 P6 activities'!$B$7:$B$206,MATCH(B414,'12 P6 activities'!$A$7:$A$206,0)),"ID not in P6 list"))</f>
        <v/>
      </c>
      <c r="D414" s="151" t="str">
        <f>IF(B414="","",IFERROR(INDEX('12 P6 activities'!$C$7:$C$206,MATCH(B414,'12 P6 activities'!$A$7:$A$206,0)),"⚠ not in P6 list"))</f>
        <v/>
      </c>
      <c r="E414" s="143"/>
      <c r="F414" s="147"/>
      <c r="G414" s="145" t="str">
        <f>IF(B414="","",IFERROR(INDEX('12 P6 activities'!$E$7:$E$206,MATCH(B414,'12 P6 activities'!$A$7:$A$206,0)),""))</f>
        <v/>
      </c>
      <c r="H414" s="143"/>
      <c r="I414" s="143"/>
      <c r="J414" s="6"/>
      <c r="K414" s="6"/>
      <c r="L414" s="6"/>
      <c r="M414" s="6"/>
      <c r="N414" s="6"/>
      <c r="O414" s="6"/>
      <c r="P414" s="6"/>
      <c r="Q414" s="6"/>
      <c r="R414" s="6"/>
      <c r="S414" s="6"/>
      <c r="T414" s="6"/>
      <c r="U414" s="6"/>
      <c r="V414" s="6"/>
      <c r="W414" s="6"/>
      <c r="X414" s="6"/>
      <c r="Y414" s="6"/>
      <c r="Z414" s="6"/>
    </row>
    <row r="415" spans="1:26" ht="18" customHeight="1" x14ac:dyDescent="0.3">
      <c r="A415" s="142"/>
      <c r="B415" s="143"/>
      <c r="C415" s="151" t="str">
        <f>IF(B415="","",IFERROR(INDEX('12 P6 activities'!$B$7:$B$206,MATCH(B415,'12 P6 activities'!$A$7:$A$206,0)),"ID not in P6 list"))</f>
        <v/>
      </c>
      <c r="D415" s="151" t="str">
        <f>IF(B415="","",IFERROR(INDEX('12 P6 activities'!$C$7:$C$206,MATCH(B415,'12 P6 activities'!$A$7:$A$206,0)),"⚠ not in P6 list"))</f>
        <v/>
      </c>
      <c r="E415" s="143"/>
      <c r="F415" s="147"/>
      <c r="G415" s="145" t="str">
        <f>IF(B415="","",IFERROR(INDEX('12 P6 activities'!$E$7:$E$206,MATCH(B415,'12 P6 activities'!$A$7:$A$206,0)),""))</f>
        <v/>
      </c>
      <c r="H415" s="143"/>
      <c r="I415" s="143"/>
      <c r="J415" s="6"/>
      <c r="K415" s="6"/>
      <c r="L415" s="6"/>
      <c r="M415" s="6"/>
      <c r="N415" s="6"/>
      <c r="O415" s="6"/>
      <c r="P415" s="6"/>
      <c r="Q415" s="6"/>
      <c r="R415" s="6"/>
      <c r="S415" s="6"/>
      <c r="T415" s="6"/>
      <c r="U415" s="6"/>
      <c r="V415" s="6"/>
      <c r="W415" s="6"/>
      <c r="X415" s="6"/>
      <c r="Y415" s="6"/>
      <c r="Z415" s="6"/>
    </row>
    <row r="416" spans="1:26" ht="18" customHeight="1" x14ac:dyDescent="0.3">
      <c r="A416" s="142"/>
      <c r="B416" s="143"/>
      <c r="C416" s="151" t="str">
        <f>IF(B416="","",IFERROR(INDEX('12 P6 activities'!$B$7:$B$206,MATCH(B416,'12 P6 activities'!$A$7:$A$206,0)),"ID not in P6 list"))</f>
        <v/>
      </c>
      <c r="D416" s="151" t="str">
        <f>IF(B416="","",IFERROR(INDEX('12 P6 activities'!$C$7:$C$206,MATCH(B416,'12 P6 activities'!$A$7:$A$206,0)),"⚠ not in P6 list"))</f>
        <v/>
      </c>
      <c r="E416" s="143"/>
      <c r="F416" s="147"/>
      <c r="G416" s="145" t="str">
        <f>IF(B416="","",IFERROR(INDEX('12 P6 activities'!$E$7:$E$206,MATCH(B416,'12 P6 activities'!$A$7:$A$206,0)),""))</f>
        <v/>
      </c>
      <c r="H416" s="143"/>
      <c r="I416" s="143"/>
      <c r="J416" s="6"/>
      <c r="K416" s="6"/>
      <c r="L416" s="6"/>
      <c r="M416" s="6"/>
      <c r="N416" s="6"/>
      <c r="O416" s="6"/>
      <c r="P416" s="6"/>
      <c r="Q416" s="6"/>
      <c r="R416" s="6"/>
      <c r="S416" s="6"/>
      <c r="T416" s="6"/>
      <c r="U416" s="6"/>
      <c r="V416" s="6"/>
      <c r="W416" s="6"/>
      <c r="X416" s="6"/>
      <c r="Y416" s="6"/>
      <c r="Z416" s="6"/>
    </row>
    <row r="417" spans="1:26" ht="18" customHeight="1" x14ac:dyDescent="0.3">
      <c r="A417" s="142"/>
      <c r="B417" s="143"/>
      <c r="C417" s="151" t="str">
        <f>IF(B417="","",IFERROR(INDEX('12 P6 activities'!$B$7:$B$206,MATCH(B417,'12 P6 activities'!$A$7:$A$206,0)),"ID not in P6 list"))</f>
        <v/>
      </c>
      <c r="D417" s="151" t="str">
        <f>IF(B417="","",IFERROR(INDEX('12 P6 activities'!$C$7:$C$206,MATCH(B417,'12 P6 activities'!$A$7:$A$206,0)),"⚠ not in P6 list"))</f>
        <v/>
      </c>
      <c r="E417" s="143"/>
      <c r="F417" s="147"/>
      <c r="G417" s="145" t="str">
        <f>IF(B417="","",IFERROR(INDEX('12 P6 activities'!$E$7:$E$206,MATCH(B417,'12 P6 activities'!$A$7:$A$206,0)),""))</f>
        <v/>
      </c>
      <c r="H417" s="143"/>
      <c r="I417" s="143"/>
      <c r="J417" s="6"/>
      <c r="K417" s="6"/>
      <c r="L417" s="6"/>
      <c r="M417" s="6"/>
      <c r="N417" s="6"/>
      <c r="O417" s="6"/>
      <c r="P417" s="6"/>
      <c r="Q417" s="6"/>
      <c r="R417" s="6"/>
      <c r="S417" s="6"/>
      <c r="T417" s="6"/>
      <c r="U417" s="6"/>
      <c r="V417" s="6"/>
      <c r="W417" s="6"/>
      <c r="X417" s="6"/>
      <c r="Y417" s="6"/>
      <c r="Z417" s="6"/>
    </row>
    <row r="418" spans="1:26" ht="18" customHeight="1" x14ac:dyDescent="0.3">
      <c r="A418" s="142"/>
      <c r="B418" s="143"/>
      <c r="C418" s="151" t="str">
        <f>IF(B418="","",IFERROR(INDEX('12 P6 activities'!$B$7:$B$206,MATCH(B418,'12 P6 activities'!$A$7:$A$206,0)),"ID not in P6 list"))</f>
        <v/>
      </c>
      <c r="D418" s="151" t="str">
        <f>IF(B418="","",IFERROR(INDEX('12 P6 activities'!$C$7:$C$206,MATCH(B418,'12 P6 activities'!$A$7:$A$206,0)),"⚠ not in P6 list"))</f>
        <v/>
      </c>
      <c r="E418" s="143"/>
      <c r="F418" s="147"/>
      <c r="G418" s="145" t="str">
        <f>IF(B418="","",IFERROR(INDEX('12 P6 activities'!$E$7:$E$206,MATCH(B418,'12 P6 activities'!$A$7:$A$206,0)),""))</f>
        <v/>
      </c>
      <c r="H418" s="143"/>
      <c r="I418" s="143"/>
      <c r="J418" s="6"/>
      <c r="K418" s="6"/>
      <c r="L418" s="6"/>
      <c r="M418" s="6"/>
      <c r="N418" s="6"/>
      <c r="O418" s="6"/>
      <c r="P418" s="6"/>
      <c r="Q418" s="6"/>
      <c r="R418" s="6"/>
      <c r="S418" s="6"/>
      <c r="T418" s="6"/>
      <c r="U418" s="6"/>
      <c r="V418" s="6"/>
      <c r="W418" s="6"/>
      <c r="X418" s="6"/>
      <c r="Y418" s="6"/>
      <c r="Z418" s="6"/>
    </row>
    <row r="419" spans="1:26" ht="18" customHeight="1" x14ac:dyDescent="0.3">
      <c r="A419" s="142"/>
      <c r="B419" s="143"/>
      <c r="C419" s="151" t="str">
        <f>IF(B419="","",IFERROR(INDEX('12 P6 activities'!$B$7:$B$206,MATCH(B419,'12 P6 activities'!$A$7:$A$206,0)),"ID not in P6 list"))</f>
        <v/>
      </c>
      <c r="D419" s="151" t="str">
        <f>IF(B419="","",IFERROR(INDEX('12 P6 activities'!$C$7:$C$206,MATCH(B419,'12 P6 activities'!$A$7:$A$206,0)),"⚠ not in P6 list"))</f>
        <v/>
      </c>
      <c r="E419" s="143"/>
      <c r="F419" s="147"/>
      <c r="G419" s="145" t="str">
        <f>IF(B419="","",IFERROR(INDEX('12 P6 activities'!$E$7:$E$206,MATCH(B419,'12 P6 activities'!$A$7:$A$206,0)),""))</f>
        <v/>
      </c>
      <c r="H419" s="143"/>
      <c r="I419" s="143"/>
      <c r="J419" s="6"/>
      <c r="K419" s="6"/>
      <c r="L419" s="6"/>
      <c r="M419" s="6"/>
      <c r="N419" s="6"/>
      <c r="O419" s="6"/>
      <c r="P419" s="6"/>
      <c r="Q419" s="6"/>
      <c r="R419" s="6"/>
      <c r="S419" s="6"/>
      <c r="T419" s="6"/>
      <c r="U419" s="6"/>
      <c r="V419" s="6"/>
      <c r="W419" s="6"/>
      <c r="X419" s="6"/>
      <c r="Y419" s="6"/>
      <c r="Z419" s="6"/>
    </row>
    <row r="420" spans="1:26" ht="18" customHeight="1" x14ac:dyDescent="0.3">
      <c r="A420" s="142"/>
      <c r="B420" s="143"/>
      <c r="C420" s="151" t="str">
        <f>IF(B420="","",IFERROR(INDEX('12 P6 activities'!$B$7:$B$206,MATCH(B420,'12 P6 activities'!$A$7:$A$206,0)),"ID not in P6 list"))</f>
        <v/>
      </c>
      <c r="D420" s="151" t="str">
        <f>IF(B420="","",IFERROR(INDEX('12 P6 activities'!$C$7:$C$206,MATCH(B420,'12 P6 activities'!$A$7:$A$206,0)),"⚠ not in P6 list"))</f>
        <v/>
      </c>
      <c r="E420" s="143"/>
      <c r="F420" s="147"/>
      <c r="G420" s="145" t="str">
        <f>IF(B420="","",IFERROR(INDEX('12 P6 activities'!$E$7:$E$206,MATCH(B420,'12 P6 activities'!$A$7:$A$206,0)),""))</f>
        <v/>
      </c>
      <c r="H420" s="143"/>
      <c r="I420" s="143"/>
      <c r="J420" s="6"/>
      <c r="K420" s="6"/>
      <c r="L420" s="6"/>
      <c r="M420" s="6"/>
      <c r="N420" s="6"/>
      <c r="O420" s="6"/>
      <c r="P420" s="6"/>
      <c r="Q420" s="6"/>
      <c r="R420" s="6"/>
      <c r="S420" s="6"/>
      <c r="T420" s="6"/>
      <c r="U420" s="6"/>
      <c r="V420" s="6"/>
      <c r="W420" s="6"/>
      <c r="X420" s="6"/>
      <c r="Y420" s="6"/>
      <c r="Z420" s="6"/>
    </row>
    <row r="421" spans="1:26" ht="18" customHeight="1" x14ac:dyDescent="0.3">
      <c r="A421" s="142"/>
      <c r="B421" s="143"/>
      <c r="C421" s="151" t="str">
        <f>IF(B421="","",IFERROR(INDEX('12 P6 activities'!$B$7:$B$206,MATCH(B421,'12 P6 activities'!$A$7:$A$206,0)),"ID not in P6 list"))</f>
        <v/>
      </c>
      <c r="D421" s="151" t="str">
        <f>IF(B421="","",IFERROR(INDEX('12 P6 activities'!$C$7:$C$206,MATCH(B421,'12 P6 activities'!$A$7:$A$206,0)),"⚠ not in P6 list"))</f>
        <v/>
      </c>
      <c r="E421" s="143"/>
      <c r="F421" s="147"/>
      <c r="G421" s="145" t="str">
        <f>IF(B421="","",IFERROR(INDEX('12 P6 activities'!$E$7:$E$206,MATCH(B421,'12 P6 activities'!$A$7:$A$206,0)),""))</f>
        <v/>
      </c>
      <c r="H421" s="143"/>
      <c r="I421" s="143"/>
      <c r="J421" s="6"/>
      <c r="K421" s="6"/>
      <c r="L421" s="6"/>
      <c r="M421" s="6"/>
      <c r="N421" s="6"/>
      <c r="O421" s="6"/>
      <c r="P421" s="6"/>
      <c r="Q421" s="6"/>
      <c r="R421" s="6"/>
      <c r="S421" s="6"/>
      <c r="T421" s="6"/>
      <c r="U421" s="6"/>
      <c r="V421" s="6"/>
      <c r="W421" s="6"/>
      <c r="X421" s="6"/>
      <c r="Y421" s="6"/>
      <c r="Z421" s="6"/>
    </row>
    <row r="422" spans="1:26" ht="18" customHeight="1" x14ac:dyDescent="0.3">
      <c r="A422" s="142"/>
      <c r="B422" s="143"/>
      <c r="C422" s="151" t="str">
        <f>IF(B422="","",IFERROR(INDEX('12 P6 activities'!$B$7:$B$206,MATCH(B422,'12 P6 activities'!$A$7:$A$206,0)),"ID not in P6 list"))</f>
        <v/>
      </c>
      <c r="D422" s="151" t="str">
        <f>IF(B422="","",IFERROR(INDEX('12 P6 activities'!$C$7:$C$206,MATCH(B422,'12 P6 activities'!$A$7:$A$206,0)),"⚠ not in P6 list"))</f>
        <v/>
      </c>
      <c r="E422" s="143"/>
      <c r="F422" s="147"/>
      <c r="G422" s="145" t="str">
        <f>IF(B422="","",IFERROR(INDEX('12 P6 activities'!$E$7:$E$206,MATCH(B422,'12 P6 activities'!$A$7:$A$206,0)),""))</f>
        <v/>
      </c>
      <c r="H422" s="143"/>
      <c r="I422" s="143"/>
      <c r="J422" s="6"/>
      <c r="K422" s="6"/>
      <c r="L422" s="6"/>
      <c r="M422" s="6"/>
      <c r="N422" s="6"/>
      <c r="O422" s="6"/>
      <c r="P422" s="6"/>
      <c r="Q422" s="6"/>
      <c r="R422" s="6"/>
      <c r="S422" s="6"/>
      <c r="T422" s="6"/>
      <c r="U422" s="6"/>
      <c r="V422" s="6"/>
      <c r="W422" s="6"/>
      <c r="X422" s="6"/>
      <c r="Y422" s="6"/>
      <c r="Z422" s="6"/>
    </row>
    <row r="423" spans="1:26" ht="18" customHeight="1" x14ac:dyDescent="0.3">
      <c r="A423" s="142"/>
      <c r="B423" s="143"/>
      <c r="C423" s="151" t="str">
        <f>IF(B423="","",IFERROR(INDEX('12 P6 activities'!$B$7:$B$206,MATCH(B423,'12 P6 activities'!$A$7:$A$206,0)),"ID not in P6 list"))</f>
        <v/>
      </c>
      <c r="D423" s="151" t="str">
        <f>IF(B423="","",IFERROR(INDEX('12 P6 activities'!$C$7:$C$206,MATCH(B423,'12 P6 activities'!$A$7:$A$206,0)),"⚠ not in P6 list"))</f>
        <v/>
      </c>
      <c r="E423" s="143"/>
      <c r="F423" s="147"/>
      <c r="G423" s="145" t="str">
        <f>IF(B423="","",IFERROR(INDEX('12 P6 activities'!$E$7:$E$206,MATCH(B423,'12 P6 activities'!$A$7:$A$206,0)),""))</f>
        <v/>
      </c>
      <c r="H423" s="143"/>
      <c r="I423" s="143"/>
      <c r="J423" s="6"/>
      <c r="K423" s="6"/>
      <c r="L423" s="6"/>
      <c r="M423" s="6"/>
      <c r="N423" s="6"/>
      <c r="O423" s="6"/>
      <c r="P423" s="6"/>
      <c r="Q423" s="6"/>
      <c r="R423" s="6"/>
      <c r="S423" s="6"/>
      <c r="T423" s="6"/>
      <c r="U423" s="6"/>
      <c r="V423" s="6"/>
      <c r="W423" s="6"/>
      <c r="X423" s="6"/>
      <c r="Y423" s="6"/>
      <c r="Z423" s="6"/>
    </row>
    <row r="424" spans="1:26" ht="18" customHeight="1" x14ac:dyDescent="0.3">
      <c r="A424" s="142"/>
      <c r="B424" s="143"/>
      <c r="C424" s="151" t="str">
        <f>IF(B424="","",IFERROR(INDEX('12 P6 activities'!$B$7:$B$206,MATCH(B424,'12 P6 activities'!$A$7:$A$206,0)),"ID not in P6 list"))</f>
        <v/>
      </c>
      <c r="D424" s="151" t="str">
        <f>IF(B424="","",IFERROR(INDEX('12 P6 activities'!$C$7:$C$206,MATCH(B424,'12 P6 activities'!$A$7:$A$206,0)),"⚠ not in P6 list"))</f>
        <v/>
      </c>
      <c r="E424" s="143"/>
      <c r="F424" s="147"/>
      <c r="G424" s="145" t="str">
        <f>IF(B424="","",IFERROR(INDEX('12 P6 activities'!$E$7:$E$206,MATCH(B424,'12 P6 activities'!$A$7:$A$206,0)),""))</f>
        <v/>
      </c>
      <c r="H424" s="143"/>
      <c r="I424" s="143"/>
      <c r="J424" s="6"/>
      <c r="K424" s="6"/>
      <c r="L424" s="6"/>
      <c r="M424" s="6"/>
      <c r="N424" s="6"/>
      <c r="O424" s="6"/>
      <c r="P424" s="6"/>
      <c r="Q424" s="6"/>
      <c r="R424" s="6"/>
      <c r="S424" s="6"/>
      <c r="T424" s="6"/>
      <c r="U424" s="6"/>
      <c r="V424" s="6"/>
      <c r="W424" s="6"/>
      <c r="X424" s="6"/>
      <c r="Y424" s="6"/>
      <c r="Z424" s="6"/>
    </row>
    <row r="425" spans="1:26" ht="18" customHeight="1" x14ac:dyDescent="0.3">
      <c r="A425" s="142"/>
      <c r="B425" s="143"/>
      <c r="C425" s="151" t="str">
        <f>IF(B425="","",IFERROR(INDEX('12 P6 activities'!$B$7:$B$206,MATCH(B425,'12 P6 activities'!$A$7:$A$206,0)),"ID not in P6 list"))</f>
        <v/>
      </c>
      <c r="D425" s="151" t="str">
        <f>IF(B425="","",IFERROR(INDEX('12 P6 activities'!$C$7:$C$206,MATCH(B425,'12 P6 activities'!$A$7:$A$206,0)),"⚠ not in P6 list"))</f>
        <v/>
      </c>
      <c r="E425" s="143"/>
      <c r="F425" s="147"/>
      <c r="G425" s="145" t="str">
        <f>IF(B425="","",IFERROR(INDEX('12 P6 activities'!$E$7:$E$206,MATCH(B425,'12 P6 activities'!$A$7:$A$206,0)),""))</f>
        <v/>
      </c>
      <c r="H425" s="143"/>
      <c r="I425" s="143"/>
      <c r="J425" s="6"/>
      <c r="K425" s="6"/>
      <c r="L425" s="6"/>
      <c r="M425" s="6"/>
      <c r="N425" s="6"/>
      <c r="O425" s="6"/>
      <c r="P425" s="6"/>
      <c r="Q425" s="6"/>
      <c r="R425" s="6"/>
      <c r="S425" s="6"/>
      <c r="T425" s="6"/>
      <c r="U425" s="6"/>
      <c r="V425" s="6"/>
      <c r="W425" s="6"/>
      <c r="X425" s="6"/>
      <c r="Y425" s="6"/>
      <c r="Z425" s="6"/>
    </row>
    <row r="426" spans="1:26" ht="18" customHeight="1" x14ac:dyDescent="0.3">
      <c r="A426" s="142"/>
      <c r="B426" s="143"/>
      <c r="C426" s="151" t="str">
        <f>IF(B426="","",IFERROR(INDEX('12 P6 activities'!$B$7:$B$206,MATCH(B426,'12 P6 activities'!$A$7:$A$206,0)),"ID not in P6 list"))</f>
        <v/>
      </c>
      <c r="D426" s="151" t="str">
        <f>IF(B426="","",IFERROR(INDEX('12 P6 activities'!$C$7:$C$206,MATCH(B426,'12 P6 activities'!$A$7:$A$206,0)),"⚠ not in P6 list"))</f>
        <v/>
      </c>
      <c r="E426" s="143"/>
      <c r="F426" s="147"/>
      <c r="G426" s="145" t="str">
        <f>IF(B426="","",IFERROR(INDEX('12 P6 activities'!$E$7:$E$206,MATCH(B426,'12 P6 activities'!$A$7:$A$206,0)),""))</f>
        <v/>
      </c>
      <c r="H426" s="143"/>
      <c r="I426" s="143"/>
      <c r="J426" s="6"/>
      <c r="K426" s="6"/>
      <c r="L426" s="6"/>
      <c r="M426" s="6"/>
      <c r="N426" s="6"/>
      <c r="O426" s="6"/>
      <c r="P426" s="6"/>
      <c r="Q426" s="6"/>
      <c r="R426" s="6"/>
      <c r="S426" s="6"/>
      <c r="T426" s="6"/>
      <c r="U426" s="6"/>
      <c r="V426" s="6"/>
      <c r="W426" s="6"/>
      <c r="X426" s="6"/>
      <c r="Y426" s="6"/>
      <c r="Z426" s="6"/>
    </row>
    <row r="427" spans="1:26" ht="18" customHeight="1" x14ac:dyDescent="0.3">
      <c r="A427" s="142"/>
      <c r="B427" s="143"/>
      <c r="C427" s="151" t="str">
        <f>IF(B427="","",IFERROR(INDEX('12 P6 activities'!$B$7:$B$206,MATCH(B427,'12 P6 activities'!$A$7:$A$206,0)),"ID not in P6 list"))</f>
        <v/>
      </c>
      <c r="D427" s="151" t="str">
        <f>IF(B427="","",IFERROR(INDEX('12 P6 activities'!$C$7:$C$206,MATCH(B427,'12 P6 activities'!$A$7:$A$206,0)),"⚠ not in P6 list"))</f>
        <v/>
      </c>
      <c r="E427" s="143"/>
      <c r="F427" s="147"/>
      <c r="G427" s="145" t="str">
        <f>IF(B427="","",IFERROR(INDEX('12 P6 activities'!$E$7:$E$206,MATCH(B427,'12 P6 activities'!$A$7:$A$206,0)),""))</f>
        <v/>
      </c>
      <c r="H427" s="143"/>
      <c r="I427" s="143"/>
      <c r="J427" s="6"/>
      <c r="K427" s="6"/>
      <c r="L427" s="6"/>
      <c r="M427" s="6"/>
      <c r="N427" s="6"/>
      <c r="O427" s="6"/>
      <c r="P427" s="6"/>
      <c r="Q427" s="6"/>
      <c r="R427" s="6"/>
      <c r="S427" s="6"/>
      <c r="T427" s="6"/>
      <c r="U427" s="6"/>
      <c r="V427" s="6"/>
      <c r="W427" s="6"/>
      <c r="X427" s="6"/>
      <c r="Y427" s="6"/>
      <c r="Z427" s="6"/>
    </row>
    <row r="428" spans="1:26" ht="18" customHeight="1" x14ac:dyDescent="0.3">
      <c r="A428" s="142"/>
      <c r="B428" s="143"/>
      <c r="C428" s="151" t="str">
        <f>IF(B428="","",IFERROR(INDEX('12 P6 activities'!$B$7:$B$206,MATCH(B428,'12 P6 activities'!$A$7:$A$206,0)),"ID not in P6 list"))</f>
        <v/>
      </c>
      <c r="D428" s="151" t="str">
        <f>IF(B428="","",IFERROR(INDEX('12 P6 activities'!$C$7:$C$206,MATCH(B428,'12 P6 activities'!$A$7:$A$206,0)),"⚠ not in P6 list"))</f>
        <v/>
      </c>
      <c r="E428" s="143"/>
      <c r="F428" s="147"/>
      <c r="G428" s="145" t="str">
        <f>IF(B428="","",IFERROR(INDEX('12 P6 activities'!$E$7:$E$206,MATCH(B428,'12 P6 activities'!$A$7:$A$206,0)),""))</f>
        <v/>
      </c>
      <c r="H428" s="143"/>
      <c r="I428" s="143"/>
      <c r="J428" s="6"/>
      <c r="K428" s="6"/>
      <c r="L428" s="6"/>
      <c r="M428" s="6"/>
      <c r="N428" s="6"/>
      <c r="O428" s="6"/>
      <c r="P428" s="6"/>
      <c r="Q428" s="6"/>
      <c r="R428" s="6"/>
      <c r="S428" s="6"/>
      <c r="T428" s="6"/>
      <c r="U428" s="6"/>
      <c r="V428" s="6"/>
      <c r="W428" s="6"/>
      <c r="X428" s="6"/>
      <c r="Y428" s="6"/>
      <c r="Z428" s="6"/>
    </row>
    <row r="429" spans="1:26" ht="18" customHeight="1" x14ac:dyDescent="0.3">
      <c r="A429" s="142"/>
      <c r="B429" s="143"/>
      <c r="C429" s="151" t="str">
        <f>IF(B429="","",IFERROR(INDEX('12 P6 activities'!$B$7:$B$206,MATCH(B429,'12 P6 activities'!$A$7:$A$206,0)),"ID not in P6 list"))</f>
        <v/>
      </c>
      <c r="D429" s="151" t="str">
        <f>IF(B429="","",IFERROR(INDEX('12 P6 activities'!$C$7:$C$206,MATCH(B429,'12 P6 activities'!$A$7:$A$206,0)),"⚠ not in P6 list"))</f>
        <v/>
      </c>
      <c r="E429" s="143"/>
      <c r="F429" s="147"/>
      <c r="G429" s="145" t="str">
        <f>IF(B429="","",IFERROR(INDEX('12 P6 activities'!$E$7:$E$206,MATCH(B429,'12 P6 activities'!$A$7:$A$206,0)),""))</f>
        <v/>
      </c>
      <c r="H429" s="143"/>
      <c r="I429" s="143"/>
      <c r="J429" s="6"/>
      <c r="K429" s="6"/>
      <c r="L429" s="6"/>
      <c r="M429" s="6"/>
      <c r="N429" s="6"/>
      <c r="O429" s="6"/>
      <c r="P429" s="6"/>
      <c r="Q429" s="6"/>
      <c r="R429" s="6"/>
      <c r="S429" s="6"/>
      <c r="T429" s="6"/>
      <c r="U429" s="6"/>
      <c r="V429" s="6"/>
      <c r="W429" s="6"/>
      <c r="X429" s="6"/>
      <c r="Y429" s="6"/>
      <c r="Z429" s="6"/>
    </row>
    <row r="430" spans="1:26" ht="18" customHeight="1" x14ac:dyDescent="0.3">
      <c r="A430" s="142"/>
      <c r="B430" s="143"/>
      <c r="C430" s="151" t="str">
        <f>IF(B430="","",IFERROR(INDEX('12 P6 activities'!$B$7:$B$206,MATCH(B430,'12 P6 activities'!$A$7:$A$206,0)),"ID not in P6 list"))</f>
        <v/>
      </c>
      <c r="D430" s="151" t="str">
        <f>IF(B430="","",IFERROR(INDEX('12 P6 activities'!$C$7:$C$206,MATCH(B430,'12 P6 activities'!$A$7:$A$206,0)),"⚠ not in P6 list"))</f>
        <v/>
      </c>
      <c r="E430" s="143"/>
      <c r="F430" s="147"/>
      <c r="G430" s="145" t="str">
        <f>IF(B430="","",IFERROR(INDEX('12 P6 activities'!$E$7:$E$206,MATCH(B430,'12 P6 activities'!$A$7:$A$206,0)),""))</f>
        <v/>
      </c>
      <c r="H430" s="143"/>
      <c r="I430" s="143"/>
      <c r="J430" s="6"/>
      <c r="K430" s="6"/>
      <c r="L430" s="6"/>
      <c r="M430" s="6"/>
      <c r="N430" s="6"/>
      <c r="O430" s="6"/>
      <c r="P430" s="6"/>
      <c r="Q430" s="6"/>
      <c r="R430" s="6"/>
      <c r="S430" s="6"/>
      <c r="T430" s="6"/>
      <c r="U430" s="6"/>
      <c r="V430" s="6"/>
      <c r="W430" s="6"/>
      <c r="X430" s="6"/>
      <c r="Y430" s="6"/>
      <c r="Z430" s="6"/>
    </row>
    <row r="431" spans="1:26" ht="18" customHeight="1" x14ac:dyDescent="0.3">
      <c r="A431" s="142"/>
      <c r="B431" s="143"/>
      <c r="C431" s="151" t="str">
        <f>IF(B431="","",IFERROR(INDEX('12 P6 activities'!$B$7:$B$206,MATCH(B431,'12 P6 activities'!$A$7:$A$206,0)),"ID not in P6 list"))</f>
        <v/>
      </c>
      <c r="D431" s="151" t="str">
        <f>IF(B431="","",IFERROR(INDEX('12 P6 activities'!$C$7:$C$206,MATCH(B431,'12 P6 activities'!$A$7:$A$206,0)),"⚠ not in P6 list"))</f>
        <v/>
      </c>
      <c r="E431" s="143"/>
      <c r="F431" s="147"/>
      <c r="G431" s="145" t="str">
        <f>IF(B431="","",IFERROR(INDEX('12 P6 activities'!$E$7:$E$206,MATCH(B431,'12 P6 activities'!$A$7:$A$206,0)),""))</f>
        <v/>
      </c>
      <c r="H431" s="143"/>
      <c r="I431" s="143"/>
      <c r="J431" s="6"/>
      <c r="K431" s="6"/>
      <c r="L431" s="6"/>
      <c r="M431" s="6"/>
      <c r="N431" s="6"/>
      <c r="O431" s="6"/>
      <c r="P431" s="6"/>
      <c r="Q431" s="6"/>
      <c r="R431" s="6"/>
      <c r="S431" s="6"/>
      <c r="T431" s="6"/>
      <c r="U431" s="6"/>
      <c r="V431" s="6"/>
      <c r="W431" s="6"/>
      <c r="X431" s="6"/>
      <c r="Y431" s="6"/>
      <c r="Z431" s="6"/>
    </row>
    <row r="432" spans="1:26" ht="18" customHeight="1" x14ac:dyDescent="0.3">
      <c r="A432" s="142"/>
      <c r="B432" s="143"/>
      <c r="C432" s="151" t="str">
        <f>IF(B432="","",IFERROR(INDEX('12 P6 activities'!$B$7:$B$206,MATCH(B432,'12 P6 activities'!$A$7:$A$206,0)),"ID not in P6 list"))</f>
        <v/>
      </c>
      <c r="D432" s="151" t="str">
        <f>IF(B432="","",IFERROR(INDEX('12 P6 activities'!$C$7:$C$206,MATCH(B432,'12 P6 activities'!$A$7:$A$206,0)),"⚠ not in P6 list"))</f>
        <v/>
      </c>
      <c r="E432" s="143"/>
      <c r="F432" s="147"/>
      <c r="G432" s="145" t="str">
        <f>IF(B432="","",IFERROR(INDEX('12 P6 activities'!$E$7:$E$206,MATCH(B432,'12 P6 activities'!$A$7:$A$206,0)),""))</f>
        <v/>
      </c>
      <c r="H432" s="143"/>
      <c r="I432" s="143"/>
      <c r="J432" s="6"/>
      <c r="K432" s="6"/>
      <c r="L432" s="6"/>
      <c r="M432" s="6"/>
      <c r="N432" s="6"/>
      <c r="O432" s="6"/>
      <c r="P432" s="6"/>
      <c r="Q432" s="6"/>
      <c r="R432" s="6"/>
      <c r="S432" s="6"/>
      <c r="T432" s="6"/>
      <c r="U432" s="6"/>
      <c r="V432" s="6"/>
      <c r="W432" s="6"/>
      <c r="X432" s="6"/>
      <c r="Y432" s="6"/>
      <c r="Z432" s="6"/>
    </row>
    <row r="433" spans="1:26" ht="18" customHeight="1" x14ac:dyDescent="0.3">
      <c r="A433" s="142"/>
      <c r="B433" s="143"/>
      <c r="C433" s="151" t="str">
        <f>IF(B433="","",IFERROR(INDEX('12 P6 activities'!$B$7:$B$206,MATCH(B433,'12 P6 activities'!$A$7:$A$206,0)),"ID not in P6 list"))</f>
        <v/>
      </c>
      <c r="D433" s="151" t="str">
        <f>IF(B433="","",IFERROR(INDEX('12 P6 activities'!$C$7:$C$206,MATCH(B433,'12 P6 activities'!$A$7:$A$206,0)),"⚠ not in P6 list"))</f>
        <v/>
      </c>
      <c r="E433" s="143"/>
      <c r="F433" s="147"/>
      <c r="G433" s="145" t="str">
        <f>IF(B433="","",IFERROR(INDEX('12 P6 activities'!$E$7:$E$206,MATCH(B433,'12 P6 activities'!$A$7:$A$206,0)),""))</f>
        <v/>
      </c>
      <c r="H433" s="143"/>
      <c r="I433" s="143"/>
      <c r="J433" s="6"/>
      <c r="K433" s="6"/>
      <c r="L433" s="6"/>
      <c r="M433" s="6"/>
      <c r="N433" s="6"/>
      <c r="O433" s="6"/>
      <c r="P433" s="6"/>
      <c r="Q433" s="6"/>
      <c r="R433" s="6"/>
      <c r="S433" s="6"/>
      <c r="T433" s="6"/>
      <c r="U433" s="6"/>
      <c r="V433" s="6"/>
      <c r="W433" s="6"/>
      <c r="X433" s="6"/>
      <c r="Y433" s="6"/>
      <c r="Z433" s="6"/>
    </row>
    <row r="434" spans="1:26" ht="18" customHeight="1" x14ac:dyDescent="0.3">
      <c r="A434" s="142"/>
      <c r="B434" s="143"/>
      <c r="C434" s="151" t="str">
        <f>IF(B434="","",IFERROR(INDEX('12 P6 activities'!$B$7:$B$206,MATCH(B434,'12 P6 activities'!$A$7:$A$206,0)),"ID not in P6 list"))</f>
        <v/>
      </c>
      <c r="D434" s="151" t="str">
        <f>IF(B434="","",IFERROR(INDEX('12 P6 activities'!$C$7:$C$206,MATCH(B434,'12 P6 activities'!$A$7:$A$206,0)),"⚠ not in P6 list"))</f>
        <v/>
      </c>
      <c r="E434" s="143"/>
      <c r="F434" s="147"/>
      <c r="G434" s="145" t="str">
        <f>IF(B434="","",IFERROR(INDEX('12 P6 activities'!$E$7:$E$206,MATCH(B434,'12 P6 activities'!$A$7:$A$206,0)),""))</f>
        <v/>
      </c>
      <c r="H434" s="143"/>
      <c r="I434" s="143"/>
      <c r="J434" s="6"/>
      <c r="K434" s="6"/>
      <c r="L434" s="6"/>
      <c r="M434" s="6"/>
      <c r="N434" s="6"/>
      <c r="O434" s="6"/>
      <c r="P434" s="6"/>
      <c r="Q434" s="6"/>
      <c r="R434" s="6"/>
      <c r="S434" s="6"/>
      <c r="T434" s="6"/>
      <c r="U434" s="6"/>
      <c r="V434" s="6"/>
      <c r="W434" s="6"/>
      <c r="X434" s="6"/>
      <c r="Y434" s="6"/>
      <c r="Z434" s="6"/>
    </row>
    <row r="435" spans="1:26" ht="18" customHeight="1" x14ac:dyDescent="0.3">
      <c r="A435" s="142"/>
      <c r="B435" s="143"/>
      <c r="C435" s="151" t="str">
        <f>IF(B435="","",IFERROR(INDEX('12 P6 activities'!$B$7:$B$206,MATCH(B435,'12 P6 activities'!$A$7:$A$206,0)),"ID not in P6 list"))</f>
        <v/>
      </c>
      <c r="D435" s="151" t="str">
        <f>IF(B435="","",IFERROR(INDEX('12 P6 activities'!$C$7:$C$206,MATCH(B435,'12 P6 activities'!$A$7:$A$206,0)),"⚠ not in P6 list"))</f>
        <v/>
      </c>
      <c r="E435" s="143"/>
      <c r="F435" s="147"/>
      <c r="G435" s="145" t="str">
        <f>IF(B435="","",IFERROR(INDEX('12 P6 activities'!$E$7:$E$206,MATCH(B435,'12 P6 activities'!$A$7:$A$206,0)),""))</f>
        <v/>
      </c>
      <c r="H435" s="143"/>
      <c r="I435" s="143"/>
      <c r="J435" s="6"/>
      <c r="K435" s="6"/>
      <c r="L435" s="6"/>
      <c r="M435" s="6"/>
      <c r="N435" s="6"/>
      <c r="O435" s="6"/>
      <c r="P435" s="6"/>
      <c r="Q435" s="6"/>
      <c r="R435" s="6"/>
      <c r="S435" s="6"/>
      <c r="T435" s="6"/>
      <c r="U435" s="6"/>
      <c r="V435" s="6"/>
      <c r="W435" s="6"/>
      <c r="X435" s="6"/>
      <c r="Y435" s="6"/>
      <c r="Z435" s="6"/>
    </row>
    <row r="436" spans="1:26" ht="18" customHeight="1" x14ac:dyDescent="0.3">
      <c r="A436" s="142"/>
      <c r="B436" s="143"/>
      <c r="C436" s="151" t="str">
        <f>IF(B436="","",IFERROR(INDEX('12 P6 activities'!$B$7:$B$206,MATCH(B436,'12 P6 activities'!$A$7:$A$206,0)),"ID not in P6 list"))</f>
        <v/>
      </c>
      <c r="D436" s="151" t="str">
        <f>IF(B436="","",IFERROR(INDEX('12 P6 activities'!$C$7:$C$206,MATCH(B436,'12 P6 activities'!$A$7:$A$206,0)),"⚠ not in P6 list"))</f>
        <v/>
      </c>
      <c r="E436" s="143"/>
      <c r="F436" s="147"/>
      <c r="G436" s="145" t="str">
        <f>IF(B436="","",IFERROR(INDEX('12 P6 activities'!$E$7:$E$206,MATCH(B436,'12 P6 activities'!$A$7:$A$206,0)),""))</f>
        <v/>
      </c>
      <c r="H436" s="143"/>
      <c r="I436" s="143"/>
      <c r="J436" s="6"/>
      <c r="K436" s="6"/>
      <c r="L436" s="6"/>
      <c r="M436" s="6"/>
      <c r="N436" s="6"/>
      <c r="O436" s="6"/>
      <c r="P436" s="6"/>
      <c r="Q436" s="6"/>
      <c r="R436" s="6"/>
      <c r="S436" s="6"/>
      <c r="T436" s="6"/>
      <c r="U436" s="6"/>
      <c r="V436" s="6"/>
      <c r="W436" s="6"/>
      <c r="X436" s="6"/>
      <c r="Y436" s="6"/>
      <c r="Z436" s="6"/>
    </row>
    <row r="437" spans="1:26" ht="18" customHeight="1" x14ac:dyDescent="0.3">
      <c r="A437" s="142"/>
      <c r="B437" s="143"/>
      <c r="C437" s="151" t="str">
        <f>IF(B437="","",IFERROR(INDEX('12 P6 activities'!$B$7:$B$206,MATCH(B437,'12 P6 activities'!$A$7:$A$206,0)),"ID not in P6 list"))</f>
        <v/>
      </c>
      <c r="D437" s="151" t="str">
        <f>IF(B437="","",IFERROR(INDEX('12 P6 activities'!$C$7:$C$206,MATCH(B437,'12 P6 activities'!$A$7:$A$206,0)),"⚠ not in P6 list"))</f>
        <v/>
      </c>
      <c r="E437" s="143"/>
      <c r="F437" s="147"/>
      <c r="G437" s="145" t="str">
        <f>IF(B437="","",IFERROR(INDEX('12 P6 activities'!$E$7:$E$206,MATCH(B437,'12 P6 activities'!$A$7:$A$206,0)),""))</f>
        <v/>
      </c>
      <c r="H437" s="143"/>
      <c r="I437" s="143"/>
      <c r="J437" s="6"/>
      <c r="K437" s="6"/>
      <c r="L437" s="6"/>
      <c r="M437" s="6"/>
      <c r="N437" s="6"/>
      <c r="O437" s="6"/>
      <c r="P437" s="6"/>
      <c r="Q437" s="6"/>
      <c r="R437" s="6"/>
      <c r="S437" s="6"/>
      <c r="T437" s="6"/>
      <c r="U437" s="6"/>
      <c r="V437" s="6"/>
      <c r="W437" s="6"/>
      <c r="X437" s="6"/>
      <c r="Y437" s="6"/>
      <c r="Z437" s="6"/>
    </row>
    <row r="438" spans="1:26" ht="18" customHeight="1" x14ac:dyDescent="0.3">
      <c r="A438" s="142"/>
      <c r="B438" s="143"/>
      <c r="C438" s="151" t="str">
        <f>IF(B438="","",IFERROR(INDEX('12 P6 activities'!$B$7:$B$206,MATCH(B438,'12 P6 activities'!$A$7:$A$206,0)),"ID not in P6 list"))</f>
        <v/>
      </c>
      <c r="D438" s="151" t="str">
        <f>IF(B438="","",IFERROR(INDEX('12 P6 activities'!$C$7:$C$206,MATCH(B438,'12 P6 activities'!$A$7:$A$206,0)),"⚠ not in P6 list"))</f>
        <v/>
      </c>
      <c r="E438" s="143"/>
      <c r="F438" s="147"/>
      <c r="G438" s="145" t="str">
        <f>IF(B438="","",IFERROR(INDEX('12 P6 activities'!$E$7:$E$206,MATCH(B438,'12 P6 activities'!$A$7:$A$206,0)),""))</f>
        <v/>
      </c>
      <c r="H438" s="143"/>
      <c r="I438" s="143"/>
      <c r="J438" s="6"/>
      <c r="K438" s="6"/>
      <c r="L438" s="6"/>
      <c r="M438" s="6"/>
      <c r="N438" s="6"/>
      <c r="O438" s="6"/>
      <c r="P438" s="6"/>
      <c r="Q438" s="6"/>
      <c r="R438" s="6"/>
      <c r="S438" s="6"/>
      <c r="T438" s="6"/>
      <c r="U438" s="6"/>
      <c r="V438" s="6"/>
      <c r="W438" s="6"/>
      <c r="X438" s="6"/>
      <c r="Y438" s="6"/>
      <c r="Z438" s="6"/>
    </row>
    <row r="439" spans="1:26" ht="18" customHeight="1" x14ac:dyDescent="0.3">
      <c r="A439" s="142"/>
      <c r="B439" s="143"/>
      <c r="C439" s="151" t="str">
        <f>IF(B439="","",IFERROR(INDEX('12 P6 activities'!$B$7:$B$206,MATCH(B439,'12 P6 activities'!$A$7:$A$206,0)),"ID not in P6 list"))</f>
        <v/>
      </c>
      <c r="D439" s="151" t="str">
        <f>IF(B439="","",IFERROR(INDEX('12 P6 activities'!$C$7:$C$206,MATCH(B439,'12 P6 activities'!$A$7:$A$206,0)),"⚠ not in P6 list"))</f>
        <v/>
      </c>
      <c r="E439" s="143"/>
      <c r="F439" s="147"/>
      <c r="G439" s="145" t="str">
        <f>IF(B439="","",IFERROR(INDEX('12 P6 activities'!$E$7:$E$206,MATCH(B439,'12 P6 activities'!$A$7:$A$206,0)),""))</f>
        <v/>
      </c>
      <c r="H439" s="143"/>
      <c r="I439" s="143"/>
      <c r="J439" s="6"/>
      <c r="K439" s="6"/>
      <c r="L439" s="6"/>
      <c r="M439" s="6"/>
      <c r="N439" s="6"/>
      <c r="O439" s="6"/>
      <c r="P439" s="6"/>
      <c r="Q439" s="6"/>
      <c r="R439" s="6"/>
      <c r="S439" s="6"/>
      <c r="T439" s="6"/>
      <c r="U439" s="6"/>
      <c r="V439" s="6"/>
      <c r="W439" s="6"/>
      <c r="X439" s="6"/>
      <c r="Y439" s="6"/>
      <c r="Z439" s="6"/>
    </row>
    <row r="440" spans="1:26" ht="18" customHeight="1" x14ac:dyDescent="0.3">
      <c r="A440" s="142"/>
      <c r="B440" s="143"/>
      <c r="C440" s="151" t="str">
        <f>IF(B440="","",IFERROR(INDEX('12 P6 activities'!$B$7:$B$206,MATCH(B440,'12 P6 activities'!$A$7:$A$206,0)),"ID not in P6 list"))</f>
        <v/>
      </c>
      <c r="D440" s="151" t="str">
        <f>IF(B440="","",IFERROR(INDEX('12 P6 activities'!$C$7:$C$206,MATCH(B440,'12 P6 activities'!$A$7:$A$206,0)),"⚠ not in P6 list"))</f>
        <v/>
      </c>
      <c r="E440" s="143"/>
      <c r="F440" s="147"/>
      <c r="G440" s="145" t="str">
        <f>IF(B440="","",IFERROR(INDEX('12 P6 activities'!$E$7:$E$206,MATCH(B440,'12 P6 activities'!$A$7:$A$206,0)),""))</f>
        <v/>
      </c>
      <c r="H440" s="143"/>
      <c r="I440" s="143"/>
      <c r="J440" s="6"/>
      <c r="K440" s="6"/>
      <c r="L440" s="6"/>
      <c r="M440" s="6"/>
      <c r="N440" s="6"/>
      <c r="O440" s="6"/>
      <c r="P440" s="6"/>
      <c r="Q440" s="6"/>
      <c r="R440" s="6"/>
      <c r="S440" s="6"/>
      <c r="T440" s="6"/>
      <c r="U440" s="6"/>
      <c r="V440" s="6"/>
      <c r="W440" s="6"/>
      <c r="X440" s="6"/>
      <c r="Y440" s="6"/>
      <c r="Z440" s="6"/>
    </row>
    <row r="441" spans="1:26" ht="18" customHeight="1" x14ac:dyDescent="0.3">
      <c r="A441" s="142"/>
      <c r="B441" s="143"/>
      <c r="C441" s="151" t="str">
        <f>IF(B441="","",IFERROR(INDEX('12 P6 activities'!$B$7:$B$206,MATCH(B441,'12 P6 activities'!$A$7:$A$206,0)),"ID not in P6 list"))</f>
        <v/>
      </c>
      <c r="D441" s="151" t="str">
        <f>IF(B441="","",IFERROR(INDEX('12 P6 activities'!$C$7:$C$206,MATCH(B441,'12 P6 activities'!$A$7:$A$206,0)),"⚠ not in P6 list"))</f>
        <v/>
      </c>
      <c r="E441" s="143"/>
      <c r="F441" s="147"/>
      <c r="G441" s="145" t="str">
        <f>IF(B441="","",IFERROR(INDEX('12 P6 activities'!$E$7:$E$206,MATCH(B441,'12 P6 activities'!$A$7:$A$206,0)),""))</f>
        <v/>
      </c>
      <c r="H441" s="143"/>
      <c r="I441" s="143"/>
      <c r="J441" s="6"/>
      <c r="K441" s="6"/>
      <c r="L441" s="6"/>
      <c r="M441" s="6"/>
      <c r="N441" s="6"/>
      <c r="O441" s="6"/>
      <c r="P441" s="6"/>
      <c r="Q441" s="6"/>
      <c r="R441" s="6"/>
      <c r="S441" s="6"/>
      <c r="T441" s="6"/>
      <c r="U441" s="6"/>
      <c r="V441" s="6"/>
      <c r="W441" s="6"/>
      <c r="X441" s="6"/>
      <c r="Y441" s="6"/>
      <c r="Z441" s="6"/>
    </row>
    <row r="442" spans="1:26" ht="18" customHeight="1" x14ac:dyDescent="0.3">
      <c r="A442" s="142"/>
      <c r="B442" s="143"/>
      <c r="C442" s="151" t="str">
        <f>IF(B442="","",IFERROR(INDEX('12 P6 activities'!$B$7:$B$206,MATCH(B442,'12 P6 activities'!$A$7:$A$206,0)),"ID not in P6 list"))</f>
        <v/>
      </c>
      <c r="D442" s="151" t="str">
        <f>IF(B442="","",IFERROR(INDEX('12 P6 activities'!$C$7:$C$206,MATCH(B442,'12 P6 activities'!$A$7:$A$206,0)),"⚠ not in P6 list"))</f>
        <v/>
      </c>
      <c r="E442" s="143"/>
      <c r="F442" s="147"/>
      <c r="G442" s="145" t="str">
        <f>IF(B442="","",IFERROR(INDEX('12 P6 activities'!$E$7:$E$206,MATCH(B442,'12 P6 activities'!$A$7:$A$206,0)),""))</f>
        <v/>
      </c>
      <c r="H442" s="143"/>
      <c r="I442" s="143"/>
      <c r="J442" s="6"/>
      <c r="K442" s="6"/>
      <c r="L442" s="6"/>
      <c r="M442" s="6"/>
      <c r="N442" s="6"/>
      <c r="O442" s="6"/>
      <c r="P442" s="6"/>
      <c r="Q442" s="6"/>
      <c r="R442" s="6"/>
      <c r="S442" s="6"/>
      <c r="T442" s="6"/>
      <c r="U442" s="6"/>
      <c r="V442" s="6"/>
      <c r="W442" s="6"/>
      <c r="X442" s="6"/>
      <c r="Y442" s="6"/>
      <c r="Z442" s="6"/>
    </row>
    <row r="443" spans="1:26" ht="18" customHeight="1" x14ac:dyDescent="0.3">
      <c r="A443" s="142"/>
      <c r="B443" s="143"/>
      <c r="C443" s="151" t="str">
        <f>IF(B443="","",IFERROR(INDEX('12 P6 activities'!$B$7:$B$206,MATCH(B443,'12 P6 activities'!$A$7:$A$206,0)),"ID not in P6 list"))</f>
        <v/>
      </c>
      <c r="D443" s="151" t="str">
        <f>IF(B443="","",IFERROR(INDEX('12 P6 activities'!$C$7:$C$206,MATCH(B443,'12 P6 activities'!$A$7:$A$206,0)),"⚠ not in P6 list"))</f>
        <v/>
      </c>
      <c r="E443" s="143"/>
      <c r="F443" s="147"/>
      <c r="G443" s="145" t="str">
        <f>IF(B443="","",IFERROR(INDEX('12 P6 activities'!$E$7:$E$206,MATCH(B443,'12 P6 activities'!$A$7:$A$206,0)),""))</f>
        <v/>
      </c>
      <c r="H443" s="143"/>
      <c r="I443" s="143"/>
      <c r="J443" s="6"/>
      <c r="K443" s="6"/>
      <c r="L443" s="6"/>
      <c r="M443" s="6"/>
      <c r="N443" s="6"/>
      <c r="O443" s="6"/>
      <c r="P443" s="6"/>
      <c r="Q443" s="6"/>
      <c r="R443" s="6"/>
      <c r="S443" s="6"/>
      <c r="T443" s="6"/>
      <c r="U443" s="6"/>
      <c r="V443" s="6"/>
      <c r="W443" s="6"/>
      <c r="X443" s="6"/>
      <c r="Y443" s="6"/>
      <c r="Z443" s="6"/>
    </row>
    <row r="444" spans="1:26" ht="18" customHeight="1" x14ac:dyDescent="0.3">
      <c r="A444" s="142"/>
      <c r="B444" s="143"/>
      <c r="C444" s="151" t="str">
        <f>IF(B444="","",IFERROR(INDEX('12 P6 activities'!$B$7:$B$206,MATCH(B444,'12 P6 activities'!$A$7:$A$206,0)),"ID not in P6 list"))</f>
        <v/>
      </c>
      <c r="D444" s="151" t="str">
        <f>IF(B444="","",IFERROR(INDEX('12 P6 activities'!$C$7:$C$206,MATCH(B444,'12 P6 activities'!$A$7:$A$206,0)),"⚠ not in P6 list"))</f>
        <v/>
      </c>
      <c r="E444" s="143"/>
      <c r="F444" s="147"/>
      <c r="G444" s="145" t="str">
        <f>IF(B444="","",IFERROR(INDEX('12 P6 activities'!$E$7:$E$206,MATCH(B444,'12 P6 activities'!$A$7:$A$206,0)),""))</f>
        <v/>
      </c>
      <c r="H444" s="143"/>
      <c r="I444" s="143"/>
      <c r="J444" s="6"/>
      <c r="K444" s="6"/>
      <c r="L444" s="6"/>
      <c r="M444" s="6"/>
      <c r="N444" s="6"/>
      <c r="O444" s="6"/>
      <c r="P444" s="6"/>
      <c r="Q444" s="6"/>
      <c r="R444" s="6"/>
      <c r="S444" s="6"/>
      <c r="T444" s="6"/>
      <c r="U444" s="6"/>
      <c r="V444" s="6"/>
      <c r="W444" s="6"/>
      <c r="X444" s="6"/>
      <c r="Y444" s="6"/>
      <c r="Z444" s="6"/>
    </row>
    <row r="445" spans="1:26" ht="18" customHeight="1" x14ac:dyDescent="0.3">
      <c r="A445" s="142"/>
      <c r="B445" s="143"/>
      <c r="C445" s="151" t="str">
        <f>IF(B445="","",IFERROR(INDEX('12 P6 activities'!$B$7:$B$206,MATCH(B445,'12 P6 activities'!$A$7:$A$206,0)),"ID not in P6 list"))</f>
        <v/>
      </c>
      <c r="D445" s="151" t="str">
        <f>IF(B445="","",IFERROR(INDEX('12 P6 activities'!$C$7:$C$206,MATCH(B445,'12 P6 activities'!$A$7:$A$206,0)),"⚠ not in P6 list"))</f>
        <v/>
      </c>
      <c r="E445" s="143"/>
      <c r="F445" s="147"/>
      <c r="G445" s="145" t="str">
        <f>IF(B445="","",IFERROR(INDEX('12 P6 activities'!$E$7:$E$206,MATCH(B445,'12 P6 activities'!$A$7:$A$206,0)),""))</f>
        <v/>
      </c>
      <c r="H445" s="143"/>
      <c r="I445" s="143"/>
      <c r="J445" s="6"/>
      <c r="K445" s="6"/>
      <c r="L445" s="6"/>
      <c r="M445" s="6"/>
      <c r="N445" s="6"/>
      <c r="O445" s="6"/>
      <c r="P445" s="6"/>
      <c r="Q445" s="6"/>
      <c r="R445" s="6"/>
      <c r="S445" s="6"/>
      <c r="T445" s="6"/>
      <c r="U445" s="6"/>
      <c r="V445" s="6"/>
      <c r="W445" s="6"/>
      <c r="X445" s="6"/>
      <c r="Y445" s="6"/>
      <c r="Z445" s="6"/>
    </row>
    <row r="446" spans="1:26" ht="18" customHeight="1" x14ac:dyDescent="0.3">
      <c r="A446" s="142"/>
      <c r="B446" s="143"/>
      <c r="C446" s="151" t="str">
        <f>IF(B446="","",IFERROR(INDEX('12 P6 activities'!$B$7:$B$206,MATCH(B446,'12 P6 activities'!$A$7:$A$206,0)),"ID not in P6 list"))</f>
        <v/>
      </c>
      <c r="D446" s="151" t="str">
        <f>IF(B446="","",IFERROR(INDEX('12 P6 activities'!$C$7:$C$206,MATCH(B446,'12 P6 activities'!$A$7:$A$206,0)),"⚠ not in P6 list"))</f>
        <v/>
      </c>
      <c r="E446" s="143"/>
      <c r="F446" s="147"/>
      <c r="G446" s="145" t="str">
        <f>IF(B446="","",IFERROR(INDEX('12 P6 activities'!$E$7:$E$206,MATCH(B446,'12 P6 activities'!$A$7:$A$206,0)),""))</f>
        <v/>
      </c>
      <c r="H446" s="143"/>
      <c r="I446" s="143"/>
      <c r="J446" s="6"/>
      <c r="K446" s="6"/>
      <c r="L446" s="6"/>
      <c r="M446" s="6"/>
      <c r="N446" s="6"/>
      <c r="O446" s="6"/>
      <c r="P446" s="6"/>
      <c r="Q446" s="6"/>
      <c r="R446" s="6"/>
      <c r="S446" s="6"/>
      <c r="T446" s="6"/>
      <c r="U446" s="6"/>
      <c r="V446" s="6"/>
      <c r="W446" s="6"/>
      <c r="X446" s="6"/>
      <c r="Y446" s="6"/>
      <c r="Z446" s="6"/>
    </row>
    <row r="447" spans="1:26" ht="18" customHeight="1" x14ac:dyDescent="0.3">
      <c r="A447" s="142"/>
      <c r="B447" s="143"/>
      <c r="C447" s="151" t="str">
        <f>IF(B447="","",IFERROR(INDEX('12 P6 activities'!$B$7:$B$206,MATCH(B447,'12 P6 activities'!$A$7:$A$206,0)),"ID not in P6 list"))</f>
        <v/>
      </c>
      <c r="D447" s="151" t="str">
        <f>IF(B447="","",IFERROR(INDEX('12 P6 activities'!$C$7:$C$206,MATCH(B447,'12 P6 activities'!$A$7:$A$206,0)),"⚠ not in P6 list"))</f>
        <v/>
      </c>
      <c r="E447" s="143"/>
      <c r="F447" s="147"/>
      <c r="G447" s="145" t="str">
        <f>IF(B447="","",IFERROR(INDEX('12 P6 activities'!$E$7:$E$206,MATCH(B447,'12 P6 activities'!$A$7:$A$206,0)),""))</f>
        <v/>
      </c>
      <c r="H447" s="143"/>
      <c r="I447" s="143"/>
      <c r="J447" s="6"/>
      <c r="K447" s="6"/>
      <c r="L447" s="6"/>
      <c r="M447" s="6"/>
      <c r="N447" s="6"/>
      <c r="O447" s="6"/>
      <c r="P447" s="6"/>
      <c r="Q447" s="6"/>
      <c r="R447" s="6"/>
      <c r="S447" s="6"/>
      <c r="T447" s="6"/>
      <c r="U447" s="6"/>
      <c r="V447" s="6"/>
      <c r="W447" s="6"/>
      <c r="X447" s="6"/>
      <c r="Y447" s="6"/>
      <c r="Z447" s="6"/>
    </row>
    <row r="448" spans="1:26" ht="18" customHeight="1" x14ac:dyDescent="0.3">
      <c r="A448" s="142"/>
      <c r="B448" s="143"/>
      <c r="C448" s="151" t="str">
        <f>IF(B448="","",IFERROR(INDEX('12 P6 activities'!$B$7:$B$206,MATCH(B448,'12 P6 activities'!$A$7:$A$206,0)),"ID not in P6 list"))</f>
        <v/>
      </c>
      <c r="D448" s="151" t="str">
        <f>IF(B448="","",IFERROR(INDEX('12 P6 activities'!$C$7:$C$206,MATCH(B448,'12 P6 activities'!$A$7:$A$206,0)),"⚠ not in P6 list"))</f>
        <v/>
      </c>
      <c r="E448" s="143"/>
      <c r="F448" s="147"/>
      <c r="G448" s="145" t="str">
        <f>IF(B448="","",IFERROR(INDEX('12 P6 activities'!$E$7:$E$206,MATCH(B448,'12 P6 activities'!$A$7:$A$206,0)),""))</f>
        <v/>
      </c>
      <c r="H448" s="143"/>
      <c r="I448" s="143"/>
      <c r="J448" s="6"/>
      <c r="K448" s="6"/>
      <c r="L448" s="6"/>
      <c r="M448" s="6"/>
      <c r="N448" s="6"/>
      <c r="O448" s="6"/>
      <c r="P448" s="6"/>
      <c r="Q448" s="6"/>
      <c r="R448" s="6"/>
      <c r="S448" s="6"/>
      <c r="T448" s="6"/>
      <c r="U448" s="6"/>
      <c r="V448" s="6"/>
      <c r="W448" s="6"/>
      <c r="X448" s="6"/>
      <c r="Y448" s="6"/>
      <c r="Z448" s="6"/>
    </row>
    <row r="449" spans="1:26" ht="18" customHeight="1" x14ac:dyDescent="0.3">
      <c r="A449" s="142"/>
      <c r="B449" s="143"/>
      <c r="C449" s="151" t="str">
        <f>IF(B449="","",IFERROR(INDEX('12 P6 activities'!$B$7:$B$206,MATCH(B449,'12 P6 activities'!$A$7:$A$206,0)),"ID not in P6 list"))</f>
        <v/>
      </c>
      <c r="D449" s="151" t="str">
        <f>IF(B449="","",IFERROR(INDEX('12 P6 activities'!$C$7:$C$206,MATCH(B449,'12 P6 activities'!$A$7:$A$206,0)),"⚠ not in P6 list"))</f>
        <v/>
      </c>
      <c r="E449" s="143"/>
      <c r="F449" s="147"/>
      <c r="G449" s="145" t="str">
        <f>IF(B449="","",IFERROR(INDEX('12 P6 activities'!$E$7:$E$206,MATCH(B449,'12 P6 activities'!$A$7:$A$206,0)),""))</f>
        <v/>
      </c>
      <c r="H449" s="143"/>
      <c r="I449" s="143"/>
      <c r="J449" s="6"/>
      <c r="K449" s="6"/>
      <c r="L449" s="6"/>
      <c r="M449" s="6"/>
      <c r="N449" s="6"/>
      <c r="O449" s="6"/>
      <c r="P449" s="6"/>
      <c r="Q449" s="6"/>
      <c r="R449" s="6"/>
      <c r="S449" s="6"/>
      <c r="T449" s="6"/>
      <c r="U449" s="6"/>
      <c r="V449" s="6"/>
      <c r="W449" s="6"/>
      <c r="X449" s="6"/>
      <c r="Y449" s="6"/>
      <c r="Z449" s="6"/>
    </row>
    <row r="450" spans="1:26" ht="18" customHeight="1" x14ac:dyDescent="0.3">
      <c r="A450" s="142"/>
      <c r="B450" s="143"/>
      <c r="C450" s="151" t="str">
        <f>IF(B450="","",IFERROR(INDEX('12 P6 activities'!$B$7:$B$206,MATCH(B450,'12 P6 activities'!$A$7:$A$206,0)),"ID not in P6 list"))</f>
        <v/>
      </c>
      <c r="D450" s="151" t="str">
        <f>IF(B450="","",IFERROR(INDEX('12 P6 activities'!$C$7:$C$206,MATCH(B450,'12 P6 activities'!$A$7:$A$206,0)),"⚠ not in P6 list"))</f>
        <v/>
      </c>
      <c r="E450" s="143"/>
      <c r="F450" s="147"/>
      <c r="G450" s="145" t="str">
        <f>IF(B450="","",IFERROR(INDEX('12 P6 activities'!$E$7:$E$206,MATCH(B450,'12 P6 activities'!$A$7:$A$206,0)),""))</f>
        <v/>
      </c>
      <c r="H450" s="143"/>
      <c r="I450" s="143"/>
      <c r="J450" s="6"/>
      <c r="K450" s="6"/>
      <c r="L450" s="6"/>
      <c r="M450" s="6"/>
      <c r="N450" s="6"/>
      <c r="O450" s="6"/>
      <c r="P450" s="6"/>
      <c r="Q450" s="6"/>
      <c r="R450" s="6"/>
      <c r="S450" s="6"/>
      <c r="T450" s="6"/>
      <c r="U450" s="6"/>
      <c r="V450" s="6"/>
      <c r="W450" s="6"/>
      <c r="X450" s="6"/>
      <c r="Y450" s="6"/>
      <c r="Z450" s="6"/>
    </row>
    <row r="451" spans="1:26" ht="18" customHeight="1" x14ac:dyDescent="0.3">
      <c r="A451" s="142"/>
      <c r="B451" s="143"/>
      <c r="C451" s="151" t="str">
        <f>IF(B451="","",IFERROR(INDEX('12 P6 activities'!$B$7:$B$206,MATCH(B451,'12 P6 activities'!$A$7:$A$206,0)),"ID not in P6 list"))</f>
        <v/>
      </c>
      <c r="D451" s="151" t="str">
        <f>IF(B451="","",IFERROR(INDEX('12 P6 activities'!$C$7:$C$206,MATCH(B451,'12 P6 activities'!$A$7:$A$206,0)),"⚠ not in P6 list"))</f>
        <v/>
      </c>
      <c r="E451" s="143"/>
      <c r="F451" s="147"/>
      <c r="G451" s="145" t="str">
        <f>IF(B451="","",IFERROR(INDEX('12 P6 activities'!$E$7:$E$206,MATCH(B451,'12 P6 activities'!$A$7:$A$206,0)),""))</f>
        <v/>
      </c>
      <c r="H451" s="143"/>
      <c r="I451" s="143"/>
      <c r="J451" s="6"/>
      <c r="K451" s="6"/>
      <c r="L451" s="6"/>
      <c r="M451" s="6"/>
      <c r="N451" s="6"/>
      <c r="O451" s="6"/>
      <c r="P451" s="6"/>
      <c r="Q451" s="6"/>
      <c r="R451" s="6"/>
      <c r="S451" s="6"/>
      <c r="T451" s="6"/>
      <c r="U451" s="6"/>
      <c r="V451" s="6"/>
      <c r="W451" s="6"/>
      <c r="X451" s="6"/>
      <c r="Y451" s="6"/>
      <c r="Z451" s="6"/>
    </row>
    <row r="452" spans="1:26" ht="18" customHeight="1" x14ac:dyDescent="0.3">
      <c r="A452" s="142"/>
      <c r="B452" s="143"/>
      <c r="C452" s="151" t="str">
        <f>IF(B452="","",IFERROR(INDEX('12 P6 activities'!$B$7:$B$206,MATCH(B452,'12 P6 activities'!$A$7:$A$206,0)),"ID not in P6 list"))</f>
        <v/>
      </c>
      <c r="D452" s="151" t="str">
        <f>IF(B452="","",IFERROR(INDEX('12 P6 activities'!$C$7:$C$206,MATCH(B452,'12 P6 activities'!$A$7:$A$206,0)),"⚠ not in P6 list"))</f>
        <v/>
      </c>
      <c r="E452" s="143"/>
      <c r="F452" s="147"/>
      <c r="G452" s="145" t="str">
        <f>IF(B452="","",IFERROR(INDEX('12 P6 activities'!$E$7:$E$206,MATCH(B452,'12 P6 activities'!$A$7:$A$206,0)),""))</f>
        <v/>
      </c>
      <c r="H452" s="143"/>
      <c r="I452" s="143"/>
      <c r="J452" s="6"/>
      <c r="K452" s="6"/>
      <c r="L452" s="6"/>
      <c r="M452" s="6"/>
      <c r="N452" s="6"/>
      <c r="O452" s="6"/>
      <c r="P452" s="6"/>
      <c r="Q452" s="6"/>
      <c r="R452" s="6"/>
      <c r="S452" s="6"/>
      <c r="T452" s="6"/>
      <c r="U452" s="6"/>
      <c r="V452" s="6"/>
      <c r="W452" s="6"/>
      <c r="X452" s="6"/>
      <c r="Y452" s="6"/>
      <c r="Z452" s="6"/>
    </row>
    <row r="453" spans="1:26" ht="18" customHeight="1" x14ac:dyDescent="0.3">
      <c r="A453" s="142"/>
      <c r="B453" s="143"/>
      <c r="C453" s="151" t="str">
        <f>IF(B453="","",IFERROR(INDEX('12 P6 activities'!$B$7:$B$206,MATCH(B453,'12 P6 activities'!$A$7:$A$206,0)),"ID not in P6 list"))</f>
        <v/>
      </c>
      <c r="D453" s="151" t="str">
        <f>IF(B453="","",IFERROR(INDEX('12 P6 activities'!$C$7:$C$206,MATCH(B453,'12 P6 activities'!$A$7:$A$206,0)),"⚠ not in P6 list"))</f>
        <v/>
      </c>
      <c r="E453" s="143"/>
      <c r="F453" s="147"/>
      <c r="G453" s="145" t="str">
        <f>IF(B453="","",IFERROR(INDEX('12 P6 activities'!$E$7:$E$206,MATCH(B453,'12 P6 activities'!$A$7:$A$206,0)),""))</f>
        <v/>
      </c>
      <c r="H453" s="143"/>
      <c r="I453" s="143"/>
      <c r="J453" s="6"/>
      <c r="K453" s="6"/>
      <c r="L453" s="6"/>
      <c r="M453" s="6"/>
      <c r="N453" s="6"/>
      <c r="O453" s="6"/>
      <c r="P453" s="6"/>
      <c r="Q453" s="6"/>
      <c r="R453" s="6"/>
      <c r="S453" s="6"/>
      <c r="T453" s="6"/>
      <c r="U453" s="6"/>
      <c r="V453" s="6"/>
      <c r="W453" s="6"/>
      <c r="X453" s="6"/>
      <c r="Y453" s="6"/>
      <c r="Z453" s="6"/>
    </row>
    <row r="454" spans="1:26" ht="18" customHeight="1" x14ac:dyDescent="0.3">
      <c r="A454" s="142"/>
      <c r="B454" s="143"/>
      <c r="C454" s="151" t="str">
        <f>IF(B454="","",IFERROR(INDEX('12 P6 activities'!$B$7:$B$206,MATCH(B454,'12 P6 activities'!$A$7:$A$206,0)),"ID not in P6 list"))</f>
        <v/>
      </c>
      <c r="D454" s="151" t="str">
        <f>IF(B454="","",IFERROR(INDEX('12 P6 activities'!$C$7:$C$206,MATCH(B454,'12 P6 activities'!$A$7:$A$206,0)),"⚠ not in P6 list"))</f>
        <v/>
      </c>
      <c r="E454" s="143"/>
      <c r="F454" s="147"/>
      <c r="G454" s="145" t="str">
        <f>IF(B454="","",IFERROR(INDEX('12 P6 activities'!$E$7:$E$206,MATCH(B454,'12 P6 activities'!$A$7:$A$206,0)),""))</f>
        <v/>
      </c>
      <c r="H454" s="143"/>
      <c r="I454" s="143"/>
      <c r="J454" s="6"/>
      <c r="K454" s="6"/>
      <c r="L454" s="6"/>
      <c r="M454" s="6"/>
      <c r="N454" s="6"/>
      <c r="O454" s="6"/>
      <c r="P454" s="6"/>
      <c r="Q454" s="6"/>
      <c r="R454" s="6"/>
      <c r="S454" s="6"/>
      <c r="T454" s="6"/>
      <c r="U454" s="6"/>
      <c r="V454" s="6"/>
      <c r="W454" s="6"/>
      <c r="X454" s="6"/>
      <c r="Y454" s="6"/>
      <c r="Z454" s="6"/>
    </row>
    <row r="455" spans="1:26" ht="18" customHeight="1" x14ac:dyDescent="0.3">
      <c r="A455" s="142"/>
      <c r="B455" s="143"/>
      <c r="C455" s="151" t="str">
        <f>IF(B455="","",IFERROR(INDEX('12 P6 activities'!$B$7:$B$206,MATCH(B455,'12 P6 activities'!$A$7:$A$206,0)),"ID not in P6 list"))</f>
        <v/>
      </c>
      <c r="D455" s="151" t="str">
        <f>IF(B455="","",IFERROR(INDEX('12 P6 activities'!$C$7:$C$206,MATCH(B455,'12 P6 activities'!$A$7:$A$206,0)),"⚠ not in P6 list"))</f>
        <v/>
      </c>
      <c r="E455" s="143"/>
      <c r="F455" s="147"/>
      <c r="G455" s="145" t="str">
        <f>IF(B455="","",IFERROR(INDEX('12 P6 activities'!$E$7:$E$206,MATCH(B455,'12 P6 activities'!$A$7:$A$206,0)),""))</f>
        <v/>
      </c>
      <c r="H455" s="143"/>
      <c r="I455" s="143"/>
      <c r="J455" s="6"/>
      <c r="K455" s="6"/>
      <c r="L455" s="6"/>
      <c r="M455" s="6"/>
      <c r="N455" s="6"/>
      <c r="O455" s="6"/>
      <c r="P455" s="6"/>
      <c r="Q455" s="6"/>
      <c r="R455" s="6"/>
      <c r="S455" s="6"/>
      <c r="T455" s="6"/>
      <c r="U455" s="6"/>
      <c r="V455" s="6"/>
      <c r="W455" s="6"/>
      <c r="X455" s="6"/>
      <c r="Y455" s="6"/>
      <c r="Z455" s="6"/>
    </row>
    <row r="456" spans="1:26" ht="18" customHeight="1" x14ac:dyDescent="0.3">
      <c r="A456" s="142"/>
      <c r="B456" s="143"/>
      <c r="C456" s="151" t="str">
        <f>IF(B456="","",IFERROR(INDEX('12 P6 activities'!$B$7:$B$206,MATCH(B456,'12 P6 activities'!$A$7:$A$206,0)),"ID not in P6 list"))</f>
        <v/>
      </c>
      <c r="D456" s="151" t="str">
        <f>IF(B456="","",IFERROR(INDEX('12 P6 activities'!$C$7:$C$206,MATCH(B456,'12 P6 activities'!$A$7:$A$206,0)),"⚠ not in P6 list"))</f>
        <v/>
      </c>
      <c r="E456" s="143"/>
      <c r="F456" s="147"/>
      <c r="G456" s="145" t="str">
        <f>IF(B456="","",IFERROR(INDEX('12 P6 activities'!$E$7:$E$206,MATCH(B456,'12 P6 activities'!$A$7:$A$206,0)),""))</f>
        <v/>
      </c>
      <c r="H456" s="143"/>
      <c r="I456" s="143"/>
      <c r="J456" s="6"/>
      <c r="K456" s="6"/>
      <c r="L456" s="6"/>
      <c r="M456" s="6"/>
      <c r="N456" s="6"/>
      <c r="O456" s="6"/>
      <c r="P456" s="6"/>
      <c r="Q456" s="6"/>
      <c r="R456" s="6"/>
      <c r="S456" s="6"/>
      <c r="T456" s="6"/>
      <c r="U456" s="6"/>
      <c r="V456" s="6"/>
      <c r="W456" s="6"/>
      <c r="X456" s="6"/>
      <c r="Y456" s="6"/>
      <c r="Z456" s="6"/>
    </row>
    <row r="457" spans="1:26" ht="18" customHeight="1" x14ac:dyDescent="0.3">
      <c r="A457" s="142"/>
      <c r="B457" s="143"/>
      <c r="C457" s="151" t="str">
        <f>IF(B457="","",IFERROR(INDEX('12 P6 activities'!$B$7:$B$206,MATCH(B457,'12 P6 activities'!$A$7:$A$206,0)),"ID not in P6 list"))</f>
        <v/>
      </c>
      <c r="D457" s="151" t="str">
        <f>IF(B457="","",IFERROR(INDEX('12 P6 activities'!$C$7:$C$206,MATCH(B457,'12 P6 activities'!$A$7:$A$206,0)),"⚠ not in P6 list"))</f>
        <v/>
      </c>
      <c r="E457" s="143"/>
      <c r="F457" s="147"/>
      <c r="G457" s="145" t="str">
        <f>IF(B457="","",IFERROR(INDEX('12 P6 activities'!$E$7:$E$206,MATCH(B457,'12 P6 activities'!$A$7:$A$206,0)),""))</f>
        <v/>
      </c>
      <c r="H457" s="143"/>
      <c r="I457" s="143"/>
      <c r="J457" s="6"/>
      <c r="K457" s="6"/>
      <c r="L457" s="6"/>
      <c r="M457" s="6"/>
      <c r="N457" s="6"/>
      <c r="O457" s="6"/>
      <c r="P457" s="6"/>
      <c r="Q457" s="6"/>
      <c r="R457" s="6"/>
      <c r="S457" s="6"/>
      <c r="T457" s="6"/>
      <c r="U457" s="6"/>
      <c r="V457" s="6"/>
      <c r="W457" s="6"/>
      <c r="X457" s="6"/>
      <c r="Y457" s="6"/>
      <c r="Z457" s="6"/>
    </row>
    <row r="458" spans="1:26" ht="18" customHeight="1" x14ac:dyDescent="0.3">
      <c r="A458" s="142"/>
      <c r="B458" s="143"/>
      <c r="C458" s="151" t="str">
        <f>IF(B458="","",IFERROR(INDEX('12 P6 activities'!$B$7:$B$206,MATCH(B458,'12 P6 activities'!$A$7:$A$206,0)),"ID not in P6 list"))</f>
        <v/>
      </c>
      <c r="D458" s="151" t="str">
        <f>IF(B458="","",IFERROR(INDEX('12 P6 activities'!$C$7:$C$206,MATCH(B458,'12 P6 activities'!$A$7:$A$206,0)),"⚠ not in P6 list"))</f>
        <v/>
      </c>
      <c r="E458" s="143"/>
      <c r="F458" s="147"/>
      <c r="G458" s="145" t="str">
        <f>IF(B458="","",IFERROR(INDEX('12 P6 activities'!$E$7:$E$206,MATCH(B458,'12 P6 activities'!$A$7:$A$206,0)),""))</f>
        <v/>
      </c>
      <c r="H458" s="143"/>
      <c r="I458" s="143"/>
      <c r="J458" s="6"/>
      <c r="K458" s="6"/>
      <c r="L458" s="6"/>
      <c r="M458" s="6"/>
      <c r="N458" s="6"/>
      <c r="O458" s="6"/>
      <c r="P458" s="6"/>
      <c r="Q458" s="6"/>
      <c r="R458" s="6"/>
      <c r="S458" s="6"/>
      <c r="T458" s="6"/>
      <c r="U458" s="6"/>
      <c r="V458" s="6"/>
      <c r="W458" s="6"/>
      <c r="X458" s="6"/>
      <c r="Y458" s="6"/>
      <c r="Z458" s="6"/>
    </row>
    <row r="459" spans="1:26" ht="18" customHeight="1" x14ac:dyDescent="0.3">
      <c r="A459" s="142"/>
      <c r="B459" s="143"/>
      <c r="C459" s="151" t="str">
        <f>IF(B459="","",IFERROR(INDEX('12 P6 activities'!$B$7:$B$206,MATCH(B459,'12 P6 activities'!$A$7:$A$206,0)),"ID not in P6 list"))</f>
        <v/>
      </c>
      <c r="D459" s="151" t="str">
        <f>IF(B459="","",IFERROR(INDEX('12 P6 activities'!$C$7:$C$206,MATCH(B459,'12 P6 activities'!$A$7:$A$206,0)),"⚠ not in P6 list"))</f>
        <v/>
      </c>
      <c r="E459" s="143"/>
      <c r="F459" s="147"/>
      <c r="G459" s="145" t="str">
        <f>IF(B459="","",IFERROR(INDEX('12 P6 activities'!$E$7:$E$206,MATCH(B459,'12 P6 activities'!$A$7:$A$206,0)),""))</f>
        <v/>
      </c>
      <c r="H459" s="143"/>
      <c r="I459" s="143"/>
      <c r="J459" s="6"/>
      <c r="K459" s="6"/>
      <c r="L459" s="6"/>
      <c r="M459" s="6"/>
      <c r="N459" s="6"/>
      <c r="O459" s="6"/>
      <c r="P459" s="6"/>
      <c r="Q459" s="6"/>
      <c r="R459" s="6"/>
      <c r="S459" s="6"/>
      <c r="T459" s="6"/>
      <c r="U459" s="6"/>
      <c r="V459" s="6"/>
      <c r="W459" s="6"/>
      <c r="X459" s="6"/>
      <c r="Y459" s="6"/>
      <c r="Z459" s="6"/>
    </row>
    <row r="460" spans="1:26" ht="18" customHeight="1" x14ac:dyDescent="0.3">
      <c r="A460" s="142"/>
      <c r="B460" s="143"/>
      <c r="C460" s="151" t="str">
        <f>IF(B460="","",IFERROR(INDEX('12 P6 activities'!$B$7:$B$206,MATCH(B460,'12 P6 activities'!$A$7:$A$206,0)),"ID not in P6 list"))</f>
        <v/>
      </c>
      <c r="D460" s="151" t="str">
        <f>IF(B460="","",IFERROR(INDEX('12 P6 activities'!$C$7:$C$206,MATCH(B460,'12 P6 activities'!$A$7:$A$206,0)),"⚠ not in P6 list"))</f>
        <v/>
      </c>
      <c r="E460" s="143"/>
      <c r="F460" s="147"/>
      <c r="G460" s="145" t="str">
        <f>IF(B460="","",IFERROR(INDEX('12 P6 activities'!$E$7:$E$206,MATCH(B460,'12 P6 activities'!$A$7:$A$206,0)),""))</f>
        <v/>
      </c>
      <c r="H460" s="143"/>
      <c r="I460" s="143"/>
      <c r="J460" s="6"/>
      <c r="K460" s="6"/>
      <c r="L460" s="6"/>
      <c r="M460" s="6"/>
      <c r="N460" s="6"/>
      <c r="O460" s="6"/>
      <c r="P460" s="6"/>
      <c r="Q460" s="6"/>
      <c r="R460" s="6"/>
      <c r="S460" s="6"/>
      <c r="T460" s="6"/>
      <c r="U460" s="6"/>
      <c r="V460" s="6"/>
      <c r="W460" s="6"/>
      <c r="X460" s="6"/>
      <c r="Y460" s="6"/>
      <c r="Z460" s="6"/>
    </row>
    <row r="461" spans="1:26" ht="18" customHeight="1" x14ac:dyDescent="0.3">
      <c r="A461" s="142"/>
      <c r="B461" s="143"/>
      <c r="C461" s="151" t="str">
        <f>IF(B461="","",IFERROR(INDEX('12 P6 activities'!$B$7:$B$206,MATCH(B461,'12 P6 activities'!$A$7:$A$206,0)),"ID not in P6 list"))</f>
        <v/>
      </c>
      <c r="D461" s="151" t="str">
        <f>IF(B461="","",IFERROR(INDEX('12 P6 activities'!$C$7:$C$206,MATCH(B461,'12 P6 activities'!$A$7:$A$206,0)),"⚠ not in P6 list"))</f>
        <v/>
      </c>
      <c r="E461" s="143"/>
      <c r="F461" s="147"/>
      <c r="G461" s="145" t="str">
        <f>IF(B461="","",IFERROR(INDEX('12 P6 activities'!$E$7:$E$206,MATCH(B461,'12 P6 activities'!$A$7:$A$206,0)),""))</f>
        <v/>
      </c>
      <c r="H461" s="143"/>
      <c r="I461" s="143"/>
      <c r="J461" s="6"/>
      <c r="K461" s="6"/>
      <c r="L461" s="6"/>
      <c r="M461" s="6"/>
      <c r="N461" s="6"/>
      <c r="O461" s="6"/>
      <c r="P461" s="6"/>
      <c r="Q461" s="6"/>
      <c r="R461" s="6"/>
      <c r="S461" s="6"/>
      <c r="T461" s="6"/>
      <c r="U461" s="6"/>
      <c r="V461" s="6"/>
      <c r="W461" s="6"/>
      <c r="X461" s="6"/>
      <c r="Y461" s="6"/>
      <c r="Z461" s="6"/>
    </row>
    <row r="462" spans="1:26" ht="18" customHeight="1" x14ac:dyDescent="0.3">
      <c r="A462" s="142"/>
      <c r="B462" s="143"/>
      <c r="C462" s="151" t="str">
        <f>IF(B462="","",IFERROR(INDEX('12 P6 activities'!$B$7:$B$206,MATCH(B462,'12 P6 activities'!$A$7:$A$206,0)),"ID not in P6 list"))</f>
        <v/>
      </c>
      <c r="D462" s="151" t="str">
        <f>IF(B462="","",IFERROR(INDEX('12 P6 activities'!$C$7:$C$206,MATCH(B462,'12 P6 activities'!$A$7:$A$206,0)),"⚠ not in P6 list"))</f>
        <v/>
      </c>
      <c r="E462" s="143"/>
      <c r="F462" s="147"/>
      <c r="G462" s="145" t="str">
        <f>IF(B462="","",IFERROR(INDEX('12 P6 activities'!$E$7:$E$206,MATCH(B462,'12 P6 activities'!$A$7:$A$206,0)),""))</f>
        <v/>
      </c>
      <c r="H462" s="143"/>
      <c r="I462" s="143"/>
      <c r="J462" s="6"/>
      <c r="K462" s="6"/>
      <c r="L462" s="6"/>
      <c r="M462" s="6"/>
      <c r="N462" s="6"/>
      <c r="O462" s="6"/>
      <c r="P462" s="6"/>
      <c r="Q462" s="6"/>
      <c r="R462" s="6"/>
      <c r="S462" s="6"/>
      <c r="T462" s="6"/>
      <c r="U462" s="6"/>
      <c r="V462" s="6"/>
      <c r="W462" s="6"/>
      <c r="X462" s="6"/>
      <c r="Y462" s="6"/>
      <c r="Z462" s="6"/>
    </row>
    <row r="463" spans="1:26" ht="18" customHeight="1" x14ac:dyDescent="0.3">
      <c r="A463" s="142"/>
      <c r="B463" s="143"/>
      <c r="C463" s="151" t="str">
        <f>IF(B463="","",IFERROR(INDEX('12 P6 activities'!$B$7:$B$206,MATCH(B463,'12 P6 activities'!$A$7:$A$206,0)),"ID not in P6 list"))</f>
        <v/>
      </c>
      <c r="D463" s="151" t="str">
        <f>IF(B463="","",IFERROR(INDEX('12 P6 activities'!$C$7:$C$206,MATCH(B463,'12 P6 activities'!$A$7:$A$206,0)),"⚠ not in P6 list"))</f>
        <v/>
      </c>
      <c r="E463" s="143"/>
      <c r="F463" s="147"/>
      <c r="G463" s="145" t="str">
        <f>IF(B463="","",IFERROR(INDEX('12 P6 activities'!$E$7:$E$206,MATCH(B463,'12 P6 activities'!$A$7:$A$206,0)),""))</f>
        <v/>
      </c>
      <c r="H463" s="143"/>
      <c r="I463" s="143"/>
      <c r="J463" s="6"/>
      <c r="K463" s="6"/>
      <c r="L463" s="6"/>
      <c r="M463" s="6"/>
      <c r="N463" s="6"/>
      <c r="O463" s="6"/>
      <c r="P463" s="6"/>
      <c r="Q463" s="6"/>
      <c r="R463" s="6"/>
      <c r="S463" s="6"/>
      <c r="T463" s="6"/>
      <c r="U463" s="6"/>
      <c r="V463" s="6"/>
      <c r="W463" s="6"/>
      <c r="X463" s="6"/>
      <c r="Y463" s="6"/>
      <c r="Z463" s="6"/>
    </row>
    <row r="464" spans="1:26" ht="18" customHeight="1" x14ac:dyDescent="0.3">
      <c r="A464" s="142"/>
      <c r="B464" s="143"/>
      <c r="C464" s="151" t="str">
        <f>IF(B464="","",IFERROR(INDEX('12 P6 activities'!$B$7:$B$206,MATCH(B464,'12 P6 activities'!$A$7:$A$206,0)),"ID not in P6 list"))</f>
        <v/>
      </c>
      <c r="D464" s="151" t="str">
        <f>IF(B464="","",IFERROR(INDEX('12 P6 activities'!$C$7:$C$206,MATCH(B464,'12 P6 activities'!$A$7:$A$206,0)),"⚠ not in P6 list"))</f>
        <v/>
      </c>
      <c r="E464" s="143"/>
      <c r="F464" s="147"/>
      <c r="G464" s="145" t="str">
        <f>IF(B464="","",IFERROR(INDEX('12 P6 activities'!$E$7:$E$206,MATCH(B464,'12 P6 activities'!$A$7:$A$206,0)),""))</f>
        <v/>
      </c>
      <c r="H464" s="143"/>
      <c r="I464" s="143"/>
      <c r="J464" s="6"/>
      <c r="K464" s="6"/>
      <c r="L464" s="6"/>
      <c r="M464" s="6"/>
      <c r="N464" s="6"/>
      <c r="O464" s="6"/>
      <c r="P464" s="6"/>
      <c r="Q464" s="6"/>
      <c r="R464" s="6"/>
      <c r="S464" s="6"/>
      <c r="T464" s="6"/>
      <c r="U464" s="6"/>
      <c r="V464" s="6"/>
      <c r="W464" s="6"/>
      <c r="X464" s="6"/>
      <c r="Y464" s="6"/>
      <c r="Z464" s="6"/>
    </row>
    <row r="465" spans="1:26" ht="18" customHeight="1" x14ac:dyDescent="0.3">
      <c r="A465" s="142"/>
      <c r="B465" s="143"/>
      <c r="C465" s="151" t="str">
        <f>IF(B465="","",IFERROR(INDEX('12 P6 activities'!$B$7:$B$206,MATCH(B465,'12 P6 activities'!$A$7:$A$206,0)),"ID not in P6 list"))</f>
        <v/>
      </c>
      <c r="D465" s="151" t="str">
        <f>IF(B465="","",IFERROR(INDEX('12 P6 activities'!$C$7:$C$206,MATCH(B465,'12 P6 activities'!$A$7:$A$206,0)),"⚠ not in P6 list"))</f>
        <v/>
      </c>
      <c r="E465" s="143"/>
      <c r="F465" s="147"/>
      <c r="G465" s="145" t="str">
        <f>IF(B465="","",IFERROR(INDEX('12 P6 activities'!$E$7:$E$206,MATCH(B465,'12 P6 activities'!$A$7:$A$206,0)),""))</f>
        <v/>
      </c>
      <c r="H465" s="143"/>
      <c r="I465" s="143"/>
      <c r="J465" s="6"/>
      <c r="K465" s="6"/>
      <c r="L465" s="6"/>
      <c r="M465" s="6"/>
      <c r="N465" s="6"/>
      <c r="O465" s="6"/>
      <c r="P465" s="6"/>
      <c r="Q465" s="6"/>
      <c r="R465" s="6"/>
      <c r="S465" s="6"/>
      <c r="T465" s="6"/>
      <c r="U465" s="6"/>
      <c r="V465" s="6"/>
      <c r="W465" s="6"/>
      <c r="X465" s="6"/>
      <c r="Y465" s="6"/>
      <c r="Z465" s="6"/>
    </row>
    <row r="466" spans="1:26" ht="18" customHeight="1" x14ac:dyDescent="0.3">
      <c r="A466" s="142"/>
      <c r="B466" s="143"/>
      <c r="C466" s="151" t="str">
        <f>IF(B466="","",IFERROR(INDEX('12 P6 activities'!$B$7:$B$206,MATCH(B466,'12 P6 activities'!$A$7:$A$206,0)),"ID not in P6 list"))</f>
        <v/>
      </c>
      <c r="D466" s="151" t="str">
        <f>IF(B466="","",IFERROR(INDEX('12 P6 activities'!$C$7:$C$206,MATCH(B466,'12 P6 activities'!$A$7:$A$206,0)),"⚠ not in P6 list"))</f>
        <v/>
      </c>
      <c r="E466" s="143"/>
      <c r="F466" s="147"/>
      <c r="G466" s="145" t="str">
        <f>IF(B466="","",IFERROR(INDEX('12 P6 activities'!$E$7:$E$206,MATCH(B466,'12 P6 activities'!$A$7:$A$206,0)),""))</f>
        <v/>
      </c>
      <c r="H466" s="143"/>
      <c r="I466" s="143"/>
      <c r="J466" s="6"/>
      <c r="K466" s="6"/>
      <c r="L466" s="6"/>
      <c r="M466" s="6"/>
      <c r="N466" s="6"/>
      <c r="O466" s="6"/>
      <c r="P466" s="6"/>
      <c r="Q466" s="6"/>
      <c r="R466" s="6"/>
      <c r="S466" s="6"/>
      <c r="T466" s="6"/>
      <c r="U466" s="6"/>
      <c r="V466" s="6"/>
      <c r="W466" s="6"/>
      <c r="X466" s="6"/>
      <c r="Y466" s="6"/>
      <c r="Z466" s="6"/>
    </row>
    <row r="467" spans="1:26" ht="18" customHeight="1" x14ac:dyDescent="0.3">
      <c r="A467" s="142"/>
      <c r="B467" s="143"/>
      <c r="C467" s="151" t="str">
        <f>IF(B467="","",IFERROR(INDEX('12 P6 activities'!$B$7:$B$206,MATCH(B467,'12 P6 activities'!$A$7:$A$206,0)),"ID not in P6 list"))</f>
        <v/>
      </c>
      <c r="D467" s="151" t="str">
        <f>IF(B467="","",IFERROR(INDEX('12 P6 activities'!$C$7:$C$206,MATCH(B467,'12 P6 activities'!$A$7:$A$206,0)),"⚠ not in P6 list"))</f>
        <v/>
      </c>
      <c r="E467" s="143"/>
      <c r="F467" s="147"/>
      <c r="G467" s="145" t="str">
        <f>IF(B467="","",IFERROR(INDEX('12 P6 activities'!$E$7:$E$206,MATCH(B467,'12 P6 activities'!$A$7:$A$206,0)),""))</f>
        <v/>
      </c>
      <c r="H467" s="143"/>
      <c r="I467" s="143"/>
      <c r="J467" s="6"/>
      <c r="K467" s="6"/>
      <c r="L467" s="6"/>
      <c r="M467" s="6"/>
      <c r="N467" s="6"/>
      <c r="O467" s="6"/>
      <c r="P467" s="6"/>
      <c r="Q467" s="6"/>
      <c r="R467" s="6"/>
      <c r="S467" s="6"/>
      <c r="T467" s="6"/>
      <c r="U467" s="6"/>
      <c r="V467" s="6"/>
      <c r="W467" s="6"/>
      <c r="X467" s="6"/>
      <c r="Y467" s="6"/>
      <c r="Z467" s="6"/>
    </row>
    <row r="468" spans="1:26" ht="18" customHeight="1" x14ac:dyDescent="0.3">
      <c r="A468" s="142"/>
      <c r="B468" s="143"/>
      <c r="C468" s="151" t="str">
        <f>IF(B468="","",IFERROR(INDEX('12 P6 activities'!$B$7:$B$206,MATCH(B468,'12 P6 activities'!$A$7:$A$206,0)),"ID not in P6 list"))</f>
        <v/>
      </c>
      <c r="D468" s="151" t="str">
        <f>IF(B468="","",IFERROR(INDEX('12 P6 activities'!$C$7:$C$206,MATCH(B468,'12 P6 activities'!$A$7:$A$206,0)),"⚠ not in P6 list"))</f>
        <v/>
      </c>
      <c r="E468" s="143"/>
      <c r="F468" s="147"/>
      <c r="G468" s="145" t="str">
        <f>IF(B468="","",IFERROR(INDEX('12 P6 activities'!$E$7:$E$206,MATCH(B468,'12 P6 activities'!$A$7:$A$206,0)),""))</f>
        <v/>
      </c>
      <c r="H468" s="143"/>
      <c r="I468" s="143"/>
      <c r="J468" s="6"/>
      <c r="K468" s="6"/>
      <c r="L468" s="6"/>
      <c r="M468" s="6"/>
      <c r="N468" s="6"/>
      <c r="O468" s="6"/>
      <c r="P468" s="6"/>
      <c r="Q468" s="6"/>
      <c r="R468" s="6"/>
      <c r="S468" s="6"/>
      <c r="T468" s="6"/>
      <c r="U468" s="6"/>
      <c r="V468" s="6"/>
      <c r="W468" s="6"/>
      <c r="X468" s="6"/>
      <c r="Y468" s="6"/>
      <c r="Z468" s="6"/>
    </row>
    <row r="469" spans="1:26" ht="18" customHeight="1" x14ac:dyDescent="0.3">
      <c r="A469" s="142"/>
      <c r="B469" s="143"/>
      <c r="C469" s="151" t="str">
        <f>IF(B469="","",IFERROR(INDEX('12 P6 activities'!$B$7:$B$206,MATCH(B469,'12 P6 activities'!$A$7:$A$206,0)),"ID not in P6 list"))</f>
        <v/>
      </c>
      <c r="D469" s="151" t="str">
        <f>IF(B469="","",IFERROR(INDEX('12 P6 activities'!$C$7:$C$206,MATCH(B469,'12 P6 activities'!$A$7:$A$206,0)),"⚠ not in P6 list"))</f>
        <v/>
      </c>
      <c r="E469" s="143"/>
      <c r="F469" s="147"/>
      <c r="G469" s="145" t="str">
        <f>IF(B469="","",IFERROR(INDEX('12 P6 activities'!$E$7:$E$206,MATCH(B469,'12 P6 activities'!$A$7:$A$206,0)),""))</f>
        <v/>
      </c>
      <c r="H469" s="143"/>
      <c r="I469" s="143"/>
      <c r="J469" s="6"/>
      <c r="K469" s="6"/>
      <c r="L469" s="6"/>
      <c r="M469" s="6"/>
      <c r="N469" s="6"/>
      <c r="O469" s="6"/>
      <c r="P469" s="6"/>
      <c r="Q469" s="6"/>
      <c r="R469" s="6"/>
      <c r="S469" s="6"/>
      <c r="T469" s="6"/>
      <c r="U469" s="6"/>
      <c r="V469" s="6"/>
      <c r="W469" s="6"/>
      <c r="X469" s="6"/>
      <c r="Y469" s="6"/>
      <c r="Z469" s="6"/>
    </row>
    <row r="470" spans="1:26" ht="18" customHeight="1" x14ac:dyDescent="0.3">
      <c r="A470" s="142"/>
      <c r="B470" s="143"/>
      <c r="C470" s="151" t="str">
        <f>IF(B470="","",IFERROR(INDEX('12 P6 activities'!$B$7:$B$206,MATCH(B470,'12 P6 activities'!$A$7:$A$206,0)),"ID not in P6 list"))</f>
        <v/>
      </c>
      <c r="D470" s="151" t="str">
        <f>IF(B470="","",IFERROR(INDEX('12 P6 activities'!$C$7:$C$206,MATCH(B470,'12 P6 activities'!$A$7:$A$206,0)),"⚠ not in P6 list"))</f>
        <v/>
      </c>
      <c r="E470" s="143"/>
      <c r="F470" s="147"/>
      <c r="G470" s="145" t="str">
        <f>IF(B470="","",IFERROR(INDEX('12 P6 activities'!$E$7:$E$206,MATCH(B470,'12 P6 activities'!$A$7:$A$206,0)),""))</f>
        <v/>
      </c>
      <c r="H470" s="143"/>
      <c r="I470" s="143"/>
      <c r="J470" s="6"/>
      <c r="K470" s="6"/>
      <c r="L470" s="6"/>
      <c r="M470" s="6"/>
      <c r="N470" s="6"/>
      <c r="O470" s="6"/>
      <c r="P470" s="6"/>
      <c r="Q470" s="6"/>
      <c r="R470" s="6"/>
      <c r="S470" s="6"/>
      <c r="T470" s="6"/>
      <c r="U470" s="6"/>
      <c r="V470" s="6"/>
      <c r="W470" s="6"/>
      <c r="X470" s="6"/>
      <c r="Y470" s="6"/>
      <c r="Z470" s="6"/>
    </row>
    <row r="471" spans="1:26" ht="18" customHeight="1" x14ac:dyDescent="0.3">
      <c r="A471" s="142"/>
      <c r="B471" s="143"/>
      <c r="C471" s="151" t="str">
        <f>IF(B471="","",IFERROR(INDEX('12 P6 activities'!$B$7:$B$206,MATCH(B471,'12 P6 activities'!$A$7:$A$206,0)),"ID not in P6 list"))</f>
        <v/>
      </c>
      <c r="D471" s="151" t="str">
        <f>IF(B471="","",IFERROR(INDEX('12 P6 activities'!$C$7:$C$206,MATCH(B471,'12 P6 activities'!$A$7:$A$206,0)),"⚠ not in P6 list"))</f>
        <v/>
      </c>
      <c r="E471" s="143"/>
      <c r="F471" s="147"/>
      <c r="G471" s="145" t="str">
        <f>IF(B471="","",IFERROR(INDEX('12 P6 activities'!$E$7:$E$206,MATCH(B471,'12 P6 activities'!$A$7:$A$206,0)),""))</f>
        <v/>
      </c>
      <c r="H471" s="143"/>
      <c r="I471" s="143"/>
      <c r="J471" s="6"/>
      <c r="K471" s="6"/>
      <c r="L471" s="6"/>
      <c r="M471" s="6"/>
      <c r="N471" s="6"/>
      <c r="O471" s="6"/>
      <c r="P471" s="6"/>
      <c r="Q471" s="6"/>
      <c r="R471" s="6"/>
      <c r="S471" s="6"/>
      <c r="T471" s="6"/>
      <c r="U471" s="6"/>
      <c r="V471" s="6"/>
      <c r="W471" s="6"/>
      <c r="X471" s="6"/>
      <c r="Y471" s="6"/>
      <c r="Z471" s="6"/>
    </row>
    <row r="472" spans="1:26" ht="18" customHeight="1" x14ac:dyDescent="0.3">
      <c r="A472" s="142"/>
      <c r="B472" s="143"/>
      <c r="C472" s="151" t="str">
        <f>IF(B472="","",IFERROR(INDEX('12 P6 activities'!$B$7:$B$206,MATCH(B472,'12 P6 activities'!$A$7:$A$206,0)),"ID not in P6 list"))</f>
        <v/>
      </c>
      <c r="D472" s="151" t="str">
        <f>IF(B472="","",IFERROR(INDEX('12 P6 activities'!$C$7:$C$206,MATCH(B472,'12 P6 activities'!$A$7:$A$206,0)),"⚠ not in P6 list"))</f>
        <v/>
      </c>
      <c r="E472" s="143"/>
      <c r="F472" s="147"/>
      <c r="G472" s="145" t="str">
        <f>IF(B472="","",IFERROR(INDEX('12 P6 activities'!$E$7:$E$206,MATCH(B472,'12 P6 activities'!$A$7:$A$206,0)),""))</f>
        <v/>
      </c>
      <c r="H472" s="143"/>
      <c r="I472" s="143"/>
      <c r="J472" s="6"/>
      <c r="K472" s="6"/>
      <c r="L472" s="6"/>
      <c r="M472" s="6"/>
      <c r="N472" s="6"/>
      <c r="O472" s="6"/>
      <c r="P472" s="6"/>
      <c r="Q472" s="6"/>
      <c r="R472" s="6"/>
      <c r="S472" s="6"/>
      <c r="T472" s="6"/>
      <c r="U472" s="6"/>
      <c r="V472" s="6"/>
      <c r="W472" s="6"/>
      <c r="X472" s="6"/>
      <c r="Y472" s="6"/>
      <c r="Z472" s="6"/>
    </row>
    <row r="473" spans="1:26" ht="18" customHeight="1" x14ac:dyDescent="0.3">
      <c r="A473" s="142"/>
      <c r="B473" s="143"/>
      <c r="C473" s="151" t="str">
        <f>IF(B473="","",IFERROR(INDEX('12 P6 activities'!$B$7:$B$206,MATCH(B473,'12 P6 activities'!$A$7:$A$206,0)),"ID not in P6 list"))</f>
        <v/>
      </c>
      <c r="D473" s="151" t="str">
        <f>IF(B473="","",IFERROR(INDEX('12 P6 activities'!$C$7:$C$206,MATCH(B473,'12 P6 activities'!$A$7:$A$206,0)),"⚠ not in P6 list"))</f>
        <v/>
      </c>
      <c r="E473" s="143"/>
      <c r="F473" s="147"/>
      <c r="G473" s="145" t="str">
        <f>IF(B473="","",IFERROR(INDEX('12 P6 activities'!$E$7:$E$206,MATCH(B473,'12 P6 activities'!$A$7:$A$206,0)),""))</f>
        <v/>
      </c>
      <c r="H473" s="143"/>
      <c r="I473" s="143"/>
      <c r="J473" s="6"/>
      <c r="K473" s="6"/>
      <c r="L473" s="6"/>
      <c r="M473" s="6"/>
      <c r="N473" s="6"/>
      <c r="O473" s="6"/>
      <c r="P473" s="6"/>
      <c r="Q473" s="6"/>
      <c r="R473" s="6"/>
      <c r="S473" s="6"/>
      <c r="T473" s="6"/>
      <c r="U473" s="6"/>
      <c r="V473" s="6"/>
      <c r="W473" s="6"/>
      <c r="X473" s="6"/>
      <c r="Y473" s="6"/>
      <c r="Z473" s="6"/>
    </row>
    <row r="474" spans="1:26" ht="18" customHeight="1" x14ac:dyDescent="0.3">
      <c r="A474" s="142"/>
      <c r="B474" s="143"/>
      <c r="C474" s="151" t="str">
        <f>IF(B474="","",IFERROR(INDEX('12 P6 activities'!$B$7:$B$206,MATCH(B474,'12 P6 activities'!$A$7:$A$206,0)),"ID not in P6 list"))</f>
        <v/>
      </c>
      <c r="D474" s="151" t="str">
        <f>IF(B474="","",IFERROR(INDEX('12 P6 activities'!$C$7:$C$206,MATCH(B474,'12 P6 activities'!$A$7:$A$206,0)),"⚠ not in P6 list"))</f>
        <v/>
      </c>
      <c r="E474" s="143"/>
      <c r="F474" s="147"/>
      <c r="G474" s="145" t="str">
        <f>IF(B474="","",IFERROR(INDEX('12 P6 activities'!$E$7:$E$206,MATCH(B474,'12 P6 activities'!$A$7:$A$206,0)),""))</f>
        <v/>
      </c>
      <c r="H474" s="143"/>
      <c r="I474" s="143"/>
      <c r="J474" s="6"/>
      <c r="K474" s="6"/>
      <c r="L474" s="6"/>
      <c r="M474" s="6"/>
      <c r="N474" s="6"/>
      <c r="O474" s="6"/>
      <c r="P474" s="6"/>
      <c r="Q474" s="6"/>
      <c r="R474" s="6"/>
      <c r="S474" s="6"/>
      <c r="T474" s="6"/>
      <c r="U474" s="6"/>
      <c r="V474" s="6"/>
      <c r="W474" s="6"/>
      <c r="X474" s="6"/>
      <c r="Y474" s="6"/>
      <c r="Z474" s="6"/>
    </row>
    <row r="475" spans="1:26" ht="18" customHeight="1" x14ac:dyDescent="0.3">
      <c r="A475" s="142"/>
      <c r="B475" s="143"/>
      <c r="C475" s="151" t="str">
        <f>IF(B475="","",IFERROR(INDEX('12 P6 activities'!$B$7:$B$206,MATCH(B475,'12 P6 activities'!$A$7:$A$206,0)),"ID not in P6 list"))</f>
        <v/>
      </c>
      <c r="D475" s="151" t="str">
        <f>IF(B475="","",IFERROR(INDEX('12 P6 activities'!$C$7:$C$206,MATCH(B475,'12 P6 activities'!$A$7:$A$206,0)),"⚠ not in P6 list"))</f>
        <v/>
      </c>
      <c r="E475" s="143"/>
      <c r="F475" s="147"/>
      <c r="G475" s="145" t="str">
        <f>IF(B475="","",IFERROR(INDEX('12 P6 activities'!$E$7:$E$206,MATCH(B475,'12 P6 activities'!$A$7:$A$206,0)),""))</f>
        <v/>
      </c>
      <c r="H475" s="143"/>
      <c r="I475" s="143"/>
      <c r="J475" s="6"/>
      <c r="K475" s="6"/>
      <c r="L475" s="6"/>
      <c r="M475" s="6"/>
      <c r="N475" s="6"/>
      <c r="O475" s="6"/>
      <c r="P475" s="6"/>
      <c r="Q475" s="6"/>
      <c r="R475" s="6"/>
      <c r="S475" s="6"/>
      <c r="T475" s="6"/>
      <c r="U475" s="6"/>
      <c r="V475" s="6"/>
      <c r="W475" s="6"/>
      <c r="X475" s="6"/>
      <c r="Y475" s="6"/>
      <c r="Z475" s="6"/>
    </row>
    <row r="476" spans="1:26" ht="18" customHeight="1" x14ac:dyDescent="0.3">
      <c r="A476" s="142"/>
      <c r="B476" s="143"/>
      <c r="C476" s="151" t="str">
        <f>IF(B476="","",IFERROR(INDEX('12 P6 activities'!$B$7:$B$206,MATCH(B476,'12 P6 activities'!$A$7:$A$206,0)),"ID not in P6 list"))</f>
        <v/>
      </c>
      <c r="D476" s="151" t="str">
        <f>IF(B476="","",IFERROR(INDEX('12 P6 activities'!$C$7:$C$206,MATCH(B476,'12 P6 activities'!$A$7:$A$206,0)),"⚠ not in P6 list"))</f>
        <v/>
      </c>
      <c r="E476" s="143"/>
      <c r="F476" s="147"/>
      <c r="G476" s="145" t="str">
        <f>IF(B476="","",IFERROR(INDEX('12 P6 activities'!$E$7:$E$206,MATCH(B476,'12 P6 activities'!$A$7:$A$206,0)),""))</f>
        <v/>
      </c>
      <c r="H476" s="143"/>
      <c r="I476" s="143"/>
      <c r="J476" s="6"/>
      <c r="K476" s="6"/>
      <c r="L476" s="6"/>
      <c r="M476" s="6"/>
      <c r="N476" s="6"/>
      <c r="O476" s="6"/>
      <c r="P476" s="6"/>
      <c r="Q476" s="6"/>
      <c r="R476" s="6"/>
      <c r="S476" s="6"/>
      <c r="T476" s="6"/>
      <c r="U476" s="6"/>
      <c r="V476" s="6"/>
      <c r="W476" s="6"/>
      <c r="X476" s="6"/>
      <c r="Y476" s="6"/>
      <c r="Z476" s="6"/>
    </row>
    <row r="477" spans="1:26" ht="18" customHeight="1" x14ac:dyDescent="0.3">
      <c r="A477" s="142"/>
      <c r="B477" s="143"/>
      <c r="C477" s="151" t="str">
        <f>IF(B477="","",IFERROR(INDEX('12 P6 activities'!$B$7:$B$206,MATCH(B477,'12 P6 activities'!$A$7:$A$206,0)),"ID not in P6 list"))</f>
        <v/>
      </c>
      <c r="D477" s="151" t="str">
        <f>IF(B477="","",IFERROR(INDEX('12 P6 activities'!$C$7:$C$206,MATCH(B477,'12 P6 activities'!$A$7:$A$206,0)),"⚠ not in P6 list"))</f>
        <v/>
      </c>
      <c r="E477" s="143"/>
      <c r="F477" s="147"/>
      <c r="G477" s="145" t="str">
        <f>IF(B477="","",IFERROR(INDEX('12 P6 activities'!$E$7:$E$206,MATCH(B477,'12 P6 activities'!$A$7:$A$206,0)),""))</f>
        <v/>
      </c>
      <c r="H477" s="143"/>
      <c r="I477" s="143"/>
      <c r="J477" s="6"/>
      <c r="K477" s="6"/>
      <c r="L477" s="6"/>
      <c r="M477" s="6"/>
      <c r="N477" s="6"/>
      <c r="O477" s="6"/>
      <c r="P477" s="6"/>
      <c r="Q477" s="6"/>
      <c r="R477" s="6"/>
      <c r="S477" s="6"/>
      <c r="T477" s="6"/>
      <c r="U477" s="6"/>
      <c r="V477" s="6"/>
      <c r="W477" s="6"/>
      <c r="X477" s="6"/>
      <c r="Y477" s="6"/>
      <c r="Z477" s="6"/>
    </row>
    <row r="478" spans="1:26" ht="18" customHeight="1" x14ac:dyDescent="0.3">
      <c r="A478" s="142"/>
      <c r="B478" s="143"/>
      <c r="C478" s="151" t="str">
        <f>IF(B478="","",IFERROR(INDEX('12 P6 activities'!$B$7:$B$206,MATCH(B478,'12 P6 activities'!$A$7:$A$206,0)),"ID not in P6 list"))</f>
        <v/>
      </c>
      <c r="D478" s="151" t="str">
        <f>IF(B478="","",IFERROR(INDEX('12 P6 activities'!$C$7:$C$206,MATCH(B478,'12 P6 activities'!$A$7:$A$206,0)),"⚠ not in P6 list"))</f>
        <v/>
      </c>
      <c r="E478" s="143"/>
      <c r="F478" s="147"/>
      <c r="G478" s="145" t="str">
        <f>IF(B478="","",IFERROR(INDEX('12 P6 activities'!$E$7:$E$206,MATCH(B478,'12 P6 activities'!$A$7:$A$206,0)),""))</f>
        <v/>
      </c>
      <c r="H478" s="143"/>
      <c r="I478" s="143"/>
      <c r="J478" s="6"/>
      <c r="K478" s="6"/>
      <c r="L478" s="6"/>
      <c r="M478" s="6"/>
      <c r="N478" s="6"/>
      <c r="O478" s="6"/>
      <c r="P478" s="6"/>
      <c r="Q478" s="6"/>
      <c r="R478" s="6"/>
      <c r="S478" s="6"/>
      <c r="T478" s="6"/>
      <c r="U478" s="6"/>
      <c r="V478" s="6"/>
      <c r="W478" s="6"/>
      <c r="X478" s="6"/>
      <c r="Y478" s="6"/>
      <c r="Z478" s="6"/>
    </row>
    <row r="479" spans="1:26" ht="18" customHeight="1" x14ac:dyDescent="0.3">
      <c r="A479" s="142"/>
      <c r="B479" s="143"/>
      <c r="C479" s="151" t="str">
        <f>IF(B479="","",IFERROR(INDEX('12 P6 activities'!$B$7:$B$206,MATCH(B479,'12 P6 activities'!$A$7:$A$206,0)),"ID not in P6 list"))</f>
        <v/>
      </c>
      <c r="D479" s="151" t="str">
        <f>IF(B479="","",IFERROR(INDEX('12 P6 activities'!$C$7:$C$206,MATCH(B479,'12 P6 activities'!$A$7:$A$206,0)),"⚠ not in P6 list"))</f>
        <v/>
      </c>
      <c r="E479" s="143"/>
      <c r="F479" s="147"/>
      <c r="G479" s="145" t="str">
        <f>IF(B479="","",IFERROR(INDEX('12 P6 activities'!$E$7:$E$206,MATCH(B479,'12 P6 activities'!$A$7:$A$206,0)),""))</f>
        <v/>
      </c>
      <c r="H479" s="143"/>
      <c r="I479" s="143"/>
      <c r="J479" s="6"/>
      <c r="K479" s="6"/>
      <c r="L479" s="6"/>
      <c r="M479" s="6"/>
      <c r="N479" s="6"/>
      <c r="O479" s="6"/>
      <c r="P479" s="6"/>
      <c r="Q479" s="6"/>
      <c r="R479" s="6"/>
      <c r="S479" s="6"/>
      <c r="T479" s="6"/>
      <c r="U479" s="6"/>
      <c r="V479" s="6"/>
      <c r="W479" s="6"/>
      <c r="X479" s="6"/>
      <c r="Y479" s="6"/>
      <c r="Z479" s="6"/>
    </row>
    <row r="480" spans="1:26" ht="18" customHeight="1" x14ac:dyDescent="0.3">
      <c r="A480" s="142"/>
      <c r="B480" s="143"/>
      <c r="C480" s="151" t="str">
        <f>IF(B480="","",IFERROR(INDEX('12 P6 activities'!$B$7:$B$206,MATCH(B480,'12 P6 activities'!$A$7:$A$206,0)),"ID not in P6 list"))</f>
        <v/>
      </c>
      <c r="D480" s="151" t="str">
        <f>IF(B480="","",IFERROR(INDEX('12 P6 activities'!$C$7:$C$206,MATCH(B480,'12 P6 activities'!$A$7:$A$206,0)),"⚠ not in P6 list"))</f>
        <v/>
      </c>
      <c r="E480" s="143"/>
      <c r="F480" s="147"/>
      <c r="G480" s="145" t="str">
        <f>IF(B480="","",IFERROR(INDEX('12 P6 activities'!$E$7:$E$206,MATCH(B480,'12 P6 activities'!$A$7:$A$206,0)),""))</f>
        <v/>
      </c>
      <c r="H480" s="143"/>
      <c r="I480" s="143"/>
      <c r="J480" s="6"/>
      <c r="K480" s="6"/>
      <c r="L480" s="6"/>
      <c r="M480" s="6"/>
      <c r="N480" s="6"/>
      <c r="O480" s="6"/>
      <c r="P480" s="6"/>
      <c r="Q480" s="6"/>
      <c r="R480" s="6"/>
      <c r="S480" s="6"/>
      <c r="T480" s="6"/>
      <c r="U480" s="6"/>
      <c r="V480" s="6"/>
      <c r="W480" s="6"/>
      <c r="X480" s="6"/>
      <c r="Y480" s="6"/>
      <c r="Z480" s="6"/>
    </row>
    <row r="481" spans="1:26" ht="18" customHeight="1" x14ac:dyDescent="0.3">
      <c r="A481" s="142"/>
      <c r="B481" s="143"/>
      <c r="C481" s="151" t="str">
        <f>IF(B481="","",IFERROR(INDEX('12 P6 activities'!$B$7:$B$206,MATCH(B481,'12 P6 activities'!$A$7:$A$206,0)),"ID not in P6 list"))</f>
        <v/>
      </c>
      <c r="D481" s="151" t="str">
        <f>IF(B481="","",IFERROR(INDEX('12 P6 activities'!$C$7:$C$206,MATCH(B481,'12 P6 activities'!$A$7:$A$206,0)),"⚠ not in P6 list"))</f>
        <v/>
      </c>
      <c r="E481" s="143"/>
      <c r="F481" s="147"/>
      <c r="G481" s="145" t="str">
        <f>IF(B481="","",IFERROR(INDEX('12 P6 activities'!$E$7:$E$206,MATCH(B481,'12 P6 activities'!$A$7:$A$206,0)),""))</f>
        <v/>
      </c>
      <c r="H481" s="143"/>
      <c r="I481" s="143"/>
      <c r="J481" s="6"/>
      <c r="K481" s="6"/>
      <c r="L481" s="6"/>
      <c r="M481" s="6"/>
      <c r="N481" s="6"/>
      <c r="O481" s="6"/>
      <c r="P481" s="6"/>
      <c r="Q481" s="6"/>
      <c r="R481" s="6"/>
      <c r="S481" s="6"/>
      <c r="T481" s="6"/>
      <c r="U481" s="6"/>
      <c r="V481" s="6"/>
      <c r="W481" s="6"/>
      <c r="X481" s="6"/>
      <c r="Y481" s="6"/>
      <c r="Z481" s="6"/>
    </row>
    <row r="482" spans="1:26" ht="18" customHeight="1" x14ac:dyDescent="0.3">
      <c r="A482" s="142"/>
      <c r="B482" s="143"/>
      <c r="C482" s="151" t="str">
        <f>IF(B482="","",IFERROR(INDEX('12 P6 activities'!$B$7:$B$206,MATCH(B482,'12 P6 activities'!$A$7:$A$206,0)),"ID not in P6 list"))</f>
        <v/>
      </c>
      <c r="D482" s="151" t="str">
        <f>IF(B482="","",IFERROR(INDEX('12 P6 activities'!$C$7:$C$206,MATCH(B482,'12 P6 activities'!$A$7:$A$206,0)),"⚠ not in P6 list"))</f>
        <v/>
      </c>
      <c r="E482" s="143"/>
      <c r="F482" s="147"/>
      <c r="G482" s="145" t="str">
        <f>IF(B482="","",IFERROR(INDEX('12 P6 activities'!$E$7:$E$206,MATCH(B482,'12 P6 activities'!$A$7:$A$206,0)),""))</f>
        <v/>
      </c>
      <c r="H482" s="143"/>
      <c r="I482" s="143"/>
      <c r="J482" s="6"/>
      <c r="K482" s="6"/>
      <c r="L482" s="6"/>
      <c r="M482" s="6"/>
      <c r="N482" s="6"/>
      <c r="O482" s="6"/>
      <c r="P482" s="6"/>
      <c r="Q482" s="6"/>
      <c r="R482" s="6"/>
      <c r="S482" s="6"/>
      <c r="T482" s="6"/>
      <c r="U482" s="6"/>
      <c r="V482" s="6"/>
      <c r="W482" s="6"/>
      <c r="X482" s="6"/>
      <c r="Y482" s="6"/>
      <c r="Z482" s="6"/>
    </row>
    <row r="483" spans="1:26" ht="18" customHeight="1" x14ac:dyDescent="0.3">
      <c r="A483" s="142"/>
      <c r="B483" s="143"/>
      <c r="C483" s="151" t="str">
        <f>IF(B483="","",IFERROR(INDEX('12 P6 activities'!$B$7:$B$206,MATCH(B483,'12 P6 activities'!$A$7:$A$206,0)),"ID not in P6 list"))</f>
        <v/>
      </c>
      <c r="D483" s="151" t="str">
        <f>IF(B483="","",IFERROR(INDEX('12 P6 activities'!$C$7:$C$206,MATCH(B483,'12 P6 activities'!$A$7:$A$206,0)),"⚠ not in P6 list"))</f>
        <v/>
      </c>
      <c r="E483" s="143"/>
      <c r="F483" s="147"/>
      <c r="G483" s="145" t="str">
        <f>IF(B483="","",IFERROR(INDEX('12 P6 activities'!$E$7:$E$206,MATCH(B483,'12 P6 activities'!$A$7:$A$206,0)),""))</f>
        <v/>
      </c>
      <c r="H483" s="143"/>
      <c r="I483" s="143"/>
      <c r="J483" s="6"/>
      <c r="K483" s="6"/>
      <c r="L483" s="6"/>
      <c r="M483" s="6"/>
      <c r="N483" s="6"/>
      <c r="O483" s="6"/>
      <c r="P483" s="6"/>
      <c r="Q483" s="6"/>
      <c r="R483" s="6"/>
      <c r="S483" s="6"/>
      <c r="T483" s="6"/>
      <c r="U483" s="6"/>
      <c r="V483" s="6"/>
      <c r="W483" s="6"/>
      <c r="X483" s="6"/>
      <c r="Y483" s="6"/>
      <c r="Z483" s="6"/>
    </row>
    <row r="484" spans="1:26" ht="18" customHeight="1" x14ac:dyDescent="0.3">
      <c r="A484" s="142"/>
      <c r="B484" s="143"/>
      <c r="C484" s="151" t="str">
        <f>IF(B484="","",IFERROR(INDEX('12 P6 activities'!$B$7:$B$206,MATCH(B484,'12 P6 activities'!$A$7:$A$206,0)),"ID not in P6 list"))</f>
        <v/>
      </c>
      <c r="D484" s="151" t="str">
        <f>IF(B484="","",IFERROR(INDEX('12 P6 activities'!$C$7:$C$206,MATCH(B484,'12 P6 activities'!$A$7:$A$206,0)),"⚠ not in P6 list"))</f>
        <v/>
      </c>
      <c r="E484" s="143"/>
      <c r="F484" s="147"/>
      <c r="G484" s="145" t="str">
        <f>IF(B484="","",IFERROR(INDEX('12 P6 activities'!$E$7:$E$206,MATCH(B484,'12 P6 activities'!$A$7:$A$206,0)),""))</f>
        <v/>
      </c>
      <c r="H484" s="143"/>
      <c r="I484" s="143"/>
      <c r="J484" s="6"/>
      <c r="K484" s="6"/>
      <c r="L484" s="6"/>
      <c r="M484" s="6"/>
      <c r="N484" s="6"/>
      <c r="O484" s="6"/>
      <c r="P484" s="6"/>
      <c r="Q484" s="6"/>
      <c r="R484" s="6"/>
      <c r="S484" s="6"/>
      <c r="T484" s="6"/>
      <c r="U484" s="6"/>
      <c r="V484" s="6"/>
      <c r="W484" s="6"/>
      <c r="X484" s="6"/>
      <c r="Y484" s="6"/>
      <c r="Z484" s="6"/>
    </row>
    <row r="485" spans="1:26" ht="18" customHeight="1" x14ac:dyDescent="0.3">
      <c r="A485" s="142"/>
      <c r="B485" s="143"/>
      <c r="C485" s="151" t="str">
        <f>IF(B485="","",IFERROR(INDEX('12 P6 activities'!$B$7:$B$206,MATCH(B485,'12 P6 activities'!$A$7:$A$206,0)),"ID not in P6 list"))</f>
        <v/>
      </c>
      <c r="D485" s="151" t="str">
        <f>IF(B485="","",IFERROR(INDEX('12 P6 activities'!$C$7:$C$206,MATCH(B485,'12 P6 activities'!$A$7:$A$206,0)),"⚠ not in P6 list"))</f>
        <v/>
      </c>
      <c r="E485" s="143"/>
      <c r="F485" s="147"/>
      <c r="G485" s="145" t="str">
        <f>IF(B485="","",IFERROR(INDEX('12 P6 activities'!$E$7:$E$206,MATCH(B485,'12 P6 activities'!$A$7:$A$206,0)),""))</f>
        <v/>
      </c>
      <c r="H485" s="143"/>
      <c r="I485" s="143"/>
      <c r="J485" s="6"/>
      <c r="K485" s="6"/>
      <c r="L485" s="6"/>
      <c r="M485" s="6"/>
      <c r="N485" s="6"/>
      <c r="O485" s="6"/>
      <c r="P485" s="6"/>
      <c r="Q485" s="6"/>
      <c r="R485" s="6"/>
      <c r="S485" s="6"/>
      <c r="T485" s="6"/>
      <c r="U485" s="6"/>
      <c r="V485" s="6"/>
      <c r="W485" s="6"/>
      <c r="X485" s="6"/>
      <c r="Y485" s="6"/>
      <c r="Z485" s="6"/>
    </row>
    <row r="486" spans="1:26" ht="18" customHeight="1" x14ac:dyDescent="0.3">
      <c r="A486" s="142"/>
      <c r="B486" s="143"/>
      <c r="C486" s="151" t="str">
        <f>IF(B486="","",IFERROR(INDEX('12 P6 activities'!$B$7:$B$206,MATCH(B486,'12 P6 activities'!$A$7:$A$206,0)),"ID not in P6 list"))</f>
        <v/>
      </c>
      <c r="D486" s="151" t="str">
        <f>IF(B486="","",IFERROR(INDEX('12 P6 activities'!$C$7:$C$206,MATCH(B486,'12 P6 activities'!$A$7:$A$206,0)),"⚠ not in P6 list"))</f>
        <v/>
      </c>
      <c r="E486" s="143"/>
      <c r="F486" s="147"/>
      <c r="G486" s="145" t="str">
        <f>IF(B486="","",IFERROR(INDEX('12 P6 activities'!$E$7:$E$206,MATCH(B486,'12 P6 activities'!$A$7:$A$206,0)),""))</f>
        <v/>
      </c>
      <c r="H486" s="143"/>
      <c r="I486" s="143"/>
      <c r="J486" s="6"/>
      <c r="K486" s="6"/>
      <c r="L486" s="6"/>
      <c r="M486" s="6"/>
      <c r="N486" s="6"/>
      <c r="O486" s="6"/>
      <c r="P486" s="6"/>
      <c r="Q486" s="6"/>
      <c r="R486" s="6"/>
      <c r="S486" s="6"/>
      <c r="T486" s="6"/>
      <c r="U486" s="6"/>
      <c r="V486" s="6"/>
      <c r="W486" s="6"/>
      <c r="X486" s="6"/>
      <c r="Y486" s="6"/>
      <c r="Z486" s="6"/>
    </row>
    <row r="487" spans="1:26" ht="18" customHeight="1" x14ac:dyDescent="0.3">
      <c r="A487" s="142"/>
      <c r="B487" s="143"/>
      <c r="C487" s="151" t="str">
        <f>IF(B487="","",IFERROR(INDEX('12 P6 activities'!$B$7:$B$206,MATCH(B487,'12 P6 activities'!$A$7:$A$206,0)),"ID not in P6 list"))</f>
        <v/>
      </c>
      <c r="D487" s="151" t="str">
        <f>IF(B487="","",IFERROR(INDEX('12 P6 activities'!$C$7:$C$206,MATCH(B487,'12 P6 activities'!$A$7:$A$206,0)),"⚠ not in P6 list"))</f>
        <v/>
      </c>
      <c r="E487" s="143"/>
      <c r="F487" s="147"/>
      <c r="G487" s="145" t="str">
        <f>IF(B487="","",IFERROR(INDEX('12 P6 activities'!$E$7:$E$206,MATCH(B487,'12 P6 activities'!$A$7:$A$206,0)),""))</f>
        <v/>
      </c>
      <c r="H487" s="143"/>
      <c r="I487" s="143"/>
      <c r="J487" s="6"/>
      <c r="K487" s="6"/>
      <c r="L487" s="6"/>
      <c r="M487" s="6"/>
      <c r="N487" s="6"/>
      <c r="O487" s="6"/>
      <c r="P487" s="6"/>
      <c r="Q487" s="6"/>
      <c r="R487" s="6"/>
      <c r="S487" s="6"/>
      <c r="T487" s="6"/>
      <c r="U487" s="6"/>
      <c r="V487" s="6"/>
      <c r="W487" s="6"/>
      <c r="X487" s="6"/>
      <c r="Y487" s="6"/>
      <c r="Z487" s="6"/>
    </row>
    <row r="488" spans="1:26" ht="18" customHeight="1" x14ac:dyDescent="0.3">
      <c r="A488" s="142"/>
      <c r="B488" s="143"/>
      <c r="C488" s="151" t="str">
        <f>IF(B488="","",IFERROR(INDEX('12 P6 activities'!$B$7:$B$206,MATCH(B488,'12 P6 activities'!$A$7:$A$206,0)),"ID not in P6 list"))</f>
        <v/>
      </c>
      <c r="D488" s="151" t="str">
        <f>IF(B488="","",IFERROR(INDEX('12 P6 activities'!$C$7:$C$206,MATCH(B488,'12 P6 activities'!$A$7:$A$206,0)),"⚠ not in P6 list"))</f>
        <v/>
      </c>
      <c r="E488" s="143"/>
      <c r="F488" s="147"/>
      <c r="G488" s="145" t="str">
        <f>IF(B488="","",IFERROR(INDEX('12 P6 activities'!$E$7:$E$206,MATCH(B488,'12 P6 activities'!$A$7:$A$206,0)),""))</f>
        <v/>
      </c>
      <c r="H488" s="143"/>
      <c r="I488" s="143"/>
      <c r="J488" s="6"/>
      <c r="K488" s="6"/>
      <c r="L488" s="6"/>
      <c r="M488" s="6"/>
      <c r="N488" s="6"/>
      <c r="O488" s="6"/>
      <c r="P488" s="6"/>
      <c r="Q488" s="6"/>
      <c r="R488" s="6"/>
      <c r="S488" s="6"/>
      <c r="T488" s="6"/>
      <c r="U488" s="6"/>
      <c r="V488" s="6"/>
      <c r="W488" s="6"/>
      <c r="X488" s="6"/>
      <c r="Y488" s="6"/>
      <c r="Z488" s="6"/>
    </row>
    <row r="489" spans="1:26" ht="18" customHeight="1" x14ac:dyDescent="0.3">
      <c r="A489" s="142"/>
      <c r="B489" s="143"/>
      <c r="C489" s="151" t="str">
        <f>IF(B489="","",IFERROR(INDEX('12 P6 activities'!$B$7:$B$206,MATCH(B489,'12 P6 activities'!$A$7:$A$206,0)),"ID not in P6 list"))</f>
        <v/>
      </c>
      <c r="D489" s="151" t="str">
        <f>IF(B489="","",IFERROR(INDEX('12 P6 activities'!$C$7:$C$206,MATCH(B489,'12 P6 activities'!$A$7:$A$206,0)),"⚠ not in P6 list"))</f>
        <v/>
      </c>
      <c r="E489" s="143"/>
      <c r="F489" s="147"/>
      <c r="G489" s="145" t="str">
        <f>IF(B489="","",IFERROR(INDEX('12 P6 activities'!$E$7:$E$206,MATCH(B489,'12 P6 activities'!$A$7:$A$206,0)),""))</f>
        <v/>
      </c>
      <c r="H489" s="143"/>
      <c r="I489" s="143"/>
      <c r="J489" s="6"/>
      <c r="K489" s="6"/>
      <c r="L489" s="6"/>
      <c r="M489" s="6"/>
      <c r="N489" s="6"/>
      <c r="O489" s="6"/>
      <c r="P489" s="6"/>
      <c r="Q489" s="6"/>
      <c r="R489" s="6"/>
      <c r="S489" s="6"/>
      <c r="T489" s="6"/>
      <c r="U489" s="6"/>
      <c r="V489" s="6"/>
      <c r="W489" s="6"/>
      <c r="X489" s="6"/>
      <c r="Y489" s="6"/>
      <c r="Z489" s="6"/>
    </row>
    <row r="490" spans="1:26" ht="18" customHeight="1" x14ac:dyDescent="0.3">
      <c r="A490" s="142"/>
      <c r="B490" s="143"/>
      <c r="C490" s="151" t="str">
        <f>IF(B490="","",IFERROR(INDEX('12 P6 activities'!$B$7:$B$206,MATCH(B490,'12 P6 activities'!$A$7:$A$206,0)),"ID not in P6 list"))</f>
        <v/>
      </c>
      <c r="D490" s="151" t="str">
        <f>IF(B490="","",IFERROR(INDEX('12 P6 activities'!$C$7:$C$206,MATCH(B490,'12 P6 activities'!$A$7:$A$206,0)),"⚠ not in P6 list"))</f>
        <v/>
      </c>
      <c r="E490" s="143"/>
      <c r="F490" s="147"/>
      <c r="G490" s="145" t="str">
        <f>IF(B490="","",IFERROR(INDEX('12 P6 activities'!$E$7:$E$206,MATCH(B490,'12 P6 activities'!$A$7:$A$206,0)),""))</f>
        <v/>
      </c>
      <c r="H490" s="143"/>
      <c r="I490" s="143"/>
      <c r="J490" s="6"/>
      <c r="K490" s="6"/>
      <c r="L490" s="6"/>
      <c r="M490" s="6"/>
      <c r="N490" s="6"/>
      <c r="O490" s="6"/>
      <c r="P490" s="6"/>
      <c r="Q490" s="6"/>
      <c r="R490" s="6"/>
      <c r="S490" s="6"/>
      <c r="T490" s="6"/>
      <c r="U490" s="6"/>
      <c r="V490" s="6"/>
      <c r="W490" s="6"/>
      <c r="X490" s="6"/>
      <c r="Y490" s="6"/>
      <c r="Z490" s="6"/>
    </row>
    <row r="491" spans="1:26" ht="18" customHeight="1" x14ac:dyDescent="0.3">
      <c r="A491" s="142"/>
      <c r="B491" s="143"/>
      <c r="C491" s="151" t="str">
        <f>IF(B491="","",IFERROR(INDEX('12 P6 activities'!$B$7:$B$206,MATCH(B491,'12 P6 activities'!$A$7:$A$206,0)),"ID not in P6 list"))</f>
        <v/>
      </c>
      <c r="D491" s="151" t="str">
        <f>IF(B491="","",IFERROR(INDEX('12 P6 activities'!$C$7:$C$206,MATCH(B491,'12 P6 activities'!$A$7:$A$206,0)),"⚠ not in P6 list"))</f>
        <v/>
      </c>
      <c r="E491" s="143"/>
      <c r="F491" s="147"/>
      <c r="G491" s="145" t="str">
        <f>IF(B491="","",IFERROR(INDEX('12 P6 activities'!$E$7:$E$206,MATCH(B491,'12 P6 activities'!$A$7:$A$206,0)),""))</f>
        <v/>
      </c>
      <c r="H491" s="143"/>
      <c r="I491" s="143"/>
      <c r="J491" s="6"/>
      <c r="K491" s="6"/>
      <c r="L491" s="6"/>
      <c r="M491" s="6"/>
      <c r="N491" s="6"/>
      <c r="O491" s="6"/>
      <c r="P491" s="6"/>
      <c r="Q491" s="6"/>
      <c r="R491" s="6"/>
      <c r="S491" s="6"/>
      <c r="T491" s="6"/>
      <c r="U491" s="6"/>
      <c r="V491" s="6"/>
      <c r="W491" s="6"/>
      <c r="X491" s="6"/>
      <c r="Y491" s="6"/>
      <c r="Z491" s="6"/>
    </row>
    <row r="492" spans="1:26" ht="18" customHeight="1" x14ac:dyDescent="0.3">
      <c r="A492" s="142"/>
      <c r="B492" s="143"/>
      <c r="C492" s="151" t="str">
        <f>IF(B492="","",IFERROR(INDEX('12 P6 activities'!$B$7:$B$206,MATCH(B492,'12 P6 activities'!$A$7:$A$206,0)),"ID not in P6 list"))</f>
        <v/>
      </c>
      <c r="D492" s="151" t="str">
        <f>IF(B492="","",IFERROR(INDEX('12 P6 activities'!$C$7:$C$206,MATCH(B492,'12 P6 activities'!$A$7:$A$206,0)),"⚠ not in P6 list"))</f>
        <v/>
      </c>
      <c r="E492" s="143"/>
      <c r="F492" s="147"/>
      <c r="G492" s="145" t="str">
        <f>IF(B492="","",IFERROR(INDEX('12 P6 activities'!$E$7:$E$206,MATCH(B492,'12 P6 activities'!$A$7:$A$206,0)),""))</f>
        <v/>
      </c>
      <c r="H492" s="143"/>
      <c r="I492" s="143"/>
      <c r="J492" s="6"/>
      <c r="K492" s="6"/>
      <c r="L492" s="6"/>
      <c r="M492" s="6"/>
      <c r="N492" s="6"/>
      <c r="O492" s="6"/>
      <c r="P492" s="6"/>
      <c r="Q492" s="6"/>
      <c r="R492" s="6"/>
      <c r="S492" s="6"/>
      <c r="T492" s="6"/>
      <c r="U492" s="6"/>
      <c r="V492" s="6"/>
      <c r="W492" s="6"/>
      <c r="X492" s="6"/>
      <c r="Y492" s="6"/>
      <c r="Z492" s="6"/>
    </row>
    <row r="493" spans="1:26" ht="18" customHeight="1" x14ac:dyDescent="0.3">
      <c r="A493" s="142"/>
      <c r="B493" s="143"/>
      <c r="C493" s="151" t="str">
        <f>IF(B493="","",IFERROR(INDEX('12 P6 activities'!$B$7:$B$206,MATCH(B493,'12 P6 activities'!$A$7:$A$206,0)),"ID not in P6 list"))</f>
        <v/>
      </c>
      <c r="D493" s="151" t="str">
        <f>IF(B493="","",IFERROR(INDEX('12 P6 activities'!$C$7:$C$206,MATCH(B493,'12 P6 activities'!$A$7:$A$206,0)),"⚠ not in P6 list"))</f>
        <v/>
      </c>
      <c r="E493" s="143"/>
      <c r="F493" s="147"/>
      <c r="G493" s="145" t="str">
        <f>IF(B493="","",IFERROR(INDEX('12 P6 activities'!$E$7:$E$206,MATCH(B493,'12 P6 activities'!$A$7:$A$206,0)),""))</f>
        <v/>
      </c>
      <c r="H493" s="143"/>
      <c r="I493" s="143"/>
      <c r="J493" s="6"/>
      <c r="K493" s="6"/>
      <c r="L493" s="6"/>
      <c r="M493" s="6"/>
      <c r="N493" s="6"/>
      <c r="O493" s="6"/>
      <c r="P493" s="6"/>
      <c r="Q493" s="6"/>
      <c r="R493" s="6"/>
      <c r="S493" s="6"/>
      <c r="T493" s="6"/>
      <c r="U493" s="6"/>
      <c r="V493" s="6"/>
      <c r="W493" s="6"/>
      <c r="X493" s="6"/>
      <c r="Y493" s="6"/>
      <c r="Z493" s="6"/>
    </row>
    <row r="494" spans="1:26" ht="18" customHeight="1" x14ac:dyDescent="0.3">
      <c r="A494" s="142"/>
      <c r="B494" s="143"/>
      <c r="C494" s="151" t="str">
        <f>IF(B494="","",IFERROR(INDEX('12 P6 activities'!$B$7:$B$206,MATCH(B494,'12 P6 activities'!$A$7:$A$206,0)),"ID not in P6 list"))</f>
        <v/>
      </c>
      <c r="D494" s="151" t="str">
        <f>IF(B494="","",IFERROR(INDEX('12 P6 activities'!$C$7:$C$206,MATCH(B494,'12 P6 activities'!$A$7:$A$206,0)),"⚠ not in P6 list"))</f>
        <v/>
      </c>
      <c r="E494" s="143"/>
      <c r="F494" s="147"/>
      <c r="G494" s="145" t="str">
        <f>IF(B494="","",IFERROR(INDEX('12 P6 activities'!$E$7:$E$206,MATCH(B494,'12 P6 activities'!$A$7:$A$206,0)),""))</f>
        <v/>
      </c>
      <c r="H494" s="143"/>
      <c r="I494" s="143"/>
      <c r="J494" s="6"/>
      <c r="K494" s="6"/>
      <c r="L494" s="6"/>
      <c r="M494" s="6"/>
      <c r="N494" s="6"/>
      <c r="O494" s="6"/>
      <c r="P494" s="6"/>
      <c r="Q494" s="6"/>
      <c r="R494" s="6"/>
      <c r="S494" s="6"/>
      <c r="T494" s="6"/>
      <c r="U494" s="6"/>
      <c r="V494" s="6"/>
      <c r="W494" s="6"/>
      <c r="X494" s="6"/>
      <c r="Y494" s="6"/>
      <c r="Z494" s="6"/>
    </row>
    <row r="495" spans="1:26" ht="18" customHeight="1" x14ac:dyDescent="0.3">
      <c r="A495" s="142"/>
      <c r="B495" s="143"/>
      <c r="C495" s="151" t="str">
        <f>IF(B495="","",IFERROR(INDEX('12 P6 activities'!$B$7:$B$206,MATCH(B495,'12 P6 activities'!$A$7:$A$206,0)),"ID not in P6 list"))</f>
        <v/>
      </c>
      <c r="D495" s="151" t="str">
        <f>IF(B495="","",IFERROR(INDEX('12 P6 activities'!$C$7:$C$206,MATCH(B495,'12 P6 activities'!$A$7:$A$206,0)),"⚠ not in P6 list"))</f>
        <v/>
      </c>
      <c r="E495" s="143"/>
      <c r="F495" s="147"/>
      <c r="G495" s="145" t="str">
        <f>IF(B495="","",IFERROR(INDEX('12 P6 activities'!$E$7:$E$206,MATCH(B495,'12 P6 activities'!$A$7:$A$206,0)),""))</f>
        <v/>
      </c>
      <c r="H495" s="143"/>
      <c r="I495" s="143"/>
      <c r="J495" s="6"/>
      <c r="K495" s="6"/>
      <c r="L495" s="6"/>
      <c r="M495" s="6"/>
      <c r="N495" s="6"/>
      <c r="O495" s="6"/>
      <c r="P495" s="6"/>
      <c r="Q495" s="6"/>
      <c r="R495" s="6"/>
      <c r="S495" s="6"/>
      <c r="T495" s="6"/>
      <c r="U495" s="6"/>
      <c r="V495" s="6"/>
      <c r="W495" s="6"/>
      <c r="X495" s="6"/>
      <c r="Y495" s="6"/>
      <c r="Z495" s="6"/>
    </row>
    <row r="496" spans="1:26" ht="18" customHeight="1" x14ac:dyDescent="0.3">
      <c r="A496" s="142"/>
      <c r="B496" s="143"/>
      <c r="C496" s="151" t="str">
        <f>IF(B496="","",IFERROR(INDEX('12 P6 activities'!$B$7:$B$206,MATCH(B496,'12 P6 activities'!$A$7:$A$206,0)),"ID not in P6 list"))</f>
        <v/>
      </c>
      <c r="D496" s="151" t="str">
        <f>IF(B496="","",IFERROR(INDEX('12 P6 activities'!$C$7:$C$206,MATCH(B496,'12 P6 activities'!$A$7:$A$206,0)),"⚠ not in P6 list"))</f>
        <v/>
      </c>
      <c r="E496" s="143"/>
      <c r="F496" s="147"/>
      <c r="G496" s="145" t="str">
        <f>IF(B496="","",IFERROR(INDEX('12 P6 activities'!$E$7:$E$206,MATCH(B496,'12 P6 activities'!$A$7:$A$206,0)),""))</f>
        <v/>
      </c>
      <c r="H496" s="143"/>
      <c r="I496" s="143"/>
      <c r="J496" s="6"/>
      <c r="K496" s="6"/>
      <c r="L496" s="6"/>
      <c r="M496" s="6"/>
      <c r="N496" s="6"/>
      <c r="O496" s="6"/>
      <c r="P496" s="6"/>
      <c r="Q496" s="6"/>
      <c r="R496" s="6"/>
      <c r="S496" s="6"/>
      <c r="T496" s="6"/>
      <c r="U496" s="6"/>
      <c r="V496" s="6"/>
      <c r="W496" s="6"/>
      <c r="X496" s="6"/>
      <c r="Y496" s="6"/>
      <c r="Z496" s="6"/>
    </row>
    <row r="497" spans="1:26" ht="18" customHeight="1" x14ac:dyDescent="0.3">
      <c r="A497" s="142"/>
      <c r="B497" s="143"/>
      <c r="C497" s="151" t="str">
        <f>IF(B497="","",IFERROR(INDEX('12 P6 activities'!$B$7:$B$206,MATCH(B497,'12 P6 activities'!$A$7:$A$206,0)),"ID not in P6 list"))</f>
        <v/>
      </c>
      <c r="D497" s="151" t="str">
        <f>IF(B497="","",IFERROR(INDEX('12 P6 activities'!$C$7:$C$206,MATCH(B497,'12 P6 activities'!$A$7:$A$206,0)),"⚠ not in P6 list"))</f>
        <v/>
      </c>
      <c r="E497" s="143"/>
      <c r="F497" s="147"/>
      <c r="G497" s="145" t="str">
        <f>IF(B497="","",IFERROR(INDEX('12 P6 activities'!$E$7:$E$206,MATCH(B497,'12 P6 activities'!$A$7:$A$206,0)),""))</f>
        <v/>
      </c>
      <c r="H497" s="143"/>
      <c r="I497" s="143"/>
      <c r="J497" s="6"/>
      <c r="K497" s="6"/>
      <c r="L497" s="6"/>
      <c r="M497" s="6"/>
      <c r="N497" s="6"/>
      <c r="O497" s="6"/>
      <c r="P497" s="6"/>
      <c r="Q497" s="6"/>
      <c r="R497" s="6"/>
      <c r="S497" s="6"/>
      <c r="T497" s="6"/>
      <c r="U497" s="6"/>
      <c r="V497" s="6"/>
      <c r="W497" s="6"/>
      <c r="X497" s="6"/>
      <c r="Y497" s="6"/>
      <c r="Z497" s="6"/>
    </row>
    <row r="498" spans="1:26" ht="18" customHeight="1" x14ac:dyDescent="0.3">
      <c r="A498" s="142"/>
      <c r="B498" s="143"/>
      <c r="C498" s="151" t="str">
        <f>IF(B498="","",IFERROR(INDEX('12 P6 activities'!$B$7:$B$206,MATCH(B498,'12 P6 activities'!$A$7:$A$206,0)),"ID not in P6 list"))</f>
        <v/>
      </c>
      <c r="D498" s="151" t="str">
        <f>IF(B498="","",IFERROR(INDEX('12 P6 activities'!$C$7:$C$206,MATCH(B498,'12 P6 activities'!$A$7:$A$206,0)),"⚠ not in P6 list"))</f>
        <v/>
      </c>
      <c r="E498" s="143"/>
      <c r="F498" s="147"/>
      <c r="G498" s="145" t="str">
        <f>IF(B498="","",IFERROR(INDEX('12 P6 activities'!$E$7:$E$206,MATCH(B498,'12 P6 activities'!$A$7:$A$206,0)),""))</f>
        <v/>
      </c>
      <c r="H498" s="143"/>
      <c r="I498" s="143"/>
      <c r="J498" s="6"/>
      <c r="K498" s="6"/>
      <c r="L498" s="6"/>
      <c r="M498" s="6"/>
      <c r="N498" s="6"/>
      <c r="O498" s="6"/>
      <c r="P498" s="6"/>
      <c r="Q498" s="6"/>
      <c r="R498" s="6"/>
      <c r="S498" s="6"/>
      <c r="T498" s="6"/>
      <c r="U498" s="6"/>
      <c r="V498" s="6"/>
      <c r="W498" s="6"/>
      <c r="X498" s="6"/>
      <c r="Y498" s="6"/>
      <c r="Z498" s="6"/>
    </row>
    <row r="499" spans="1:26" ht="18" customHeight="1" x14ac:dyDescent="0.3">
      <c r="A499" s="142"/>
      <c r="B499" s="143"/>
      <c r="C499" s="151" t="str">
        <f>IF(B499="","",IFERROR(INDEX('12 P6 activities'!$B$7:$B$206,MATCH(B499,'12 P6 activities'!$A$7:$A$206,0)),"ID not in P6 list"))</f>
        <v/>
      </c>
      <c r="D499" s="151" t="str">
        <f>IF(B499="","",IFERROR(INDEX('12 P6 activities'!$C$7:$C$206,MATCH(B499,'12 P6 activities'!$A$7:$A$206,0)),"⚠ not in P6 list"))</f>
        <v/>
      </c>
      <c r="E499" s="143"/>
      <c r="F499" s="147"/>
      <c r="G499" s="145" t="str">
        <f>IF(B499="","",IFERROR(INDEX('12 P6 activities'!$E$7:$E$206,MATCH(B499,'12 P6 activities'!$A$7:$A$206,0)),""))</f>
        <v/>
      </c>
      <c r="H499" s="143"/>
      <c r="I499" s="143"/>
      <c r="J499" s="6"/>
      <c r="K499" s="6"/>
      <c r="L499" s="6"/>
      <c r="M499" s="6"/>
      <c r="N499" s="6"/>
      <c r="O499" s="6"/>
      <c r="P499" s="6"/>
      <c r="Q499" s="6"/>
      <c r="R499" s="6"/>
      <c r="S499" s="6"/>
      <c r="T499" s="6"/>
      <c r="U499" s="6"/>
      <c r="V499" s="6"/>
      <c r="W499" s="6"/>
      <c r="X499" s="6"/>
      <c r="Y499" s="6"/>
      <c r="Z499" s="6"/>
    </row>
    <row r="500" spans="1:26" ht="18" customHeight="1" x14ac:dyDescent="0.3">
      <c r="A500" s="142"/>
      <c r="B500" s="143"/>
      <c r="C500" s="151" t="str">
        <f>IF(B500="","",IFERROR(INDEX('12 P6 activities'!$B$7:$B$206,MATCH(B500,'12 P6 activities'!$A$7:$A$206,0)),"ID not in P6 list"))</f>
        <v/>
      </c>
      <c r="D500" s="151" t="str">
        <f>IF(B500="","",IFERROR(INDEX('12 P6 activities'!$C$7:$C$206,MATCH(B500,'12 P6 activities'!$A$7:$A$206,0)),"⚠ not in P6 list"))</f>
        <v/>
      </c>
      <c r="E500" s="143"/>
      <c r="F500" s="147"/>
      <c r="G500" s="145" t="str">
        <f>IF(B500="","",IFERROR(INDEX('12 P6 activities'!$E$7:$E$206,MATCH(B500,'12 P6 activities'!$A$7:$A$206,0)),""))</f>
        <v/>
      </c>
      <c r="H500" s="143"/>
      <c r="I500" s="143"/>
      <c r="J500" s="6"/>
      <c r="K500" s="6"/>
      <c r="L500" s="6"/>
      <c r="M500" s="6"/>
      <c r="N500" s="6"/>
      <c r="O500" s="6"/>
      <c r="P500" s="6"/>
      <c r="Q500" s="6"/>
      <c r="R500" s="6"/>
      <c r="S500" s="6"/>
      <c r="T500" s="6"/>
      <c r="U500" s="6"/>
      <c r="V500" s="6"/>
      <c r="W500" s="6"/>
      <c r="X500" s="6"/>
      <c r="Y500" s="6"/>
      <c r="Z500" s="6"/>
    </row>
    <row r="501" spans="1:26" ht="18" customHeight="1" x14ac:dyDescent="0.3">
      <c r="A501" s="142"/>
      <c r="B501" s="143"/>
      <c r="C501" s="151" t="str">
        <f>IF(B501="","",IFERROR(INDEX('12 P6 activities'!$B$7:$B$206,MATCH(B501,'12 P6 activities'!$A$7:$A$206,0)),"ID not in P6 list"))</f>
        <v/>
      </c>
      <c r="D501" s="151" t="str">
        <f>IF(B501="","",IFERROR(INDEX('12 P6 activities'!$C$7:$C$206,MATCH(B501,'12 P6 activities'!$A$7:$A$206,0)),"⚠ not in P6 list"))</f>
        <v/>
      </c>
      <c r="E501" s="143"/>
      <c r="F501" s="147"/>
      <c r="G501" s="145" t="str">
        <f>IF(B501="","",IFERROR(INDEX('12 P6 activities'!$E$7:$E$206,MATCH(B501,'12 P6 activities'!$A$7:$A$206,0)),""))</f>
        <v/>
      </c>
      <c r="H501" s="143"/>
      <c r="I501" s="143"/>
      <c r="J501" s="6"/>
      <c r="K501" s="6"/>
      <c r="L501" s="6"/>
      <c r="M501" s="6"/>
      <c r="N501" s="6"/>
      <c r="O501" s="6"/>
      <c r="P501" s="6"/>
      <c r="Q501" s="6"/>
      <c r="R501" s="6"/>
      <c r="S501" s="6"/>
      <c r="T501" s="6"/>
      <c r="U501" s="6"/>
      <c r="V501" s="6"/>
      <c r="W501" s="6"/>
      <c r="X501" s="6"/>
      <c r="Y501" s="6"/>
      <c r="Z501" s="6"/>
    </row>
    <row r="502" spans="1:26" ht="18" customHeight="1" x14ac:dyDescent="0.3">
      <c r="A502" s="142"/>
      <c r="B502" s="143"/>
      <c r="C502" s="151" t="str">
        <f>IF(B502="","",IFERROR(INDEX('12 P6 activities'!$B$7:$B$206,MATCH(B502,'12 P6 activities'!$A$7:$A$206,0)),"ID not in P6 list"))</f>
        <v/>
      </c>
      <c r="D502" s="151" t="str">
        <f>IF(B502="","",IFERROR(INDEX('12 P6 activities'!$C$7:$C$206,MATCH(B502,'12 P6 activities'!$A$7:$A$206,0)),"⚠ not in P6 list"))</f>
        <v/>
      </c>
      <c r="E502" s="143"/>
      <c r="F502" s="147"/>
      <c r="G502" s="145" t="str">
        <f>IF(B502="","",IFERROR(INDEX('12 P6 activities'!$E$7:$E$206,MATCH(B502,'12 P6 activities'!$A$7:$A$206,0)),""))</f>
        <v/>
      </c>
      <c r="H502" s="143"/>
      <c r="I502" s="143"/>
      <c r="J502" s="6"/>
      <c r="K502" s="6"/>
      <c r="L502" s="6"/>
      <c r="M502" s="6"/>
      <c r="N502" s="6"/>
      <c r="O502" s="6"/>
      <c r="P502" s="6"/>
      <c r="Q502" s="6"/>
      <c r="R502" s="6"/>
      <c r="S502" s="6"/>
      <c r="T502" s="6"/>
      <c r="U502" s="6"/>
      <c r="V502" s="6"/>
      <c r="W502" s="6"/>
      <c r="X502" s="6"/>
      <c r="Y502" s="6"/>
      <c r="Z502" s="6"/>
    </row>
    <row r="503" spans="1:26" ht="18" customHeight="1" x14ac:dyDescent="0.3">
      <c r="A503" s="142"/>
      <c r="B503" s="143"/>
      <c r="C503" s="151" t="str">
        <f>IF(B503="","",IFERROR(INDEX('12 P6 activities'!$B$7:$B$206,MATCH(B503,'12 P6 activities'!$A$7:$A$206,0)),"ID not in P6 list"))</f>
        <v/>
      </c>
      <c r="D503" s="151" t="str">
        <f>IF(B503="","",IFERROR(INDEX('12 P6 activities'!$C$7:$C$206,MATCH(B503,'12 P6 activities'!$A$7:$A$206,0)),"⚠ not in P6 list"))</f>
        <v/>
      </c>
      <c r="E503" s="143"/>
      <c r="F503" s="147"/>
      <c r="G503" s="145" t="str">
        <f>IF(B503="","",IFERROR(INDEX('12 P6 activities'!$E$7:$E$206,MATCH(B503,'12 P6 activities'!$A$7:$A$206,0)),""))</f>
        <v/>
      </c>
      <c r="H503" s="143"/>
      <c r="I503" s="143"/>
      <c r="J503" s="6"/>
      <c r="K503" s="6"/>
      <c r="L503" s="6"/>
      <c r="M503" s="6"/>
      <c r="N503" s="6"/>
      <c r="O503" s="6"/>
      <c r="P503" s="6"/>
      <c r="Q503" s="6"/>
      <c r="R503" s="6"/>
      <c r="S503" s="6"/>
      <c r="T503" s="6"/>
      <c r="U503" s="6"/>
      <c r="V503" s="6"/>
      <c r="W503" s="6"/>
      <c r="X503" s="6"/>
      <c r="Y503" s="6"/>
      <c r="Z503" s="6"/>
    </row>
    <row r="504" spans="1:26" ht="18" customHeight="1" x14ac:dyDescent="0.3">
      <c r="A504" s="142"/>
      <c r="B504" s="143"/>
      <c r="C504" s="151" t="str">
        <f>IF(B504="","",IFERROR(INDEX('12 P6 activities'!$B$7:$B$206,MATCH(B504,'12 P6 activities'!$A$7:$A$206,0)),"ID not in P6 list"))</f>
        <v/>
      </c>
      <c r="D504" s="151" t="str">
        <f>IF(B504="","",IFERROR(INDEX('12 P6 activities'!$C$7:$C$206,MATCH(B504,'12 P6 activities'!$A$7:$A$206,0)),"⚠ not in P6 list"))</f>
        <v/>
      </c>
      <c r="E504" s="143"/>
      <c r="F504" s="147"/>
      <c r="G504" s="145" t="str">
        <f>IF(B504="","",IFERROR(INDEX('12 P6 activities'!$E$7:$E$206,MATCH(B504,'12 P6 activities'!$A$7:$A$206,0)),""))</f>
        <v/>
      </c>
      <c r="H504" s="143"/>
      <c r="I504" s="143"/>
      <c r="J504" s="6"/>
      <c r="K504" s="6"/>
      <c r="L504" s="6"/>
      <c r="M504" s="6"/>
      <c r="N504" s="6"/>
      <c r="O504" s="6"/>
      <c r="P504" s="6"/>
      <c r="Q504" s="6"/>
      <c r="R504" s="6"/>
      <c r="S504" s="6"/>
      <c r="T504" s="6"/>
      <c r="U504" s="6"/>
      <c r="V504" s="6"/>
      <c r="W504" s="6"/>
      <c r="X504" s="6"/>
      <c r="Y504" s="6"/>
      <c r="Z504" s="6"/>
    </row>
    <row r="505" spans="1:26" ht="18" customHeight="1" x14ac:dyDescent="0.3">
      <c r="A505" s="142"/>
      <c r="B505" s="143"/>
      <c r="C505" s="151" t="str">
        <f>IF(B505="","",IFERROR(INDEX('12 P6 activities'!$B$7:$B$206,MATCH(B505,'12 P6 activities'!$A$7:$A$206,0)),"ID not in P6 list"))</f>
        <v/>
      </c>
      <c r="D505" s="151" t="str">
        <f>IF(B505="","",IFERROR(INDEX('12 P6 activities'!$C$7:$C$206,MATCH(B505,'12 P6 activities'!$A$7:$A$206,0)),"⚠ not in P6 list"))</f>
        <v/>
      </c>
      <c r="E505" s="143"/>
      <c r="F505" s="147"/>
      <c r="G505" s="145" t="str">
        <f>IF(B505="","",IFERROR(INDEX('12 P6 activities'!$E$7:$E$206,MATCH(B505,'12 P6 activities'!$A$7:$A$206,0)),""))</f>
        <v/>
      </c>
      <c r="H505" s="143"/>
      <c r="I505" s="143"/>
      <c r="J505" s="6"/>
      <c r="K505" s="6"/>
      <c r="L505" s="6"/>
      <c r="M505" s="6"/>
      <c r="N505" s="6"/>
      <c r="O505" s="6"/>
      <c r="P505" s="6"/>
      <c r="Q505" s="6"/>
      <c r="R505" s="6"/>
      <c r="S505" s="6"/>
      <c r="T505" s="6"/>
      <c r="U505" s="6"/>
      <c r="V505" s="6"/>
      <c r="W505" s="6"/>
      <c r="X505" s="6"/>
      <c r="Y505" s="6"/>
      <c r="Z505" s="6"/>
    </row>
    <row r="506" spans="1:26" ht="18" customHeight="1" x14ac:dyDescent="0.3">
      <c r="A506" s="142"/>
      <c r="B506" s="143"/>
      <c r="C506" s="151" t="str">
        <f>IF(B506="","",IFERROR(INDEX('12 P6 activities'!$B$7:$B$206,MATCH(B506,'12 P6 activities'!$A$7:$A$206,0)),"ID not in P6 list"))</f>
        <v/>
      </c>
      <c r="D506" s="151" t="str">
        <f>IF(B506="","",IFERROR(INDEX('12 P6 activities'!$C$7:$C$206,MATCH(B506,'12 P6 activities'!$A$7:$A$206,0)),"⚠ not in P6 list"))</f>
        <v/>
      </c>
      <c r="E506" s="143"/>
      <c r="F506" s="147"/>
      <c r="G506" s="145" t="str">
        <f>IF(B506="","",IFERROR(INDEX('12 P6 activities'!$E$7:$E$206,MATCH(B506,'12 P6 activities'!$A$7:$A$206,0)),""))</f>
        <v/>
      </c>
      <c r="H506" s="143"/>
      <c r="I506" s="143"/>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D7:D506">
    <cfRule type="containsText" dxfId="19" priority="1" operator="containsText" text="not in P6">
      <formula>NOT(ISERROR(SEARCH("not in P6",D7)))</formula>
    </cfRule>
  </conditionalFormatting>
  <dataValidations count="2">
    <dataValidation type="list" allowBlank="1" showInputMessage="1" showErrorMessage="1" sqref="H7:H506" xr:uid="{DE705FBF-2C6F-48E3-8FFC-A0A2833C374C}">
      <formula1>"Counted,Estimated,Not yet reported"</formula1>
    </dataValidation>
    <dataValidation type="decimal" allowBlank="1" showInputMessage="1" showErrorMessage="1" sqref="F7:F506" xr:uid="{ABCB1A5F-3233-49A0-A8FB-A39CE43BA4AB}">
      <formula1>0</formula1>
      <formula2>100000</formula2>
    </dataValidation>
  </dataValidations>
  <printOptions horizontalCentered="1"/>
  <pageMargins left="0.4" right="0.4" top="0.5" bottom="0.5" header="0.5" footer="0.5"/>
  <pageSetup paperSize="9" scale="10" orientation="landscape"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AB3041BB-62BA-4FB1-A63B-1ED4A1FD1632}">
          <x14:formula1>
            <xm:f>'12 P6 activities'!$A$7:$A$206</xm:f>
          </x14:formula1>
          <xm:sqref>B7:B506</xm:sqref>
        </x14:dataValidation>
        <x14:dataValidation type="list" allowBlank="1" showInputMessage="1" showErrorMessage="1" xr:uid="{5EDB81DB-4F99-444E-A384-5888E3C8C627}">
          <x14:formula1>
            <xm:f>'14 Setup'!$J$12:$J$26</xm:f>
          </x14:formula1>
          <xm:sqref>E7:E506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DF394-7589-43D5-9C45-21FF373C63BB}">
  <sheetPr>
    <tabColor rgb="FF15803D"/>
    <pageSetUpPr fitToPage="1"/>
  </sheetPr>
  <dimension ref="A1:Z1000"/>
  <sheetViews>
    <sheetView showGridLines="0" workbookViewId="0">
      <pane ySplit="6" topLeftCell="A7" activePane="bottomLeft" state="frozen"/>
      <selection pane="bottomLeft" activeCell="D14" sqref="D14"/>
    </sheetView>
  </sheetViews>
  <sheetFormatPr defaultRowHeight="14.4" x14ac:dyDescent="0.3"/>
  <cols>
    <col min="1" max="1" width="15.77734375" customWidth="1"/>
    <col min="2" max="2" width="16.6640625" customWidth="1"/>
    <col min="3" max="3" width="70.33203125" customWidth="1"/>
    <col min="4" max="4" width="17.5546875" customWidth="1"/>
    <col min="5" max="5" width="33.33203125" customWidth="1"/>
    <col min="6" max="6" width="18.5546875" customWidth="1"/>
    <col min="7" max="7" width="10.21875" customWidth="1"/>
    <col min="8" max="8" width="17.5546875" customWidth="1"/>
    <col min="9" max="10" width="42.5546875" customWidth="1"/>
    <col min="11" max="11" width="3.6640625" customWidth="1"/>
    <col min="12" max="12" width="14.77734375" customWidth="1"/>
    <col min="13" max="13" width="16.6640625" customWidth="1"/>
    <col min="14" max="14" width="35.21875" customWidth="1"/>
    <col min="15" max="15" width="24.109375" customWidth="1"/>
    <col min="16" max="16" width="13" customWidth="1"/>
    <col min="17" max="17" width="8.33203125" customWidth="1"/>
    <col min="18" max="18" width="14.77734375" customWidth="1"/>
    <col min="19" max="19" width="42.5546875" customWidth="1"/>
  </cols>
  <sheetData>
    <row r="1" spans="1:26" ht="28.05" customHeight="1" x14ac:dyDescent="0.4">
      <c r="A1" s="112" t="s">
        <v>346</v>
      </c>
      <c r="B1" s="6"/>
      <c r="C1" s="6"/>
      <c r="D1" s="6"/>
      <c r="E1" s="6"/>
      <c r="F1" s="6"/>
      <c r="G1" s="6"/>
      <c r="H1" s="6"/>
      <c r="I1" s="6"/>
      <c r="J1" s="113"/>
      <c r="K1" s="176" t="s">
        <v>32</v>
      </c>
      <c r="L1" s="6"/>
      <c r="M1" s="6"/>
      <c r="N1" s="6"/>
      <c r="O1" s="6"/>
      <c r="P1" s="6"/>
      <c r="Q1" s="6"/>
      <c r="R1" s="6"/>
      <c r="S1" s="6"/>
      <c r="T1" s="6"/>
      <c r="U1" s="6"/>
      <c r="V1" s="6"/>
      <c r="W1" s="6"/>
      <c r="X1" s="6"/>
      <c r="Y1" s="6"/>
      <c r="Z1" s="6"/>
    </row>
    <row r="2" spans="1:26" x14ac:dyDescent="0.3">
      <c r="A2" s="114" t="s">
        <v>347</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348</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16"/>
      <c r="B4" s="116"/>
      <c r="C4" s="116"/>
      <c r="D4" s="116"/>
      <c r="E4" s="116"/>
      <c r="F4" s="116"/>
      <c r="G4" s="116"/>
      <c r="H4" s="116"/>
      <c r="I4" s="116"/>
      <c r="J4" s="11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42</v>
      </c>
      <c r="B6" s="141" t="s">
        <v>129</v>
      </c>
      <c r="C6" s="141" t="s">
        <v>130</v>
      </c>
      <c r="D6" s="141" t="s">
        <v>294</v>
      </c>
      <c r="E6" s="141" t="s">
        <v>405</v>
      </c>
      <c r="F6" s="141" t="s">
        <v>406</v>
      </c>
      <c r="G6" s="141" t="s">
        <v>131</v>
      </c>
      <c r="H6" s="141" t="s">
        <v>132</v>
      </c>
      <c r="I6" s="141" t="s">
        <v>133</v>
      </c>
      <c r="J6" s="141"/>
      <c r="K6" s="141"/>
      <c r="L6" s="6"/>
      <c r="M6" s="6"/>
      <c r="N6" s="6"/>
      <c r="O6" s="6"/>
      <c r="P6" s="6"/>
      <c r="Q6" s="6"/>
      <c r="R6" s="6"/>
      <c r="S6" s="6"/>
      <c r="T6" s="6"/>
      <c r="U6" s="6"/>
      <c r="V6" s="6"/>
      <c r="W6" s="6"/>
      <c r="X6" s="6"/>
      <c r="Y6" s="6"/>
      <c r="Z6" s="6"/>
    </row>
    <row r="7" spans="1:26" ht="18" customHeight="1" x14ac:dyDescent="0.3">
      <c r="A7" s="152">
        <v>46083</v>
      </c>
      <c r="B7" s="128" t="s">
        <v>134</v>
      </c>
      <c r="C7" s="152" t="s">
        <v>152</v>
      </c>
      <c r="D7" s="128"/>
      <c r="E7" s="144" t="str">
        <f>IF(D7="","",IFERROR(INDEX('12 P6 activities'!$B$7:$B$206,MATCH(D7,'12 P6 activities'!$A$7:$A$206,0)),"⚠ not in P6 list"))</f>
        <v/>
      </c>
      <c r="F7" s="144" t="str">
        <f>IF(D7="","",IFERROR(INDEX('12 P6 activities'!$C$7:$C$206,MATCH(D7,'12 P6 activities'!$A$7:$A$206,0)),"⚠ not in P6 list"))</f>
        <v/>
      </c>
      <c r="G7" s="124"/>
      <c r="H7" s="152" t="s">
        <v>124</v>
      </c>
      <c r="I7" s="153" t="str">
        <f>IF(H7&lt;&gt;"Y","",IF(D7="","Pick the affected P6 activity first",IF(COUNTIFS('11 Notice calendar'!$A$7:$A$46,A7,'11 Notice calendar'!$I$7:$I$46,D7)&gt;0,"In the Notice calendar","Log it in the Notice calendar today")))</f>
        <v/>
      </c>
      <c r="J7" s="146"/>
      <c r="K7" s="146"/>
      <c r="L7" s="6"/>
      <c r="M7" s="6"/>
      <c r="N7" s="6"/>
      <c r="O7" s="6"/>
      <c r="P7" s="6"/>
      <c r="Q7" s="6"/>
      <c r="R7" s="6"/>
      <c r="S7" s="6"/>
      <c r="T7" s="6"/>
      <c r="U7" s="6"/>
      <c r="V7" s="6"/>
      <c r="W7" s="6"/>
      <c r="X7" s="6"/>
      <c r="Y7" s="6"/>
      <c r="Z7" s="6"/>
    </row>
    <row r="8" spans="1:26" ht="18" customHeight="1" x14ac:dyDescent="0.3">
      <c r="A8" s="152">
        <v>46084</v>
      </c>
      <c r="B8" s="128" t="s">
        <v>134</v>
      </c>
      <c r="C8" s="152" t="s">
        <v>135</v>
      </c>
      <c r="D8" s="128" t="s">
        <v>275</v>
      </c>
      <c r="E8" s="144" t="str">
        <f>IF(D8="","",IFERROR(INDEX('12 P6 activities'!$B$7:$B$206,MATCH(D8,'12 P6 activities'!$A$7:$A$206,0)),"⚠ not in P6 list"))</f>
        <v>Bored piles, north</v>
      </c>
      <c r="F8" s="144" t="str">
        <f>IF(D8="","",IFERROR(INDEX('12 P6 activities'!$C$7:$C$206,MATCH(D8,'12 P6 activities'!$A$7:$A$206,0)),"⚠ not in P6 list"))</f>
        <v>SITE.FND.PIL</v>
      </c>
      <c r="G8" s="124">
        <v>0.44444444444444398</v>
      </c>
      <c r="H8" s="152" t="s">
        <v>136</v>
      </c>
      <c r="I8" s="153" t="str">
        <f>IF(H8&lt;&gt;"Y","",IF(D8="","Pick the affected P6 activity first",IF(COUNTIFS('11 Notice calendar'!$A$7:$A$46,A8,'11 Notice calendar'!$I$7:$I$46,D8)&gt;0,"In the Notice calendar","Log it in the Notice calendar today")))</f>
        <v>In the Notice calendar</v>
      </c>
      <c r="J8" s="146"/>
      <c r="K8" s="146"/>
      <c r="L8" s="6"/>
      <c r="M8" s="6"/>
      <c r="N8" s="6"/>
      <c r="O8" s="6"/>
      <c r="P8" s="6"/>
      <c r="Q8" s="6"/>
      <c r="R8" s="6"/>
      <c r="S8" s="6"/>
      <c r="T8" s="6"/>
      <c r="U8" s="6"/>
      <c r="V8" s="6"/>
      <c r="W8" s="6"/>
      <c r="X8" s="6"/>
      <c r="Y8" s="6"/>
      <c r="Z8" s="6"/>
    </row>
    <row r="9" spans="1:26" ht="18" customHeight="1" x14ac:dyDescent="0.3">
      <c r="A9" s="152">
        <v>46084</v>
      </c>
      <c r="B9" s="128" t="s">
        <v>137</v>
      </c>
      <c r="C9" s="152" t="s">
        <v>138</v>
      </c>
      <c r="D9" s="128" t="s">
        <v>275</v>
      </c>
      <c r="E9" s="144" t="str">
        <f>IF(D9="","",IFERROR(INDEX('12 P6 activities'!$B$7:$B$206,MATCH(D9,'12 P6 activities'!$A$7:$A$206,0)),"⚠ not in P6 list"))</f>
        <v>Bored piles, north</v>
      </c>
      <c r="F9" s="144" t="str">
        <f>IF(D9="","",IFERROR(INDEX('12 P6 activities'!$C$7:$C$206,MATCH(D9,'12 P6 activities'!$A$7:$A$206,0)),"⚠ not in P6 list"))</f>
        <v>SITE.FND.PIL</v>
      </c>
      <c r="G9" s="124">
        <v>0.46875</v>
      </c>
      <c r="H9" s="152" t="s">
        <v>136</v>
      </c>
      <c r="I9" s="153" t="str">
        <f>IF(H9&lt;&gt;"Y","",IF(D9="","Pick the affected P6 activity first",IF(COUNTIFS('11 Notice calendar'!$A$7:$A$46,A9,'11 Notice calendar'!$I$7:$I$46,D9)&gt;0,"In the Notice calendar","Log it in the Notice calendar today")))</f>
        <v>In the Notice calendar</v>
      </c>
      <c r="J9" s="146"/>
      <c r="K9" s="146"/>
      <c r="L9" s="6"/>
      <c r="M9" s="6"/>
      <c r="N9" s="6"/>
      <c r="O9" s="6"/>
      <c r="P9" s="6"/>
      <c r="Q9" s="6"/>
      <c r="R9" s="6"/>
      <c r="S9" s="6"/>
      <c r="T9" s="6"/>
      <c r="U9" s="6"/>
      <c r="V9" s="6"/>
      <c r="W9" s="6"/>
      <c r="X9" s="6"/>
      <c r="Y9" s="6"/>
      <c r="Z9" s="6"/>
    </row>
    <row r="10" spans="1:26" ht="18" customHeight="1" x14ac:dyDescent="0.3">
      <c r="A10" s="152">
        <v>46084</v>
      </c>
      <c r="B10" s="128" t="s">
        <v>139</v>
      </c>
      <c r="C10" s="152" t="s">
        <v>140</v>
      </c>
      <c r="D10" s="128" t="s">
        <v>284</v>
      </c>
      <c r="E10" s="144" t="str">
        <f>IF(D10="","",IFERROR(INDEX('12 P6 activities'!$B$7:$B$206,MATCH(D10,'12 P6 activities'!$A$7:$A$206,0)),"⚠ not in P6 list"))</f>
        <v>Blinding, substation slab</v>
      </c>
      <c r="F10" s="144" t="str">
        <f>IF(D10="","",IFERROR(INDEX('12 P6 activities'!$C$7:$C$206,MATCH(D10,'12 P6 activities'!$A$7:$A$206,0)),"⚠ not in P6 list"))</f>
        <v>SITE.SUB.SLB</v>
      </c>
      <c r="G10" s="124">
        <v>0.625</v>
      </c>
      <c r="H10" s="152" t="s">
        <v>124</v>
      </c>
      <c r="I10" s="153" t="str">
        <f>IF(H10&lt;&gt;"Y","",IF(D10="","Pick the affected P6 activity first",IF(COUNTIFS('11 Notice calendar'!$A$7:$A$46,A10,'11 Notice calendar'!$I$7:$I$46,D10)&gt;0,"In the Notice calendar","Log it in the Notice calendar today")))</f>
        <v/>
      </c>
      <c r="J10" s="146"/>
      <c r="K10" s="146"/>
      <c r="L10" s="6"/>
      <c r="M10" s="6"/>
      <c r="N10" s="6"/>
      <c r="O10" s="6"/>
      <c r="P10" s="6"/>
      <c r="Q10" s="6"/>
      <c r="R10" s="6"/>
      <c r="S10" s="6"/>
      <c r="T10" s="6"/>
      <c r="U10" s="6"/>
      <c r="V10" s="6"/>
      <c r="W10" s="6"/>
      <c r="X10" s="6"/>
      <c r="Y10" s="6"/>
      <c r="Z10" s="6"/>
    </row>
    <row r="11" spans="1:26" ht="18" customHeight="1" x14ac:dyDescent="0.3">
      <c r="A11" s="152">
        <v>46085</v>
      </c>
      <c r="B11" s="128" t="s">
        <v>134</v>
      </c>
      <c r="C11" s="152" t="s">
        <v>154</v>
      </c>
      <c r="D11" s="128"/>
      <c r="E11" s="144" t="str">
        <f>IF(D11="","",IFERROR(INDEX('12 P6 activities'!$B$7:$B$206,MATCH(D11,'12 P6 activities'!$A$7:$A$206,0)),"⚠ not in P6 list"))</f>
        <v/>
      </c>
      <c r="F11" s="144" t="str">
        <f>IF(D11="","",IFERROR(INDEX('12 P6 activities'!$C$7:$C$206,MATCH(D11,'12 P6 activities'!$A$7:$A$206,0)),"⚠ not in P6 list"))</f>
        <v/>
      </c>
      <c r="G11" s="124"/>
      <c r="H11" s="152" t="s">
        <v>124</v>
      </c>
      <c r="I11" s="153" t="str">
        <f>IF(H11&lt;&gt;"Y","",IF(D11="","Pick the affected P6 activity first",IF(COUNTIFS('11 Notice calendar'!$A$7:$A$46,A11,'11 Notice calendar'!$I$7:$I$46,D11)&gt;0,"In the Notice calendar","Log it in the Notice calendar today")))</f>
        <v/>
      </c>
      <c r="J11" s="146"/>
      <c r="K11" s="146"/>
      <c r="L11" s="6"/>
      <c r="M11" s="6"/>
      <c r="N11" s="6"/>
      <c r="O11" s="6"/>
      <c r="P11" s="6"/>
      <c r="Q11" s="6"/>
      <c r="R11" s="6"/>
      <c r="S11" s="6"/>
      <c r="T11" s="6"/>
      <c r="U11" s="6"/>
      <c r="V11" s="6"/>
      <c r="W11" s="6"/>
      <c r="X11" s="6"/>
      <c r="Y11" s="6"/>
      <c r="Z11" s="6"/>
    </row>
    <row r="12" spans="1:26" ht="18" customHeight="1" x14ac:dyDescent="0.3">
      <c r="A12" s="152">
        <v>46086</v>
      </c>
      <c r="B12" s="128" t="s">
        <v>134</v>
      </c>
      <c r="C12" s="152" t="s">
        <v>156</v>
      </c>
      <c r="D12" s="128"/>
      <c r="E12" s="144" t="str">
        <f>IF(D12="","",IFERROR(INDEX('12 P6 activities'!$B$7:$B$206,MATCH(D12,'12 P6 activities'!$A$7:$A$206,0)),"⚠ not in P6 list"))</f>
        <v/>
      </c>
      <c r="F12" s="144" t="str">
        <f>IF(D12="","",IFERROR(INDEX('12 P6 activities'!$C$7:$C$206,MATCH(D12,'12 P6 activities'!$A$7:$A$206,0)),"⚠ not in P6 list"))</f>
        <v/>
      </c>
      <c r="G12" s="124"/>
      <c r="H12" s="152" t="s">
        <v>124</v>
      </c>
      <c r="I12" s="153" t="str">
        <f>IF(H12&lt;&gt;"Y","",IF(D12="","Pick the affected P6 activity first",IF(COUNTIFS('11 Notice calendar'!$A$7:$A$46,A12,'11 Notice calendar'!$I$7:$I$46,D12)&gt;0,"In the Notice calendar","Log it in the Notice calendar today")))</f>
        <v/>
      </c>
      <c r="J12" s="146"/>
      <c r="K12" s="146"/>
      <c r="L12" s="6"/>
      <c r="M12" s="6"/>
      <c r="N12" s="6"/>
      <c r="O12" s="6"/>
      <c r="P12" s="6"/>
      <c r="Q12" s="6"/>
      <c r="R12" s="6"/>
      <c r="S12" s="6"/>
      <c r="T12" s="6"/>
      <c r="U12" s="6"/>
      <c r="V12" s="6"/>
      <c r="W12" s="6"/>
      <c r="X12" s="6"/>
      <c r="Y12" s="6"/>
      <c r="Z12" s="6"/>
    </row>
    <row r="13" spans="1:26" ht="18" customHeight="1" x14ac:dyDescent="0.3">
      <c r="A13" s="152">
        <v>46087</v>
      </c>
      <c r="B13" s="128" t="s">
        <v>134</v>
      </c>
      <c r="C13" s="152" t="s">
        <v>157</v>
      </c>
      <c r="D13" s="128"/>
      <c r="E13" s="144" t="str">
        <f>IF(D13="","",IFERROR(INDEX('12 P6 activities'!$B$7:$B$206,MATCH(D13,'12 P6 activities'!$A$7:$A$206,0)),"⚠ not in P6 list"))</f>
        <v/>
      </c>
      <c r="F13" s="144" t="str">
        <f>IF(D13="","",IFERROR(INDEX('12 P6 activities'!$C$7:$C$206,MATCH(D13,'12 P6 activities'!$A$7:$A$206,0)),"⚠ not in P6 list"))</f>
        <v/>
      </c>
      <c r="G13" s="124"/>
      <c r="H13" s="152" t="s">
        <v>124</v>
      </c>
      <c r="I13" s="153" t="str">
        <f>IF(H13&lt;&gt;"Y","",IF(D13="","Pick the affected P6 activity first",IF(COUNTIFS('11 Notice calendar'!$A$7:$A$46,A13,'11 Notice calendar'!$I$7:$I$46,D13)&gt;0,"In the Notice calendar","Log it in the Notice calendar today")))</f>
        <v/>
      </c>
      <c r="J13" s="146"/>
      <c r="K13" s="146"/>
      <c r="L13" s="6"/>
      <c r="M13" s="6"/>
      <c r="N13" s="6"/>
      <c r="O13" s="6"/>
      <c r="P13" s="6"/>
      <c r="Q13" s="6"/>
      <c r="R13" s="6"/>
      <c r="S13" s="6"/>
      <c r="T13" s="6"/>
      <c r="U13" s="6"/>
      <c r="V13" s="6"/>
      <c r="W13" s="6"/>
      <c r="X13" s="6"/>
      <c r="Y13" s="6"/>
      <c r="Z13" s="6"/>
    </row>
    <row r="14" spans="1:26" ht="18" customHeight="1" x14ac:dyDescent="0.3">
      <c r="A14" s="152">
        <v>46090</v>
      </c>
      <c r="B14" s="128" t="s">
        <v>134</v>
      </c>
      <c r="C14" s="152" t="s">
        <v>158</v>
      </c>
      <c r="D14" s="128"/>
      <c r="E14" s="144" t="str">
        <f>IF(D14="","",IFERROR(INDEX('12 P6 activities'!$B$7:$B$206,MATCH(D14,'12 P6 activities'!$A$7:$A$206,0)),"⚠ not in P6 list"))</f>
        <v/>
      </c>
      <c r="F14" s="144" t="str">
        <f>IF(D14="","",IFERROR(INDEX('12 P6 activities'!$C$7:$C$206,MATCH(D14,'12 P6 activities'!$A$7:$A$206,0)),"⚠ not in P6 list"))</f>
        <v/>
      </c>
      <c r="G14" s="124"/>
      <c r="H14" s="152" t="s">
        <v>124</v>
      </c>
      <c r="I14" s="153" t="str">
        <f>IF(H14&lt;&gt;"Y","",IF(D14="","Pick the affected P6 activity first",IF(COUNTIFS('11 Notice calendar'!$A$7:$A$46,A14,'11 Notice calendar'!$I$7:$I$46,D14)&gt;0,"In the Notice calendar","Log it in the Notice calendar today")))</f>
        <v/>
      </c>
      <c r="J14" s="146"/>
      <c r="K14" s="146"/>
      <c r="L14" s="6"/>
      <c r="M14" s="6"/>
      <c r="N14" s="6"/>
      <c r="O14" s="6"/>
      <c r="P14" s="6"/>
      <c r="Q14" s="6"/>
      <c r="R14" s="6"/>
      <c r="S14" s="6"/>
      <c r="T14" s="6"/>
      <c r="U14" s="6"/>
      <c r="V14" s="6"/>
      <c r="W14" s="6"/>
      <c r="X14" s="6"/>
      <c r="Y14" s="6"/>
      <c r="Z14" s="6"/>
    </row>
    <row r="15" spans="1:26" ht="18" customHeight="1" x14ac:dyDescent="0.3">
      <c r="A15" s="152">
        <v>46091</v>
      </c>
      <c r="B15" s="128" t="s">
        <v>134</v>
      </c>
      <c r="C15" s="152" t="s">
        <v>159</v>
      </c>
      <c r="D15" s="128"/>
      <c r="E15" s="144" t="str">
        <f>IF(D15="","",IFERROR(INDEX('12 P6 activities'!$B$7:$B$206,MATCH(D15,'12 P6 activities'!$A$7:$A$206,0)),"⚠ not in P6 list"))</f>
        <v/>
      </c>
      <c r="F15" s="144" t="str">
        <f>IF(D15="","",IFERROR(INDEX('12 P6 activities'!$C$7:$C$206,MATCH(D15,'12 P6 activities'!$A$7:$A$206,0)),"⚠ not in P6 list"))</f>
        <v/>
      </c>
      <c r="G15" s="124"/>
      <c r="H15" s="152" t="s">
        <v>124</v>
      </c>
      <c r="I15" s="153" t="str">
        <f>IF(H15&lt;&gt;"Y","",IF(D15="","Pick the affected P6 activity first",IF(COUNTIFS('11 Notice calendar'!$A$7:$A$46,A15,'11 Notice calendar'!$I$7:$I$46,D15)&gt;0,"In the Notice calendar","Log it in the Notice calendar today")))</f>
        <v/>
      </c>
      <c r="J15" s="146"/>
      <c r="K15" s="146"/>
      <c r="L15" s="6"/>
      <c r="M15" s="6"/>
      <c r="N15" s="6"/>
      <c r="O15" s="6"/>
      <c r="P15" s="6"/>
      <c r="Q15" s="6"/>
      <c r="R15" s="6"/>
      <c r="S15" s="6"/>
      <c r="T15" s="6"/>
      <c r="U15" s="6"/>
      <c r="V15" s="6"/>
      <c r="W15" s="6"/>
      <c r="X15" s="6"/>
      <c r="Y15" s="6"/>
      <c r="Z15" s="6"/>
    </row>
    <row r="16" spans="1:26" ht="18" customHeight="1" x14ac:dyDescent="0.3">
      <c r="A16" s="152">
        <v>46092</v>
      </c>
      <c r="B16" s="128" t="s">
        <v>134</v>
      </c>
      <c r="C16" s="152" t="s">
        <v>161</v>
      </c>
      <c r="D16" s="128"/>
      <c r="E16" s="144" t="str">
        <f>IF(D16="","",IFERROR(INDEX('12 P6 activities'!$B$7:$B$206,MATCH(D16,'12 P6 activities'!$A$7:$A$206,0)),"⚠ not in P6 list"))</f>
        <v/>
      </c>
      <c r="F16" s="144" t="str">
        <f>IF(D16="","",IFERROR(INDEX('12 P6 activities'!$C$7:$C$206,MATCH(D16,'12 P6 activities'!$A$7:$A$206,0)),"⚠ not in P6 list"))</f>
        <v/>
      </c>
      <c r="G16" s="124"/>
      <c r="H16" s="152" t="s">
        <v>124</v>
      </c>
      <c r="I16" s="153" t="str">
        <f>IF(H16&lt;&gt;"Y","",IF(D16="","Pick the affected P6 activity first",IF(COUNTIFS('11 Notice calendar'!$A$7:$A$46,A16,'11 Notice calendar'!$I$7:$I$46,D16)&gt;0,"In the Notice calendar","Log it in the Notice calendar today")))</f>
        <v/>
      </c>
      <c r="J16" s="146"/>
      <c r="K16" s="146"/>
      <c r="L16" s="6"/>
      <c r="M16" s="6"/>
      <c r="N16" s="6"/>
      <c r="O16" s="6"/>
      <c r="P16" s="6"/>
      <c r="Q16" s="6"/>
      <c r="R16" s="6"/>
      <c r="S16" s="6"/>
      <c r="T16" s="6"/>
      <c r="U16" s="6"/>
      <c r="V16" s="6"/>
      <c r="W16" s="6"/>
      <c r="X16" s="6"/>
      <c r="Y16" s="6"/>
      <c r="Z16" s="6"/>
    </row>
    <row r="17" spans="1:26" ht="18" customHeight="1" x14ac:dyDescent="0.3">
      <c r="A17" s="152">
        <v>46093</v>
      </c>
      <c r="B17" s="128" t="s">
        <v>134</v>
      </c>
      <c r="C17" s="152" t="s">
        <v>162</v>
      </c>
      <c r="D17" s="128"/>
      <c r="E17" s="144" t="str">
        <f>IF(D17="","",IFERROR(INDEX('12 P6 activities'!$B$7:$B$206,MATCH(D17,'12 P6 activities'!$A$7:$A$206,0)),"⚠ not in P6 list"))</f>
        <v/>
      </c>
      <c r="F17" s="144" t="str">
        <f>IF(D17="","",IFERROR(INDEX('12 P6 activities'!$C$7:$C$206,MATCH(D17,'12 P6 activities'!$A$7:$A$206,0)),"⚠ not in P6 list"))</f>
        <v/>
      </c>
      <c r="G17" s="124"/>
      <c r="H17" s="152" t="s">
        <v>124</v>
      </c>
      <c r="I17" s="153" t="str">
        <f>IF(H17&lt;&gt;"Y","",IF(D17="","Pick the affected P6 activity first",IF(COUNTIFS('11 Notice calendar'!$A$7:$A$46,A17,'11 Notice calendar'!$I$7:$I$46,D17)&gt;0,"In the Notice calendar","Log it in the Notice calendar today")))</f>
        <v/>
      </c>
      <c r="J17" s="146"/>
      <c r="K17" s="146"/>
      <c r="L17" s="6"/>
      <c r="M17" s="6"/>
      <c r="N17" s="6"/>
      <c r="O17" s="6"/>
      <c r="P17" s="6"/>
      <c r="Q17" s="6"/>
      <c r="R17" s="6"/>
      <c r="S17" s="6"/>
      <c r="T17" s="6"/>
      <c r="U17" s="6"/>
      <c r="V17" s="6"/>
      <c r="W17" s="6"/>
      <c r="X17" s="6"/>
      <c r="Y17" s="6"/>
      <c r="Z17" s="6"/>
    </row>
    <row r="18" spans="1:26" ht="18" customHeight="1" x14ac:dyDescent="0.3">
      <c r="A18" s="152">
        <v>46094</v>
      </c>
      <c r="B18" s="128" t="s">
        <v>134</v>
      </c>
      <c r="C18" s="152" t="s">
        <v>163</v>
      </c>
      <c r="D18" s="128"/>
      <c r="E18" s="144" t="str">
        <f>IF(D18="","",IFERROR(INDEX('12 P6 activities'!$B$7:$B$206,MATCH(D18,'12 P6 activities'!$A$7:$A$206,0)),"⚠ not in P6 list"))</f>
        <v/>
      </c>
      <c r="F18" s="144" t="str">
        <f>IF(D18="","",IFERROR(INDEX('12 P6 activities'!$C$7:$C$206,MATCH(D18,'12 P6 activities'!$A$7:$A$206,0)),"⚠ not in P6 list"))</f>
        <v/>
      </c>
      <c r="G18" s="124"/>
      <c r="H18" s="152" t="s">
        <v>124</v>
      </c>
      <c r="I18" s="153" t="str">
        <f>IF(H18&lt;&gt;"Y","",IF(D18="","Pick the affected P6 activity first",IF(COUNTIFS('11 Notice calendar'!$A$7:$A$46,A18,'11 Notice calendar'!$I$7:$I$46,D18)&gt;0,"In the Notice calendar","Log it in the Notice calendar today")))</f>
        <v/>
      </c>
      <c r="J18" s="146"/>
      <c r="K18" s="146"/>
      <c r="L18" s="6"/>
      <c r="M18" s="6"/>
      <c r="N18" s="6"/>
      <c r="O18" s="6"/>
      <c r="P18" s="6"/>
      <c r="Q18" s="6"/>
      <c r="R18" s="6"/>
      <c r="S18" s="6"/>
      <c r="T18" s="6"/>
      <c r="U18" s="6"/>
      <c r="V18" s="6"/>
      <c r="W18" s="6"/>
      <c r="X18" s="6"/>
      <c r="Y18" s="6"/>
      <c r="Z18" s="6"/>
    </row>
    <row r="19" spans="1:26" ht="18" customHeight="1" x14ac:dyDescent="0.3">
      <c r="A19" s="152"/>
      <c r="B19" s="128"/>
      <c r="C19" s="152"/>
      <c r="D19" s="128"/>
      <c r="E19" s="144" t="str">
        <f>IF(D19="","",IFERROR(INDEX('12 P6 activities'!$B$7:$B$206,MATCH(D19,'12 P6 activities'!$A$7:$A$206,0)),"⚠ not in P6 list"))</f>
        <v/>
      </c>
      <c r="F19" s="144" t="str">
        <f>IF(D19="","",IFERROR(INDEX('12 P6 activities'!$C$7:$C$206,MATCH(D19,'12 P6 activities'!$A$7:$A$206,0)),"⚠ not in P6 list"))</f>
        <v/>
      </c>
      <c r="G19" s="124"/>
      <c r="H19" s="152"/>
      <c r="I19" s="153" t="str">
        <f>IF(H19&lt;&gt;"Y","",IF(D19="","Pick the affected P6 activity first",IF(COUNTIFS('11 Notice calendar'!$A$7:$A$46,A19,'11 Notice calendar'!$I$7:$I$46,D19)&gt;0,"In the Notice calendar","Log it in the Notice calendar today")))</f>
        <v/>
      </c>
      <c r="J19" s="146"/>
      <c r="K19" s="146"/>
      <c r="L19" s="6"/>
      <c r="M19" s="6"/>
      <c r="N19" s="6"/>
      <c r="O19" s="6"/>
      <c r="P19" s="6"/>
      <c r="Q19" s="6"/>
      <c r="R19" s="6"/>
      <c r="S19" s="6"/>
      <c r="T19" s="6"/>
      <c r="U19" s="6"/>
      <c r="V19" s="6"/>
      <c r="W19" s="6"/>
      <c r="X19" s="6"/>
      <c r="Y19" s="6"/>
      <c r="Z19" s="6"/>
    </row>
    <row r="20" spans="1:26" ht="18" customHeight="1" x14ac:dyDescent="0.3">
      <c r="A20" s="152"/>
      <c r="B20" s="128"/>
      <c r="C20" s="152"/>
      <c r="D20" s="128"/>
      <c r="E20" s="144" t="str">
        <f>IF(D20="","",IFERROR(INDEX('12 P6 activities'!$B$7:$B$206,MATCH(D20,'12 P6 activities'!$A$7:$A$206,0)),"⚠ not in P6 list"))</f>
        <v/>
      </c>
      <c r="F20" s="144" t="str">
        <f>IF(D20="","",IFERROR(INDEX('12 P6 activities'!$C$7:$C$206,MATCH(D20,'12 P6 activities'!$A$7:$A$206,0)),"⚠ not in P6 list"))</f>
        <v/>
      </c>
      <c r="G20" s="124"/>
      <c r="H20" s="152"/>
      <c r="I20" s="153" t="str">
        <f>IF(H20&lt;&gt;"Y","",IF(D20="","Pick the affected P6 activity first",IF(COUNTIFS('11 Notice calendar'!$A$7:$A$46,A20,'11 Notice calendar'!$I$7:$I$46,D20)&gt;0,"In the Notice calendar","Log it in the Notice calendar today")))</f>
        <v/>
      </c>
      <c r="J20" s="146"/>
      <c r="K20" s="146"/>
      <c r="L20" s="6"/>
      <c r="M20" s="6"/>
      <c r="N20" s="6"/>
      <c r="O20" s="6"/>
      <c r="P20" s="6"/>
      <c r="Q20" s="6"/>
      <c r="R20" s="6"/>
      <c r="S20" s="6"/>
      <c r="T20" s="6"/>
      <c r="U20" s="6"/>
      <c r="V20" s="6"/>
      <c r="W20" s="6"/>
      <c r="X20" s="6"/>
      <c r="Y20" s="6"/>
      <c r="Z20" s="6"/>
    </row>
    <row r="21" spans="1:26" ht="18" customHeight="1" x14ac:dyDescent="0.3">
      <c r="A21" s="152"/>
      <c r="B21" s="128"/>
      <c r="C21" s="152"/>
      <c r="D21" s="128"/>
      <c r="E21" s="144" t="str">
        <f>IF(D21="","",IFERROR(INDEX('12 P6 activities'!$B$7:$B$206,MATCH(D21,'12 P6 activities'!$A$7:$A$206,0)),"⚠ not in P6 list"))</f>
        <v/>
      </c>
      <c r="F21" s="144" t="str">
        <f>IF(D21="","",IFERROR(INDEX('12 P6 activities'!$C$7:$C$206,MATCH(D21,'12 P6 activities'!$A$7:$A$206,0)),"⚠ not in P6 list"))</f>
        <v/>
      </c>
      <c r="G21" s="124"/>
      <c r="H21" s="152"/>
      <c r="I21" s="153" t="str">
        <f>IF(H21&lt;&gt;"Y","",IF(D21="","Pick the affected P6 activity first",IF(COUNTIFS('11 Notice calendar'!$A$7:$A$46,A21,'11 Notice calendar'!$I$7:$I$46,D21)&gt;0,"In the Notice calendar","Log it in the Notice calendar today")))</f>
        <v/>
      </c>
      <c r="J21" s="146"/>
      <c r="K21" s="146"/>
      <c r="L21" s="6"/>
      <c r="M21" s="6"/>
      <c r="N21" s="6"/>
      <c r="O21" s="6"/>
      <c r="P21" s="6"/>
      <c r="Q21" s="6"/>
      <c r="R21" s="6"/>
      <c r="S21" s="6"/>
      <c r="T21" s="6"/>
      <c r="U21" s="6"/>
      <c r="V21" s="6"/>
      <c r="W21" s="6"/>
      <c r="X21" s="6"/>
      <c r="Y21" s="6"/>
      <c r="Z21" s="6"/>
    </row>
    <row r="22" spans="1:26" ht="18" customHeight="1" x14ac:dyDescent="0.3">
      <c r="A22" s="152"/>
      <c r="B22" s="128"/>
      <c r="C22" s="152"/>
      <c r="D22" s="128"/>
      <c r="E22" s="144" t="str">
        <f>IF(D22="","",IFERROR(INDEX('12 P6 activities'!$B$7:$B$206,MATCH(D22,'12 P6 activities'!$A$7:$A$206,0)),"⚠ not in P6 list"))</f>
        <v/>
      </c>
      <c r="F22" s="144" t="str">
        <f>IF(D22="","",IFERROR(INDEX('12 P6 activities'!$C$7:$C$206,MATCH(D22,'12 P6 activities'!$A$7:$A$206,0)),"⚠ not in P6 list"))</f>
        <v/>
      </c>
      <c r="G22" s="124"/>
      <c r="H22" s="152"/>
      <c r="I22" s="153" t="str">
        <f>IF(H22&lt;&gt;"Y","",IF(D22="","Pick the affected P6 activity first",IF(COUNTIFS('11 Notice calendar'!$A$7:$A$46,A22,'11 Notice calendar'!$I$7:$I$46,D22)&gt;0,"In the Notice calendar","Log it in the Notice calendar today")))</f>
        <v/>
      </c>
      <c r="J22" s="146"/>
      <c r="K22" s="146"/>
      <c r="L22" s="6"/>
      <c r="M22" s="6"/>
      <c r="N22" s="6"/>
      <c r="O22" s="6"/>
      <c r="P22" s="6"/>
      <c r="Q22" s="6"/>
      <c r="R22" s="6"/>
      <c r="S22" s="6"/>
      <c r="T22" s="6"/>
      <c r="U22" s="6"/>
      <c r="V22" s="6"/>
      <c r="W22" s="6"/>
      <c r="X22" s="6"/>
      <c r="Y22" s="6"/>
      <c r="Z22" s="6"/>
    </row>
    <row r="23" spans="1:26" ht="18" customHeight="1" x14ac:dyDescent="0.3">
      <c r="A23" s="152"/>
      <c r="B23" s="128"/>
      <c r="C23" s="152"/>
      <c r="D23" s="128"/>
      <c r="E23" s="144" t="str">
        <f>IF(D23="","",IFERROR(INDEX('12 P6 activities'!$B$7:$B$206,MATCH(D23,'12 P6 activities'!$A$7:$A$206,0)),"⚠ not in P6 list"))</f>
        <v/>
      </c>
      <c r="F23" s="144" t="str">
        <f>IF(D23="","",IFERROR(INDEX('12 P6 activities'!$C$7:$C$206,MATCH(D23,'12 P6 activities'!$A$7:$A$206,0)),"⚠ not in P6 list"))</f>
        <v/>
      </c>
      <c r="G23" s="124"/>
      <c r="H23" s="152"/>
      <c r="I23" s="153" t="str">
        <f>IF(H23&lt;&gt;"Y","",IF(D23="","Pick the affected P6 activity first",IF(COUNTIFS('11 Notice calendar'!$A$7:$A$46,A23,'11 Notice calendar'!$I$7:$I$46,D23)&gt;0,"In the Notice calendar","Log it in the Notice calendar today")))</f>
        <v/>
      </c>
      <c r="J23" s="146"/>
      <c r="K23" s="146"/>
      <c r="L23" s="6"/>
      <c r="M23" s="6"/>
      <c r="N23" s="6"/>
      <c r="O23" s="6"/>
      <c r="P23" s="6"/>
      <c r="Q23" s="6"/>
      <c r="R23" s="6"/>
      <c r="S23" s="6"/>
      <c r="T23" s="6"/>
      <c r="U23" s="6"/>
      <c r="V23" s="6"/>
      <c r="W23" s="6"/>
      <c r="X23" s="6"/>
      <c r="Y23" s="6"/>
      <c r="Z23" s="6"/>
    </row>
    <row r="24" spans="1:26" ht="18" customHeight="1" x14ac:dyDescent="0.3">
      <c r="A24" s="152"/>
      <c r="B24" s="128"/>
      <c r="C24" s="152"/>
      <c r="D24" s="128"/>
      <c r="E24" s="144" t="str">
        <f>IF(D24="","",IFERROR(INDEX('12 P6 activities'!$B$7:$B$206,MATCH(D24,'12 P6 activities'!$A$7:$A$206,0)),"⚠ not in P6 list"))</f>
        <v/>
      </c>
      <c r="F24" s="144" t="str">
        <f>IF(D24="","",IFERROR(INDEX('12 P6 activities'!$C$7:$C$206,MATCH(D24,'12 P6 activities'!$A$7:$A$206,0)),"⚠ not in P6 list"))</f>
        <v/>
      </c>
      <c r="G24" s="124"/>
      <c r="H24" s="152"/>
      <c r="I24" s="153" t="str">
        <f>IF(H24&lt;&gt;"Y","",IF(D24="","Pick the affected P6 activity first",IF(COUNTIFS('11 Notice calendar'!$A$7:$A$46,A24,'11 Notice calendar'!$I$7:$I$46,D24)&gt;0,"In the Notice calendar","Log it in the Notice calendar today")))</f>
        <v/>
      </c>
      <c r="J24" s="146"/>
      <c r="K24" s="146"/>
      <c r="L24" s="6"/>
      <c r="M24" s="6"/>
      <c r="N24" s="6"/>
      <c r="O24" s="6"/>
      <c r="P24" s="6"/>
      <c r="Q24" s="6"/>
      <c r="R24" s="6"/>
      <c r="S24" s="6"/>
      <c r="T24" s="6"/>
      <c r="U24" s="6"/>
      <c r="V24" s="6"/>
      <c r="W24" s="6"/>
      <c r="X24" s="6"/>
      <c r="Y24" s="6"/>
      <c r="Z24" s="6"/>
    </row>
    <row r="25" spans="1:26" ht="18" customHeight="1" x14ac:dyDescent="0.3">
      <c r="A25" s="152"/>
      <c r="B25" s="128"/>
      <c r="C25" s="152"/>
      <c r="D25" s="128"/>
      <c r="E25" s="144" t="str">
        <f>IF(D25="","",IFERROR(INDEX('12 P6 activities'!$B$7:$B$206,MATCH(D25,'12 P6 activities'!$A$7:$A$206,0)),"⚠ not in P6 list"))</f>
        <v/>
      </c>
      <c r="F25" s="144" t="str">
        <f>IF(D25="","",IFERROR(INDEX('12 P6 activities'!$C$7:$C$206,MATCH(D25,'12 P6 activities'!$A$7:$A$206,0)),"⚠ not in P6 list"))</f>
        <v/>
      </c>
      <c r="G25" s="124"/>
      <c r="H25" s="152"/>
      <c r="I25" s="153" t="str">
        <f>IF(H25&lt;&gt;"Y","",IF(D25="","Pick the affected P6 activity first",IF(COUNTIFS('11 Notice calendar'!$A$7:$A$46,A25,'11 Notice calendar'!$I$7:$I$46,D25)&gt;0,"In the Notice calendar","Log it in the Notice calendar today")))</f>
        <v/>
      </c>
      <c r="J25" s="146"/>
      <c r="K25" s="146"/>
      <c r="L25" s="6"/>
      <c r="M25" s="6"/>
      <c r="N25" s="6"/>
      <c r="O25" s="6"/>
      <c r="P25" s="6"/>
      <c r="Q25" s="6"/>
      <c r="R25" s="6"/>
      <c r="S25" s="6"/>
      <c r="T25" s="6"/>
      <c r="U25" s="6"/>
      <c r="V25" s="6"/>
      <c r="W25" s="6"/>
      <c r="X25" s="6"/>
      <c r="Y25" s="6"/>
      <c r="Z25" s="6"/>
    </row>
    <row r="26" spans="1:26" ht="18" customHeight="1" x14ac:dyDescent="0.3">
      <c r="A26" s="152"/>
      <c r="B26" s="128"/>
      <c r="C26" s="152"/>
      <c r="D26" s="128"/>
      <c r="E26" s="144" t="str">
        <f>IF(D26="","",IFERROR(INDEX('12 P6 activities'!$B$7:$B$206,MATCH(D26,'12 P6 activities'!$A$7:$A$206,0)),"⚠ not in P6 list"))</f>
        <v/>
      </c>
      <c r="F26" s="144" t="str">
        <f>IF(D26="","",IFERROR(INDEX('12 P6 activities'!$C$7:$C$206,MATCH(D26,'12 P6 activities'!$A$7:$A$206,0)),"⚠ not in P6 list"))</f>
        <v/>
      </c>
      <c r="G26" s="124"/>
      <c r="H26" s="152"/>
      <c r="I26" s="153" t="str">
        <f>IF(H26&lt;&gt;"Y","",IF(D26="","Pick the affected P6 activity first",IF(COUNTIFS('11 Notice calendar'!$A$7:$A$46,A26,'11 Notice calendar'!$I$7:$I$46,D26)&gt;0,"In the Notice calendar","Log it in the Notice calendar today")))</f>
        <v/>
      </c>
      <c r="J26" s="146"/>
      <c r="K26" s="146"/>
      <c r="L26" s="6"/>
      <c r="M26" s="6"/>
      <c r="N26" s="6"/>
      <c r="O26" s="6"/>
      <c r="P26" s="6"/>
      <c r="Q26" s="6"/>
      <c r="R26" s="6"/>
      <c r="S26" s="6"/>
      <c r="T26" s="6"/>
      <c r="U26" s="6"/>
      <c r="V26" s="6"/>
      <c r="W26" s="6"/>
      <c r="X26" s="6"/>
      <c r="Y26" s="6"/>
      <c r="Z26" s="6"/>
    </row>
    <row r="27" spans="1:26" ht="18" customHeight="1" x14ac:dyDescent="0.3">
      <c r="A27" s="152"/>
      <c r="B27" s="128"/>
      <c r="C27" s="152"/>
      <c r="D27" s="128"/>
      <c r="E27" s="144" t="str">
        <f>IF(D27="","",IFERROR(INDEX('12 P6 activities'!$B$7:$B$206,MATCH(D27,'12 P6 activities'!$A$7:$A$206,0)),"⚠ not in P6 list"))</f>
        <v/>
      </c>
      <c r="F27" s="144" t="str">
        <f>IF(D27="","",IFERROR(INDEX('12 P6 activities'!$C$7:$C$206,MATCH(D27,'12 P6 activities'!$A$7:$A$206,0)),"⚠ not in P6 list"))</f>
        <v/>
      </c>
      <c r="G27" s="124"/>
      <c r="H27" s="152"/>
      <c r="I27" s="153" t="str">
        <f>IF(H27&lt;&gt;"Y","",IF(D27="","Pick the affected P6 activity first",IF(COUNTIFS('11 Notice calendar'!$A$7:$A$46,A27,'11 Notice calendar'!$I$7:$I$46,D27)&gt;0,"In the Notice calendar","Log it in the Notice calendar today")))</f>
        <v/>
      </c>
      <c r="J27" s="146"/>
      <c r="K27" s="146"/>
      <c r="L27" s="6"/>
      <c r="M27" s="6"/>
      <c r="N27" s="6"/>
      <c r="O27" s="6"/>
      <c r="P27" s="6"/>
      <c r="Q27" s="6"/>
      <c r="R27" s="6"/>
      <c r="S27" s="6"/>
      <c r="T27" s="6"/>
      <c r="U27" s="6"/>
      <c r="V27" s="6"/>
      <c r="W27" s="6"/>
      <c r="X27" s="6"/>
      <c r="Y27" s="6"/>
      <c r="Z27" s="6"/>
    </row>
    <row r="28" spans="1:26" ht="18" customHeight="1" x14ac:dyDescent="0.3">
      <c r="A28" s="152"/>
      <c r="B28" s="128"/>
      <c r="C28" s="152"/>
      <c r="D28" s="128"/>
      <c r="E28" s="144" t="str">
        <f>IF(D28="","",IFERROR(INDEX('12 P6 activities'!$B$7:$B$206,MATCH(D28,'12 P6 activities'!$A$7:$A$206,0)),"⚠ not in P6 list"))</f>
        <v/>
      </c>
      <c r="F28" s="144" t="str">
        <f>IF(D28="","",IFERROR(INDEX('12 P6 activities'!$C$7:$C$206,MATCH(D28,'12 P6 activities'!$A$7:$A$206,0)),"⚠ not in P6 list"))</f>
        <v/>
      </c>
      <c r="G28" s="124"/>
      <c r="H28" s="152"/>
      <c r="I28" s="153" t="str">
        <f>IF(H28&lt;&gt;"Y","",IF(D28="","Pick the affected P6 activity first",IF(COUNTIFS('11 Notice calendar'!$A$7:$A$46,A28,'11 Notice calendar'!$I$7:$I$46,D28)&gt;0,"In the Notice calendar","Log it in the Notice calendar today")))</f>
        <v/>
      </c>
      <c r="J28" s="146"/>
      <c r="K28" s="146"/>
      <c r="L28" s="6"/>
      <c r="M28" s="6"/>
      <c r="N28" s="6"/>
      <c r="O28" s="6"/>
      <c r="P28" s="6"/>
      <c r="Q28" s="6"/>
      <c r="R28" s="6"/>
      <c r="S28" s="6"/>
      <c r="T28" s="6"/>
      <c r="U28" s="6"/>
      <c r="V28" s="6"/>
      <c r="W28" s="6"/>
      <c r="X28" s="6"/>
      <c r="Y28" s="6"/>
      <c r="Z28" s="6"/>
    </row>
    <row r="29" spans="1:26" ht="18" customHeight="1" x14ac:dyDescent="0.3">
      <c r="A29" s="152"/>
      <c r="B29" s="128"/>
      <c r="C29" s="152"/>
      <c r="D29" s="128"/>
      <c r="E29" s="144" t="str">
        <f>IF(D29="","",IFERROR(INDEX('12 P6 activities'!$B$7:$B$206,MATCH(D29,'12 P6 activities'!$A$7:$A$206,0)),"⚠ not in P6 list"))</f>
        <v/>
      </c>
      <c r="F29" s="144" t="str">
        <f>IF(D29="","",IFERROR(INDEX('12 P6 activities'!$C$7:$C$206,MATCH(D29,'12 P6 activities'!$A$7:$A$206,0)),"⚠ not in P6 list"))</f>
        <v/>
      </c>
      <c r="G29" s="124"/>
      <c r="H29" s="152"/>
      <c r="I29" s="153" t="str">
        <f>IF(H29&lt;&gt;"Y","",IF(D29="","Pick the affected P6 activity first",IF(COUNTIFS('11 Notice calendar'!$A$7:$A$46,A29,'11 Notice calendar'!$I$7:$I$46,D29)&gt;0,"In the Notice calendar","Log it in the Notice calendar today")))</f>
        <v/>
      </c>
      <c r="J29" s="146"/>
      <c r="K29" s="146"/>
      <c r="L29" s="6"/>
      <c r="M29" s="6"/>
      <c r="N29" s="6"/>
      <c r="O29" s="6"/>
      <c r="P29" s="6"/>
      <c r="Q29" s="6"/>
      <c r="R29" s="6"/>
      <c r="S29" s="6"/>
      <c r="T29" s="6"/>
      <c r="U29" s="6"/>
      <c r="V29" s="6"/>
      <c r="W29" s="6"/>
      <c r="X29" s="6"/>
      <c r="Y29" s="6"/>
      <c r="Z29" s="6"/>
    </row>
    <row r="30" spans="1:26" ht="18" customHeight="1" x14ac:dyDescent="0.3">
      <c r="A30" s="152"/>
      <c r="B30" s="128"/>
      <c r="C30" s="152"/>
      <c r="D30" s="128"/>
      <c r="E30" s="144" t="str">
        <f>IF(D30="","",IFERROR(INDEX('12 P6 activities'!$B$7:$B$206,MATCH(D30,'12 P6 activities'!$A$7:$A$206,0)),"⚠ not in P6 list"))</f>
        <v/>
      </c>
      <c r="F30" s="144" t="str">
        <f>IF(D30="","",IFERROR(INDEX('12 P6 activities'!$C$7:$C$206,MATCH(D30,'12 P6 activities'!$A$7:$A$206,0)),"⚠ not in P6 list"))</f>
        <v/>
      </c>
      <c r="G30" s="124"/>
      <c r="H30" s="152"/>
      <c r="I30" s="153" t="str">
        <f>IF(H30&lt;&gt;"Y","",IF(D30="","Pick the affected P6 activity first",IF(COUNTIFS('11 Notice calendar'!$A$7:$A$46,A30,'11 Notice calendar'!$I$7:$I$46,D30)&gt;0,"In the Notice calendar","Log it in the Notice calendar today")))</f>
        <v/>
      </c>
      <c r="J30" s="146"/>
      <c r="K30" s="146"/>
      <c r="L30" s="6"/>
      <c r="M30" s="6"/>
      <c r="N30" s="6"/>
      <c r="O30" s="6"/>
      <c r="P30" s="6"/>
      <c r="Q30" s="6"/>
      <c r="R30" s="6"/>
      <c r="S30" s="6"/>
      <c r="T30" s="6"/>
      <c r="U30" s="6"/>
      <c r="V30" s="6"/>
      <c r="W30" s="6"/>
      <c r="X30" s="6"/>
      <c r="Y30" s="6"/>
      <c r="Z30" s="6"/>
    </row>
    <row r="31" spans="1:26" ht="18" customHeight="1" x14ac:dyDescent="0.3">
      <c r="A31" s="152"/>
      <c r="B31" s="128"/>
      <c r="C31" s="152"/>
      <c r="D31" s="128"/>
      <c r="E31" s="144" t="str">
        <f>IF(D31="","",IFERROR(INDEX('12 P6 activities'!$B$7:$B$206,MATCH(D31,'12 P6 activities'!$A$7:$A$206,0)),"⚠ not in P6 list"))</f>
        <v/>
      </c>
      <c r="F31" s="144" t="str">
        <f>IF(D31="","",IFERROR(INDEX('12 P6 activities'!$C$7:$C$206,MATCH(D31,'12 P6 activities'!$A$7:$A$206,0)),"⚠ not in P6 list"))</f>
        <v/>
      </c>
      <c r="G31" s="124"/>
      <c r="H31" s="152"/>
      <c r="I31" s="153" t="str">
        <f>IF(H31&lt;&gt;"Y","",IF(D31="","Pick the affected P6 activity first",IF(COUNTIFS('11 Notice calendar'!$A$7:$A$46,A31,'11 Notice calendar'!$I$7:$I$46,D31)&gt;0,"In the Notice calendar","Log it in the Notice calendar today")))</f>
        <v/>
      </c>
      <c r="J31" s="146"/>
      <c r="K31" s="146"/>
      <c r="L31" s="6"/>
      <c r="M31" s="6"/>
      <c r="N31" s="6"/>
      <c r="O31" s="6"/>
      <c r="P31" s="6"/>
      <c r="Q31" s="6"/>
      <c r="R31" s="6"/>
      <c r="S31" s="6"/>
      <c r="T31" s="6"/>
      <c r="U31" s="6"/>
      <c r="V31" s="6"/>
      <c r="W31" s="6"/>
      <c r="X31" s="6"/>
      <c r="Y31" s="6"/>
      <c r="Z31" s="6"/>
    </row>
    <row r="32" spans="1:26" ht="18" customHeight="1" x14ac:dyDescent="0.3">
      <c r="A32" s="152"/>
      <c r="B32" s="128"/>
      <c r="C32" s="152"/>
      <c r="D32" s="128"/>
      <c r="E32" s="144" t="str">
        <f>IF(D32="","",IFERROR(INDEX('12 P6 activities'!$B$7:$B$206,MATCH(D32,'12 P6 activities'!$A$7:$A$206,0)),"⚠ not in P6 list"))</f>
        <v/>
      </c>
      <c r="F32" s="144" t="str">
        <f>IF(D32="","",IFERROR(INDEX('12 P6 activities'!$C$7:$C$206,MATCH(D32,'12 P6 activities'!$A$7:$A$206,0)),"⚠ not in P6 list"))</f>
        <v/>
      </c>
      <c r="G32" s="124"/>
      <c r="H32" s="152"/>
      <c r="I32" s="153" t="str">
        <f>IF(H32&lt;&gt;"Y","",IF(D32="","Pick the affected P6 activity first",IF(COUNTIFS('11 Notice calendar'!$A$7:$A$46,A32,'11 Notice calendar'!$I$7:$I$46,D32)&gt;0,"In the Notice calendar","Log it in the Notice calendar today")))</f>
        <v/>
      </c>
      <c r="J32" s="146"/>
      <c r="K32" s="146"/>
      <c r="L32" s="6"/>
      <c r="M32" s="6"/>
      <c r="N32" s="6"/>
      <c r="O32" s="6"/>
      <c r="P32" s="6"/>
      <c r="Q32" s="6"/>
      <c r="R32" s="6"/>
      <c r="S32" s="6"/>
      <c r="T32" s="6"/>
      <c r="U32" s="6"/>
      <c r="V32" s="6"/>
      <c r="W32" s="6"/>
      <c r="X32" s="6"/>
      <c r="Y32" s="6"/>
      <c r="Z32" s="6"/>
    </row>
    <row r="33" spans="1:26" ht="18" customHeight="1" x14ac:dyDescent="0.3">
      <c r="A33" s="152"/>
      <c r="B33" s="128"/>
      <c r="C33" s="152"/>
      <c r="D33" s="128"/>
      <c r="E33" s="144" t="str">
        <f>IF(D33="","",IFERROR(INDEX('12 P6 activities'!$B$7:$B$206,MATCH(D33,'12 P6 activities'!$A$7:$A$206,0)),"⚠ not in P6 list"))</f>
        <v/>
      </c>
      <c r="F33" s="144" t="str">
        <f>IF(D33="","",IFERROR(INDEX('12 P6 activities'!$C$7:$C$206,MATCH(D33,'12 P6 activities'!$A$7:$A$206,0)),"⚠ not in P6 list"))</f>
        <v/>
      </c>
      <c r="G33" s="124"/>
      <c r="H33" s="152"/>
      <c r="I33" s="153" t="str">
        <f>IF(H33&lt;&gt;"Y","",IF(D33="","Pick the affected P6 activity first",IF(COUNTIFS('11 Notice calendar'!$A$7:$A$46,A33,'11 Notice calendar'!$I$7:$I$46,D33)&gt;0,"In the Notice calendar","Log it in the Notice calendar today")))</f>
        <v/>
      </c>
      <c r="J33" s="146"/>
      <c r="K33" s="146"/>
      <c r="L33" s="6"/>
      <c r="M33" s="6"/>
      <c r="N33" s="6"/>
      <c r="O33" s="6"/>
      <c r="P33" s="6"/>
      <c r="Q33" s="6"/>
      <c r="R33" s="6"/>
      <c r="S33" s="6"/>
      <c r="T33" s="6"/>
      <c r="U33" s="6"/>
      <c r="V33" s="6"/>
      <c r="W33" s="6"/>
      <c r="X33" s="6"/>
      <c r="Y33" s="6"/>
      <c r="Z33" s="6"/>
    </row>
    <row r="34" spans="1:26" ht="18" customHeight="1" x14ac:dyDescent="0.3">
      <c r="A34" s="152"/>
      <c r="B34" s="128"/>
      <c r="C34" s="152"/>
      <c r="D34" s="128"/>
      <c r="E34" s="144" t="str">
        <f>IF(D34="","",IFERROR(INDEX('12 P6 activities'!$B$7:$B$206,MATCH(D34,'12 P6 activities'!$A$7:$A$206,0)),"⚠ not in P6 list"))</f>
        <v/>
      </c>
      <c r="F34" s="144" t="str">
        <f>IF(D34="","",IFERROR(INDEX('12 P6 activities'!$C$7:$C$206,MATCH(D34,'12 P6 activities'!$A$7:$A$206,0)),"⚠ not in P6 list"))</f>
        <v/>
      </c>
      <c r="G34" s="124"/>
      <c r="H34" s="152"/>
      <c r="I34" s="153" t="str">
        <f>IF(H34&lt;&gt;"Y","",IF(D34="","Pick the affected P6 activity first",IF(COUNTIFS('11 Notice calendar'!$A$7:$A$46,A34,'11 Notice calendar'!$I$7:$I$46,D34)&gt;0,"In the Notice calendar","Log it in the Notice calendar today")))</f>
        <v/>
      </c>
      <c r="J34" s="146"/>
      <c r="K34" s="146"/>
      <c r="L34" s="6"/>
      <c r="M34" s="6"/>
      <c r="N34" s="6"/>
      <c r="O34" s="6"/>
      <c r="P34" s="6"/>
      <c r="Q34" s="6"/>
      <c r="R34" s="6"/>
      <c r="S34" s="6"/>
      <c r="T34" s="6"/>
      <c r="U34" s="6"/>
      <c r="V34" s="6"/>
      <c r="W34" s="6"/>
      <c r="X34" s="6"/>
      <c r="Y34" s="6"/>
      <c r="Z34" s="6"/>
    </row>
    <row r="35" spans="1:26" ht="18" customHeight="1" x14ac:dyDescent="0.3">
      <c r="A35" s="152"/>
      <c r="B35" s="128"/>
      <c r="C35" s="152"/>
      <c r="D35" s="128"/>
      <c r="E35" s="144" t="str">
        <f>IF(D35="","",IFERROR(INDEX('12 P6 activities'!$B$7:$B$206,MATCH(D35,'12 P6 activities'!$A$7:$A$206,0)),"⚠ not in P6 list"))</f>
        <v/>
      </c>
      <c r="F35" s="144" t="str">
        <f>IF(D35="","",IFERROR(INDEX('12 P6 activities'!$C$7:$C$206,MATCH(D35,'12 P6 activities'!$A$7:$A$206,0)),"⚠ not in P6 list"))</f>
        <v/>
      </c>
      <c r="G35" s="124"/>
      <c r="H35" s="152"/>
      <c r="I35" s="153" t="str">
        <f>IF(H35&lt;&gt;"Y","",IF(D35="","Pick the affected P6 activity first",IF(COUNTIFS('11 Notice calendar'!$A$7:$A$46,A35,'11 Notice calendar'!$I$7:$I$46,D35)&gt;0,"In the Notice calendar","Log it in the Notice calendar today")))</f>
        <v/>
      </c>
      <c r="J35" s="146"/>
      <c r="K35" s="146"/>
      <c r="L35" s="6"/>
      <c r="M35" s="6"/>
      <c r="N35" s="6"/>
      <c r="O35" s="6"/>
      <c r="P35" s="6"/>
      <c r="Q35" s="6"/>
      <c r="R35" s="6"/>
      <c r="S35" s="6"/>
      <c r="T35" s="6"/>
      <c r="U35" s="6"/>
      <c r="V35" s="6"/>
      <c r="W35" s="6"/>
      <c r="X35" s="6"/>
      <c r="Y35" s="6"/>
      <c r="Z35" s="6"/>
    </row>
    <row r="36" spans="1:26" ht="18" customHeight="1" x14ac:dyDescent="0.3">
      <c r="A36" s="152"/>
      <c r="B36" s="128"/>
      <c r="C36" s="152"/>
      <c r="D36" s="128"/>
      <c r="E36" s="144" t="str">
        <f>IF(D36="","",IFERROR(INDEX('12 P6 activities'!$B$7:$B$206,MATCH(D36,'12 P6 activities'!$A$7:$A$206,0)),"⚠ not in P6 list"))</f>
        <v/>
      </c>
      <c r="F36" s="144" t="str">
        <f>IF(D36="","",IFERROR(INDEX('12 P6 activities'!$C$7:$C$206,MATCH(D36,'12 P6 activities'!$A$7:$A$206,0)),"⚠ not in P6 list"))</f>
        <v/>
      </c>
      <c r="G36" s="124"/>
      <c r="H36" s="152"/>
      <c r="I36" s="153" t="str">
        <f>IF(H36&lt;&gt;"Y","",IF(D36="","Pick the affected P6 activity first",IF(COUNTIFS('11 Notice calendar'!$A$7:$A$46,A36,'11 Notice calendar'!$I$7:$I$46,D36)&gt;0,"In the Notice calendar","Log it in the Notice calendar today")))</f>
        <v/>
      </c>
      <c r="J36" s="146"/>
      <c r="K36" s="146"/>
      <c r="L36" s="6"/>
      <c r="M36" s="6"/>
      <c r="N36" s="6"/>
      <c r="O36" s="6"/>
      <c r="P36" s="6"/>
      <c r="Q36" s="6"/>
      <c r="R36" s="6"/>
      <c r="S36" s="6"/>
      <c r="T36" s="6"/>
      <c r="U36" s="6"/>
      <c r="V36" s="6"/>
      <c r="W36" s="6"/>
      <c r="X36" s="6"/>
      <c r="Y36" s="6"/>
      <c r="Z36" s="6"/>
    </row>
    <row r="37" spans="1:26" ht="18" customHeight="1" x14ac:dyDescent="0.3">
      <c r="A37" s="152"/>
      <c r="B37" s="128"/>
      <c r="C37" s="152"/>
      <c r="D37" s="128"/>
      <c r="E37" s="144" t="str">
        <f>IF(D37="","",IFERROR(INDEX('12 P6 activities'!$B$7:$B$206,MATCH(D37,'12 P6 activities'!$A$7:$A$206,0)),"⚠ not in P6 list"))</f>
        <v/>
      </c>
      <c r="F37" s="144" t="str">
        <f>IF(D37="","",IFERROR(INDEX('12 P6 activities'!$C$7:$C$206,MATCH(D37,'12 P6 activities'!$A$7:$A$206,0)),"⚠ not in P6 list"))</f>
        <v/>
      </c>
      <c r="G37" s="124"/>
      <c r="H37" s="152"/>
      <c r="I37" s="153" t="str">
        <f>IF(H37&lt;&gt;"Y","",IF(D37="","Pick the affected P6 activity first",IF(COUNTIFS('11 Notice calendar'!$A$7:$A$46,A37,'11 Notice calendar'!$I$7:$I$46,D37)&gt;0,"In the Notice calendar","Log it in the Notice calendar today")))</f>
        <v/>
      </c>
      <c r="J37" s="146"/>
      <c r="K37" s="146"/>
      <c r="L37" s="6"/>
      <c r="M37" s="6"/>
      <c r="N37" s="6"/>
      <c r="O37" s="6"/>
      <c r="P37" s="6"/>
      <c r="Q37" s="6"/>
      <c r="R37" s="6"/>
      <c r="S37" s="6"/>
      <c r="T37" s="6"/>
      <c r="U37" s="6"/>
      <c r="V37" s="6"/>
      <c r="W37" s="6"/>
      <c r="X37" s="6"/>
      <c r="Y37" s="6"/>
      <c r="Z37" s="6"/>
    </row>
    <row r="38" spans="1:26" ht="18" customHeight="1" x14ac:dyDescent="0.3">
      <c r="A38" s="152"/>
      <c r="B38" s="128"/>
      <c r="C38" s="152"/>
      <c r="D38" s="128"/>
      <c r="E38" s="144" t="str">
        <f>IF(D38="","",IFERROR(INDEX('12 P6 activities'!$B$7:$B$206,MATCH(D38,'12 P6 activities'!$A$7:$A$206,0)),"⚠ not in P6 list"))</f>
        <v/>
      </c>
      <c r="F38" s="144" t="str">
        <f>IF(D38="","",IFERROR(INDEX('12 P6 activities'!$C$7:$C$206,MATCH(D38,'12 P6 activities'!$A$7:$A$206,0)),"⚠ not in P6 list"))</f>
        <v/>
      </c>
      <c r="G38" s="124"/>
      <c r="H38" s="152"/>
      <c r="I38" s="153" t="str">
        <f>IF(H38&lt;&gt;"Y","",IF(D38="","Pick the affected P6 activity first",IF(COUNTIFS('11 Notice calendar'!$A$7:$A$46,A38,'11 Notice calendar'!$I$7:$I$46,D38)&gt;0,"In the Notice calendar","Log it in the Notice calendar today")))</f>
        <v/>
      </c>
      <c r="J38" s="146"/>
      <c r="K38" s="146"/>
      <c r="L38" s="6"/>
      <c r="M38" s="6"/>
      <c r="N38" s="6"/>
      <c r="O38" s="6"/>
      <c r="P38" s="6"/>
      <c r="Q38" s="6"/>
      <c r="R38" s="6"/>
      <c r="S38" s="6"/>
      <c r="T38" s="6"/>
      <c r="U38" s="6"/>
      <c r="V38" s="6"/>
      <c r="W38" s="6"/>
      <c r="X38" s="6"/>
      <c r="Y38" s="6"/>
      <c r="Z38" s="6"/>
    </row>
    <row r="39" spans="1:26" ht="18" customHeight="1" x14ac:dyDescent="0.3">
      <c r="A39" s="152"/>
      <c r="B39" s="128"/>
      <c r="C39" s="152"/>
      <c r="D39" s="128"/>
      <c r="E39" s="144" t="str">
        <f>IF(D39="","",IFERROR(INDEX('12 P6 activities'!$B$7:$B$206,MATCH(D39,'12 P6 activities'!$A$7:$A$206,0)),"⚠ not in P6 list"))</f>
        <v/>
      </c>
      <c r="F39" s="144" t="str">
        <f>IF(D39="","",IFERROR(INDEX('12 P6 activities'!$C$7:$C$206,MATCH(D39,'12 P6 activities'!$A$7:$A$206,0)),"⚠ not in P6 list"))</f>
        <v/>
      </c>
      <c r="G39" s="124"/>
      <c r="H39" s="152"/>
      <c r="I39" s="153" t="str">
        <f>IF(H39&lt;&gt;"Y","",IF(D39="","Pick the affected P6 activity first",IF(COUNTIFS('11 Notice calendar'!$A$7:$A$46,A39,'11 Notice calendar'!$I$7:$I$46,D39)&gt;0,"In the Notice calendar","Log it in the Notice calendar today")))</f>
        <v/>
      </c>
      <c r="J39" s="146"/>
      <c r="K39" s="146"/>
      <c r="L39" s="6"/>
      <c r="M39" s="6"/>
      <c r="N39" s="6"/>
      <c r="O39" s="6"/>
      <c r="P39" s="6"/>
      <c r="Q39" s="6"/>
      <c r="R39" s="6"/>
      <c r="S39" s="6"/>
      <c r="T39" s="6"/>
      <c r="U39" s="6"/>
      <c r="V39" s="6"/>
      <c r="W39" s="6"/>
      <c r="X39" s="6"/>
      <c r="Y39" s="6"/>
      <c r="Z39" s="6"/>
    </row>
    <row r="40" spans="1:26" ht="18" customHeight="1" x14ac:dyDescent="0.3">
      <c r="A40" s="152"/>
      <c r="B40" s="128"/>
      <c r="C40" s="152"/>
      <c r="D40" s="128"/>
      <c r="E40" s="144" t="str">
        <f>IF(D40="","",IFERROR(INDEX('12 P6 activities'!$B$7:$B$206,MATCH(D40,'12 P6 activities'!$A$7:$A$206,0)),"⚠ not in P6 list"))</f>
        <v/>
      </c>
      <c r="F40" s="144" t="str">
        <f>IF(D40="","",IFERROR(INDEX('12 P6 activities'!$C$7:$C$206,MATCH(D40,'12 P6 activities'!$A$7:$A$206,0)),"⚠ not in P6 list"))</f>
        <v/>
      </c>
      <c r="G40" s="124"/>
      <c r="H40" s="152"/>
      <c r="I40" s="153" t="str">
        <f>IF(H40&lt;&gt;"Y","",IF(D40="","Pick the affected P6 activity first",IF(COUNTIFS('11 Notice calendar'!$A$7:$A$46,A40,'11 Notice calendar'!$I$7:$I$46,D40)&gt;0,"In the Notice calendar","Log it in the Notice calendar today")))</f>
        <v/>
      </c>
      <c r="J40" s="146"/>
      <c r="K40" s="146"/>
      <c r="L40" s="6"/>
      <c r="M40" s="6"/>
      <c r="N40" s="6"/>
      <c r="O40" s="6"/>
      <c r="P40" s="6"/>
      <c r="Q40" s="6"/>
      <c r="R40" s="6"/>
      <c r="S40" s="6"/>
      <c r="T40" s="6"/>
      <c r="U40" s="6"/>
      <c r="V40" s="6"/>
      <c r="W40" s="6"/>
      <c r="X40" s="6"/>
      <c r="Y40" s="6"/>
      <c r="Z40" s="6"/>
    </row>
    <row r="41" spans="1:26" ht="18" customHeight="1" x14ac:dyDescent="0.3">
      <c r="A41" s="152"/>
      <c r="B41" s="128"/>
      <c r="C41" s="152"/>
      <c r="D41" s="128"/>
      <c r="E41" s="144" t="str">
        <f>IF(D41="","",IFERROR(INDEX('12 P6 activities'!$B$7:$B$206,MATCH(D41,'12 P6 activities'!$A$7:$A$206,0)),"⚠ not in P6 list"))</f>
        <v/>
      </c>
      <c r="F41" s="144" t="str">
        <f>IF(D41="","",IFERROR(INDEX('12 P6 activities'!$C$7:$C$206,MATCH(D41,'12 P6 activities'!$A$7:$A$206,0)),"⚠ not in P6 list"))</f>
        <v/>
      </c>
      <c r="G41" s="124"/>
      <c r="H41" s="152"/>
      <c r="I41" s="153" t="str">
        <f>IF(H41&lt;&gt;"Y","",IF(D41="","Pick the affected P6 activity first",IF(COUNTIFS('11 Notice calendar'!$A$7:$A$46,A41,'11 Notice calendar'!$I$7:$I$46,D41)&gt;0,"In the Notice calendar","Log it in the Notice calendar today")))</f>
        <v/>
      </c>
      <c r="J41" s="146"/>
      <c r="K41" s="146"/>
      <c r="L41" s="6"/>
      <c r="M41" s="6"/>
      <c r="N41" s="6"/>
      <c r="O41" s="6"/>
      <c r="P41" s="6"/>
      <c r="Q41" s="6"/>
      <c r="R41" s="6"/>
      <c r="S41" s="6"/>
      <c r="T41" s="6"/>
      <c r="U41" s="6"/>
      <c r="V41" s="6"/>
      <c r="W41" s="6"/>
      <c r="X41" s="6"/>
      <c r="Y41" s="6"/>
      <c r="Z41" s="6"/>
    </row>
    <row r="42" spans="1:26" ht="18" customHeight="1" x14ac:dyDescent="0.3">
      <c r="A42" s="152"/>
      <c r="B42" s="128"/>
      <c r="C42" s="152"/>
      <c r="D42" s="128"/>
      <c r="E42" s="144" t="str">
        <f>IF(D42="","",IFERROR(INDEX('12 P6 activities'!$B$7:$B$206,MATCH(D42,'12 P6 activities'!$A$7:$A$206,0)),"⚠ not in P6 list"))</f>
        <v/>
      </c>
      <c r="F42" s="144" t="str">
        <f>IF(D42="","",IFERROR(INDEX('12 P6 activities'!$C$7:$C$206,MATCH(D42,'12 P6 activities'!$A$7:$A$206,0)),"⚠ not in P6 list"))</f>
        <v/>
      </c>
      <c r="G42" s="124"/>
      <c r="H42" s="152"/>
      <c r="I42" s="153" t="str">
        <f>IF(H42&lt;&gt;"Y","",IF(D42="","Pick the affected P6 activity first",IF(COUNTIFS('11 Notice calendar'!$A$7:$A$46,A42,'11 Notice calendar'!$I$7:$I$46,D42)&gt;0,"In the Notice calendar","Log it in the Notice calendar today")))</f>
        <v/>
      </c>
      <c r="J42" s="146"/>
      <c r="K42" s="146"/>
      <c r="L42" s="6"/>
      <c r="M42" s="6"/>
      <c r="N42" s="6"/>
      <c r="O42" s="6"/>
      <c r="P42" s="6"/>
      <c r="Q42" s="6"/>
      <c r="R42" s="6"/>
      <c r="S42" s="6"/>
      <c r="T42" s="6"/>
      <c r="U42" s="6"/>
      <c r="V42" s="6"/>
      <c r="W42" s="6"/>
      <c r="X42" s="6"/>
      <c r="Y42" s="6"/>
      <c r="Z42" s="6"/>
    </row>
    <row r="43" spans="1:26" ht="18" customHeight="1" x14ac:dyDescent="0.3">
      <c r="A43" s="152"/>
      <c r="B43" s="128"/>
      <c r="C43" s="152"/>
      <c r="D43" s="128"/>
      <c r="E43" s="144" t="str">
        <f>IF(D43="","",IFERROR(INDEX('12 P6 activities'!$B$7:$B$206,MATCH(D43,'12 P6 activities'!$A$7:$A$206,0)),"⚠ not in P6 list"))</f>
        <v/>
      </c>
      <c r="F43" s="144" t="str">
        <f>IF(D43="","",IFERROR(INDEX('12 P6 activities'!$C$7:$C$206,MATCH(D43,'12 P6 activities'!$A$7:$A$206,0)),"⚠ not in P6 list"))</f>
        <v/>
      </c>
      <c r="G43" s="124"/>
      <c r="H43" s="152"/>
      <c r="I43" s="153" t="str">
        <f>IF(H43&lt;&gt;"Y","",IF(D43="","Pick the affected P6 activity first",IF(COUNTIFS('11 Notice calendar'!$A$7:$A$46,A43,'11 Notice calendar'!$I$7:$I$46,D43)&gt;0,"In the Notice calendar","Log it in the Notice calendar today")))</f>
        <v/>
      </c>
      <c r="J43" s="146"/>
      <c r="K43" s="146"/>
      <c r="L43" s="6"/>
      <c r="M43" s="6"/>
      <c r="N43" s="6"/>
      <c r="O43" s="6"/>
      <c r="P43" s="6"/>
      <c r="Q43" s="6"/>
      <c r="R43" s="6"/>
      <c r="S43" s="6"/>
      <c r="T43" s="6"/>
      <c r="U43" s="6"/>
      <c r="V43" s="6"/>
      <c r="W43" s="6"/>
      <c r="X43" s="6"/>
      <c r="Y43" s="6"/>
      <c r="Z43" s="6"/>
    </row>
    <row r="44" spans="1:26" ht="18" customHeight="1" x14ac:dyDescent="0.3">
      <c r="A44" s="152"/>
      <c r="B44" s="128"/>
      <c r="C44" s="152"/>
      <c r="D44" s="128"/>
      <c r="E44" s="144" t="str">
        <f>IF(D44="","",IFERROR(INDEX('12 P6 activities'!$B$7:$B$206,MATCH(D44,'12 P6 activities'!$A$7:$A$206,0)),"⚠ not in P6 list"))</f>
        <v/>
      </c>
      <c r="F44" s="144" t="str">
        <f>IF(D44="","",IFERROR(INDEX('12 P6 activities'!$C$7:$C$206,MATCH(D44,'12 P6 activities'!$A$7:$A$206,0)),"⚠ not in P6 list"))</f>
        <v/>
      </c>
      <c r="G44" s="124"/>
      <c r="H44" s="152"/>
      <c r="I44" s="153" t="str">
        <f>IF(H44&lt;&gt;"Y","",IF(D44="","Pick the affected P6 activity first",IF(COUNTIFS('11 Notice calendar'!$A$7:$A$46,A44,'11 Notice calendar'!$I$7:$I$46,D44)&gt;0,"In the Notice calendar","Log it in the Notice calendar today")))</f>
        <v/>
      </c>
      <c r="J44" s="146"/>
      <c r="K44" s="146"/>
      <c r="L44" s="6"/>
      <c r="M44" s="6"/>
      <c r="N44" s="6"/>
      <c r="O44" s="6"/>
      <c r="P44" s="6"/>
      <c r="Q44" s="6"/>
      <c r="R44" s="6"/>
      <c r="S44" s="6"/>
      <c r="T44" s="6"/>
      <c r="U44" s="6"/>
      <c r="V44" s="6"/>
      <c r="W44" s="6"/>
      <c r="X44" s="6"/>
      <c r="Y44" s="6"/>
      <c r="Z44" s="6"/>
    </row>
    <row r="45" spans="1:26" ht="18" customHeight="1" x14ac:dyDescent="0.3">
      <c r="A45" s="152"/>
      <c r="B45" s="128"/>
      <c r="C45" s="152"/>
      <c r="D45" s="128"/>
      <c r="E45" s="144" t="str">
        <f>IF(D45="","",IFERROR(INDEX('12 P6 activities'!$B$7:$B$206,MATCH(D45,'12 P6 activities'!$A$7:$A$206,0)),"⚠ not in P6 list"))</f>
        <v/>
      </c>
      <c r="F45" s="144" t="str">
        <f>IF(D45="","",IFERROR(INDEX('12 P6 activities'!$C$7:$C$206,MATCH(D45,'12 P6 activities'!$A$7:$A$206,0)),"⚠ not in P6 list"))</f>
        <v/>
      </c>
      <c r="G45" s="124"/>
      <c r="H45" s="152"/>
      <c r="I45" s="153" t="str">
        <f>IF(H45&lt;&gt;"Y","",IF(D45="","Pick the affected P6 activity first",IF(COUNTIFS('11 Notice calendar'!$A$7:$A$46,A45,'11 Notice calendar'!$I$7:$I$46,D45)&gt;0,"In the Notice calendar","Log it in the Notice calendar today")))</f>
        <v/>
      </c>
      <c r="J45" s="146"/>
      <c r="K45" s="146"/>
      <c r="L45" s="6"/>
      <c r="M45" s="6"/>
      <c r="N45" s="6"/>
      <c r="O45" s="6"/>
      <c r="P45" s="6"/>
      <c r="Q45" s="6"/>
      <c r="R45" s="6"/>
      <c r="S45" s="6"/>
      <c r="T45" s="6"/>
      <c r="U45" s="6"/>
      <c r="V45" s="6"/>
      <c r="W45" s="6"/>
      <c r="X45" s="6"/>
      <c r="Y45" s="6"/>
      <c r="Z45" s="6"/>
    </row>
    <row r="46" spans="1:26" ht="18" customHeight="1" x14ac:dyDescent="0.3">
      <c r="A46" s="152"/>
      <c r="B46" s="128"/>
      <c r="C46" s="152"/>
      <c r="D46" s="128"/>
      <c r="E46" s="144" t="str">
        <f>IF(D46="","",IFERROR(INDEX('12 P6 activities'!$B$7:$B$206,MATCH(D46,'12 P6 activities'!$A$7:$A$206,0)),"⚠ not in P6 list"))</f>
        <v/>
      </c>
      <c r="F46" s="144" t="str">
        <f>IF(D46="","",IFERROR(INDEX('12 P6 activities'!$C$7:$C$206,MATCH(D46,'12 P6 activities'!$A$7:$A$206,0)),"⚠ not in P6 list"))</f>
        <v/>
      </c>
      <c r="G46" s="124"/>
      <c r="H46" s="152"/>
      <c r="I46" s="153" t="str">
        <f>IF(H46&lt;&gt;"Y","",IF(D46="","Pick the affected P6 activity first",IF(COUNTIFS('11 Notice calendar'!$A$7:$A$46,A46,'11 Notice calendar'!$I$7:$I$46,D46)&gt;0,"In the Notice calendar","Log it in the Notice calendar today")))</f>
        <v/>
      </c>
      <c r="J46" s="146"/>
      <c r="K46" s="146"/>
      <c r="L46" s="6"/>
      <c r="M46" s="6"/>
      <c r="N46" s="6"/>
      <c r="O46" s="6"/>
      <c r="P46" s="6"/>
      <c r="Q46" s="6"/>
      <c r="R46" s="6"/>
      <c r="S46" s="6"/>
      <c r="T46" s="6"/>
      <c r="U46" s="6"/>
      <c r="V46" s="6"/>
      <c r="W46" s="6"/>
      <c r="X46" s="6"/>
      <c r="Y46" s="6"/>
      <c r="Z46" s="6"/>
    </row>
    <row r="47" spans="1:26" ht="18" customHeight="1" x14ac:dyDescent="0.3">
      <c r="A47" s="152"/>
      <c r="B47" s="128"/>
      <c r="C47" s="152"/>
      <c r="D47" s="128"/>
      <c r="E47" s="144" t="str">
        <f>IF(D47="","",IFERROR(INDEX('12 P6 activities'!$B$7:$B$206,MATCH(D47,'12 P6 activities'!$A$7:$A$206,0)),"⚠ not in P6 list"))</f>
        <v/>
      </c>
      <c r="F47" s="144" t="str">
        <f>IF(D47="","",IFERROR(INDEX('12 P6 activities'!$C$7:$C$206,MATCH(D47,'12 P6 activities'!$A$7:$A$206,0)),"⚠ not in P6 list"))</f>
        <v/>
      </c>
      <c r="G47" s="124"/>
      <c r="H47" s="152"/>
      <c r="I47" s="153" t="str">
        <f>IF(H47&lt;&gt;"Y","",IF(D47="","Pick the affected P6 activity first",IF(COUNTIFS('11 Notice calendar'!$A$7:$A$46,A47,'11 Notice calendar'!$I$7:$I$46,D47)&gt;0,"In the Notice calendar","Log it in the Notice calendar today")))</f>
        <v/>
      </c>
      <c r="J47" s="146"/>
      <c r="K47" s="146"/>
      <c r="L47" s="6"/>
      <c r="M47" s="6"/>
      <c r="N47" s="6"/>
      <c r="O47" s="6"/>
      <c r="P47" s="6"/>
      <c r="Q47" s="6"/>
      <c r="R47" s="6"/>
      <c r="S47" s="6"/>
      <c r="T47" s="6"/>
      <c r="U47" s="6"/>
      <c r="V47" s="6"/>
      <c r="W47" s="6"/>
      <c r="X47" s="6"/>
      <c r="Y47" s="6"/>
      <c r="Z47" s="6"/>
    </row>
    <row r="48" spans="1:26" ht="18" customHeight="1" x14ac:dyDescent="0.3">
      <c r="A48" s="152"/>
      <c r="B48" s="128"/>
      <c r="C48" s="152"/>
      <c r="D48" s="128"/>
      <c r="E48" s="144" t="str">
        <f>IF(D48="","",IFERROR(INDEX('12 P6 activities'!$B$7:$B$206,MATCH(D48,'12 P6 activities'!$A$7:$A$206,0)),"⚠ not in P6 list"))</f>
        <v/>
      </c>
      <c r="F48" s="144" t="str">
        <f>IF(D48="","",IFERROR(INDEX('12 P6 activities'!$C$7:$C$206,MATCH(D48,'12 P6 activities'!$A$7:$A$206,0)),"⚠ not in P6 list"))</f>
        <v/>
      </c>
      <c r="G48" s="124"/>
      <c r="H48" s="152"/>
      <c r="I48" s="153" t="str">
        <f>IF(H48&lt;&gt;"Y","",IF(D48="","Pick the affected P6 activity first",IF(COUNTIFS('11 Notice calendar'!$A$7:$A$46,A48,'11 Notice calendar'!$I$7:$I$46,D48)&gt;0,"In the Notice calendar","Log it in the Notice calendar today")))</f>
        <v/>
      </c>
      <c r="J48" s="146"/>
      <c r="K48" s="146"/>
      <c r="L48" s="6"/>
      <c r="M48" s="6"/>
      <c r="N48" s="6"/>
      <c r="O48" s="6"/>
      <c r="P48" s="6"/>
      <c r="Q48" s="6"/>
      <c r="R48" s="6"/>
      <c r="S48" s="6"/>
      <c r="T48" s="6"/>
      <c r="U48" s="6"/>
      <c r="V48" s="6"/>
      <c r="W48" s="6"/>
      <c r="X48" s="6"/>
      <c r="Y48" s="6"/>
      <c r="Z48" s="6"/>
    </row>
    <row r="49" spans="1:26" ht="18" customHeight="1" x14ac:dyDescent="0.3">
      <c r="A49" s="152"/>
      <c r="B49" s="128"/>
      <c r="C49" s="152"/>
      <c r="D49" s="128"/>
      <c r="E49" s="144" t="str">
        <f>IF(D49="","",IFERROR(INDEX('12 P6 activities'!$B$7:$B$206,MATCH(D49,'12 P6 activities'!$A$7:$A$206,0)),"⚠ not in P6 list"))</f>
        <v/>
      </c>
      <c r="F49" s="144" t="str">
        <f>IF(D49="","",IFERROR(INDEX('12 P6 activities'!$C$7:$C$206,MATCH(D49,'12 P6 activities'!$A$7:$A$206,0)),"⚠ not in P6 list"))</f>
        <v/>
      </c>
      <c r="G49" s="124"/>
      <c r="H49" s="152"/>
      <c r="I49" s="153" t="str">
        <f>IF(H49&lt;&gt;"Y","",IF(D49="","Pick the affected P6 activity first",IF(COUNTIFS('11 Notice calendar'!$A$7:$A$46,A49,'11 Notice calendar'!$I$7:$I$46,D49)&gt;0,"In the Notice calendar","Log it in the Notice calendar today")))</f>
        <v/>
      </c>
      <c r="J49" s="146"/>
      <c r="K49" s="146"/>
      <c r="L49" s="6"/>
      <c r="M49" s="6"/>
      <c r="N49" s="6"/>
      <c r="O49" s="6"/>
      <c r="P49" s="6"/>
      <c r="Q49" s="6"/>
      <c r="R49" s="6"/>
      <c r="S49" s="6"/>
      <c r="T49" s="6"/>
      <c r="U49" s="6"/>
      <c r="V49" s="6"/>
      <c r="W49" s="6"/>
      <c r="X49" s="6"/>
      <c r="Y49" s="6"/>
      <c r="Z49" s="6"/>
    </row>
    <row r="50" spans="1:26" ht="18" customHeight="1" x14ac:dyDescent="0.3">
      <c r="A50" s="152"/>
      <c r="B50" s="128"/>
      <c r="C50" s="152"/>
      <c r="D50" s="128"/>
      <c r="E50" s="144" t="str">
        <f>IF(D50="","",IFERROR(INDEX('12 P6 activities'!$B$7:$B$206,MATCH(D50,'12 P6 activities'!$A$7:$A$206,0)),"⚠ not in P6 list"))</f>
        <v/>
      </c>
      <c r="F50" s="144" t="str">
        <f>IF(D50="","",IFERROR(INDEX('12 P6 activities'!$C$7:$C$206,MATCH(D50,'12 P6 activities'!$A$7:$A$206,0)),"⚠ not in P6 list"))</f>
        <v/>
      </c>
      <c r="G50" s="124"/>
      <c r="H50" s="152"/>
      <c r="I50" s="153" t="str">
        <f>IF(H50&lt;&gt;"Y","",IF(D50="","Pick the affected P6 activity first",IF(COUNTIFS('11 Notice calendar'!$A$7:$A$46,A50,'11 Notice calendar'!$I$7:$I$46,D50)&gt;0,"In the Notice calendar","Log it in the Notice calendar today")))</f>
        <v/>
      </c>
      <c r="J50" s="146"/>
      <c r="K50" s="146"/>
      <c r="L50" s="6"/>
      <c r="M50" s="6"/>
      <c r="N50" s="6"/>
      <c r="O50" s="6"/>
      <c r="P50" s="6"/>
      <c r="Q50" s="6"/>
      <c r="R50" s="6"/>
      <c r="S50" s="6"/>
      <c r="T50" s="6"/>
      <c r="U50" s="6"/>
      <c r="V50" s="6"/>
      <c r="W50" s="6"/>
      <c r="X50" s="6"/>
      <c r="Y50" s="6"/>
      <c r="Z50" s="6"/>
    </row>
    <row r="51" spans="1:26" ht="18" customHeight="1" x14ac:dyDescent="0.3">
      <c r="A51" s="152"/>
      <c r="B51" s="128"/>
      <c r="C51" s="152"/>
      <c r="D51" s="128"/>
      <c r="E51" s="144" t="str">
        <f>IF(D51="","",IFERROR(INDEX('12 P6 activities'!$B$7:$B$206,MATCH(D51,'12 P6 activities'!$A$7:$A$206,0)),"⚠ not in P6 list"))</f>
        <v/>
      </c>
      <c r="F51" s="144" t="str">
        <f>IF(D51="","",IFERROR(INDEX('12 P6 activities'!$C$7:$C$206,MATCH(D51,'12 P6 activities'!$A$7:$A$206,0)),"⚠ not in P6 list"))</f>
        <v/>
      </c>
      <c r="G51" s="124"/>
      <c r="H51" s="152"/>
      <c r="I51" s="153" t="str">
        <f>IF(H51&lt;&gt;"Y","",IF(D51="","Pick the affected P6 activity first",IF(COUNTIFS('11 Notice calendar'!$A$7:$A$46,A51,'11 Notice calendar'!$I$7:$I$46,D51)&gt;0,"In the Notice calendar","Log it in the Notice calendar today")))</f>
        <v/>
      </c>
      <c r="J51" s="146"/>
      <c r="K51" s="146"/>
      <c r="L51" s="6"/>
      <c r="M51" s="6"/>
      <c r="N51" s="6"/>
      <c r="O51" s="6"/>
      <c r="P51" s="6"/>
      <c r="Q51" s="6"/>
      <c r="R51" s="6"/>
      <c r="S51" s="6"/>
      <c r="T51" s="6"/>
      <c r="U51" s="6"/>
      <c r="V51" s="6"/>
      <c r="W51" s="6"/>
      <c r="X51" s="6"/>
      <c r="Y51" s="6"/>
      <c r="Z51" s="6"/>
    </row>
    <row r="52" spans="1:26" ht="18" customHeight="1" x14ac:dyDescent="0.3">
      <c r="A52" s="152"/>
      <c r="B52" s="128"/>
      <c r="C52" s="152"/>
      <c r="D52" s="128"/>
      <c r="E52" s="144" t="str">
        <f>IF(D52="","",IFERROR(INDEX('12 P6 activities'!$B$7:$B$206,MATCH(D52,'12 P6 activities'!$A$7:$A$206,0)),"⚠ not in P6 list"))</f>
        <v/>
      </c>
      <c r="F52" s="144" t="str">
        <f>IF(D52="","",IFERROR(INDEX('12 P6 activities'!$C$7:$C$206,MATCH(D52,'12 P6 activities'!$A$7:$A$206,0)),"⚠ not in P6 list"))</f>
        <v/>
      </c>
      <c r="G52" s="124"/>
      <c r="H52" s="152"/>
      <c r="I52" s="153" t="str">
        <f>IF(H52&lt;&gt;"Y","",IF(D52="","Pick the affected P6 activity first",IF(COUNTIFS('11 Notice calendar'!$A$7:$A$46,A52,'11 Notice calendar'!$I$7:$I$46,D52)&gt;0,"In the Notice calendar","Log it in the Notice calendar today")))</f>
        <v/>
      </c>
      <c r="J52" s="146"/>
      <c r="K52" s="146"/>
      <c r="L52" s="6"/>
      <c r="M52" s="6"/>
      <c r="N52" s="6"/>
      <c r="O52" s="6"/>
      <c r="P52" s="6"/>
      <c r="Q52" s="6"/>
      <c r="R52" s="6"/>
      <c r="S52" s="6"/>
      <c r="T52" s="6"/>
      <c r="U52" s="6"/>
      <c r="V52" s="6"/>
      <c r="W52" s="6"/>
      <c r="X52" s="6"/>
      <c r="Y52" s="6"/>
      <c r="Z52" s="6"/>
    </row>
    <row r="53" spans="1:26" ht="18" customHeight="1" x14ac:dyDescent="0.3">
      <c r="A53" s="152"/>
      <c r="B53" s="128"/>
      <c r="C53" s="152"/>
      <c r="D53" s="128"/>
      <c r="E53" s="144" t="str">
        <f>IF(D53="","",IFERROR(INDEX('12 P6 activities'!$B$7:$B$206,MATCH(D53,'12 P6 activities'!$A$7:$A$206,0)),"⚠ not in P6 list"))</f>
        <v/>
      </c>
      <c r="F53" s="144" t="str">
        <f>IF(D53="","",IFERROR(INDEX('12 P6 activities'!$C$7:$C$206,MATCH(D53,'12 P6 activities'!$A$7:$A$206,0)),"⚠ not in P6 list"))</f>
        <v/>
      </c>
      <c r="G53" s="124"/>
      <c r="H53" s="152"/>
      <c r="I53" s="153" t="str">
        <f>IF(H53&lt;&gt;"Y","",IF(D53="","Pick the affected P6 activity first",IF(COUNTIFS('11 Notice calendar'!$A$7:$A$46,A53,'11 Notice calendar'!$I$7:$I$46,D53)&gt;0,"In the Notice calendar","Log it in the Notice calendar today")))</f>
        <v/>
      </c>
      <c r="J53" s="146"/>
      <c r="K53" s="146"/>
      <c r="L53" s="6"/>
      <c r="M53" s="6"/>
      <c r="N53" s="6"/>
      <c r="O53" s="6"/>
      <c r="P53" s="6"/>
      <c r="Q53" s="6"/>
      <c r="R53" s="6"/>
      <c r="S53" s="6"/>
      <c r="T53" s="6"/>
      <c r="U53" s="6"/>
      <c r="V53" s="6"/>
      <c r="W53" s="6"/>
      <c r="X53" s="6"/>
      <c r="Y53" s="6"/>
      <c r="Z53" s="6"/>
    </row>
    <row r="54" spans="1:26" ht="18" customHeight="1" x14ac:dyDescent="0.3">
      <c r="A54" s="152"/>
      <c r="B54" s="128"/>
      <c r="C54" s="152"/>
      <c r="D54" s="128"/>
      <c r="E54" s="144" t="str">
        <f>IF(D54="","",IFERROR(INDEX('12 P6 activities'!$B$7:$B$206,MATCH(D54,'12 P6 activities'!$A$7:$A$206,0)),"⚠ not in P6 list"))</f>
        <v/>
      </c>
      <c r="F54" s="144" t="str">
        <f>IF(D54="","",IFERROR(INDEX('12 P6 activities'!$C$7:$C$206,MATCH(D54,'12 P6 activities'!$A$7:$A$206,0)),"⚠ not in P6 list"))</f>
        <v/>
      </c>
      <c r="G54" s="124"/>
      <c r="H54" s="152"/>
      <c r="I54" s="153" t="str">
        <f>IF(H54&lt;&gt;"Y","",IF(D54="","Pick the affected P6 activity first",IF(COUNTIFS('11 Notice calendar'!$A$7:$A$46,A54,'11 Notice calendar'!$I$7:$I$46,D54)&gt;0,"In the Notice calendar","Log it in the Notice calendar today")))</f>
        <v/>
      </c>
      <c r="J54" s="146"/>
      <c r="K54" s="146"/>
      <c r="L54" s="6"/>
      <c r="M54" s="6"/>
      <c r="N54" s="6"/>
      <c r="O54" s="6"/>
      <c r="P54" s="6"/>
      <c r="Q54" s="6"/>
      <c r="R54" s="6"/>
      <c r="S54" s="6"/>
      <c r="T54" s="6"/>
      <c r="U54" s="6"/>
      <c r="V54" s="6"/>
      <c r="W54" s="6"/>
      <c r="X54" s="6"/>
      <c r="Y54" s="6"/>
      <c r="Z54" s="6"/>
    </row>
    <row r="55" spans="1:26" ht="18" customHeight="1" x14ac:dyDescent="0.3">
      <c r="A55" s="152"/>
      <c r="B55" s="128"/>
      <c r="C55" s="152"/>
      <c r="D55" s="128"/>
      <c r="E55" s="144" t="str">
        <f>IF(D55="","",IFERROR(INDEX('12 P6 activities'!$B$7:$B$206,MATCH(D55,'12 P6 activities'!$A$7:$A$206,0)),"⚠ not in P6 list"))</f>
        <v/>
      </c>
      <c r="F55" s="144" t="str">
        <f>IF(D55="","",IFERROR(INDEX('12 P6 activities'!$C$7:$C$206,MATCH(D55,'12 P6 activities'!$A$7:$A$206,0)),"⚠ not in P6 list"))</f>
        <v/>
      </c>
      <c r="G55" s="124"/>
      <c r="H55" s="152"/>
      <c r="I55" s="153" t="str">
        <f>IF(H55&lt;&gt;"Y","",IF(D55="","Pick the affected P6 activity first",IF(COUNTIFS('11 Notice calendar'!$A$7:$A$46,A55,'11 Notice calendar'!$I$7:$I$46,D55)&gt;0,"In the Notice calendar","Log it in the Notice calendar today")))</f>
        <v/>
      </c>
      <c r="J55" s="146"/>
      <c r="K55" s="146"/>
      <c r="L55" s="6"/>
      <c r="M55" s="6"/>
      <c r="N55" s="6"/>
      <c r="O55" s="6"/>
      <c r="P55" s="6"/>
      <c r="Q55" s="6"/>
      <c r="R55" s="6"/>
      <c r="S55" s="6"/>
      <c r="T55" s="6"/>
      <c r="U55" s="6"/>
      <c r="V55" s="6"/>
      <c r="W55" s="6"/>
      <c r="X55" s="6"/>
      <c r="Y55" s="6"/>
      <c r="Z55" s="6"/>
    </row>
    <row r="56" spans="1:26" ht="18" customHeight="1" x14ac:dyDescent="0.3">
      <c r="A56" s="152"/>
      <c r="B56" s="128"/>
      <c r="C56" s="152"/>
      <c r="D56" s="128"/>
      <c r="E56" s="144" t="str">
        <f>IF(D56="","",IFERROR(INDEX('12 P6 activities'!$B$7:$B$206,MATCH(D56,'12 P6 activities'!$A$7:$A$206,0)),"⚠ not in P6 list"))</f>
        <v/>
      </c>
      <c r="F56" s="144" t="str">
        <f>IF(D56="","",IFERROR(INDEX('12 P6 activities'!$C$7:$C$206,MATCH(D56,'12 P6 activities'!$A$7:$A$206,0)),"⚠ not in P6 list"))</f>
        <v/>
      </c>
      <c r="G56" s="124"/>
      <c r="H56" s="152"/>
      <c r="I56" s="153" t="str">
        <f>IF(H56&lt;&gt;"Y","",IF(D56="","Pick the affected P6 activity first",IF(COUNTIFS('11 Notice calendar'!$A$7:$A$46,A56,'11 Notice calendar'!$I$7:$I$46,D56)&gt;0,"In the Notice calendar","Log it in the Notice calendar today")))</f>
        <v/>
      </c>
      <c r="J56" s="146"/>
      <c r="K56" s="146"/>
      <c r="L56" s="6"/>
      <c r="M56" s="6"/>
      <c r="N56" s="6"/>
      <c r="O56" s="6"/>
      <c r="P56" s="6"/>
      <c r="Q56" s="6"/>
      <c r="R56" s="6"/>
      <c r="S56" s="6"/>
      <c r="T56" s="6"/>
      <c r="U56" s="6"/>
      <c r="V56" s="6"/>
      <c r="W56" s="6"/>
      <c r="X56" s="6"/>
      <c r="Y56" s="6"/>
      <c r="Z56" s="6"/>
    </row>
    <row r="57" spans="1:26" ht="18" customHeight="1" x14ac:dyDescent="0.3">
      <c r="A57" s="152"/>
      <c r="B57" s="128"/>
      <c r="C57" s="152"/>
      <c r="D57" s="128"/>
      <c r="E57" s="144" t="str">
        <f>IF(D57="","",IFERROR(INDEX('12 P6 activities'!$B$7:$B$206,MATCH(D57,'12 P6 activities'!$A$7:$A$206,0)),"⚠ not in P6 list"))</f>
        <v/>
      </c>
      <c r="F57" s="144" t="str">
        <f>IF(D57="","",IFERROR(INDEX('12 P6 activities'!$C$7:$C$206,MATCH(D57,'12 P6 activities'!$A$7:$A$206,0)),"⚠ not in P6 list"))</f>
        <v/>
      </c>
      <c r="G57" s="124"/>
      <c r="H57" s="152"/>
      <c r="I57" s="153" t="str">
        <f>IF(H57&lt;&gt;"Y","",IF(D57="","Pick the affected P6 activity first",IF(COUNTIFS('11 Notice calendar'!$A$7:$A$46,A57,'11 Notice calendar'!$I$7:$I$46,D57)&gt;0,"In the Notice calendar","Log it in the Notice calendar today")))</f>
        <v/>
      </c>
      <c r="J57" s="146"/>
      <c r="K57" s="146"/>
      <c r="L57" s="6"/>
      <c r="M57" s="6"/>
      <c r="N57" s="6"/>
      <c r="O57" s="6"/>
      <c r="P57" s="6"/>
      <c r="Q57" s="6"/>
      <c r="R57" s="6"/>
      <c r="S57" s="6"/>
      <c r="T57" s="6"/>
      <c r="U57" s="6"/>
      <c r="V57" s="6"/>
      <c r="W57" s="6"/>
      <c r="X57" s="6"/>
      <c r="Y57" s="6"/>
      <c r="Z57" s="6"/>
    </row>
    <row r="58" spans="1:26" ht="18" customHeight="1" x14ac:dyDescent="0.3">
      <c r="A58" s="152"/>
      <c r="B58" s="128"/>
      <c r="C58" s="152"/>
      <c r="D58" s="128"/>
      <c r="E58" s="144" t="str">
        <f>IF(D58="","",IFERROR(INDEX('12 P6 activities'!$B$7:$B$206,MATCH(D58,'12 P6 activities'!$A$7:$A$206,0)),"⚠ not in P6 list"))</f>
        <v/>
      </c>
      <c r="F58" s="144" t="str">
        <f>IF(D58="","",IFERROR(INDEX('12 P6 activities'!$C$7:$C$206,MATCH(D58,'12 P6 activities'!$A$7:$A$206,0)),"⚠ not in P6 list"))</f>
        <v/>
      </c>
      <c r="G58" s="124"/>
      <c r="H58" s="152"/>
      <c r="I58" s="153" t="str">
        <f>IF(H58&lt;&gt;"Y","",IF(D58="","Pick the affected P6 activity first",IF(COUNTIFS('11 Notice calendar'!$A$7:$A$46,A58,'11 Notice calendar'!$I$7:$I$46,D58)&gt;0,"In the Notice calendar","Log it in the Notice calendar today")))</f>
        <v/>
      </c>
      <c r="J58" s="146"/>
      <c r="K58" s="146"/>
      <c r="L58" s="6"/>
      <c r="M58" s="6"/>
      <c r="N58" s="6"/>
      <c r="O58" s="6"/>
      <c r="P58" s="6"/>
      <c r="Q58" s="6"/>
      <c r="R58" s="6"/>
      <c r="S58" s="6"/>
      <c r="T58" s="6"/>
      <c r="U58" s="6"/>
      <c r="V58" s="6"/>
      <c r="W58" s="6"/>
      <c r="X58" s="6"/>
      <c r="Y58" s="6"/>
      <c r="Z58" s="6"/>
    </row>
    <row r="59" spans="1:26" ht="18" customHeight="1" x14ac:dyDescent="0.3">
      <c r="A59" s="152"/>
      <c r="B59" s="128"/>
      <c r="C59" s="152"/>
      <c r="D59" s="128"/>
      <c r="E59" s="144" t="str">
        <f>IF(D59="","",IFERROR(INDEX('12 P6 activities'!$B$7:$B$206,MATCH(D59,'12 P6 activities'!$A$7:$A$206,0)),"⚠ not in P6 list"))</f>
        <v/>
      </c>
      <c r="F59" s="144" t="str">
        <f>IF(D59="","",IFERROR(INDEX('12 P6 activities'!$C$7:$C$206,MATCH(D59,'12 P6 activities'!$A$7:$A$206,0)),"⚠ not in P6 list"))</f>
        <v/>
      </c>
      <c r="G59" s="124"/>
      <c r="H59" s="152"/>
      <c r="I59" s="153" t="str">
        <f>IF(H59&lt;&gt;"Y","",IF(D59="","Pick the affected P6 activity first",IF(COUNTIFS('11 Notice calendar'!$A$7:$A$46,A59,'11 Notice calendar'!$I$7:$I$46,D59)&gt;0,"In the Notice calendar","Log it in the Notice calendar today")))</f>
        <v/>
      </c>
      <c r="J59" s="146"/>
      <c r="K59" s="146"/>
      <c r="L59" s="6"/>
      <c r="M59" s="6"/>
      <c r="N59" s="6"/>
      <c r="O59" s="6"/>
      <c r="P59" s="6"/>
      <c r="Q59" s="6"/>
      <c r="R59" s="6"/>
      <c r="S59" s="6"/>
      <c r="T59" s="6"/>
      <c r="U59" s="6"/>
      <c r="V59" s="6"/>
      <c r="W59" s="6"/>
      <c r="X59" s="6"/>
      <c r="Y59" s="6"/>
      <c r="Z59" s="6"/>
    </row>
    <row r="60" spans="1:26" ht="18" customHeight="1" x14ac:dyDescent="0.3">
      <c r="A60" s="152"/>
      <c r="B60" s="128"/>
      <c r="C60" s="152"/>
      <c r="D60" s="128"/>
      <c r="E60" s="144" t="str">
        <f>IF(D60="","",IFERROR(INDEX('12 P6 activities'!$B$7:$B$206,MATCH(D60,'12 P6 activities'!$A$7:$A$206,0)),"⚠ not in P6 list"))</f>
        <v/>
      </c>
      <c r="F60" s="144" t="str">
        <f>IF(D60="","",IFERROR(INDEX('12 P6 activities'!$C$7:$C$206,MATCH(D60,'12 P6 activities'!$A$7:$A$206,0)),"⚠ not in P6 list"))</f>
        <v/>
      </c>
      <c r="G60" s="124"/>
      <c r="H60" s="152"/>
      <c r="I60" s="153" t="str">
        <f>IF(H60&lt;&gt;"Y","",IF(D60="","Pick the affected P6 activity first",IF(COUNTIFS('11 Notice calendar'!$A$7:$A$46,A60,'11 Notice calendar'!$I$7:$I$46,D60)&gt;0,"In the Notice calendar","Log it in the Notice calendar today")))</f>
        <v/>
      </c>
      <c r="J60" s="146"/>
      <c r="K60" s="146"/>
      <c r="L60" s="6"/>
      <c r="M60" s="6"/>
      <c r="N60" s="6"/>
      <c r="O60" s="6"/>
      <c r="P60" s="6"/>
      <c r="Q60" s="6"/>
      <c r="R60" s="6"/>
      <c r="S60" s="6"/>
      <c r="T60" s="6"/>
      <c r="U60" s="6"/>
      <c r="V60" s="6"/>
      <c r="W60" s="6"/>
      <c r="X60" s="6"/>
      <c r="Y60" s="6"/>
      <c r="Z60" s="6"/>
    </row>
    <row r="61" spans="1:26" ht="18" customHeight="1" x14ac:dyDescent="0.3">
      <c r="A61" s="152"/>
      <c r="B61" s="128"/>
      <c r="C61" s="152"/>
      <c r="D61" s="128"/>
      <c r="E61" s="144" t="str">
        <f>IF(D61="","",IFERROR(INDEX('12 P6 activities'!$B$7:$B$206,MATCH(D61,'12 P6 activities'!$A$7:$A$206,0)),"⚠ not in P6 list"))</f>
        <v/>
      </c>
      <c r="F61" s="144" t="str">
        <f>IF(D61="","",IFERROR(INDEX('12 P6 activities'!$C$7:$C$206,MATCH(D61,'12 P6 activities'!$A$7:$A$206,0)),"⚠ not in P6 list"))</f>
        <v/>
      </c>
      <c r="G61" s="124"/>
      <c r="H61" s="152"/>
      <c r="I61" s="153" t="str">
        <f>IF(H61&lt;&gt;"Y","",IF(D61="","Pick the affected P6 activity first",IF(COUNTIFS('11 Notice calendar'!$A$7:$A$46,A61,'11 Notice calendar'!$I$7:$I$46,D61)&gt;0,"In the Notice calendar","Log it in the Notice calendar today")))</f>
        <v/>
      </c>
      <c r="J61" s="146"/>
      <c r="K61" s="146"/>
      <c r="L61" s="6"/>
      <c r="M61" s="6"/>
      <c r="N61" s="6"/>
      <c r="O61" s="6"/>
      <c r="P61" s="6"/>
      <c r="Q61" s="6"/>
      <c r="R61" s="6"/>
      <c r="S61" s="6"/>
      <c r="T61" s="6"/>
      <c r="U61" s="6"/>
      <c r="V61" s="6"/>
      <c r="W61" s="6"/>
      <c r="X61" s="6"/>
      <c r="Y61" s="6"/>
      <c r="Z61" s="6"/>
    </row>
    <row r="62" spans="1:26" ht="18" customHeight="1" x14ac:dyDescent="0.3">
      <c r="A62" s="152"/>
      <c r="B62" s="128"/>
      <c r="C62" s="152"/>
      <c r="D62" s="128"/>
      <c r="E62" s="144" t="str">
        <f>IF(D62="","",IFERROR(INDEX('12 P6 activities'!$B$7:$B$206,MATCH(D62,'12 P6 activities'!$A$7:$A$206,0)),"⚠ not in P6 list"))</f>
        <v/>
      </c>
      <c r="F62" s="144" t="str">
        <f>IF(D62="","",IFERROR(INDEX('12 P6 activities'!$C$7:$C$206,MATCH(D62,'12 P6 activities'!$A$7:$A$206,0)),"⚠ not in P6 list"))</f>
        <v/>
      </c>
      <c r="G62" s="124"/>
      <c r="H62" s="152"/>
      <c r="I62" s="153" t="str">
        <f>IF(H62&lt;&gt;"Y","",IF(D62="","Pick the affected P6 activity first",IF(COUNTIFS('11 Notice calendar'!$A$7:$A$46,A62,'11 Notice calendar'!$I$7:$I$46,D62)&gt;0,"In the Notice calendar","Log it in the Notice calendar today")))</f>
        <v/>
      </c>
      <c r="J62" s="146"/>
      <c r="K62" s="146"/>
      <c r="L62" s="6"/>
      <c r="M62" s="6"/>
      <c r="N62" s="6"/>
      <c r="O62" s="6"/>
      <c r="P62" s="6"/>
      <c r="Q62" s="6"/>
      <c r="R62" s="6"/>
      <c r="S62" s="6"/>
      <c r="T62" s="6"/>
      <c r="U62" s="6"/>
      <c r="V62" s="6"/>
      <c r="W62" s="6"/>
      <c r="X62" s="6"/>
      <c r="Y62" s="6"/>
      <c r="Z62" s="6"/>
    </row>
    <row r="63" spans="1:26" ht="18" customHeight="1" x14ac:dyDescent="0.3">
      <c r="A63" s="152"/>
      <c r="B63" s="128"/>
      <c r="C63" s="152"/>
      <c r="D63" s="128"/>
      <c r="E63" s="144" t="str">
        <f>IF(D63="","",IFERROR(INDEX('12 P6 activities'!$B$7:$B$206,MATCH(D63,'12 P6 activities'!$A$7:$A$206,0)),"⚠ not in P6 list"))</f>
        <v/>
      </c>
      <c r="F63" s="144" t="str">
        <f>IF(D63="","",IFERROR(INDEX('12 P6 activities'!$C$7:$C$206,MATCH(D63,'12 P6 activities'!$A$7:$A$206,0)),"⚠ not in P6 list"))</f>
        <v/>
      </c>
      <c r="G63" s="124"/>
      <c r="H63" s="152"/>
      <c r="I63" s="153" t="str">
        <f>IF(H63&lt;&gt;"Y","",IF(D63="","Pick the affected P6 activity first",IF(COUNTIFS('11 Notice calendar'!$A$7:$A$46,A63,'11 Notice calendar'!$I$7:$I$46,D63)&gt;0,"In the Notice calendar","Log it in the Notice calendar today")))</f>
        <v/>
      </c>
      <c r="J63" s="146"/>
      <c r="K63" s="146"/>
      <c r="L63" s="6"/>
      <c r="M63" s="6"/>
      <c r="N63" s="6"/>
      <c r="O63" s="6"/>
      <c r="P63" s="6"/>
      <c r="Q63" s="6"/>
      <c r="R63" s="6"/>
      <c r="S63" s="6"/>
      <c r="T63" s="6"/>
      <c r="U63" s="6"/>
      <c r="V63" s="6"/>
      <c r="W63" s="6"/>
      <c r="X63" s="6"/>
      <c r="Y63" s="6"/>
      <c r="Z63" s="6"/>
    </row>
    <row r="64" spans="1:26" ht="18" customHeight="1" x14ac:dyDescent="0.3">
      <c r="A64" s="152"/>
      <c r="B64" s="128"/>
      <c r="C64" s="152"/>
      <c r="D64" s="128"/>
      <c r="E64" s="144" t="str">
        <f>IF(D64="","",IFERROR(INDEX('12 P6 activities'!$B$7:$B$206,MATCH(D64,'12 P6 activities'!$A$7:$A$206,0)),"⚠ not in P6 list"))</f>
        <v/>
      </c>
      <c r="F64" s="144" t="str">
        <f>IF(D64="","",IFERROR(INDEX('12 P6 activities'!$C$7:$C$206,MATCH(D64,'12 P6 activities'!$A$7:$A$206,0)),"⚠ not in P6 list"))</f>
        <v/>
      </c>
      <c r="G64" s="124"/>
      <c r="H64" s="152"/>
      <c r="I64" s="153" t="str">
        <f>IF(H64&lt;&gt;"Y","",IF(D64="","Pick the affected P6 activity first",IF(COUNTIFS('11 Notice calendar'!$A$7:$A$46,A64,'11 Notice calendar'!$I$7:$I$46,D64)&gt;0,"In the Notice calendar","Log it in the Notice calendar today")))</f>
        <v/>
      </c>
      <c r="J64" s="146"/>
      <c r="K64" s="146"/>
      <c r="L64" s="6"/>
      <c r="M64" s="6"/>
      <c r="N64" s="6"/>
      <c r="O64" s="6"/>
      <c r="P64" s="6"/>
      <c r="Q64" s="6"/>
      <c r="R64" s="6"/>
      <c r="S64" s="6"/>
      <c r="T64" s="6"/>
      <c r="U64" s="6"/>
      <c r="V64" s="6"/>
      <c r="W64" s="6"/>
      <c r="X64" s="6"/>
      <c r="Y64" s="6"/>
      <c r="Z64" s="6"/>
    </row>
    <row r="65" spans="1:26" ht="18" customHeight="1" x14ac:dyDescent="0.3">
      <c r="A65" s="152"/>
      <c r="B65" s="128"/>
      <c r="C65" s="152"/>
      <c r="D65" s="128"/>
      <c r="E65" s="144" t="str">
        <f>IF(D65="","",IFERROR(INDEX('12 P6 activities'!$B$7:$B$206,MATCH(D65,'12 P6 activities'!$A$7:$A$206,0)),"⚠ not in P6 list"))</f>
        <v/>
      </c>
      <c r="F65" s="144" t="str">
        <f>IF(D65="","",IFERROR(INDEX('12 P6 activities'!$C$7:$C$206,MATCH(D65,'12 P6 activities'!$A$7:$A$206,0)),"⚠ not in P6 list"))</f>
        <v/>
      </c>
      <c r="G65" s="124"/>
      <c r="H65" s="152"/>
      <c r="I65" s="153" t="str">
        <f>IF(H65&lt;&gt;"Y","",IF(D65="","Pick the affected P6 activity first",IF(COUNTIFS('11 Notice calendar'!$A$7:$A$46,A65,'11 Notice calendar'!$I$7:$I$46,D65)&gt;0,"In the Notice calendar","Log it in the Notice calendar today")))</f>
        <v/>
      </c>
      <c r="J65" s="146"/>
      <c r="K65" s="146"/>
      <c r="L65" s="6"/>
      <c r="M65" s="6"/>
      <c r="N65" s="6"/>
      <c r="O65" s="6"/>
      <c r="P65" s="6"/>
      <c r="Q65" s="6"/>
      <c r="R65" s="6"/>
      <c r="S65" s="6"/>
      <c r="T65" s="6"/>
      <c r="U65" s="6"/>
      <c r="V65" s="6"/>
      <c r="W65" s="6"/>
      <c r="X65" s="6"/>
      <c r="Y65" s="6"/>
      <c r="Z65" s="6"/>
    </row>
    <row r="66" spans="1:26" ht="18" customHeight="1" x14ac:dyDescent="0.3">
      <c r="A66" s="152"/>
      <c r="B66" s="128"/>
      <c r="C66" s="152"/>
      <c r="D66" s="128"/>
      <c r="E66" s="144" t="str">
        <f>IF(D66="","",IFERROR(INDEX('12 P6 activities'!$B$7:$B$206,MATCH(D66,'12 P6 activities'!$A$7:$A$206,0)),"⚠ not in P6 list"))</f>
        <v/>
      </c>
      <c r="F66" s="144" t="str">
        <f>IF(D66="","",IFERROR(INDEX('12 P6 activities'!$C$7:$C$206,MATCH(D66,'12 P6 activities'!$A$7:$A$206,0)),"⚠ not in P6 list"))</f>
        <v/>
      </c>
      <c r="G66" s="124"/>
      <c r="H66" s="152"/>
      <c r="I66" s="153" t="str">
        <f>IF(H66&lt;&gt;"Y","",IF(D66="","Pick the affected P6 activity first",IF(COUNTIFS('11 Notice calendar'!$A$7:$A$46,A66,'11 Notice calendar'!$I$7:$I$46,D66)&gt;0,"In the Notice calendar","Log it in the Notice calendar today")))</f>
        <v/>
      </c>
      <c r="J66" s="146"/>
      <c r="K66" s="146"/>
      <c r="L66" s="6"/>
      <c r="M66" s="6"/>
      <c r="N66" s="6"/>
      <c r="O66" s="6"/>
      <c r="P66" s="6"/>
      <c r="Q66" s="6"/>
      <c r="R66" s="6"/>
      <c r="S66" s="6"/>
      <c r="T66" s="6"/>
      <c r="U66" s="6"/>
      <c r="V66" s="6"/>
      <c r="W66" s="6"/>
      <c r="X66" s="6"/>
      <c r="Y66" s="6"/>
      <c r="Z66" s="6"/>
    </row>
    <row r="67" spans="1:26" ht="18" customHeight="1" x14ac:dyDescent="0.3">
      <c r="A67" s="152"/>
      <c r="B67" s="128"/>
      <c r="C67" s="152"/>
      <c r="D67" s="128"/>
      <c r="E67" s="144" t="str">
        <f>IF(D67="","",IFERROR(INDEX('12 P6 activities'!$B$7:$B$206,MATCH(D67,'12 P6 activities'!$A$7:$A$206,0)),"⚠ not in P6 list"))</f>
        <v/>
      </c>
      <c r="F67" s="144" t="str">
        <f>IF(D67="","",IFERROR(INDEX('12 P6 activities'!$C$7:$C$206,MATCH(D67,'12 P6 activities'!$A$7:$A$206,0)),"⚠ not in P6 list"))</f>
        <v/>
      </c>
      <c r="G67" s="124"/>
      <c r="H67" s="152"/>
      <c r="I67" s="153" t="str">
        <f>IF(H67&lt;&gt;"Y","",IF(D67="","Pick the affected P6 activity first",IF(COUNTIFS('11 Notice calendar'!$A$7:$A$46,A67,'11 Notice calendar'!$I$7:$I$46,D67)&gt;0,"In the Notice calendar","Log it in the Notice calendar today")))</f>
        <v/>
      </c>
      <c r="J67" s="146"/>
      <c r="K67" s="146"/>
      <c r="L67" s="6"/>
      <c r="M67" s="6"/>
      <c r="N67" s="6"/>
      <c r="O67" s="6"/>
      <c r="P67" s="6"/>
      <c r="Q67" s="6"/>
      <c r="R67" s="6"/>
      <c r="S67" s="6"/>
      <c r="T67" s="6"/>
      <c r="U67" s="6"/>
      <c r="V67" s="6"/>
      <c r="W67" s="6"/>
      <c r="X67" s="6"/>
      <c r="Y67" s="6"/>
      <c r="Z67" s="6"/>
    </row>
    <row r="68" spans="1:26" ht="18" customHeight="1" x14ac:dyDescent="0.3">
      <c r="A68" s="152"/>
      <c r="B68" s="128"/>
      <c r="C68" s="152"/>
      <c r="D68" s="128"/>
      <c r="E68" s="144" t="str">
        <f>IF(D68="","",IFERROR(INDEX('12 P6 activities'!$B$7:$B$206,MATCH(D68,'12 P6 activities'!$A$7:$A$206,0)),"⚠ not in P6 list"))</f>
        <v/>
      </c>
      <c r="F68" s="144" t="str">
        <f>IF(D68="","",IFERROR(INDEX('12 P6 activities'!$C$7:$C$206,MATCH(D68,'12 P6 activities'!$A$7:$A$206,0)),"⚠ not in P6 list"))</f>
        <v/>
      </c>
      <c r="G68" s="124"/>
      <c r="H68" s="152"/>
      <c r="I68" s="153" t="str">
        <f>IF(H68&lt;&gt;"Y","",IF(D68="","Pick the affected P6 activity first",IF(COUNTIFS('11 Notice calendar'!$A$7:$A$46,A68,'11 Notice calendar'!$I$7:$I$46,D68)&gt;0,"In the Notice calendar","Log it in the Notice calendar today")))</f>
        <v/>
      </c>
      <c r="J68" s="146"/>
      <c r="K68" s="146"/>
      <c r="L68" s="6"/>
      <c r="M68" s="6"/>
      <c r="N68" s="6"/>
      <c r="O68" s="6"/>
      <c r="P68" s="6"/>
      <c r="Q68" s="6"/>
      <c r="R68" s="6"/>
      <c r="S68" s="6"/>
      <c r="T68" s="6"/>
      <c r="U68" s="6"/>
      <c r="V68" s="6"/>
      <c r="W68" s="6"/>
      <c r="X68" s="6"/>
      <c r="Y68" s="6"/>
      <c r="Z68" s="6"/>
    </row>
    <row r="69" spans="1:26" ht="18" customHeight="1" x14ac:dyDescent="0.3">
      <c r="A69" s="152"/>
      <c r="B69" s="128"/>
      <c r="C69" s="152"/>
      <c r="D69" s="128"/>
      <c r="E69" s="144" t="str">
        <f>IF(D69="","",IFERROR(INDEX('12 P6 activities'!$B$7:$B$206,MATCH(D69,'12 P6 activities'!$A$7:$A$206,0)),"⚠ not in P6 list"))</f>
        <v/>
      </c>
      <c r="F69" s="144" t="str">
        <f>IF(D69="","",IFERROR(INDEX('12 P6 activities'!$C$7:$C$206,MATCH(D69,'12 P6 activities'!$A$7:$A$206,0)),"⚠ not in P6 list"))</f>
        <v/>
      </c>
      <c r="G69" s="124"/>
      <c r="H69" s="152"/>
      <c r="I69" s="153" t="str">
        <f>IF(H69&lt;&gt;"Y","",IF(D69="","Pick the affected P6 activity first",IF(COUNTIFS('11 Notice calendar'!$A$7:$A$46,A69,'11 Notice calendar'!$I$7:$I$46,D69)&gt;0,"In the Notice calendar","Log it in the Notice calendar today")))</f>
        <v/>
      </c>
      <c r="J69" s="146"/>
      <c r="K69" s="146"/>
      <c r="L69" s="6"/>
      <c r="M69" s="6"/>
      <c r="N69" s="6"/>
      <c r="O69" s="6"/>
      <c r="P69" s="6"/>
      <c r="Q69" s="6"/>
      <c r="R69" s="6"/>
      <c r="S69" s="6"/>
      <c r="T69" s="6"/>
      <c r="U69" s="6"/>
      <c r="V69" s="6"/>
      <c r="W69" s="6"/>
      <c r="X69" s="6"/>
      <c r="Y69" s="6"/>
      <c r="Z69" s="6"/>
    </row>
    <row r="70" spans="1:26" ht="18" customHeight="1" x14ac:dyDescent="0.3">
      <c r="A70" s="152"/>
      <c r="B70" s="128"/>
      <c r="C70" s="152"/>
      <c r="D70" s="128"/>
      <c r="E70" s="144" t="str">
        <f>IF(D70="","",IFERROR(INDEX('12 P6 activities'!$B$7:$B$206,MATCH(D70,'12 P6 activities'!$A$7:$A$206,0)),"⚠ not in P6 list"))</f>
        <v/>
      </c>
      <c r="F70" s="144" t="str">
        <f>IF(D70="","",IFERROR(INDEX('12 P6 activities'!$C$7:$C$206,MATCH(D70,'12 P6 activities'!$A$7:$A$206,0)),"⚠ not in P6 list"))</f>
        <v/>
      </c>
      <c r="G70" s="124"/>
      <c r="H70" s="152"/>
      <c r="I70" s="153" t="str">
        <f>IF(H70&lt;&gt;"Y","",IF(D70="","Pick the affected P6 activity first",IF(COUNTIFS('11 Notice calendar'!$A$7:$A$46,A70,'11 Notice calendar'!$I$7:$I$46,D70)&gt;0,"In the Notice calendar","Log it in the Notice calendar today")))</f>
        <v/>
      </c>
      <c r="J70" s="146"/>
      <c r="K70" s="146"/>
      <c r="L70" s="6"/>
      <c r="M70" s="6"/>
      <c r="N70" s="6"/>
      <c r="O70" s="6"/>
      <c r="P70" s="6"/>
      <c r="Q70" s="6"/>
      <c r="R70" s="6"/>
      <c r="S70" s="6"/>
      <c r="T70" s="6"/>
      <c r="U70" s="6"/>
      <c r="V70" s="6"/>
      <c r="W70" s="6"/>
      <c r="X70" s="6"/>
      <c r="Y70" s="6"/>
      <c r="Z70" s="6"/>
    </row>
    <row r="71" spans="1:26" ht="18" customHeight="1" x14ac:dyDescent="0.3">
      <c r="A71" s="152"/>
      <c r="B71" s="128"/>
      <c r="C71" s="152"/>
      <c r="D71" s="128"/>
      <c r="E71" s="144" t="str">
        <f>IF(D71="","",IFERROR(INDEX('12 P6 activities'!$B$7:$B$206,MATCH(D71,'12 P6 activities'!$A$7:$A$206,0)),"⚠ not in P6 list"))</f>
        <v/>
      </c>
      <c r="F71" s="144" t="str">
        <f>IF(D71="","",IFERROR(INDEX('12 P6 activities'!$C$7:$C$206,MATCH(D71,'12 P6 activities'!$A$7:$A$206,0)),"⚠ not in P6 list"))</f>
        <v/>
      </c>
      <c r="G71" s="124"/>
      <c r="H71" s="152"/>
      <c r="I71" s="153" t="str">
        <f>IF(H71&lt;&gt;"Y","",IF(D71="","Pick the affected P6 activity first",IF(COUNTIFS('11 Notice calendar'!$A$7:$A$46,A71,'11 Notice calendar'!$I$7:$I$46,D71)&gt;0,"In the Notice calendar","Log it in the Notice calendar today")))</f>
        <v/>
      </c>
      <c r="J71" s="146"/>
      <c r="K71" s="146"/>
      <c r="L71" s="6"/>
      <c r="M71" s="6"/>
      <c r="N71" s="6"/>
      <c r="O71" s="6"/>
      <c r="P71" s="6"/>
      <c r="Q71" s="6"/>
      <c r="R71" s="6"/>
      <c r="S71" s="6"/>
      <c r="T71" s="6"/>
      <c r="U71" s="6"/>
      <c r="V71" s="6"/>
      <c r="W71" s="6"/>
      <c r="X71" s="6"/>
      <c r="Y71" s="6"/>
      <c r="Z71" s="6"/>
    </row>
    <row r="72" spans="1:26" ht="18" customHeight="1" x14ac:dyDescent="0.3">
      <c r="A72" s="152"/>
      <c r="B72" s="128"/>
      <c r="C72" s="152"/>
      <c r="D72" s="128"/>
      <c r="E72" s="144" t="str">
        <f>IF(D72="","",IFERROR(INDEX('12 P6 activities'!$B$7:$B$206,MATCH(D72,'12 P6 activities'!$A$7:$A$206,0)),"⚠ not in P6 list"))</f>
        <v/>
      </c>
      <c r="F72" s="144" t="str">
        <f>IF(D72="","",IFERROR(INDEX('12 P6 activities'!$C$7:$C$206,MATCH(D72,'12 P6 activities'!$A$7:$A$206,0)),"⚠ not in P6 list"))</f>
        <v/>
      </c>
      <c r="G72" s="124"/>
      <c r="H72" s="152"/>
      <c r="I72" s="153" t="str">
        <f>IF(H72&lt;&gt;"Y","",IF(D72="","Pick the affected P6 activity first",IF(COUNTIFS('11 Notice calendar'!$A$7:$A$46,A72,'11 Notice calendar'!$I$7:$I$46,D72)&gt;0,"In the Notice calendar","Log it in the Notice calendar today")))</f>
        <v/>
      </c>
      <c r="J72" s="146"/>
      <c r="K72" s="146"/>
      <c r="L72" s="6"/>
      <c r="M72" s="6"/>
      <c r="N72" s="6"/>
      <c r="O72" s="6"/>
      <c r="P72" s="6"/>
      <c r="Q72" s="6"/>
      <c r="R72" s="6"/>
      <c r="S72" s="6"/>
      <c r="T72" s="6"/>
      <c r="U72" s="6"/>
      <c r="V72" s="6"/>
      <c r="W72" s="6"/>
      <c r="X72" s="6"/>
      <c r="Y72" s="6"/>
      <c r="Z72" s="6"/>
    </row>
    <row r="73" spans="1:26" ht="18" customHeight="1" x14ac:dyDescent="0.3">
      <c r="A73" s="152"/>
      <c r="B73" s="128"/>
      <c r="C73" s="152"/>
      <c r="D73" s="128"/>
      <c r="E73" s="144" t="str">
        <f>IF(D73="","",IFERROR(INDEX('12 P6 activities'!$B$7:$B$206,MATCH(D73,'12 P6 activities'!$A$7:$A$206,0)),"⚠ not in P6 list"))</f>
        <v/>
      </c>
      <c r="F73" s="144" t="str">
        <f>IF(D73="","",IFERROR(INDEX('12 P6 activities'!$C$7:$C$206,MATCH(D73,'12 P6 activities'!$A$7:$A$206,0)),"⚠ not in P6 list"))</f>
        <v/>
      </c>
      <c r="G73" s="124"/>
      <c r="H73" s="152"/>
      <c r="I73" s="153" t="str">
        <f>IF(H73&lt;&gt;"Y","",IF(D73="","Pick the affected P6 activity first",IF(COUNTIFS('11 Notice calendar'!$A$7:$A$46,A73,'11 Notice calendar'!$I$7:$I$46,D73)&gt;0,"In the Notice calendar","Log it in the Notice calendar today")))</f>
        <v/>
      </c>
      <c r="J73" s="146"/>
      <c r="K73" s="146"/>
      <c r="L73" s="6"/>
      <c r="M73" s="6"/>
      <c r="N73" s="6"/>
      <c r="O73" s="6"/>
      <c r="P73" s="6"/>
      <c r="Q73" s="6"/>
      <c r="R73" s="6"/>
      <c r="S73" s="6"/>
      <c r="T73" s="6"/>
      <c r="U73" s="6"/>
      <c r="V73" s="6"/>
      <c r="W73" s="6"/>
      <c r="X73" s="6"/>
      <c r="Y73" s="6"/>
      <c r="Z73" s="6"/>
    </row>
    <row r="74" spans="1:26" ht="18" customHeight="1" x14ac:dyDescent="0.3">
      <c r="A74" s="152"/>
      <c r="B74" s="128"/>
      <c r="C74" s="152"/>
      <c r="D74" s="128"/>
      <c r="E74" s="144" t="str">
        <f>IF(D74="","",IFERROR(INDEX('12 P6 activities'!$B$7:$B$206,MATCH(D74,'12 P6 activities'!$A$7:$A$206,0)),"⚠ not in P6 list"))</f>
        <v/>
      </c>
      <c r="F74" s="144" t="str">
        <f>IF(D74="","",IFERROR(INDEX('12 P6 activities'!$C$7:$C$206,MATCH(D74,'12 P6 activities'!$A$7:$A$206,0)),"⚠ not in P6 list"))</f>
        <v/>
      </c>
      <c r="G74" s="124"/>
      <c r="H74" s="152"/>
      <c r="I74" s="153" t="str">
        <f>IF(H74&lt;&gt;"Y","",IF(D74="","Pick the affected P6 activity first",IF(COUNTIFS('11 Notice calendar'!$A$7:$A$46,A74,'11 Notice calendar'!$I$7:$I$46,D74)&gt;0,"In the Notice calendar","Log it in the Notice calendar today")))</f>
        <v/>
      </c>
      <c r="J74" s="146"/>
      <c r="K74" s="146"/>
      <c r="L74" s="6"/>
      <c r="M74" s="6"/>
      <c r="N74" s="6"/>
      <c r="O74" s="6"/>
      <c r="P74" s="6"/>
      <c r="Q74" s="6"/>
      <c r="R74" s="6"/>
      <c r="S74" s="6"/>
      <c r="T74" s="6"/>
      <c r="U74" s="6"/>
      <c r="V74" s="6"/>
      <c r="W74" s="6"/>
      <c r="X74" s="6"/>
      <c r="Y74" s="6"/>
      <c r="Z74" s="6"/>
    </row>
    <row r="75" spans="1:26" ht="18" customHeight="1" x14ac:dyDescent="0.3">
      <c r="A75" s="152"/>
      <c r="B75" s="128"/>
      <c r="C75" s="152"/>
      <c r="D75" s="128"/>
      <c r="E75" s="144" t="str">
        <f>IF(D75="","",IFERROR(INDEX('12 P6 activities'!$B$7:$B$206,MATCH(D75,'12 P6 activities'!$A$7:$A$206,0)),"⚠ not in P6 list"))</f>
        <v/>
      </c>
      <c r="F75" s="144" t="str">
        <f>IF(D75="","",IFERROR(INDEX('12 P6 activities'!$C$7:$C$206,MATCH(D75,'12 P6 activities'!$A$7:$A$206,0)),"⚠ not in P6 list"))</f>
        <v/>
      </c>
      <c r="G75" s="124"/>
      <c r="H75" s="152"/>
      <c r="I75" s="153" t="str">
        <f>IF(H75&lt;&gt;"Y","",IF(D75="","Pick the affected P6 activity first",IF(COUNTIFS('11 Notice calendar'!$A$7:$A$46,A75,'11 Notice calendar'!$I$7:$I$46,D75)&gt;0,"In the Notice calendar","Log it in the Notice calendar today")))</f>
        <v/>
      </c>
      <c r="J75" s="146"/>
      <c r="K75" s="146"/>
      <c r="L75" s="6"/>
      <c r="M75" s="6"/>
      <c r="N75" s="6"/>
      <c r="O75" s="6"/>
      <c r="P75" s="6"/>
      <c r="Q75" s="6"/>
      <c r="R75" s="6"/>
      <c r="S75" s="6"/>
      <c r="T75" s="6"/>
      <c r="U75" s="6"/>
      <c r="V75" s="6"/>
      <c r="W75" s="6"/>
      <c r="X75" s="6"/>
      <c r="Y75" s="6"/>
      <c r="Z75" s="6"/>
    </row>
    <row r="76" spans="1:26" ht="18" customHeight="1" x14ac:dyDescent="0.3">
      <c r="A76" s="152"/>
      <c r="B76" s="128"/>
      <c r="C76" s="152"/>
      <c r="D76" s="128"/>
      <c r="E76" s="144" t="str">
        <f>IF(D76="","",IFERROR(INDEX('12 P6 activities'!$B$7:$B$206,MATCH(D76,'12 P6 activities'!$A$7:$A$206,0)),"⚠ not in P6 list"))</f>
        <v/>
      </c>
      <c r="F76" s="144" t="str">
        <f>IF(D76="","",IFERROR(INDEX('12 P6 activities'!$C$7:$C$206,MATCH(D76,'12 P6 activities'!$A$7:$A$206,0)),"⚠ not in P6 list"))</f>
        <v/>
      </c>
      <c r="G76" s="124"/>
      <c r="H76" s="152"/>
      <c r="I76" s="153" t="str">
        <f>IF(H76&lt;&gt;"Y","",IF(D76="","Pick the affected P6 activity first",IF(COUNTIFS('11 Notice calendar'!$A$7:$A$46,A76,'11 Notice calendar'!$I$7:$I$46,D76)&gt;0,"In the Notice calendar","Log it in the Notice calendar today")))</f>
        <v/>
      </c>
      <c r="J76" s="146"/>
      <c r="K76" s="146"/>
      <c r="L76" s="6"/>
      <c r="M76" s="6"/>
      <c r="N76" s="6"/>
      <c r="O76" s="6"/>
      <c r="P76" s="6"/>
      <c r="Q76" s="6"/>
      <c r="R76" s="6"/>
      <c r="S76" s="6"/>
      <c r="T76" s="6"/>
      <c r="U76" s="6"/>
      <c r="V76" s="6"/>
      <c r="W76" s="6"/>
      <c r="X76" s="6"/>
      <c r="Y76" s="6"/>
      <c r="Z76" s="6"/>
    </row>
    <row r="77" spans="1:26" ht="18" customHeight="1" x14ac:dyDescent="0.3">
      <c r="A77" s="152"/>
      <c r="B77" s="128"/>
      <c r="C77" s="152"/>
      <c r="D77" s="128"/>
      <c r="E77" s="144" t="str">
        <f>IF(D77="","",IFERROR(INDEX('12 P6 activities'!$B$7:$B$206,MATCH(D77,'12 P6 activities'!$A$7:$A$206,0)),"⚠ not in P6 list"))</f>
        <v/>
      </c>
      <c r="F77" s="144" t="str">
        <f>IF(D77="","",IFERROR(INDEX('12 P6 activities'!$C$7:$C$206,MATCH(D77,'12 P6 activities'!$A$7:$A$206,0)),"⚠ not in P6 list"))</f>
        <v/>
      </c>
      <c r="G77" s="124"/>
      <c r="H77" s="152"/>
      <c r="I77" s="153" t="str">
        <f>IF(H77&lt;&gt;"Y","",IF(D77="","Pick the affected P6 activity first",IF(COUNTIFS('11 Notice calendar'!$A$7:$A$46,A77,'11 Notice calendar'!$I$7:$I$46,D77)&gt;0,"In the Notice calendar","Log it in the Notice calendar today")))</f>
        <v/>
      </c>
      <c r="J77" s="146"/>
      <c r="K77" s="146"/>
      <c r="L77" s="6"/>
      <c r="M77" s="6"/>
      <c r="N77" s="6"/>
      <c r="O77" s="6"/>
      <c r="P77" s="6"/>
      <c r="Q77" s="6"/>
      <c r="R77" s="6"/>
      <c r="S77" s="6"/>
      <c r="T77" s="6"/>
      <c r="U77" s="6"/>
      <c r="V77" s="6"/>
      <c r="W77" s="6"/>
      <c r="X77" s="6"/>
      <c r="Y77" s="6"/>
      <c r="Z77" s="6"/>
    </row>
    <row r="78" spans="1:26" ht="18" customHeight="1" x14ac:dyDescent="0.3">
      <c r="A78" s="152"/>
      <c r="B78" s="128"/>
      <c r="C78" s="152"/>
      <c r="D78" s="128"/>
      <c r="E78" s="144" t="str">
        <f>IF(D78="","",IFERROR(INDEX('12 P6 activities'!$B$7:$B$206,MATCH(D78,'12 P6 activities'!$A$7:$A$206,0)),"⚠ not in P6 list"))</f>
        <v/>
      </c>
      <c r="F78" s="144" t="str">
        <f>IF(D78="","",IFERROR(INDEX('12 P6 activities'!$C$7:$C$206,MATCH(D78,'12 P6 activities'!$A$7:$A$206,0)),"⚠ not in P6 list"))</f>
        <v/>
      </c>
      <c r="G78" s="124"/>
      <c r="H78" s="152"/>
      <c r="I78" s="153" t="str">
        <f>IF(H78&lt;&gt;"Y","",IF(D78="","Pick the affected P6 activity first",IF(COUNTIFS('11 Notice calendar'!$A$7:$A$46,A78,'11 Notice calendar'!$I$7:$I$46,D78)&gt;0,"In the Notice calendar","Log it in the Notice calendar today")))</f>
        <v/>
      </c>
      <c r="J78" s="146"/>
      <c r="K78" s="146"/>
      <c r="L78" s="6"/>
      <c r="M78" s="6"/>
      <c r="N78" s="6"/>
      <c r="O78" s="6"/>
      <c r="P78" s="6"/>
      <c r="Q78" s="6"/>
      <c r="R78" s="6"/>
      <c r="S78" s="6"/>
      <c r="T78" s="6"/>
      <c r="U78" s="6"/>
      <c r="V78" s="6"/>
      <c r="W78" s="6"/>
      <c r="X78" s="6"/>
      <c r="Y78" s="6"/>
      <c r="Z78" s="6"/>
    </row>
    <row r="79" spans="1:26" ht="18" customHeight="1" x14ac:dyDescent="0.3">
      <c r="A79" s="152"/>
      <c r="B79" s="128"/>
      <c r="C79" s="152"/>
      <c r="D79" s="128"/>
      <c r="E79" s="144" t="str">
        <f>IF(D79="","",IFERROR(INDEX('12 P6 activities'!$B$7:$B$206,MATCH(D79,'12 P6 activities'!$A$7:$A$206,0)),"⚠ not in P6 list"))</f>
        <v/>
      </c>
      <c r="F79" s="144" t="str">
        <f>IF(D79="","",IFERROR(INDEX('12 P6 activities'!$C$7:$C$206,MATCH(D79,'12 P6 activities'!$A$7:$A$206,0)),"⚠ not in P6 list"))</f>
        <v/>
      </c>
      <c r="G79" s="124"/>
      <c r="H79" s="152"/>
      <c r="I79" s="153" t="str">
        <f>IF(H79&lt;&gt;"Y","",IF(D79="","Pick the affected P6 activity first",IF(COUNTIFS('11 Notice calendar'!$A$7:$A$46,A79,'11 Notice calendar'!$I$7:$I$46,D79)&gt;0,"In the Notice calendar","Log it in the Notice calendar today")))</f>
        <v/>
      </c>
      <c r="J79" s="146"/>
      <c r="K79" s="146"/>
      <c r="L79" s="6"/>
      <c r="M79" s="6"/>
      <c r="N79" s="6"/>
      <c r="O79" s="6"/>
      <c r="P79" s="6"/>
      <c r="Q79" s="6"/>
      <c r="R79" s="6"/>
      <c r="S79" s="6"/>
      <c r="T79" s="6"/>
      <c r="U79" s="6"/>
      <c r="V79" s="6"/>
      <c r="W79" s="6"/>
      <c r="X79" s="6"/>
      <c r="Y79" s="6"/>
      <c r="Z79" s="6"/>
    </row>
    <row r="80" spans="1:26" ht="18" customHeight="1" x14ac:dyDescent="0.3">
      <c r="A80" s="152"/>
      <c r="B80" s="128"/>
      <c r="C80" s="152"/>
      <c r="D80" s="128"/>
      <c r="E80" s="144" t="str">
        <f>IF(D80="","",IFERROR(INDEX('12 P6 activities'!$B$7:$B$206,MATCH(D80,'12 P6 activities'!$A$7:$A$206,0)),"⚠ not in P6 list"))</f>
        <v/>
      </c>
      <c r="F80" s="144" t="str">
        <f>IF(D80="","",IFERROR(INDEX('12 P6 activities'!$C$7:$C$206,MATCH(D80,'12 P6 activities'!$A$7:$A$206,0)),"⚠ not in P6 list"))</f>
        <v/>
      </c>
      <c r="G80" s="124"/>
      <c r="H80" s="152"/>
      <c r="I80" s="153" t="str">
        <f>IF(H80&lt;&gt;"Y","",IF(D80="","Pick the affected P6 activity first",IF(COUNTIFS('11 Notice calendar'!$A$7:$A$46,A80,'11 Notice calendar'!$I$7:$I$46,D80)&gt;0,"In the Notice calendar","Log it in the Notice calendar today")))</f>
        <v/>
      </c>
      <c r="J80" s="146"/>
      <c r="K80" s="146"/>
      <c r="L80" s="6"/>
      <c r="M80" s="6"/>
      <c r="N80" s="6"/>
      <c r="O80" s="6"/>
      <c r="P80" s="6"/>
      <c r="Q80" s="6"/>
      <c r="R80" s="6"/>
      <c r="S80" s="6"/>
      <c r="T80" s="6"/>
      <c r="U80" s="6"/>
      <c r="V80" s="6"/>
      <c r="W80" s="6"/>
      <c r="X80" s="6"/>
      <c r="Y80" s="6"/>
      <c r="Z80" s="6"/>
    </row>
    <row r="81" spans="1:26" ht="18" customHeight="1" x14ac:dyDescent="0.3">
      <c r="A81" s="152"/>
      <c r="B81" s="128"/>
      <c r="C81" s="152"/>
      <c r="D81" s="128"/>
      <c r="E81" s="144" t="str">
        <f>IF(D81="","",IFERROR(INDEX('12 P6 activities'!$B$7:$B$206,MATCH(D81,'12 P6 activities'!$A$7:$A$206,0)),"⚠ not in P6 list"))</f>
        <v/>
      </c>
      <c r="F81" s="144" t="str">
        <f>IF(D81="","",IFERROR(INDEX('12 P6 activities'!$C$7:$C$206,MATCH(D81,'12 P6 activities'!$A$7:$A$206,0)),"⚠ not in P6 list"))</f>
        <v/>
      </c>
      <c r="G81" s="124"/>
      <c r="H81" s="152"/>
      <c r="I81" s="153" t="str">
        <f>IF(H81&lt;&gt;"Y","",IF(D81="","Pick the affected P6 activity first",IF(COUNTIFS('11 Notice calendar'!$A$7:$A$46,A81,'11 Notice calendar'!$I$7:$I$46,D81)&gt;0,"In the Notice calendar","Log it in the Notice calendar today")))</f>
        <v/>
      </c>
      <c r="J81" s="146"/>
      <c r="K81" s="146"/>
      <c r="L81" s="6"/>
      <c r="M81" s="6"/>
      <c r="N81" s="6"/>
      <c r="O81" s="6"/>
      <c r="P81" s="6"/>
      <c r="Q81" s="6"/>
      <c r="R81" s="6"/>
      <c r="S81" s="6"/>
      <c r="T81" s="6"/>
      <c r="U81" s="6"/>
      <c r="V81" s="6"/>
      <c r="W81" s="6"/>
      <c r="X81" s="6"/>
      <c r="Y81" s="6"/>
      <c r="Z81" s="6"/>
    </row>
    <row r="82" spans="1:26" ht="18" customHeight="1" x14ac:dyDescent="0.3">
      <c r="A82" s="152"/>
      <c r="B82" s="128"/>
      <c r="C82" s="152"/>
      <c r="D82" s="128"/>
      <c r="E82" s="144" t="str">
        <f>IF(D82="","",IFERROR(INDEX('12 P6 activities'!$B$7:$B$206,MATCH(D82,'12 P6 activities'!$A$7:$A$206,0)),"⚠ not in P6 list"))</f>
        <v/>
      </c>
      <c r="F82" s="144" t="str">
        <f>IF(D82="","",IFERROR(INDEX('12 P6 activities'!$C$7:$C$206,MATCH(D82,'12 P6 activities'!$A$7:$A$206,0)),"⚠ not in P6 list"))</f>
        <v/>
      </c>
      <c r="G82" s="124"/>
      <c r="H82" s="152"/>
      <c r="I82" s="153" t="str">
        <f>IF(H82&lt;&gt;"Y","",IF(D82="","Pick the affected P6 activity first",IF(COUNTIFS('11 Notice calendar'!$A$7:$A$46,A82,'11 Notice calendar'!$I$7:$I$46,D82)&gt;0,"In the Notice calendar","Log it in the Notice calendar today")))</f>
        <v/>
      </c>
      <c r="J82" s="146"/>
      <c r="K82" s="146"/>
      <c r="L82" s="6"/>
      <c r="M82" s="6"/>
      <c r="N82" s="6"/>
      <c r="O82" s="6"/>
      <c r="P82" s="6"/>
      <c r="Q82" s="6"/>
      <c r="R82" s="6"/>
      <c r="S82" s="6"/>
      <c r="T82" s="6"/>
      <c r="U82" s="6"/>
      <c r="V82" s="6"/>
      <c r="W82" s="6"/>
      <c r="X82" s="6"/>
      <c r="Y82" s="6"/>
      <c r="Z82" s="6"/>
    </row>
    <row r="83" spans="1:26" ht="18" customHeight="1" x14ac:dyDescent="0.3">
      <c r="A83" s="152"/>
      <c r="B83" s="128"/>
      <c r="C83" s="152"/>
      <c r="D83" s="128"/>
      <c r="E83" s="144" t="str">
        <f>IF(D83="","",IFERROR(INDEX('12 P6 activities'!$B$7:$B$206,MATCH(D83,'12 P6 activities'!$A$7:$A$206,0)),"⚠ not in P6 list"))</f>
        <v/>
      </c>
      <c r="F83" s="144" t="str">
        <f>IF(D83="","",IFERROR(INDEX('12 P6 activities'!$C$7:$C$206,MATCH(D83,'12 P6 activities'!$A$7:$A$206,0)),"⚠ not in P6 list"))</f>
        <v/>
      </c>
      <c r="G83" s="124"/>
      <c r="H83" s="152"/>
      <c r="I83" s="153" t="str">
        <f>IF(H83&lt;&gt;"Y","",IF(D83="","Pick the affected P6 activity first",IF(COUNTIFS('11 Notice calendar'!$A$7:$A$46,A83,'11 Notice calendar'!$I$7:$I$46,D83)&gt;0,"In the Notice calendar","Log it in the Notice calendar today")))</f>
        <v/>
      </c>
      <c r="J83" s="146"/>
      <c r="K83" s="146"/>
      <c r="L83" s="6"/>
      <c r="M83" s="6"/>
      <c r="N83" s="6"/>
      <c r="O83" s="6"/>
      <c r="P83" s="6"/>
      <c r="Q83" s="6"/>
      <c r="R83" s="6"/>
      <c r="S83" s="6"/>
      <c r="T83" s="6"/>
      <c r="U83" s="6"/>
      <c r="V83" s="6"/>
      <c r="W83" s="6"/>
      <c r="X83" s="6"/>
      <c r="Y83" s="6"/>
      <c r="Z83" s="6"/>
    </row>
    <row r="84" spans="1:26" ht="18" customHeight="1" x14ac:dyDescent="0.3">
      <c r="A84" s="152"/>
      <c r="B84" s="128"/>
      <c r="C84" s="152"/>
      <c r="D84" s="128"/>
      <c r="E84" s="144" t="str">
        <f>IF(D84="","",IFERROR(INDEX('12 P6 activities'!$B$7:$B$206,MATCH(D84,'12 P6 activities'!$A$7:$A$206,0)),"⚠ not in P6 list"))</f>
        <v/>
      </c>
      <c r="F84" s="144" t="str">
        <f>IF(D84="","",IFERROR(INDEX('12 P6 activities'!$C$7:$C$206,MATCH(D84,'12 P6 activities'!$A$7:$A$206,0)),"⚠ not in P6 list"))</f>
        <v/>
      </c>
      <c r="G84" s="124"/>
      <c r="H84" s="152"/>
      <c r="I84" s="153" t="str">
        <f>IF(H84&lt;&gt;"Y","",IF(D84="","Pick the affected P6 activity first",IF(COUNTIFS('11 Notice calendar'!$A$7:$A$46,A84,'11 Notice calendar'!$I$7:$I$46,D84)&gt;0,"In the Notice calendar","Log it in the Notice calendar today")))</f>
        <v/>
      </c>
      <c r="J84" s="146"/>
      <c r="K84" s="146"/>
      <c r="L84" s="6"/>
      <c r="M84" s="6"/>
      <c r="N84" s="6"/>
      <c r="O84" s="6"/>
      <c r="P84" s="6"/>
      <c r="Q84" s="6"/>
      <c r="R84" s="6"/>
      <c r="S84" s="6"/>
      <c r="T84" s="6"/>
      <c r="U84" s="6"/>
      <c r="V84" s="6"/>
      <c r="W84" s="6"/>
      <c r="X84" s="6"/>
      <c r="Y84" s="6"/>
      <c r="Z84" s="6"/>
    </row>
    <row r="85" spans="1:26" ht="18" customHeight="1" x14ac:dyDescent="0.3">
      <c r="A85" s="152"/>
      <c r="B85" s="128"/>
      <c r="C85" s="152"/>
      <c r="D85" s="128"/>
      <c r="E85" s="144" t="str">
        <f>IF(D85="","",IFERROR(INDEX('12 P6 activities'!$B$7:$B$206,MATCH(D85,'12 P6 activities'!$A$7:$A$206,0)),"⚠ not in P6 list"))</f>
        <v/>
      </c>
      <c r="F85" s="144" t="str">
        <f>IF(D85="","",IFERROR(INDEX('12 P6 activities'!$C$7:$C$206,MATCH(D85,'12 P6 activities'!$A$7:$A$206,0)),"⚠ not in P6 list"))</f>
        <v/>
      </c>
      <c r="G85" s="124"/>
      <c r="H85" s="152"/>
      <c r="I85" s="153" t="str">
        <f>IF(H85&lt;&gt;"Y","",IF(D85="","Pick the affected P6 activity first",IF(COUNTIFS('11 Notice calendar'!$A$7:$A$46,A85,'11 Notice calendar'!$I$7:$I$46,D85)&gt;0,"In the Notice calendar","Log it in the Notice calendar today")))</f>
        <v/>
      </c>
      <c r="J85" s="146"/>
      <c r="K85" s="146"/>
      <c r="L85" s="6"/>
      <c r="M85" s="6"/>
      <c r="N85" s="6"/>
      <c r="O85" s="6"/>
      <c r="P85" s="6"/>
      <c r="Q85" s="6"/>
      <c r="R85" s="6"/>
      <c r="S85" s="6"/>
      <c r="T85" s="6"/>
      <c r="U85" s="6"/>
      <c r="V85" s="6"/>
      <c r="W85" s="6"/>
      <c r="X85" s="6"/>
      <c r="Y85" s="6"/>
      <c r="Z85" s="6"/>
    </row>
    <row r="86" spans="1:26" ht="18" customHeight="1" x14ac:dyDescent="0.3">
      <c r="A86" s="152"/>
      <c r="B86" s="128"/>
      <c r="C86" s="152"/>
      <c r="D86" s="128"/>
      <c r="E86" s="144" t="str">
        <f>IF(D86="","",IFERROR(INDEX('12 P6 activities'!$B$7:$B$206,MATCH(D86,'12 P6 activities'!$A$7:$A$206,0)),"⚠ not in P6 list"))</f>
        <v/>
      </c>
      <c r="F86" s="144" t="str">
        <f>IF(D86="","",IFERROR(INDEX('12 P6 activities'!$C$7:$C$206,MATCH(D86,'12 P6 activities'!$A$7:$A$206,0)),"⚠ not in P6 list"))</f>
        <v/>
      </c>
      <c r="G86" s="124"/>
      <c r="H86" s="152"/>
      <c r="I86" s="153" t="str">
        <f>IF(H86&lt;&gt;"Y","",IF(D86="","Pick the affected P6 activity first",IF(COUNTIFS('11 Notice calendar'!$A$7:$A$46,A86,'11 Notice calendar'!$I$7:$I$46,D86)&gt;0,"In the Notice calendar","Log it in the Notice calendar today")))</f>
        <v/>
      </c>
      <c r="J86" s="146"/>
      <c r="K86" s="146"/>
      <c r="L86" s="6"/>
      <c r="M86" s="6"/>
      <c r="N86" s="6"/>
      <c r="O86" s="6"/>
      <c r="P86" s="6"/>
      <c r="Q86" s="6"/>
      <c r="R86" s="6"/>
      <c r="S86" s="6"/>
      <c r="T86" s="6"/>
      <c r="U86" s="6"/>
      <c r="V86" s="6"/>
      <c r="W86" s="6"/>
      <c r="X86" s="6"/>
      <c r="Y86" s="6"/>
      <c r="Z86" s="6"/>
    </row>
    <row r="87" spans="1:26" ht="18" customHeight="1" x14ac:dyDescent="0.3">
      <c r="A87" s="152"/>
      <c r="B87" s="128"/>
      <c r="C87" s="152"/>
      <c r="D87" s="128"/>
      <c r="E87" s="144" t="str">
        <f>IF(D87="","",IFERROR(INDEX('12 P6 activities'!$B$7:$B$206,MATCH(D87,'12 P6 activities'!$A$7:$A$206,0)),"⚠ not in P6 list"))</f>
        <v/>
      </c>
      <c r="F87" s="144" t="str">
        <f>IF(D87="","",IFERROR(INDEX('12 P6 activities'!$C$7:$C$206,MATCH(D87,'12 P6 activities'!$A$7:$A$206,0)),"⚠ not in P6 list"))</f>
        <v/>
      </c>
      <c r="G87" s="124"/>
      <c r="H87" s="152"/>
      <c r="I87" s="153" t="str">
        <f>IF(H87&lt;&gt;"Y","",IF(D87="","Pick the affected P6 activity first",IF(COUNTIFS('11 Notice calendar'!$A$7:$A$46,A87,'11 Notice calendar'!$I$7:$I$46,D87)&gt;0,"In the Notice calendar","Log it in the Notice calendar today")))</f>
        <v/>
      </c>
      <c r="J87" s="146"/>
      <c r="K87" s="146"/>
      <c r="L87" s="6"/>
      <c r="M87" s="6"/>
      <c r="N87" s="6"/>
      <c r="O87" s="6"/>
      <c r="P87" s="6"/>
      <c r="Q87" s="6"/>
      <c r="R87" s="6"/>
      <c r="S87" s="6"/>
      <c r="T87" s="6"/>
      <c r="U87" s="6"/>
      <c r="V87" s="6"/>
      <c r="W87" s="6"/>
      <c r="X87" s="6"/>
      <c r="Y87" s="6"/>
      <c r="Z87" s="6"/>
    </row>
    <row r="88" spans="1:26" ht="18" customHeight="1" x14ac:dyDescent="0.3">
      <c r="A88" s="152"/>
      <c r="B88" s="128"/>
      <c r="C88" s="152"/>
      <c r="D88" s="128"/>
      <c r="E88" s="144" t="str">
        <f>IF(D88="","",IFERROR(INDEX('12 P6 activities'!$B$7:$B$206,MATCH(D88,'12 P6 activities'!$A$7:$A$206,0)),"⚠ not in P6 list"))</f>
        <v/>
      </c>
      <c r="F88" s="144" t="str">
        <f>IF(D88="","",IFERROR(INDEX('12 P6 activities'!$C$7:$C$206,MATCH(D88,'12 P6 activities'!$A$7:$A$206,0)),"⚠ not in P6 list"))</f>
        <v/>
      </c>
      <c r="G88" s="124"/>
      <c r="H88" s="152"/>
      <c r="I88" s="153" t="str">
        <f>IF(H88&lt;&gt;"Y","",IF(D88="","Pick the affected P6 activity first",IF(COUNTIFS('11 Notice calendar'!$A$7:$A$46,A88,'11 Notice calendar'!$I$7:$I$46,D88)&gt;0,"In the Notice calendar","Log it in the Notice calendar today")))</f>
        <v/>
      </c>
      <c r="J88" s="146"/>
      <c r="K88" s="146"/>
      <c r="L88" s="6"/>
      <c r="M88" s="6"/>
      <c r="N88" s="6"/>
      <c r="O88" s="6"/>
      <c r="P88" s="6"/>
      <c r="Q88" s="6"/>
      <c r="R88" s="6"/>
      <c r="S88" s="6"/>
      <c r="T88" s="6"/>
      <c r="U88" s="6"/>
      <c r="V88" s="6"/>
      <c r="W88" s="6"/>
      <c r="X88" s="6"/>
      <c r="Y88" s="6"/>
      <c r="Z88" s="6"/>
    </row>
    <row r="89" spans="1:26" ht="18" customHeight="1" x14ac:dyDescent="0.3">
      <c r="A89" s="152"/>
      <c r="B89" s="128"/>
      <c r="C89" s="152"/>
      <c r="D89" s="128"/>
      <c r="E89" s="144" t="str">
        <f>IF(D89="","",IFERROR(INDEX('12 P6 activities'!$B$7:$B$206,MATCH(D89,'12 P6 activities'!$A$7:$A$206,0)),"⚠ not in P6 list"))</f>
        <v/>
      </c>
      <c r="F89" s="144" t="str">
        <f>IF(D89="","",IFERROR(INDEX('12 P6 activities'!$C$7:$C$206,MATCH(D89,'12 P6 activities'!$A$7:$A$206,0)),"⚠ not in P6 list"))</f>
        <v/>
      </c>
      <c r="G89" s="124"/>
      <c r="H89" s="152"/>
      <c r="I89" s="153" t="str">
        <f>IF(H89&lt;&gt;"Y","",IF(D89="","Pick the affected P6 activity first",IF(COUNTIFS('11 Notice calendar'!$A$7:$A$46,A89,'11 Notice calendar'!$I$7:$I$46,D89)&gt;0,"In the Notice calendar","Log it in the Notice calendar today")))</f>
        <v/>
      </c>
      <c r="J89" s="146"/>
      <c r="K89" s="146"/>
      <c r="L89" s="6"/>
      <c r="M89" s="6"/>
      <c r="N89" s="6"/>
      <c r="O89" s="6"/>
      <c r="P89" s="6"/>
      <c r="Q89" s="6"/>
      <c r="R89" s="6"/>
      <c r="S89" s="6"/>
      <c r="T89" s="6"/>
      <c r="U89" s="6"/>
      <c r="V89" s="6"/>
      <c r="W89" s="6"/>
      <c r="X89" s="6"/>
      <c r="Y89" s="6"/>
      <c r="Z89" s="6"/>
    </row>
    <row r="90" spans="1:26" ht="18" customHeight="1" x14ac:dyDescent="0.3">
      <c r="A90" s="152"/>
      <c r="B90" s="128"/>
      <c r="C90" s="152"/>
      <c r="D90" s="128"/>
      <c r="E90" s="144" t="str">
        <f>IF(D90="","",IFERROR(INDEX('12 P6 activities'!$B$7:$B$206,MATCH(D90,'12 P6 activities'!$A$7:$A$206,0)),"⚠ not in P6 list"))</f>
        <v/>
      </c>
      <c r="F90" s="144" t="str">
        <f>IF(D90="","",IFERROR(INDEX('12 P6 activities'!$C$7:$C$206,MATCH(D90,'12 P6 activities'!$A$7:$A$206,0)),"⚠ not in P6 list"))</f>
        <v/>
      </c>
      <c r="G90" s="124"/>
      <c r="H90" s="152"/>
      <c r="I90" s="153" t="str">
        <f>IF(H90&lt;&gt;"Y","",IF(D90="","Pick the affected P6 activity first",IF(COUNTIFS('11 Notice calendar'!$A$7:$A$46,A90,'11 Notice calendar'!$I$7:$I$46,D90)&gt;0,"In the Notice calendar","Log it in the Notice calendar today")))</f>
        <v/>
      </c>
      <c r="J90" s="146"/>
      <c r="K90" s="146"/>
      <c r="L90" s="6"/>
      <c r="M90" s="6"/>
      <c r="N90" s="6"/>
      <c r="O90" s="6"/>
      <c r="P90" s="6"/>
      <c r="Q90" s="6"/>
      <c r="R90" s="6"/>
      <c r="S90" s="6"/>
      <c r="T90" s="6"/>
      <c r="U90" s="6"/>
      <c r="V90" s="6"/>
      <c r="W90" s="6"/>
      <c r="X90" s="6"/>
      <c r="Y90" s="6"/>
      <c r="Z90" s="6"/>
    </row>
    <row r="91" spans="1:26" ht="18" customHeight="1" x14ac:dyDescent="0.3">
      <c r="A91" s="152"/>
      <c r="B91" s="128"/>
      <c r="C91" s="152"/>
      <c r="D91" s="128"/>
      <c r="E91" s="144" t="str">
        <f>IF(D91="","",IFERROR(INDEX('12 P6 activities'!$B$7:$B$206,MATCH(D91,'12 P6 activities'!$A$7:$A$206,0)),"⚠ not in P6 list"))</f>
        <v/>
      </c>
      <c r="F91" s="144" t="str">
        <f>IF(D91="","",IFERROR(INDEX('12 P6 activities'!$C$7:$C$206,MATCH(D91,'12 P6 activities'!$A$7:$A$206,0)),"⚠ not in P6 list"))</f>
        <v/>
      </c>
      <c r="G91" s="124"/>
      <c r="H91" s="152"/>
      <c r="I91" s="153" t="str">
        <f>IF(H91&lt;&gt;"Y","",IF(D91="","Pick the affected P6 activity first",IF(COUNTIFS('11 Notice calendar'!$A$7:$A$46,A91,'11 Notice calendar'!$I$7:$I$46,D91)&gt;0,"In the Notice calendar","Log it in the Notice calendar today")))</f>
        <v/>
      </c>
      <c r="J91" s="146"/>
      <c r="K91" s="146"/>
      <c r="L91" s="6"/>
      <c r="M91" s="6"/>
      <c r="N91" s="6"/>
      <c r="O91" s="6"/>
      <c r="P91" s="6"/>
      <c r="Q91" s="6"/>
      <c r="R91" s="6"/>
      <c r="S91" s="6"/>
      <c r="T91" s="6"/>
      <c r="U91" s="6"/>
      <c r="V91" s="6"/>
      <c r="W91" s="6"/>
      <c r="X91" s="6"/>
      <c r="Y91" s="6"/>
      <c r="Z91" s="6"/>
    </row>
    <row r="92" spans="1:26" ht="18" customHeight="1" x14ac:dyDescent="0.3">
      <c r="A92" s="152"/>
      <c r="B92" s="128"/>
      <c r="C92" s="152"/>
      <c r="D92" s="128"/>
      <c r="E92" s="144" t="str">
        <f>IF(D92="","",IFERROR(INDEX('12 P6 activities'!$B$7:$B$206,MATCH(D92,'12 P6 activities'!$A$7:$A$206,0)),"⚠ not in P6 list"))</f>
        <v/>
      </c>
      <c r="F92" s="144" t="str">
        <f>IF(D92="","",IFERROR(INDEX('12 P6 activities'!$C$7:$C$206,MATCH(D92,'12 P6 activities'!$A$7:$A$206,0)),"⚠ not in P6 list"))</f>
        <v/>
      </c>
      <c r="G92" s="124"/>
      <c r="H92" s="152"/>
      <c r="I92" s="153" t="str">
        <f>IF(H92&lt;&gt;"Y","",IF(D92="","Pick the affected P6 activity first",IF(COUNTIFS('11 Notice calendar'!$A$7:$A$46,A92,'11 Notice calendar'!$I$7:$I$46,D92)&gt;0,"In the Notice calendar","Log it in the Notice calendar today")))</f>
        <v/>
      </c>
      <c r="J92" s="146"/>
      <c r="K92" s="146"/>
      <c r="L92" s="6"/>
      <c r="M92" s="6"/>
      <c r="N92" s="6"/>
      <c r="O92" s="6"/>
      <c r="P92" s="6"/>
      <c r="Q92" s="6"/>
      <c r="R92" s="6"/>
      <c r="S92" s="6"/>
      <c r="T92" s="6"/>
      <c r="U92" s="6"/>
      <c r="V92" s="6"/>
      <c r="W92" s="6"/>
      <c r="X92" s="6"/>
      <c r="Y92" s="6"/>
      <c r="Z92" s="6"/>
    </row>
    <row r="93" spans="1:26" ht="18" customHeight="1" x14ac:dyDescent="0.3">
      <c r="A93" s="152"/>
      <c r="B93" s="128"/>
      <c r="C93" s="152"/>
      <c r="D93" s="128"/>
      <c r="E93" s="144" t="str">
        <f>IF(D93="","",IFERROR(INDEX('12 P6 activities'!$B$7:$B$206,MATCH(D93,'12 P6 activities'!$A$7:$A$206,0)),"⚠ not in P6 list"))</f>
        <v/>
      </c>
      <c r="F93" s="144" t="str">
        <f>IF(D93="","",IFERROR(INDEX('12 P6 activities'!$C$7:$C$206,MATCH(D93,'12 P6 activities'!$A$7:$A$206,0)),"⚠ not in P6 list"))</f>
        <v/>
      </c>
      <c r="G93" s="124"/>
      <c r="H93" s="152"/>
      <c r="I93" s="153" t="str">
        <f>IF(H93&lt;&gt;"Y","",IF(D93="","Pick the affected P6 activity first",IF(COUNTIFS('11 Notice calendar'!$A$7:$A$46,A93,'11 Notice calendar'!$I$7:$I$46,D93)&gt;0,"In the Notice calendar","Log it in the Notice calendar today")))</f>
        <v/>
      </c>
      <c r="J93" s="146"/>
      <c r="K93" s="146"/>
      <c r="L93" s="6"/>
      <c r="M93" s="6"/>
      <c r="N93" s="6"/>
      <c r="O93" s="6"/>
      <c r="P93" s="6"/>
      <c r="Q93" s="6"/>
      <c r="R93" s="6"/>
      <c r="S93" s="6"/>
      <c r="T93" s="6"/>
      <c r="U93" s="6"/>
      <c r="V93" s="6"/>
      <c r="W93" s="6"/>
      <c r="X93" s="6"/>
      <c r="Y93" s="6"/>
      <c r="Z93" s="6"/>
    </row>
    <row r="94" spans="1:26" ht="18" customHeight="1" x14ac:dyDescent="0.3">
      <c r="A94" s="152"/>
      <c r="B94" s="128"/>
      <c r="C94" s="152"/>
      <c r="D94" s="128"/>
      <c r="E94" s="144" t="str">
        <f>IF(D94="","",IFERROR(INDEX('12 P6 activities'!$B$7:$B$206,MATCH(D94,'12 P6 activities'!$A$7:$A$206,0)),"⚠ not in P6 list"))</f>
        <v/>
      </c>
      <c r="F94" s="144" t="str">
        <f>IF(D94="","",IFERROR(INDEX('12 P6 activities'!$C$7:$C$206,MATCH(D94,'12 P6 activities'!$A$7:$A$206,0)),"⚠ not in P6 list"))</f>
        <v/>
      </c>
      <c r="G94" s="124"/>
      <c r="H94" s="152"/>
      <c r="I94" s="153" t="str">
        <f>IF(H94&lt;&gt;"Y","",IF(D94="","Pick the affected P6 activity first",IF(COUNTIFS('11 Notice calendar'!$A$7:$A$46,A94,'11 Notice calendar'!$I$7:$I$46,D94)&gt;0,"In the Notice calendar","Log it in the Notice calendar today")))</f>
        <v/>
      </c>
      <c r="J94" s="146"/>
      <c r="K94" s="146"/>
      <c r="L94" s="6"/>
      <c r="M94" s="6"/>
      <c r="N94" s="6"/>
      <c r="O94" s="6"/>
      <c r="P94" s="6"/>
      <c r="Q94" s="6"/>
      <c r="R94" s="6"/>
      <c r="S94" s="6"/>
      <c r="T94" s="6"/>
      <c r="U94" s="6"/>
      <c r="V94" s="6"/>
      <c r="W94" s="6"/>
      <c r="X94" s="6"/>
      <c r="Y94" s="6"/>
      <c r="Z94" s="6"/>
    </row>
    <row r="95" spans="1:26" ht="18" customHeight="1" x14ac:dyDescent="0.3">
      <c r="A95" s="152"/>
      <c r="B95" s="128"/>
      <c r="C95" s="152"/>
      <c r="D95" s="128"/>
      <c r="E95" s="144" t="str">
        <f>IF(D95="","",IFERROR(INDEX('12 P6 activities'!$B$7:$B$206,MATCH(D95,'12 P6 activities'!$A$7:$A$206,0)),"⚠ not in P6 list"))</f>
        <v/>
      </c>
      <c r="F95" s="144" t="str">
        <f>IF(D95="","",IFERROR(INDEX('12 P6 activities'!$C$7:$C$206,MATCH(D95,'12 P6 activities'!$A$7:$A$206,0)),"⚠ not in P6 list"))</f>
        <v/>
      </c>
      <c r="G95" s="124"/>
      <c r="H95" s="152"/>
      <c r="I95" s="153" t="str">
        <f>IF(H95&lt;&gt;"Y","",IF(D95="","Pick the affected P6 activity first",IF(COUNTIFS('11 Notice calendar'!$A$7:$A$46,A95,'11 Notice calendar'!$I$7:$I$46,D95)&gt;0,"In the Notice calendar","Log it in the Notice calendar today")))</f>
        <v/>
      </c>
      <c r="J95" s="146"/>
      <c r="K95" s="146"/>
      <c r="L95" s="6"/>
      <c r="M95" s="6"/>
      <c r="N95" s="6"/>
      <c r="O95" s="6"/>
      <c r="P95" s="6"/>
      <c r="Q95" s="6"/>
      <c r="R95" s="6"/>
      <c r="S95" s="6"/>
      <c r="T95" s="6"/>
      <c r="U95" s="6"/>
      <c r="V95" s="6"/>
      <c r="W95" s="6"/>
      <c r="X95" s="6"/>
      <c r="Y95" s="6"/>
      <c r="Z95" s="6"/>
    </row>
    <row r="96" spans="1:26" ht="18" customHeight="1" x14ac:dyDescent="0.3">
      <c r="A96" s="152"/>
      <c r="B96" s="128"/>
      <c r="C96" s="152"/>
      <c r="D96" s="128"/>
      <c r="E96" s="144" t="str">
        <f>IF(D96="","",IFERROR(INDEX('12 P6 activities'!$B$7:$B$206,MATCH(D96,'12 P6 activities'!$A$7:$A$206,0)),"⚠ not in P6 list"))</f>
        <v/>
      </c>
      <c r="F96" s="144" t="str">
        <f>IF(D96="","",IFERROR(INDEX('12 P6 activities'!$C$7:$C$206,MATCH(D96,'12 P6 activities'!$A$7:$A$206,0)),"⚠ not in P6 list"))</f>
        <v/>
      </c>
      <c r="G96" s="124"/>
      <c r="H96" s="152"/>
      <c r="I96" s="153" t="str">
        <f>IF(H96&lt;&gt;"Y","",IF(D96="","Pick the affected P6 activity first",IF(COUNTIFS('11 Notice calendar'!$A$7:$A$46,A96,'11 Notice calendar'!$I$7:$I$46,D96)&gt;0,"In the Notice calendar","Log it in the Notice calendar today")))</f>
        <v/>
      </c>
      <c r="J96" s="146"/>
      <c r="K96" s="146"/>
      <c r="L96" s="6"/>
      <c r="M96" s="6"/>
      <c r="N96" s="6"/>
      <c r="O96" s="6"/>
      <c r="P96" s="6"/>
      <c r="Q96" s="6"/>
      <c r="R96" s="6"/>
      <c r="S96" s="6"/>
      <c r="T96" s="6"/>
      <c r="U96" s="6"/>
      <c r="V96" s="6"/>
      <c r="W96" s="6"/>
      <c r="X96" s="6"/>
      <c r="Y96" s="6"/>
      <c r="Z96" s="6"/>
    </row>
    <row r="97" spans="1:26" ht="18" customHeight="1" x14ac:dyDescent="0.3">
      <c r="A97" s="152"/>
      <c r="B97" s="128"/>
      <c r="C97" s="152"/>
      <c r="D97" s="128"/>
      <c r="E97" s="144" t="str">
        <f>IF(D97="","",IFERROR(INDEX('12 P6 activities'!$B$7:$B$206,MATCH(D97,'12 P6 activities'!$A$7:$A$206,0)),"⚠ not in P6 list"))</f>
        <v/>
      </c>
      <c r="F97" s="144" t="str">
        <f>IF(D97="","",IFERROR(INDEX('12 P6 activities'!$C$7:$C$206,MATCH(D97,'12 P6 activities'!$A$7:$A$206,0)),"⚠ not in P6 list"))</f>
        <v/>
      </c>
      <c r="G97" s="124"/>
      <c r="H97" s="152"/>
      <c r="I97" s="153" t="str">
        <f>IF(H97&lt;&gt;"Y","",IF(D97="","Pick the affected P6 activity first",IF(COUNTIFS('11 Notice calendar'!$A$7:$A$46,A97,'11 Notice calendar'!$I$7:$I$46,D97)&gt;0,"In the Notice calendar","Log it in the Notice calendar today")))</f>
        <v/>
      </c>
      <c r="J97" s="146"/>
      <c r="K97" s="146"/>
      <c r="L97" s="6"/>
      <c r="M97" s="6"/>
      <c r="N97" s="6"/>
      <c r="O97" s="6"/>
      <c r="P97" s="6"/>
      <c r="Q97" s="6"/>
      <c r="R97" s="6"/>
      <c r="S97" s="6"/>
      <c r="T97" s="6"/>
      <c r="U97" s="6"/>
      <c r="V97" s="6"/>
      <c r="W97" s="6"/>
      <c r="X97" s="6"/>
      <c r="Y97" s="6"/>
      <c r="Z97" s="6"/>
    </row>
    <row r="98" spans="1:26" ht="18" customHeight="1" x14ac:dyDescent="0.3">
      <c r="A98" s="152"/>
      <c r="B98" s="128"/>
      <c r="C98" s="152"/>
      <c r="D98" s="128"/>
      <c r="E98" s="144" t="str">
        <f>IF(D98="","",IFERROR(INDEX('12 P6 activities'!$B$7:$B$206,MATCH(D98,'12 P6 activities'!$A$7:$A$206,0)),"⚠ not in P6 list"))</f>
        <v/>
      </c>
      <c r="F98" s="144" t="str">
        <f>IF(D98="","",IFERROR(INDEX('12 P6 activities'!$C$7:$C$206,MATCH(D98,'12 P6 activities'!$A$7:$A$206,0)),"⚠ not in P6 list"))</f>
        <v/>
      </c>
      <c r="G98" s="124"/>
      <c r="H98" s="152"/>
      <c r="I98" s="153" t="str">
        <f>IF(H98&lt;&gt;"Y","",IF(D98="","Pick the affected P6 activity first",IF(COUNTIFS('11 Notice calendar'!$A$7:$A$46,A98,'11 Notice calendar'!$I$7:$I$46,D98)&gt;0,"In the Notice calendar","Log it in the Notice calendar today")))</f>
        <v/>
      </c>
      <c r="J98" s="146"/>
      <c r="K98" s="146"/>
      <c r="L98" s="6"/>
      <c r="M98" s="6"/>
      <c r="N98" s="6"/>
      <c r="O98" s="6"/>
      <c r="P98" s="6"/>
      <c r="Q98" s="6"/>
      <c r="R98" s="6"/>
      <c r="S98" s="6"/>
      <c r="T98" s="6"/>
      <c r="U98" s="6"/>
      <c r="V98" s="6"/>
      <c r="W98" s="6"/>
      <c r="X98" s="6"/>
      <c r="Y98" s="6"/>
      <c r="Z98" s="6"/>
    </row>
    <row r="99" spans="1:26" ht="18" customHeight="1" x14ac:dyDescent="0.3">
      <c r="A99" s="152"/>
      <c r="B99" s="128"/>
      <c r="C99" s="152"/>
      <c r="D99" s="128"/>
      <c r="E99" s="144" t="str">
        <f>IF(D99="","",IFERROR(INDEX('12 P6 activities'!$B$7:$B$206,MATCH(D99,'12 P6 activities'!$A$7:$A$206,0)),"⚠ not in P6 list"))</f>
        <v/>
      </c>
      <c r="F99" s="144" t="str">
        <f>IF(D99="","",IFERROR(INDEX('12 P6 activities'!$C$7:$C$206,MATCH(D99,'12 P6 activities'!$A$7:$A$206,0)),"⚠ not in P6 list"))</f>
        <v/>
      </c>
      <c r="G99" s="124"/>
      <c r="H99" s="152"/>
      <c r="I99" s="153" t="str">
        <f>IF(H99&lt;&gt;"Y","",IF(D99="","Pick the affected P6 activity first",IF(COUNTIFS('11 Notice calendar'!$A$7:$A$46,A99,'11 Notice calendar'!$I$7:$I$46,D99)&gt;0,"In the Notice calendar","Log it in the Notice calendar today")))</f>
        <v/>
      </c>
      <c r="J99" s="146"/>
      <c r="K99" s="146"/>
      <c r="L99" s="6"/>
      <c r="M99" s="6"/>
      <c r="N99" s="6"/>
      <c r="O99" s="6"/>
      <c r="P99" s="6"/>
      <c r="Q99" s="6"/>
      <c r="R99" s="6"/>
      <c r="S99" s="6"/>
      <c r="T99" s="6"/>
      <c r="U99" s="6"/>
      <c r="V99" s="6"/>
      <c r="W99" s="6"/>
      <c r="X99" s="6"/>
      <c r="Y99" s="6"/>
      <c r="Z99" s="6"/>
    </row>
    <row r="100" spans="1:26" ht="18" customHeight="1" x14ac:dyDescent="0.3">
      <c r="A100" s="152"/>
      <c r="B100" s="128"/>
      <c r="C100" s="152"/>
      <c r="D100" s="128"/>
      <c r="E100" s="144" t="str">
        <f>IF(D100="","",IFERROR(INDEX('12 P6 activities'!$B$7:$B$206,MATCH(D100,'12 P6 activities'!$A$7:$A$206,0)),"⚠ not in P6 list"))</f>
        <v/>
      </c>
      <c r="F100" s="144" t="str">
        <f>IF(D100="","",IFERROR(INDEX('12 P6 activities'!$C$7:$C$206,MATCH(D100,'12 P6 activities'!$A$7:$A$206,0)),"⚠ not in P6 list"))</f>
        <v/>
      </c>
      <c r="G100" s="124"/>
      <c r="H100" s="152"/>
      <c r="I100" s="153" t="str">
        <f>IF(H100&lt;&gt;"Y","",IF(D100="","Pick the affected P6 activity first",IF(COUNTIFS('11 Notice calendar'!$A$7:$A$46,A100,'11 Notice calendar'!$I$7:$I$46,D100)&gt;0,"In the Notice calendar","Log it in the Notice calendar today")))</f>
        <v/>
      </c>
      <c r="J100" s="146"/>
      <c r="K100" s="146"/>
      <c r="L100" s="6"/>
      <c r="M100" s="6"/>
      <c r="N100" s="6"/>
      <c r="O100" s="6"/>
      <c r="P100" s="6"/>
      <c r="Q100" s="6"/>
      <c r="R100" s="6"/>
      <c r="S100" s="6"/>
      <c r="T100" s="6"/>
      <c r="U100" s="6"/>
      <c r="V100" s="6"/>
      <c r="W100" s="6"/>
      <c r="X100" s="6"/>
      <c r="Y100" s="6"/>
      <c r="Z100" s="6"/>
    </row>
    <row r="101" spans="1:26" ht="18" customHeight="1" x14ac:dyDescent="0.3">
      <c r="A101" s="152"/>
      <c r="B101" s="128"/>
      <c r="C101" s="152"/>
      <c r="D101" s="128"/>
      <c r="E101" s="144" t="str">
        <f>IF(D101="","",IFERROR(INDEX('12 P6 activities'!$B$7:$B$206,MATCH(D101,'12 P6 activities'!$A$7:$A$206,0)),"⚠ not in P6 list"))</f>
        <v/>
      </c>
      <c r="F101" s="144" t="str">
        <f>IF(D101="","",IFERROR(INDEX('12 P6 activities'!$C$7:$C$206,MATCH(D101,'12 P6 activities'!$A$7:$A$206,0)),"⚠ not in P6 list"))</f>
        <v/>
      </c>
      <c r="G101" s="124"/>
      <c r="H101" s="152"/>
      <c r="I101" s="153" t="str">
        <f>IF(H101&lt;&gt;"Y","",IF(D101="","Pick the affected P6 activity first",IF(COUNTIFS('11 Notice calendar'!$A$7:$A$46,A101,'11 Notice calendar'!$I$7:$I$46,D101)&gt;0,"In the Notice calendar","Log it in the Notice calendar today")))</f>
        <v/>
      </c>
      <c r="J101" s="146"/>
      <c r="K101" s="146"/>
      <c r="L101" s="6"/>
      <c r="M101" s="6"/>
      <c r="N101" s="6"/>
      <c r="O101" s="6"/>
      <c r="P101" s="6"/>
      <c r="Q101" s="6"/>
      <c r="R101" s="6"/>
      <c r="S101" s="6"/>
      <c r="T101" s="6"/>
      <c r="U101" s="6"/>
      <c r="V101" s="6"/>
      <c r="W101" s="6"/>
      <c r="X101" s="6"/>
      <c r="Y101" s="6"/>
      <c r="Z101" s="6"/>
    </row>
    <row r="102" spans="1:26" ht="18" customHeight="1" x14ac:dyDescent="0.3">
      <c r="A102" s="152"/>
      <c r="B102" s="128"/>
      <c r="C102" s="152"/>
      <c r="D102" s="128"/>
      <c r="E102" s="144" t="str">
        <f>IF(D102="","",IFERROR(INDEX('12 P6 activities'!$B$7:$B$206,MATCH(D102,'12 P6 activities'!$A$7:$A$206,0)),"⚠ not in P6 list"))</f>
        <v/>
      </c>
      <c r="F102" s="144" t="str">
        <f>IF(D102="","",IFERROR(INDEX('12 P6 activities'!$C$7:$C$206,MATCH(D102,'12 P6 activities'!$A$7:$A$206,0)),"⚠ not in P6 list"))</f>
        <v/>
      </c>
      <c r="G102" s="124"/>
      <c r="H102" s="152"/>
      <c r="I102" s="153" t="str">
        <f>IF(H102&lt;&gt;"Y","",IF(D102="","Pick the affected P6 activity first",IF(COUNTIFS('11 Notice calendar'!$A$7:$A$46,A102,'11 Notice calendar'!$I$7:$I$46,D102)&gt;0,"In the Notice calendar","Log it in the Notice calendar today")))</f>
        <v/>
      </c>
      <c r="J102" s="146"/>
      <c r="K102" s="146"/>
      <c r="L102" s="6"/>
      <c r="M102" s="6"/>
      <c r="N102" s="6"/>
      <c r="O102" s="6"/>
      <c r="P102" s="6"/>
      <c r="Q102" s="6"/>
      <c r="R102" s="6"/>
      <c r="S102" s="6"/>
      <c r="T102" s="6"/>
      <c r="U102" s="6"/>
      <c r="V102" s="6"/>
      <c r="W102" s="6"/>
      <c r="X102" s="6"/>
      <c r="Y102" s="6"/>
      <c r="Z102" s="6"/>
    </row>
    <row r="103" spans="1:26" ht="18" customHeight="1" x14ac:dyDescent="0.3">
      <c r="A103" s="152"/>
      <c r="B103" s="128"/>
      <c r="C103" s="152"/>
      <c r="D103" s="128"/>
      <c r="E103" s="144" t="str">
        <f>IF(D103="","",IFERROR(INDEX('12 P6 activities'!$B$7:$B$206,MATCH(D103,'12 P6 activities'!$A$7:$A$206,0)),"⚠ not in P6 list"))</f>
        <v/>
      </c>
      <c r="F103" s="144" t="str">
        <f>IF(D103="","",IFERROR(INDEX('12 P6 activities'!$C$7:$C$206,MATCH(D103,'12 P6 activities'!$A$7:$A$206,0)),"⚠ not in P6 list"))</f>
        <v/>
      </c>
      <c r="G103" s="124"/>
      <c r="H103" s="152"/>
      <c r="I103" s="153" t="str">
        <f>IF(H103&lt;&gt;"Y","",IF(D103="","Pick the affected P6 activity first",IF(COUNTIFS('11 Notice calendar'!$A$7:$A$46,A103,'11 Notice calendar'!$I$7:$I$46,D103)&gt;0,"In the Notice calendar","Log it in the Notice calendar today")))</f>
        <v/>
      </c>
      <c r="J103" s="146"/>
      <c r="K103" s="146"/>
      <c r="L103" s="6"/>
      <c r="M103" s="6"/>
      <c r="N103" s="6"/>
      <c r="O103" s="6"/>
      <c r="P103" s="6"/>
      <c r="Q103" s="6"/>
      <c r="R103" s="6"/>
      <c r="S103" s="6"/>
      <c r="T103" s="6"/>
      <c r="U103" s="6"/>
      <c r="V103" s="6"/>
      <c r="W103" s="6"/>
      <c r="X103" s="6"/>
      <c r="Y103" s="6"/>
      <c r="Z103" s="6"/>
    </row>
    <row r="104" spans="1:26" ht="18" customHeight="1" x14ac:dyDescent="0.3">
      <c r="A104" s="152"/>
      <c r="B104" s="128"/>
      <c r="C104" s="152"/>
      <c r="D104" s="128"/>
      <c r="E104" s="144" t="str">
        <f>IF(D104="","",IFERROR(INDEX('12 P6 activities'!$B$7:$B$206,MATCH(D104,'12 P6 activities'!$A$7:$A$206,0)),"⚠ not in P6 list"))</f>
        <v/>
      </c>
      <c r="F104" s="144" t="str">
        <f>IF(D104="","",IFERROR(INDEX('12 P6 activities'!$C$7:$C$206,MATCH(D104,'12 P6 activities'!$A$7:$A$206,0)),"⚠ not in P6 list"))</f>
        <v/>
      </c>
      <c r="G104" s="124"/>
      <c r="H104" s="152"/>
      <c r="I104" s="153" t="str">
        <f>IF(H104&lt;&gt;"Y","",IF(D104="","Pick the affected P6 activity first",IF(COUNTIFS('11 Notice calendar'!$A$7:$A$46,A104,'11 Notice calendar'!$I$7:$I$46,D104)&gt;0,"In the Notice calendar","Log it in the Notice calendar today")))</f>
        <v/>
      </c>
      <c r="J104" s="146"/>
      <c r="K104" s="146"/>
      <c r="L104" s="6"/>
      <c r="M104" s="6"/>
      <c r="N104" s="6"/>
      <c r="O104" s="6"/>
      <c r="P104" s="6"/>
      <c r="Q104" s="6"/>
      <c r="R104" s="6"/>
      <c r="S104" s="6"/>
      <c r="T104" s="6"/>
      <c r="U104" s="6"/>
      <c r="V104" s="6"/>
      <c r="W104" s="6"/>
      <c r="X104" s="6"/>
      <c r="Y104" s="6"/>
      <c r="Z104" s="6"/>
    </row>
    <row r="105" spans="1:26" ht="18" customHeight="1" x14ac:dyDescent="0.3">
      <c r="A105" s="152"/>
      <c r="B105" s="128"/>
      <c r="C105" s="152"/>
      <c r="D105" s="128"/>
      <c r="E105" s="144" t="str">
        <f>IF(D105="","",IFERROR(INDEX('12 P6 activities'!$B$7:$B$206,MATCH(D105,'12 P6 activities'!$A$7:$A$206,0)),"⚠ not in P6 list"))</f>
        <v/>
      </c>
      <c r="F105" s="144" t="str">
        <f>IF(D105="","",IFERROR(INDEX('12 P6 activities'!$C$7:$C$206,MATCH(D105,'12 P6 activities'!$A$7:$A$206,0)),"⚠ not in P6 list"))</f>
        <v/>
      </c>
      <c r="G105" s="124"/>
      <c r="H105" s="152"/>
      <c r="I105" s="153" t="str">
        <f>IF(H105&lt;&gt;"Y","",IF(D105="","Pick the affected P6 activity first",IF(COUNTIFS('11 Notice calendar'!$A$7:$A$46,A105,'11 Notice calendar'!$I$7:$I$46,D105)&gt;0,"In the Notice calendar","Log it in the Notice calendar today")))</f>
        <v/>
      </c>
      <c r="J105" s="146"/>
      <c r="K105" s="146"/>
      <c r="L105" s="6"/>
      <c r="M105" s="6"/>
      <c r="N105" s="6"/>
      <c r="O105" s="6"/>
      <c r="P105" s="6"/>
      <c r="Q105" s="6"/>
      <c r="R105" s="6"/>
      <c r="S105" s="6"/>
      <c r="T105" s="6"/>
      <c r="U105" s="6"/>
      <c r="V105" s="6"/>
      <c r="W105" s="6"/>
      <c r="X105" s="6"/>
      <c r="Y105" s="6"/>
      <c r="Z105" s="6"/>
    </row>
    <row r="106" spans="1:26" ht="18" customHeight="1" x14ac:dyDescent="0.3">
      <c r="A106" s="152"/>
      <c r="B106" s="128"/>
      <c r="C106" s="152"/>
      <c r="D106" s="128"/>
      <c r="E106" s="144" t="str">
        <f>IF(D106="","",IFERROR(INDEX('12 P6 activities'!$B$7:$B$206,MATCH(D106,'12 P6 activities'!$A$7:$A$206,0)),"⚠ not in P6 list"))</f>
        <v/>
      </c>
      <c r="F106" s="144" t="str">
        <f>IF(D106="","",IFERROR(INDEX('12 P6 activities'!$C$7:$C$206,MATCH(D106,'12 P6 activities'!$A$7:$A$206,0)),"⚠ not in P6 list"))</f>
        <v/>
      </c>
      <c r="G106" s="124"/>
      <c r="H106" s="152"/>
      <c r="I106" s="153" t="str">
        <f>IF(H106&lt;&gt;"Y","",IF(D106="","Pick the affected P6 activity first",IF(COUNTIFS('11 Notice calendar'!$A$7:$A$46,A106,'11 Notice calendar'!$I$7:$I$46,D106)&gt;0,"In the Notice calendar","Log it in the Notice calendar today")))</f>
        <v/>
      </c>
      <c r="J106" s="146"/>
      <c r="K106" s="146"/>
      <c r="L106" s="6"/>
      <c r="M106" s="6"/>
      <c r="N106" s="6"/>
      <c r="O106" s="6"/>
      <c r="P106" s="6"/>
      <c r="Q106" s="6"/>
      <c r="R106" s="6"/>
      <c r="S106" s="6"/>
      <c r="T106" s="6"/>
      <c r="U106" s="6"/>
      <c r="V106" s="6"/>
      <c r="W106" s="6"/>
      <c r="X106" s="6"/>
      <c r="Y106" s="6"/>
      <c r="Z106" s="6"/>
    </row>
    <row r="107" spans="1:26" ht="18" customHeight="1" x14ac:dyDescent="0.3">
      <c r="A107" s="152"/>
      <c r="B107" s="128"/>
      <c r="C107" s="152"/>
      <c r="D107" s="128"/>
      <c r="E107" s="144" t="str">
        <f>IF(D107="","",IFERROR(INDEX('12 P6 activities'!$B$7:$B$206,MATCH(D107,'12 P6 activities'!$A$7:$A$206,0)),"⚠ not in P6 list"))</f>
        <v/>
      </c>
      <c r="F107" s="144" t="str">
        <f>IF(D107="","",IFERROR(INDEX('12 P6 activities'!$C$7:$C$206,MATCH(D107,'12 P6 activities'!$A$7:$A$206,0)),"⚠ not in P6 list"))</f>
        <v/>
      </c>
      <c r="G107" s="124"/>
      <c r="H107" s="152"/>
      <c r="I107" s="153" t="str">
        <f>IF(H107&lt;&gt;"Y","",IF(D107="","Pick the affected P6 activity first",IF(COUNTIFS('11 Notice calendar'!$A$7:$A$46,A107,'11 Notice calendar'!$I$7:$I$46,D107)&gt;0,"In the Notice calendar","Log it in the Notice calendar today")))</f>
        <v/>
      </c>
      <c r="J107" s="146"/>
      <c r="K107" s="146"/>
      <c r="L107" s="6"/>
      <c r="M107" s="6"/>
      <c r="N107" s="6"/>
      <c r="O107" s="6"/>
      <c r="P107" s="6"/>
      <c r="Q107" s="6"/>
      <c r="R107" s="6"/>
      <c r="S107" s="6"/>
      <c r="T107" s="6"/>
      <c r="U107" s="6"/>
      <c r="V107" s="6"/>
      <c r="W107" s="6"/>
      <c r="X107" s="6"/>
      <c r="Y107" s="6"/>
      <c r="Z107" s="6"/>
    </row>
    <row r="108" spans="1:26" ht="18" customHeight="1" x14ac:dyDescent="0.3">
      <c r="A108" s="152"/>
      <c r="B108" s="128"/>
      <c r="C108" s="152"/>
      <c r="D108" s="128"/>
      <c r="E108" s="144" t="str">
        <f>IF(D108="","",IFERROR(INDEX('12 P6 activities'!$B$7:$B$206,MATCH(D108,'12 P6 activities'!$A$7:$A$206,0)),"⚠ not in P6 list"))</f>
        <v/>
      </c>
      <c r="F108" s="144" t="str">
        <f>IF(D108="","",IFERROR(INDEX('12 P6 activities'!$C$7:$C$206,MATCH(D108,'12 P6 activities'!$A$7:$A$206,0)),"⚠ not in P6 list"))</f>
        <v/>
      </c>
      <c r="G108" s="124"/>
      <c r="H108" s="152"/>
      <c r="I108" s="153" t="str">
        <f>IF(H108&lt;&gt;"Y","",IF(D108="","Pick the affected P6 activity first",IF(COUNTIFS('11 Notice calendar'!$A$7:$A$46,A108,'11 Notice calendar'!$I$7:$I$46,D108)&gt;0,"In the Notice calendar","Log it in the Notice calendar today")))</f>
        <v/>
      </c>
      <c r="J108" s="146"/>
      <c r="K108" s="146"/>
      <c r="L108" s="6"/>
      <c r="M108" s="6"/>
      <c r="N108" s="6"/>
      <c r="O108" s="6"/>
      <c r="P108" s="6"/>
      <c r="Q108" s="6"/>
      <c r="R108" s="6"/>
      <c r="S108" s="6"/>
      <c r="T108" s="6"/>
      <c r="U108" s="6"/>
      <c r="V108" s="6"/>
      <c r="W108" s="6"/>
      <c r="X108" s="6"/>
      <c r="Y108" s="6"/>
      <c r="Z108" s="6"/>
    </row>
    <row r="109" spans="1:26" ht="18" customHeight="1" x14ac:dyDescent="0.3">
      <c r="A109" s="152"/>
      <c r="B109" s="128"/>
      <c r="C109" s="152"/>
      <c r="D109" s="128"/>
      <c r="E109" s="144" t="str">
        <f>IF(D109="","",IFERROR(INDEX('12 P6 activities'!$B$7:$B$206,MATCH(D109,'12 P6 activities'!$A$7:$A$206,0)),"⚠ not in P6 list"))</f>
        <v/>
      </c>
      <c r="F109" s="144" t="str">
        <f>IF(D109="","",IFERROR(INDEX('12 P6 activities'!$C$7:$C$206,MATCH(D109,'12 P6 activities'!$A$7:$A$206,0)),"⚠ not in P6 list"))</f>
        <v/>
      </c>
      <c r="G109" s="124"/>
      <c r="H109" s="152"/>
      <c r="I109" s="153" t="str">
        <f>IF(H109&lt;&gt;"Y","",IF(D109="","Pick the affected P6 activity first",IF(COUNTIFS('11 Notice calendar'!$A$7:$A$46,A109,'11 Notice calendar'!$I$7:$I$46,D109)&gt;0,"In the Notice calendar","Log it in the Notice calendar today")))</f>
        <v/>
      </c>
      <c r="J109" s="146"/>
      <c r="K109" s="146"/>
      <c r="L109" s="6"/>
      <c r="M109" s="6"/>
      <c r="N109" s="6"/>
      <c r="O109" s="6"/>
      <c r="P109" s="6"/>
      <c r="Q109" s="6"/>
      <c r="R109" s="6"/>
      <c r="S109" s="6"/>
      <c r="T109" s="6"/>
      <c r="U109" s="6"/>
      <c r="V109" s="6"/>
      <c r="W109" s="6"/>
      <c r="X109" s="6"/>
      <c r="Y109" s="6"/>
      <c r="Z109" s="6"/>
    </row>
    <row r="110" spans="1:26" ht="18" customHeight="1" x14ac:dyDescent="0.3">
      <c r="A110" s="152"/>
      <c r="B110" s="128"/>
      <c r="C110" s="152"/>
      <c r="D110" s="128"/>
      <c r="E110" s="144" t="str">
        <f>IF(D110="","",IFERROR(INDEX('12 P6 activities'!$B$7:$B$206,MATCH(D110,'12 P6 activities'!$A$7:$A$206,0)),"⚠ not in P6 list"))</f>
        <v/>
      </c>
      <c r="F110" s="144" t="str">
        <f>IF(D110="","",IFERROR(INDEX('12 P6 activities'!$C$7:$C$206,MATCH(D110,'12 P6 activities'!$A$7:$A$206,0)),"⚠ not in P6 list"))</f>
        <v/>
      </c>
      <c r="G110" s="124"/>
      <c r="H110" s="152"/>
      <c r="I110" s="153" t="str">
        <f>IF(H110&lt;&gt;"Y","",IF(D110="","Pick the affected P6 activity first",IF(COUNTIFS('11 Notice calendar'!$A$7:$A$46,A110,'11 Notice calendar'!$I$7:$I$46,D110)&gt;0,"In the Notice calendar","Log it in the Notice calendar today")))</f>
        <v/>
      </c>
      <c r="J110" s="146"/>
      <c r="K110" s="146"/>
      <c r="L110" s="6"/>
      <c r="M110" s="6"/>
      <c r="N110" s="6"/>
      <c r="O110" s="6"/>
      <c r="P110" s="6"/>
      <c r="Q110" s="6"/>
      <c r="R110" s="6"/>
      <c r="S110" s="6"/>
      <c r="T110" s="6"/>
      <c r="U110" s="6"/>
      <c r="V110" s="6"/>
      <c r="W110" s="6"/>
      <c r="X110" s="6"/>
      <c r="Y110" s="6"/>
      <c r="Z110" s="6"/>
    </row>
    <row r="111" spans="1:26" ht="18" customHeight="1" x14ac:dyDescent="0.3">
      <c r="A111" s="152"/>
      <c r="B111" s="128"/>
      <c r="C111" s="152"/>
      <c r="D111" s="128"/>
      <c r="E111" s="144" t="str">
        <f>IF(D111="","",IFERROR(INDEX('12 P6 activities'!$B$7:$B$206,MATCH(D111,'12 P6 activities'!$A$7:$A$206,0)),"⚠ not in P6 list"))</f>
        <v/>
      </c>
      <c r="F111" s="144" t="str">
        <f>IF(D111="","",IFERROR(INDEX('12 P6 activities'!$C$7:$C$206,MATCH(D111,'12 P6 activities'!$A$7:$A$206,0)),"⚠ not in P6 list"))</f>
        <v/>
      </c>
      <c r="G111" s="124"/>
      <c r="H111" s="152"/>
      <c r="I111" s="153" t="str">
        <f>IF(H111&lt;&gt;"Y","",IF(D111="","Pick the affected P6 activity first",IF(COUNTIFS('11 Notice calendar'!$A$7:$A$46,A111,'11 Notice calendar'!$I$7:$I$46,D111)&gt;0,"In the Notice calendar","Log it in the Notice calendar today")))</f>
        <v/>
      </c>
      <c r="J111" s="146"/>
      <c r="K111" s="146"/>
      <c r="L111" s="6"/>
      <c r="M111" s="6"/>
      <c r="N111" s="6"/>
      <c r="O111" s="6"/>
      <c r="P111" s="6"/>
      <c r="Q111" s="6"/>
      <c r="R111" s="6"/>
      <c r="S111" s="6"/>
      <c r="T111" s="6"/>
      <c r="U111" s="6"/>
      <c r="V111" s="6"/>
      <c r="W111" s="6"/>
      <c r="X111" s="6"/>
      <c r="Y111" s="6"/>
      <c r="Z111" s="6"/>
    </row>
    <row r="112" spans="1:26" ht="18" customHeight="1" x14ac:dyDescent="0.3">
      <c r="A112" s="152"/>
      <c r="B112" s="128"/>
      <c r="C112" s="152"/>
      <c r="D112" s="128"/>
      <c r="E112" s="144" t="str">
        <f>IF(D112="","",IFERROR(INDEX('12 P6 activities'!$B$7:$B$206,MATCH(D112,'12 P6 activities'!$A$7:$A$206,0)),"⚠ not in P6 list"))</f>
        <v/>
      </c>
      <c r="F112" s="144" t="str">
        <f>IF(D112="","",IFERROR(INDEX('12 P6 activities'!$C$7:$C$206,MATCH(D112,'12 P6 activities'!$A$7:$A$206,0)),"⚠ not in P6 list"))</f>
        <v/>
      </c>
      <c r="G112" s="124"/>
      <c r="H112" s="152"/>
      <c r="I112" s="153" t="str">
        <f>IF(H112&lt;&gt;"Y","",IF(D112="","Pick the affected P6 activity first",IF(COUNTIFS('11 Notice calendar'!$A$7:$A$46,A112,'11 Notice calendar'!$I$7:$I$46,D112)&gt;0,"In the Notice calendar","Log it in the Notice calendar today")))</f>
        <v/>
      </c>
      <c r="J112" s="146"/>
      <c r="K112" s="146"/>
      <c r="L112" s="6"/>
      <c r="M112" s="6"/>
      <c r="N112" s="6"/>
      <c r="O112" s="6"/>
      <c r="P112" s="6"/>
      <c r="Q112" s="6"/>
      <c r="R112" s="6"/>
      <c r="S112" s="6"/>
      <c r="T112" s="6"/>
      <c r="U112" s="6"/>
      <c r="V112" s="6"/>
      <c r="W112" s="6"/>
      <c r="X112" s="6"/>
      <c r="Y112" s="6"/>
      <c r="Z112" s="6"/>
    </row>
    <row r="113" spans="1:26" ht="18" customHeight="1" x14ac:dyDescent="0.3">
      <c r="A113" s="152"/>
      <c r="B113" s="128"/>
      <c r="C113" s="152"/>
      <c r="D113" s="128"/>
      <c r="E113" s="144" t="str">
        <f>IF(D113="","",IFERROR(INDEX('12 P6 activities'!$B$7:$B$206,MATCH(D113,'12 P6 activities'!$A$7:$A$206,0)),"⚠ not in P6 list"))</f>
        <v/>
      </c>
      <c r="F113" s="144" t="str">
        <f>IF(D113="","",IFERROR(INDEX('12 P6 activities'!$C$7:$C$206,MATCH(D113,'12 P6 activities'!$A$7:$A$206,0)),"⚠ not in P6 list"))</f>
        <v/>
      </c>
      <c r="G113" s="124"/>
      <c r="H113" s="152"/>
      <c r="I113" s="153" t="str">
        <f>IF(H113&lt;&gt;"Y","",IF(D113="","Pick the affected P6 activity first",IF(COUNTIFS('11 Notice calendar'!$A$7:$A$46,A113,'11 Notice calendar'!$I$7:$I$46,D113)&gt;0,"In the Notice calendar","Log it in the Notice calendar today")))</f>
        <v/>
      </c>
      <c r="J113" s="146"/>
      <c r="K113" s="146"/>
      <c r="L113" s="6"/>
      <c r="M113" s="6"/>
      <c r="N113" s="6"/>
      <c r="O113" s="6"/>
      <c r="P113" s="6"/>
      <c r="Q113" s="6"/>
      <c r="R113" s="6"/>
      <c r="S113" s="6"/>
      <c r="T113" s="6"/>
      <c r="U113" s="6"/>
      <c r="V113" s="6"/>
      <c r="W113" s="6"/>
      <c r="X113" s="6"/>
      <c r="Y113" s="6"/>
      <c r="Z113" s="6"/>
    </row>
    <row r="114" spans="1:26" ht="18" customHeight="1" x14ac:dyDescent="0.3">
      <c r="A114" s="152"/>
      <c r="B114" s="128"/>
      <c r="C114" s="152"/>
      <c r="D114" s="128"/>
      <c r="E114" s="144" t="str">
        <f>IF(D114="","",IFERROR(INDEX('12 P6 activities'!$B$7:$B$206,MATCH(D114,'12 P6 activities'!$A$7:$A$206,0)),"⚠ not in P6 list"))</f>
        <v/>
      </c>
      <c r="F114" s="144" t="str">
        <f>IF(D114="","",IFERROR(INDEX('12 P6 activities'!$C$7:$C$206,MATCH(D114,'12 P6 activities'!$A$7:$A$206,0)),"⚠ not in P6 list"))</f>
        <v/>
      </c>
      <c r="G114" s="124"/>
      <c r="H114" s="152"/>
      <c r="I114" s="153" t="str">
        <f>IF(H114&lt;&gt;"Y","",IF(D114="","Pick the affected P6 activity first",IF(COUNTIFS('11 Notice calendar'!$A$7:$A$46,A114,'11 Notice calendar'!$I$7:$I$46,D114)&gt;0,"In the Notice calendar","Log it in the Notice calendar today")))</f>
        <v/>
      </c>
      <c r="J114" s="146"/>
      <c r="K114" s="146"/>
      <c r="L114" s="6"/>
      <c r="M114" s="6"/>
      <c r="N114" s="6"/>
      <c r="O114" s="6"/>
      <c r="P114" s="6"/>
      <c r="Q114" s="6"/>
      <c r="R114" s="6"/>
      <c r="S114" s="6"/>
      <c r="T114" s="6"/>
      <c r="U114" s="6"/>
      <c r="V114" s="6"/>
      <c r="W114" s="6"/>
      <c r="X114" s="6"/>
      <c r="Y114" s="6"/>
      <c r="Z114" s="6"/>
    </row>
    <row r="115" spans="1:26" ht="18" customHeight="1" x14ac:dyDescent="0.3">
      <c r="A115" s="152"/>
      <c r="B115" s="128"/>
      <c r="C115" s="152"/>
      <c r="D115" s="128"/>
      <c r="E115" s="144" t="str">
        <f>IF(D115="","",IFERROR(INDEX('12 P6 activities'!$B$7:$B$206,MATCH(D115,'12 P6 activities'!$A$7:$A$206,0)),"⚠ not in P6 list"))</f>
        <v/>
      </c>
      <c r="F115" s="144" t="str">
        <f>IF(D115="","",IFERROR(INDEX('12 P6 activities'!$C$7:$C$206,MATCH(D115,'12 P6 activities'!$A$7:$A$206,0)),"⚠ not in P6 list"))</f>
        <v/>
      </c>
      <c r="G115" s="124"/>
      <c r="H115" s="152"/>
      <c r="I115" s="153" t="str">
        <f>IF(H115&lt;&gt;"Y","",IF(D115="","Pick the affected P6 activity first",IF(COUNTIFS('11 Notice calendar'!$A$7:$A$46,A115,'11 Notice calendar'!$I$7:$I$46,D115)&gt;0,"In the Notice calendar","Log it in the Notice calendar today")))</f>
        <v/>
      </c>
      <c r="J115" s="146"/>
      <c r="K115" s="146"/>
      <c r="L115" s="6"/>
      <c r="M115" s="6"/>
      <c r="N115" s="6"/>
      <c r="O115" s="6"/>
      <c r="P115" s="6"/>
      <c r="Q115" s="6"/>
      <c r="R115" s="6"/>
      <c r="S115" s="6"/>
      <c r="T115" s="6"/>
      <c r="U115" s="6"/>
      <c r="V115" s="6"/>
      <c r="W115" s="6"/>
      <c r="X115" s="6"/>
      <c r="Y115" s="6"/>
      <c r="Z115" s="6"/>
    </row>
    <row r="116" spans="1:26" ht="18" customHeight="1" x14ac:dyDescent="0.3">
      <c r="A116" s="152"/>
      <c r="B116" s="128"/>
      <c r="C116" s="152"/>
      <c r="D116" s="128"/>
      <c r="E116" s="144" t="str">
        <f>IF(D116="","",IFERROR(INDEX('12 P6 activities'!$B$7:$B$206,MATCH(D116,'12 P6 activities'!$A$7:$A$206,0)),"⚠ not in P6 list"))</f>
        <v/>
      </c>
      <c r="F116" s="144" t="str">
        <f>IF(D116="","",IFERROR(INDEX('12 P6 activities'!$C$7:$C$206,MATCH(D116,'12 P6 activities'!$A$7:$A$206,0)),"⚠ not in P6 list"))</f>
        <v/>
      </c>
      <c r="G116" s="124"/>
      <c r="H116" s="152"/>
      <c r="I116" s="153" t="str">
        <f>IF(H116&lt;&gt;"Y","",IF(D116="","Pick the affected P6 activity first",IF(COUNTIFS('11 Notice calendar'!$A$7:$A$46,A116,'11 Notice calendar'!$I$7:$I$46,D116)&gt;0,"In the Notice calendar","Log it in the Notice calendar today")))</f>
        <v/>
      </c>
      <c r="J116" s="146"/>
      <c r="K116" s="146"/>
      <c r="L116" s="6"/>
      <c r="M116" s="6"/>
      <c r="N116" s="6"/>
      <c r="O116" s="6"/>
      <c r="P116" s="6"/>
      <c r="Q116" s="6"/>
      <c r="R116" s="6"/>
      <c r="S116" s="6"/>
      <c r="T116" s="6"/>
      <c r="U116" s="6"/>
      <c r="V116" s="6"/>
      <c r="W116" s="6"/>
      <c r="X116" s="6"/>
      <c r="Y116" s="6"/>
      <c r="Z116" s="6"/>
    </row>
    <row r="117" spans="1:26" ht="18" customHeight="1" x14ac:dyDescent="0.3">
      <c r="A117" s="152"/>
      <c r="B117" s="128"/>
      <c r="C117" s="152"/>
      <c r="D117" s="128"/>
      <c r="E117" s="144" t="str">
        <f>IF(D117="","",IFERROR(INDEX('12 P6 activities'!$B$7:$B$206,MATCH(D117,'12 P6 activities'!$A$7:$A$206,0)),"⚠ not in P6 list"))</f>
        <v/>
      </c>
      <c r="F117" s="144" t="str">
        <f>IF(D117="","",IFERROR(INDEX('12 P6 activities'!$C$7:$C$206,MATCH(D117,'12 P6 activities'!$A$7:$A$206,0)),"⚠ not in P6 list"))</f>
        <v/>
      </c>
      <c r="G117" s="124"/>
      <c r="H117" s="152"/>
      <c r="I117" s="153" t="str">
        <f>IF(H117&lt;&gt;"Y","",IF(D117="","Pick the affected P6 activity first",IF(COUNTIFS('11 Notice calendar'!$A$7:$A$46,A117,'11 Notice calendar'!$I$7:$I$46,D117)&gt;0,"In the Notice calendar","Log it in the Notice calendar today")))</f>
        <v/>
      </c>
      <c r="J117" s="146"/>
      <c r="K117" s="146"/>
      <c r="L117" s="6"/>
      <c r="M117" s="6"/>
      <c r="N117" s="6"/>
      <c r="O117" s="6"/>
      <c r="P117" s="6"/>
      <c r="Q117" s="6"/>
      <c r="R117" s="6"/>
      <c r="S117" s="6"/>
      <c r="T117" s="6"/>
      <c r="U117" s="6"/>
      <c r="V117" s="6"/>
      <c r="W117" s="6"/>
      <c r="X117" s="6"/>
      <c r="Y117" s="6"/>
      <c r="Z117" s="6"/>
    </row>
    <row r="118" spans="1:26" ht="18" customHeight="1" x14ac:dyDescent="0.3">
      <c r="A118" s="152"/>
      <c r="B118" s="128"/>
      <c r="C118" s="152"/>
      <c r="D118" s="128"/>
      <c r="E118" s="144" t="str">
        <f>IF(D118="","",IFERROR(INDEX('12 P6 activities'!$B$7:$B$206,MATCH(D118,'12 P6 activities'!$A$7:$A$206,0)),"⚠ not in P6 list"))</f>
        <v/>
      </c>
      <c r="F118" s="144" t="str">
        <f>IF(D118="","",IFERROR(INDEX('12 P6 activities'!$C$7:$C$206,MATCH(D118,'12 P6 activities'!$A$7:$A$206,0)),"⚠ not in P6 list"))</f>
        <v/>
      </c>
      <c r="G118" s="124"/>
      <c r="H118" s="152"/>
      <c r="I118" s="153" t="str">
        <f>IF(H118&lt;&gt;"Y","",IF(D118="","Pick the affected P6 activity first",IF(COUNTIFS('11 Notice calendar'!$A$7:$A$46,A118,'11 Notice calendar'!$I$7:$I$46,D118)&gt;0,"In the Notice calendar","Log it in the Notice calendar today")))</f>
        <v/>
      </c>
      <c r="J118" s="146"/>
      <c r="K118" s="146"/>
      <c r="L118" s="6"/>
      <c r="M118" s="6"/>
      <c r="N118" s="6"/>
      <c r="O118" s="6"/>
      <c r="P118" s="6"/>
      <c r="Q118" s="6"/>
      <c r="R118" s="6"/>
      <c r="S118" s="6"/>
      <c r="T118" s="6"/>
      <c r="U118" s="6"/>
      <c r="V118" s="6"/>
      <c r="W118" s="6"/>
      <c r="X118" s="6"/>
      <c r="Y118" s="6"/>
      <c r="Z118" s="6"/>
    </row>
    <row r="119" spans="1:26" ht="18" customHeight="1" x14ac:dyDescent="0.3">
      <c r="A119" s="152"/>
      <c r="B119" s="128"/>
      <c r="C119" s="152"/>
      <c r="D119" s="128"/>
      <c r="E119" s="144" t="str">
        <f>IF(D119="","",IFERROR(INDEX('12 P6 activities'!$B$7:$B$206,MATCH(D119,'12 P6 activities'!$A$7:$A$206,0)),"⚠ not in P6 list"))</f>
        <v/>
      </c>
      <c r="F119" s="144" t="str">
        <f>IF(D119="","",IFERROR(INDEX('12 P6 activities'!$C$7:$C$206,MATCH(D119,'12 P6 activities'!$A$7:$A$206,0)),"⚠ not in P6 list"))</f>
        <v/>
      </c>
      <c r="G119" s="124"/>
      <c r="H119" s="152"/>
      <c r="I119" s="153" t="str">
        <f>IF(H119&lt;&gt;"Y","",IF(D119="","Pick the affected P6 activity first",IF(COUNTIFS('11 Notice calendar'!$A$7:$A$46,A119,'11 Notice calendar'!$I$7:$I$46,D119)&gt;0,"In the Notice calendar","Log it in the Notice calendar today")))</f>
        <v/>
      </c>
      <c r="J119" s="146"/>
      <c r="K119" s="146"/>
      <c r="L119" s="6"/>
      <c r="M119" s="6"/>
      <c r="N119" s="6"/>
      <c r="O119" s="6"/>
      <c r="P119" s="6"/>
      <c r="Q119" s="6"/>
      <c r="R119" s="6"/>
      <c r="S119" s="6"/>
      <c r="T119" s="6"/>
      <c r="U119" s="6"/>
      <c r="V119" s="6"/>
      <c r="W119" s="6"/>
      <c r="X119" s="6"/>
      <c r="Y119" s="6"/>
      <c r="Z119" s="6"/>
    </row>
    <row r="120" spans="1:26" ht="18" customHeight="1" x14ac:dyDescent="0.3">
      <c r="A120" s="152"/>
      <c r="B120" s="128"/>
      <c r="C120" s="152"/>
      <c r="D120" s="128"/>
      <c r="E120" s="144" t="str">
        <f>IF(D120="","",IFERROR(INDEX('12 P6 activities'!$B$7:$B$206,MATCH(D120,'12 P6 activities'!$A$7:$A$206,0)),"⚠ not in P6 list"))</f>
        <v/>
      </c>
      <c r="F120" s="144" t="str">
        <f>IF(D120="","",IFERROR(INDEX('12 P6 activities'!$C$7:$C$206,MATCH(D120,'12 P6 activities'!$A$7:$A$206,0)),"⚠ not in P6 list"))</f>
        <v/>
      </c>
      <c r="G120" s="124"/>
      <c r="H120" s="152"/>
      <c r="I120" s="153" t="str">
        <f>IF(H120&lt;&gt;"Y","",IF(D120="","Pick the affected P6 activity first",IF(COUNTIFS('11 Notice calendar'!$A$7:$A$46,A120,'11 Notice calendar'!$I$7:$I$46,D120)&gt;0,"In the Notice calendar","Log it in the Notice calendar today")))</f>
        <v/>
      </c>
      <c r="J120" s="146"/>
      <c r="K120" s="146"/>
      <c r="L120" s="6"/>
      <c r="M120" s="6"/>
      <c r="N120" s="6"/>
      <c r="O120" s="6"/>
      <c r="P120" s="6"/>
      <c r="Q120" s="6"/>
      <c r="R120" s="6"/>
      <c r="S120" s="6"/>
      <c r="T120" s="6"/>
      <c r="U120" s="6"/>
      <c r="V120" s="6"/>
      <c r="W120" s="6"/>
      <c r="X120" s="6"/>
      <c r="Y120" s="6"/>
      <c r="Z120" s="6"/>
    </row>
    <row r="121" spans="1:26" ht="18" customHeight="1" x14ac:dyDescent="0.3">
      <c r="A121" s="152"/>
      <c r="B121" s="128"/>
      <c r="C121" s="152"/>
      <c r="D121" s="128"/>
      <c r="E121" s="144" t="str">
        <f>IF(D121="","",IFERROR(INDEX('12 P6 activities'!$B$7:$B$206,MATCH(D121,'12 P6 activities'!$A$7:$A$206,0)),"⚠ not in P6 list"))</f>
        <v/>
      </c>
      <c r="F121" s="144" t="str">
        <f>IF(D121="","",IFERROR(INDEX('12 P6 activities'!$C$7:$C$206,MATCH(D121,'12 P6 activities'!$A$7:$A$206,0)),"⚠ not in P6 list"))</f>
        <v/>
      </c>
      <c r="G121" s="124"/>
      <c r="H121" s="152"/>
      <c r="I121" s="153" t="str">
        <f>IF(H121&lt;&gt;"Y","",IF(D121="","Pick the affected P6 activity first",IF(COUNTIFS('11 Notice calendar'!$A$7:$A$46,A121,'11 Notice calendar'!$I$7:$I$46,D121)&gt;0,"In the Notice calendar","Log it in the Notice calendar today")))</f>
        <v/>
      </c>
      <c r="J121" s="146"/>
      <c r="K121" s="146"/>
      <c r="L121" s="6"/>
      <c r="M121" s="6"/>
      <c r="N121" s="6"/>
      <c r="O121" s="6"/>
      <c r="P121" s="6"/>
      <c r="Q121" s="6"/>
      <c r="R121" s="6"/>
      <c r="S121" s="6"/>
      <c r="T121" s="6"/>
      <c r="U121" s="6"/>
      <c r="V121" s="6"/>
      <c r="W121" s="6"/>
      <c r="X121" s="6"/>
      <c r="Y121" s="6"/>
      <c r="Z121" s="6"/>
    </row>
    <row r="122" spans="1:26" ht="18" customHeight="1" x14ac:dyDescent="0.3">
      <c r="A122" s="152"/>
      <c r="B122" s="128"/>
      <c r="C122" s="152"/>
      <c r="D122" s="128"/>
      <c r="E122" s="144" t="str">
        <f>IF(D122="","",IFERROR(INDEX('12 P6 activities'!$B$7:$B$206,MATCH(D122,'12 P6 activities'!$A$7:$A$206,0)),"⚠ not in P6 list"))</f>
        <v/>
      </c>
      <c r="F122" s="144" t="str">
        <f>IF(D122="","",IFERROR(INDEX('12 P6 activities'!$C$7:$C$206,MATCH(D122,'12 P6 activities'!$A$7:$A$206,0)),"⚠ not in P6 list"))</f>
        <v/>
      </c>
      <c r="G122" s="124"/>
      <c r="H122" s="152"/>
      <c r="I122" s="153" t="str">
        <f>IF(H122&lt;&gt;"Y","",IF(D122="","Pick the affected P6 activity first",IF(COUNTIFS('11 Notice calendar'!$A$7:$A$46,A122,'11 Notice calendar'!$I$7:$I$46,D122)&gt;0,"In the Notice calendar","Log it in the Notice calendar today")))</f>
        <v/>
      </c>
      <c r="J122" s="146"/>
      <c r="K122" s="146"/>
      <c r="L122" s="6"/>
      <c r="M122" s="6"/>
      <c r="N122" s="6"/>
      <c r="O122" s="6"/>
      <c r="P122" s="6"/>
      <c r="Q122" s="6"/>
      <c r="R122" s="6"/>
      <c r="S122" s="6"/>
      <c r="T122" s="6"/>
      <c r="U122" s="6"/>
      <c r="V122" s="6"/>
      <c r="W122" s="6"/>
      <c r="X122" s="6"/>
      <c r="Y122" s="6"/>
      <c r="Z122" s="6"/>
    </row>
    <row r="123" spans="1:26" ht="18" customHeight="1" x14ac:dyDescent="0.3">
      <c r="A123" s="152"/>
      <c r="B123" s="128"/>
      <c r="C123" s="152"/>
      <c r="D123" s="128"/>
      <c r="E123" s="144" t="str">
        <f>IF(D123="","",IFERROR(INDEX('12 P6 activities'!$B$7:$B$206,MATCH(D123,'12 P6 activities'!$A$7:$A$206,0)),"⚠ not in P6 list"))</f>
        <v/>
      </c>
      <c r="F123" s="144" t="str">
        <f>IF(D123="","",IFERROR(INDEX('12 P6 activities'!$C$7:$C$206,MATCH(D123,'12 P6 activities'!$A$7:$A$206,0)),"⚠ not in P6 list"))</f>
        <v/>
      </c>
      <c r="G123" s="124"/>
      <c r="H123" s="152"/>
      <c r="I123" s="153" t="str">
        <f>IF(H123&lt;&gt;"Y","",IF(D123="","Pick the affected P6 activity first",IF(COUNTIFS('11 Notice calendar'!$A$7:$A$46,A123,'11 Notice calendar'!$I$7:$I$46,D123)&gt;0,"In the Notice calendar","Log it in the Notice calendar today")))</f>
        <v/>
      </c>
      <c r="J123" s="146"/>
      <c r="K123" s="146"/>
      <c r="L123" s="6"/>
      <c r="M123" s="6"/>
      <c r="N123" s="6"/>
      <c r="O123" s="6"/>
      <c r="P123" s="6"/>
      <c r="Q123" s="6"/>
      <c r="R123" s="6"/>
      <c r="S123" s="6"/>
      <c r="T123" s="6"/>
      <c r="U123" s="6"/>
      <c r="V123" s="6"/>
      <c r="W123" s="6"/>
      <c r="X123" s="6"/>
      <c r="Y123" s="6"/>
      <c r="Z123" s="6"/>
    </row>
    <row r="124" spans="1:26" ht="18" customHeight="1" x14ac:dyDescent="0.3">
      <c r="A124" s="152"/>
      <c r="B124" s="128"/>
      <c r="C124" s="152"/>
      <c r="D124" s="128"/>
      <c r="E124" s="144" t="str">
        <f>IF(D124="","",IFERROR(INDEX('12 P6 activities'!$B$7:$B$206,MATCH(D124,'12 P6 activities'!$A$7:$A$206,0)),"⚠ not in P6 list"))</f>
        <v/>
      </c>
      <c r="F124" s="144" t="str">
        <f>IF(D124="","",IFERROR(INDEX('12 P6 activities'!$C$7:$C$206,MATCH(D124,'12 P6 activities'!$A$7:$A$206,0)),"⚠ not in P6 list"))</f>
        <v/>
      </c>
      <c r="G124" s="124"/>
      <c r="H124" s="152"/>
      <c r="I124" s="153" t="str">
        <f>IF(H124&lt;&gt;"Y","",IF(D124="","Pick the affected P6 activity first",IF(COUNTIFS('11 Notice calendar'!$A$7:$A$46,A124,'11 Notice calendar'!$I$7:$I$46,D124)&gt;0,"In the Notice calendar","Log it in the Notice calendar today")))</f>
        <v/>
      </c>
      <c r="J124" s="146"/>
      <c r="K124" s="146"/>
      <c r="L124" s="6"/>
      <c r="M124" s="6"/>
      <c r="N124" s="6"/>
      <c r="O124" s="6"/>
      <c r="P124" s="6"/>
      <c r="Q124" s="6"/>
      <c r="R124" s="6"/>
      <c r="S124" s="6"/>
      <c r="T124" s="6"/>
      <c r="U124" s="6"/>
      <c r="V124" s="6"/>
      <c r="W124" s="6"/>
      <c r="X124" s="6"/>
      <c r="Y124" s="6"/>
      <c r="Z124" s="6"/>
    </row>
    <row r="125" spans="1:26" ht="18" customHeight="1" x14ac:dyDescent="0.3">
      <c r="A125" s="152"/>
      <c r="B125" s="128"/>
      <c r="C125" s="152"/>
      <c r="D125" s="128"/>
      <c r="E125" s="144" t="str">
        <f>IF(D125="","",IFERROR(INDEX('12 P6 activities'!$B$7:$B$206,MATCH(D125,'12 P6 activities'!$A$7:$A$206,0)),"⚠ not in P6 list"))</f>
        <v/>
      </c>
      <c r="F125" s="144" t="str">
        <f>IF(D125="","",IFERROR(INDEX('12 P6 activities'!$C$7:$C$206,MATCH(D125,'12 P6 activities'!$A$7:$A$206,0)),"⚠ not in P6 list"))</f>
        <v/>
      </c>
      <c r="G125" s="124"/>
      <c r="H125" s="152"/>
      <c r="I125" s="153" t="str">
        <f>IF(H125&lt;&gt;"Y","",IF(D125="","Pick the affected P6 activity first",IF(COUNTIFS('11 Notice calendar'!$A$7:$A$46,A125,'11 Notice calendar'!$I$7:$I$46,D125)&gt;0,"In the Notice calendar","Log it in the Notice calendar today")))</f>
        <v/>
      </c>
      <c r="J125" s="146"/>
      <c r="K125" s="146"/>
      <c r="L125" s="6"/>
      <c r="M125" s="6"/>
      <c r="N125" s="6"/>
      <c r="O125" s="6"/>
      <c r="P125" s="6"/>
      <c r="Q125" s="6"/>
      <c r="R125" s="6"/>
      <c r="S125" s="6"/>
      <c r="T125" s="6"/>
      <c r="U125" s="6"/>
      <c r="V125" s="6"/>
      <c r="W125" s="6"/>
      <c r="X125" s="6"/>
      <c r="Y125" s="6"/>
      <c r="Z125" s="6"/>
    </row>
    <row r="126" spans="1:26" ht="18" customHeight="1" x14ac:dyDescent="0.3">
      <c r="A126" s="152"/>
      <c r="B126" s="128"/>
      <c r="C126" s="152"/>
      <c r="D126" s="128"/>
      <c r="E126" s="144" t="str">
        <f>IF(D126="","",IFERROR(INDEX('12 P6 activities'!$B$7:$B$206,MATCH(D126,'12 P6 activities'!$A$7:$A$206,0)),"⚠ not in P6 list"))</f>
        <v/>
      </c>
      <c r="F126" s="144" t="str">
        <f>IF(D126="","",IFERROR(INDEX('12 P6 activities'!$C$7:$C$206,MATCH(D126,'12 P6 activities'!$A$7:$A$206,0)),"⚠ not in P6 list"))</f>
        <v/>
      </c>
      <c r="G126" s="124"/>
      <c r="H126" s="152"/>
      <c r="I126" s="153" t="str">
        <f>IF(H126&lt;&gt;"Y","",IF(D126="","Pick the affected P6 activity first",IF(COUNTIFS('11 Notice calendar'!$A$7:$A$46,A126,'11 Notice calendar'!$I$7:$I$46,D126)&gt;0,"In the Notice calendar","Log it in the Notice calendar today")))</f>
        <v/>
      </c>
      <c r="J126" s="146"/>
      <c r="K126" s="146"/>
      <c r="L126" s="6"/>
      <c r="M126" s="6"/>
      <c r="N126" s="6"/>
      <c r="O126" s="6"/>
      <c r="P126" s="6"/>
      <c r="Q126" s="6"/>
      <c r="R126" s="6"/>
      <c r="S126" s="6"/>
      <c r="T126" s="6"/>
      <c r="U126" s="6"/>
      <c r="V126" s="6"/>
      <c r="W126" s="6"/>
      <c r="X126" s="6"/>
      <c r="Y126" s="6"/>
      <c r="Z126" s="6"/>
    </row>
    <row r="127" spans="1:26" ht="18" customHeight="1" x14ac:dyDescent="0.3">
      <c r="A127" s="152"/>
      <c r="B127" s="128"/>
      <c r="C127" s="152"/>
      <c r="D127" s="128"/>
      <c r="E127" s="144" t="str">
        <f>IF(D127="","",IFERROR(INDEX('12 P6 activities'!$B$7:$B$206,MATCH(D127,'12 P6 activities'!$A$7:$A$206,0)),"⚠ not in P6 list"))</f>
        <v/>
      </c>
      <c r="F127" s="144" t="str">
        <f>IF(D127="","",IFERROR(INDEX('12 P6 activities'!$C$7:$C$206,MATCH(D127,'12 P6 activities'!$A$7:$A$206,0)),"⚠ not in P6 list"))</f>
        <v/>
      </c>
      <c r="G127" s="124"/>
      <c r="H127" s="152"/>
      <c r="I127" s="153" t="str">
        <f>IF(H127&lt;&gt;"Y","",IF(D127="","Pick the affected P6 activity first",IF(COUNTIFS('11 Notice calendar'!$A$7:$A$46,A127,'11 Notice calendar'!$I$7:$I$46,D127)&gt;0,"In the Notice calendar","Log it in the Notice calendar today")))</f>
        <v/>
      </c>
      <c r="J127" s="146"/>
      <c r="K127" s="146"/>
      <c r="L127" s="6"/>
      <c r="M127" s="6"/>
      <c r="N127" s="6"/>
      <c r="O127" s="6"/>
      <c r="P127" s="6"/>
      <c r="Q127" s="6"/>
      <c r="R127" s="6"/>
      <c r="S127" s="6"/>
      <c r="T127" s="6"/>
      <c r="U127" s="6"/>
      <c r="V127" s="6"/>
      <c r="W127" s="6"/>
      <c r="X127" s="6"/>
      <c r="Y127" s="6"/>
      <c r="Z127" s="6"/>
    </row>
    <row r="128" spans="1:26" ht="18" customHeight="1" x14ac:dyDescent="0.3">
      <c r="A128" s="152"/>
      <c r="B128" s="128"/>
      <c r="C128" s="152"/>
      <c r="D128" s="128"/>
      <c r="E128" s="144" t="str">
        <f>IF(D128="","",IFERROR(INDEX('12 P6 activities'!$B$7:$B$206,MATCH(D128,'12 P6 activities'!$A$7:$A$206,0)),"⚠ not in P6 list"))</f>
        <v/>
      </c>
      <c r="F128" s="144" t="str">
        <f>IF(D128="","",IFERROR(INDEX('12 P6 activities'!$C$7:$C$206,MATCH(D128,'12 P6 activities'!$A$7:$A$206,0)),"⚠ not in P6 list"))</f>
        <v/>
      </c>
      <c r="G128" s="124"/>
      <c r="H128" s="152"/>
      <c r="I128" s="153" t="str">
        <f>IF(H128&lt;&gt;"Y","",IF(D128="","Pick the affected P6 activity first",IF(COUNTIFS('11 Notice calendar'!$A$7:$A$46,A128,'11 Notice calendar'!$I$7:$I$46,D128)&gt;0,"In the Notice calendar","Log it in the Notice calendar today")))</f>
        <v/>
      </c>
      <c r="J128" s="146"/>
      <c r="K128" s="146"/>
      <c r="L128" s="6"/>
      <c r="M128" s="6"/>
      <c r="N128" s="6"/>
      <c r="O128" s="6"/>
      <c r="P128" s="6"/>
      <c r="Q128" s="6"/>
      <c r="R128" s="6"/>
      <c r="S128" s="6"/>
      <c r="T128" s="6"/>
      <c r="U128" s="6"/>
      <c r="V128" s="6"/>
      <c r="W128" s="6"/>
      <c r="X128" s="6"/>
      <c r="Y128" s="6"/>
      <c r="Z128" s="6"/>
    </row>
    <row r="129" spans="1:26" ht="18" customHeight="1" x14ac:dyDescent="0.3">
      <c r="A129" s="152"/>
      <c r="B129" s="128"/>
      <c r="C129" s="152"/>
      <c r="D129" s="128"/>
      <c r="E129" s="144" t="str">
        <f>IF(D129="","",IFERROR(INDEX('12 P6 activities'!$B$7:$B$206,MATCH(D129,'12 P6 activities'!$A$7:$A$206,0)),"⚠ not in P6 list"))</f>
        <v/>
      </c>
      <c r="F129" s="144" t="str">
        <f>IF(D129="","",IFERROR(INDEX('12 P6 activities'!$C$7:$C$206,MATCH(D129,'12 P6 activities'!$A$7:$A$206,0)),"⚠ not in P6 list"))</f>
        <v/>
      </c>
      <c r="G129" s="124"/>
      <c r="H129" s="152"/>
      <c r="I129" s="153" t="str">
        <f>IF(H129&lt;&gt;"Y","",IF(D129="","Pick the affected P6 activity first",IF(COUNTIFS('11 Notice calendar'!$A$7:$A$46,A129,'11 Notice calendar'!$I$7:$I$46,D129)&gt;0,"In the Notice calendar","Log it in the Notice calendar today")))</f>
        <v/>
      </c>
      <c r="J129" s="146"/>
      <c r="K129" s="146"/>
      <c r="L129" s="6"/>
      <c r="M129" s="6"/>
      <c r="N129" s="6"/>
      <c r="O129" s="6"/>
      <c r="P129" s="6"/>
      <c r="Q129" s="6"/>
      <c r="R129" s="6"/>
      <c r="S129" s="6"/>
      <c r="T129" s="6"/>
      <c r="U129" s="6"/>
      <c r="V129" s="6"/>
      <c r="W129" s="6"/>
      <c r="X129" s="6"/>
      <c r="Y129" s="6"/>
      <c r="Z129" s="6"/>
    </row>
    <row r="130" spans="1:26" ht="18" customHeight="1" x14ac:dyDescent="0.3">
      <c r="A130" s="152"/>
      <c r="B130" s="128"/>
      <c r="C130" s="152"/>
      <c r="D130" s="128"/>
      <c r="E130" s="144" t="str">
        <f>IF(D130="","",IFERROR(INDEX('12 P6 activities'!$B$7:$B$206,MATCH(D130,'12 P6 activities'!$A$7:$A$206,0)),"⚠ not in P6 list"))</f>
        <v/>
      </c>
      <c r="F130" s="144" t="str">
        <f>IF(D130="","",IFERROR(INDEX('12 P6 activities'!$C$7:$C$206,MATCH(D130,'12 P6 activities'!$A$7:$A$206,0)),"⚠ not in P6 list"))</f>
        <v/>
      </c>
      <c r="G130" s="124"/>
      <c r="H130" s="152"/>
      <c r="I130" s="153" t="str">
        <f>IF(H130&lt;&gt;"Y","",IF(D130="","Pick the affected P6 activity first",IF(COUNTIFS('11 Notice calendar'!$A$7:$A$46,A130,'11 Notice calendar'!$I$7:$I$46,D130)&gt;0,"In the Notice calendar","Log it in the Notice calendar today")))</f>
        <v/>
      </c>
      <c r="J130" s="146"/>
      <c r="K130" s="146"/>
      <c r="L130" s="6"/>
      <c r="M130" s="6"/>
      <c r="N130" s="6"/>
      <c r="O130" s="6"/>
      <c r="P130" s="6"/>
      <c r="Q130" s="6"/>
      <c r="R130" s="6"/>
      <c r="S130" s="6"/>
      <c r="T130" s="6"/>
      <c r="U130" s="6"/>
      <c r="V130" s="6"/>
      <c r="W130" s="6"/>
      <c r="X130" s="6"/>
      <c r="Y130" s="6"/>
      <c r="Z130" s="6"/>
    </row>
    <row r="131" spans="1:26" ht="18" customHeight="1" x14ac:dyDescent="0.3">
      <c r="A131" s="152"/>
      <c r="B131" s="128"/>
      <c r="C131" s="152"/>
      <c r="D131" s="128"/>
      <c r="E131" s="144" t="str">
        <f>IF(D131="","",IFERROR(INDEX('12 P6 activities'!$B$7:$B$206,MATCH(D131,'12 P6 activities'!$A$7:$A$206,0)),"⚠ not in P6 list"))</f>
        <v/>
      </c>
      <c r="F131" s="144" t="str">
        <f>IF(D131="","",IFERROR(INDEX('12 P6 activities'!$C$7:$C$206,MATCH(D131,'12 P6 activities'!$A$7:$A$206,0)),"⚠ not in P6 list"))</f>
        <v/>
      </c>
      <c r="G131" s="124"/>
      <c r="H131" s="152"/>
      <c r="I131" s="153" t="str">
        <f>IF(H131&lt;&gt;"Y","",IF(D131="","Pick the affected P6 activity first",IF(COUNTIFS('11 Notice calendar'!$A$7:$A$46,A131,'11 Notice calendar'!$I$7:$I$46,D131)&gt;0,"In the Notice calendar","Log it in the Notice calendar today")))</f>
        <v/>
      </c>
      <c r="J131" s="146"/>
      <c r="K131" s="146"/>
      <c r="L131" s="6"/>
      <c r="M131" s="6"/>
      <c r="N131" s="6"/>
      <c r="O131" s="6"/>
      <c r="P131" s="6"/>
      <c r="Q131" s="6"/>
      <c r="R131" s="6"/>
      <c r="S131" s="6"/>
      <c r="T131" s="6"/>
      <c r="U131" s="6"/>
      <c r="V131" s="6"/>
      <c r="W131" s="6"/>
      <c r="X131" s="6"/>
      <c r="Y131" s="6"/>
      <c r="Z131" s="6"/>
    </row>
    <row r="132" spans="1:26" ht="18" customHeight="1" x14ac:dyDescent="0.3">
      <c r="A132" s="152"/>
      <c r="B132" s="128"/>
      <c r="C132" s="152"/>
      <c r="D132" s="128"/>
      <c r="E132" s="144" t="str">
        <f>IF(D132="","",IFERROR(INDEX('12 P6 activities'!$B$7:$B$206,MATCH(D132,'12 P6 activities'!$A$7:$A$206,0)),"⚠ not in P6 list"))</f>
        <v/>
      </c>
      <c r="F132" s="144" t="str">
        <f>IF(D132="","",IFERROR(INDEX('12 P6 activities'!$C$7:$C$206,MATCH(D132,'12 P6 activities'!$A$7:$A$206,0)),"⚠ not in P6 list"))</f>
        <v/>
      </c>
      <c r="G132" s="124"/>
      <c r="H132" s="152"/>
      <c r="I132" s="153" t="str">
        <f>IF(H132&lt;&gt;"Y","",IF(D132="","Pick the affected P6 activity first",IF(COUNTIFS('11 Notice calendar'!$A$7:$A$46,A132,'11 Notice calendar'!$I$7:$I$46,D132)&gt;0,"In the Notice calendar","Log it in the Notice calendar today")))</f>
        <v/>
      </c>
      <c r="J132" s="146"/>
      <c r="K132" s="146"/>
      <c r="L132" s="6"/>
      <c r="M132" s="6"/>
      <c r="N132" s="6"/>
      <c r="O132" s="6"/>
      <c r="P132" s="6"/>
      <c r="Q132" s="6"/>
      <c r="R132" s="6"/>
      <c r="S132" s="6"/>
      <c r="T132" s="6"/>
      <c r="U132" s="6"/>
      <c r="V132" s="6"/>
      <c r="W132" s="6"/>
      <c r="X132" s="6"/>
      <c r="Y132" s="6"/>
      <c r="Z132" s="6"/>
    </row>
    <row r="133" spans="1:26" ht="18" customHeight="1" x14ac:dyDescent="0.3">
      <c r="A133" s="152"/>
      <c r="B133" s="128"/>
      <c r="C133" s="152"/>
      <c r="D133" s="128"/>
      <c r="E133" s="144" t="str">
        <f>IF(D133="","",IFERROR(INDEX('12 P6 activities'!$B$7:$B$206,MATCH(D133,'12 P6 activities'!$A$7:$A$206,0)),"⚠ not in P6 list"))</f>
        <v/>
      </c>
      <c r="F133" s="144" t="str">
        <f>IF(D133="","",IFERROR(INDEX('12 P6 activities'!$C$7:$C$206,MATCH(D133,'12 P6 activities'!$A$7:$A$206,0)),"⚠ not in P6 list"))</f>
        <v/>
      </c>
      <c r="G133" s="124"/>
      <c r="H133" s="152"/>
      <c r="I133" s="153" t="str">
        <f>IF(H133&lt;&gt;"Y","",IF(D133="","Pick the affected P6 activity first",IF(COUNTIFS('11 Notice calendar'!$A$7:$A$46,A133,'11 Notice calendar'!$I$7:$I$46,D133)&gt;0,"In the Notice calendar","Log it in the Notice calendar today")))</f>
        <v/>
      </c>
      <c r="J133" s="146"/>
      <c r="K133" s="146"/>
      <c r="L133" s="6"/>
      <c r="M133" s="6"/>
      <c r="N133" s="6"/>
      <c r="O133" s="6"/>
      <c r="P133" s="6"/>
      <c r="Q133" s="6"/>
      <c r="R133" s="6"/>
      <c r="S133" s="6"/>
      <c r="T133" s="6"/>
      <c r="U133" s="6"/>
      <c r="V133" s="6"/>
      <c r="W133" s="6"/>
      <c r="X133" s="6"/>
      <c r="Y133" s="6"/>
      <c r="Z133" s="6"/>
    </row>
    <row r="134" spans="1:26" ht="18" customHeight="1" x14ac:dyDescent="0.3">
      <c r="A134" s="152"/>
      <c r="B134" s="128"/>
      <c r="C134" s="152"/>
      <c r="D134" s="128"/>
      <c r="E134" s="144" t="str">
        <f>IF(D134="","",IFERROR(INDEX('12 P6 activities'!$B$7:$B$206,MATCH(D134,'12 P6 activities'!$A$7:$A$206,0)),"⚠ not in P6 list"))</f>
        <v/>
      </c>
      <c r="F134" s="144" t="str">
        <f>IF(D134="","",IFERROR(INDEX('12 P6 activities'!$C$7:$C$206,MATCH(D134,'12 P6 activities'!$A$7:$A$206,0)),"⚠ not in P6 list"))</f>
        <v/>
      </c>
      <c r="G134" s="124"/>
      <c r="H134" s="152"/>
      <c r="I134" s="153" t="str">
        <f>IF(H134&lt;&gt;"Y","",IF(D134="","Pick the affected P6 activity first",IF(COUNTIFS('11 Notice calendar'!$A$7:$A$46,A134,'11 Notice calendar'!$I$7:$I$46,D134)&gt;0,"In the Notice calendar","Log it in the Notice calendar today")))</f>
        <v/>
      </c>
      <c r="J134" s="146"/>
      <c r="K134" s="146"/>
      <c r="L134" s="6"/>
      <c r="M134" s="6"/>
      <c r="N134" s="6"/>
      <c r="O134" s="6"/>
      <c r="P134" s="6"/>
      <c r="Q134" s="6"/>
      <c r="R134" s="6"/>
      <c r="S134" s="6"/>
      <c r="T134" s="6"/>
      <c r="U134" s="6"/>
      <c r="V134" s="6"/>
      <c r="W134" s="6"/>
      <c r="X134" s="6"/>
      <c r="Y134" s="6"/>
      <c r="Z134" s="6"/>
    </row>
    <row r="135" spans="1:26" ht="18" customHeight="1" x14ac:dyDescent="0.3">
      <c r="A135" s="152"/>
      <c r="B135" s="128"/>
      <c r="C135" s="152"/>
      <c r="D135" s="128"/>
      <c r="E135" s="144" t="str">
        <f>IF(D135="","",IFERROR(INDEX('12 P6 activities'!$B$7:$B$206,MATCH(D135,'12 P6 activities'!$A$7:$A$206,0)),"⚠ not in P6 list"))</f>
        <v/>
      </c>
      <c r="F135" s="144" t="str">
        <f>IF(D135="","",IFERROR(INDEX('12 P6 activities'!$C$7:$C$206,MATCH(D135,'12 P6 activities'!$A$7:$A$206,0)),"⚠ not in P6 list"))</f>
        <v/>
      </c>
      <c r="G135" s="124"/>
      <c r="H135" s="152"/>
      <c r="I135" s="153" t="str">
        <f>IF(H135&lt;&gt;"Y","",IF(D135="","Pick the affected P6 activity first",IF(COUNTIFS('11 Notice calendar'!$A$7:$A$46,A135,'11 Notice calendar'!$I$7:$I$46,D135)&gt;0,"In the Notice calendar","Log it in the Notice calendar today")))</f>
        <v/>
      </c>
      <c r="J135" s="146"/>
      <c r="K135" s="146"/>
      <c r="L135" s="6"/>
      <c r="M135" s="6"/>
      <c r="N135" s="6"/>
      <c r="O135" s="6"/>
      <c r="P135" s="6"/>
      <c r="Q135" s="6"/>
      <c r="R135" s="6"/>
      <c r="S135" s="6"/>
      <c r="T135" s="6"/>
      <c r="U135" s="6"/>
      <c r="V135" s="6"/>
      <c r="W135" s="6"/>
      <c r="X135" s="6"/>
      <c r="Y135" s="6"/>
      <c r="Z135" s="6"/>
    </row>
    <row r="136" spans="1:26" ht="18" customHeight="1" x14ac:dyDescent="0.3">
      <c r="A136" s="152"/>
      <c r="B136" s="128"/>
      <c r="C136" s="152"/>
      <c r="D136" s="128"/>
      <c r="E136" s="144" t="str">
        <f>IF(D136="","",IFERROR(INDEX('12 P6 activities'!$B$7:$B$206,MATCH(D136,'12 P6 activities'!$A$7:$A$206,0)),"⚠ not in P6 list"))</f>
        <v/>
      </c>
      <c r="F136" s="144" t="str">
        <f>IF(D136="","",IFERROR(INDEX('12 P6 activities'!$C$7:$C$206,MATCH(D136,'12 P6 activities'!$A$7:$A$206,0)),"⚠ not in P6 list"))</f>
        <v/>
      </c>
      <c r="G136" s="124"/>
      <c r="H136" s="152"/>
      <c r="I136" s="153" t="str">
        <f>IF(H136&lt;&gt;"Y","",IF(D136="","Pick the affected P6 activity first",IF(COUNTIFS('11 Notice calendar'!$A$7:$A$46,A136,'11 Notice calendar'!$I$7:$I$46,D136)&gt;0,"In the Notice calendar","Log it in the Notice calendar today")))</f>
        <v/>
      </c>
      <c r="J136" s="146"/>
      <c r="K136" s="146"/>
      <c r="L136" s="6"/>
      <c r="M136" s="6"/>
      <c r="N136" s="6"/>
      <c r="O136" s="6"/>
      <c r="P136" s="6"/>
      <c r="Q136" s="6"/>
      <c r="R136" s="6"/>
      <c r="S136" s="6"/>
      <c r="T136" s="6"/>
      <c r="U136" s="6"/>
      <c r="V136" s="6"/>
      <c r="W136" s="6"/>
      <c r="X136" s="6"/>
      <c r="Y136" s="6"/>
      <c r="Z136" s="6"/>
    </row>
    <row r="137" spans="1:26" ht="18" customHeight="1" x14ac:dyDescent="0.3">
      <c r="A137" s="152"/>
      <c r="B137" s="128"/>
      <c r="C137" s="152"/>
      <c r="D137" s="128"/>
      <c r="E137" s="144" t="str">
        <f>IF(D137="","",IFERROR(INDEX('12 P6 activities'!$B$7:$B$206,MATCH(D137,'12 P6 activities'!$A$7:$A$206,0)),"⚠ not in P6 list"))</f>
        <v/>
      </c>
      <c r="F137" s="144" t="str">
        <f>IF(D137="","",IFERROR(INDEX('12 P6 activities'!$C$7:$C$206,MATCH(D137,'12 P6 activities'!$A$7:$A$206,0)),"⚠ not in P6 list"))</f>
        <v/>
      </c>
      <c r="G137" s="124"/>
      <c r="H137" s="152"/>
      <c r="I137" s="153" t="str">
        <f>IF(H137&lt;&gt;"Y","",IF(D137="","Pick the affected P6 activity first",IF(COUNTIFS('11 Notice calendar'!$A$7:$A$46,A137,'11 Notice calendar'!$I$7:$I$46,D137)&gt;0,"In the Notice calendar","Log it in the Notice calendar today")))</f>
        <v/>
      </c>
      <c r="J137" s="146"/>
      <c r="K137" s="146"/>
      <c r="L137" s="6"/>
      <c r="M137" s="6"/>
      <c r="N137" s="6"/>
      <c r="O137" s="6"/>
      <c r="P137" s="6"/>
      <c r="Q137" s="6"/>
      <c r="R137" s="6"/>
      <c r="S137" s="6"/>
      <c r="T137" s="6"/>
      <c r="U137" s="6"/>
      <c r="V137" s="6"/>
      <c r="W137" s="6"/>
      <c r="X137" s="6"/>
      <c r="Y137" s="6"/>
      <c r="Z137" s="6"/>
    </row>
    <row r="138" spans="1:26" ht="18" customHeight="1" x14ac:dyDescent="0.3">
      <c r="A138" s="152"/>
      <c r="B138" s="128"/>
      <c r="C138" s="152"/>
      <c r="D138" s="128"/>
      <c r="E138" s="144" t="str">
        <f>IF(D138="","",IFERROR(INDEX('12 P6 activities'!$B$7:$B$206,MATCH(D138,'12 P6 activities'!$A$7:$A$206,0)),"⚠ not in P6 list"))</f>
        <v/>
      </c>
      <c r="F138" s="144" t="str">
        <f>IF(D138="","",IFERROR(INDEX('12 P6 activities'!$C$7:$C$206,MATCH(D138,'12 P6 activities'!$A$7:$A$206,0)),"⚠ not in P6 list"))</f>
        <v/>
      </c>
      <c r="G138" s="124"/>
      <c r="H138" s="152"/>
      <c r="I138" s="153" t="str">
        <f>IF(H138&lt;&gt;"Y","",IF(D138="","Pick the affected P6 activity first",IF(COUNTIFS('11 Notice calendar'!$A$7:$A$46,A138,'11 Notice calendar'!$I$7:$I$46,D138)&gt;0,"In the Notice calendar","Log it in the Notice calendar today")))</f>
        <v/>
      </c>
      <c r="J138" s="146"/>
      <c r="K138" s="146"/>
      <c r="L138" s="6"/>
      <c r="M138" s="6"/>
      <c r="N138" s="6"/>
      <c r="O138" s="6"/>
      <c r="P138" s="6"/>
      <c r="Q138" s="6"/>
      <c r="R138" s="6"/>
      <c r="S138" s="6"/>
      <c r="T138" s="6"/>
      <c r="U138" s="6"/>
      <c r="V138" s="6"/>
      <c r="W138" s="6"/>
      <c r="X138" s="6"/>
      <c r="Y138" s="6"/>
      <c r="Z138" s="6"/>
    </row>
    <row r="139" spans="1:26" ht="18" customHeight="1" x14ac:dyDescent="0.3">
      <c r="A139" s="152"/>
      <c r="B139" s="128"/>
      <c r="C139" s="152"/>
      <c r="D139" s="128"/>
      <c r="E139" s="144" t="str">
        <f>IF(D139="","",IFERROR(INDEX('12 P6 activities'!$B$7:$B$206,MATCH(D139,'12 P6 activities'!$A$7:$A$206,0)),"⚠ not in P6 list"))</f>
        <v/>
      </c>
      <c r="F139" s="144" t="str">
        <f>IF(D139="","",IFERROR(INDEX('12 P6 activities'!$C$7:$C$206,MATCH(D139,'12 P6 activities'!$A$7:$A$206,0)),"⚠ not in P6 list"))</f>
        <v/>
      </c>
      <c r="G139" s="124"/>
      <c r="H139" s="152"/>
      <c r="I139" s="153" t="str">
        <f>IF(H139&lt;&gt;"Y","",IF(D139="","Pick the affected P6 activity first",IF(COUNTIFS('11 Notice calendar'!$A$7:$A$46,A139,'11 Notice calendar'!$I$7:$I$46,D139)&gt;0,"In the Notice calendar","Log it in the Notice calendar today")))</f>
        <v/>
      </c>
      <c r="J139" s="146"/>
      <c r="K139" s="146"/>
      <c r="L139" s="6"/>
      <c r="M139" s="6"/>
      <c r="N139" s="6"/>
      <c r="O139" s="6"/>
      <c r="P139" s="6"/>
      <c r="Q139" s="6"/>
      <c r="R139" s="6"/>
      <c r="S139" s="6"/>
      <c r="T139" s="6"/>
      <c r="U139" s="6"/>
      <c r="V139" s="6"/>
      <c r="W139" s="6"/>
      <c r="X139" s="6"/>
      <c r="Y139" s="6"/>
      <c r="Z139" s="6"/>
    </row>
    <row r="140" spans="1:26" ht="18" customHeight="1" x14ac:dyDescent="0.3">
      <c r="A140" s="152"/>
      <c r="B140" s="128"/>
      <c r="C140" s="152"/>
      <c r="D140" s="128"/>
      <c r="E140" s="144" t="str">
        <f>IF(D140="","",IFERROR(INDEX('12 P6 activities'!$B$7:$B$206,MATCH(D140,'12 P6 activities'!$A$7:$A$206,0)),"⚠ not in P6 list"))</f>
        <v/>
      </c>
      <c r="F140" s="144" t="str">
        <f>IF(D140="","",IFERROR(INDEX('12 P6 activities'!$C$7:$C$206,MATCH(D140,'12 P6 activities'!$A$7:$A$206,0)),"⚠ not in P6 list"))</f>
        <v/>
      </c>
      <c r="G140" s="124"/>
      <c r="H140" s="152"/>
      <c r="I140" s="153" t="str">
        <f>IF(H140&lt;&gt;"Y","",IF(D140="","Pick the affected P6 activity first",IF(COUNTIFS('11 Notice calendar'!$A$7:$A$46,A140,'11 Notice calendar'!$I$7:$I$46,D140)&gt;0,"In the Notice calendar","Log it in the Notice calendar today")))</f>
        <v/>
      </c>
      <c r="J140" s="146"/>
      <c r="K140" s="146"/>
      <c r="L140" s="6"/>
      <c r="M140" s="6"/>
      <c r="N140" s="6"/>
      <c r="O140" s="6"/>
      <c r="P140" s="6"/>
      <c r="Q140" s="6"/>
      <c r="R140" s="6"/>
      <c r="S140" s="6"/>
      <c r="T140" s="6"/>
      <c r="U140" s="6"/>
      <c r="V140" s="6"/>
      <c r="W140" s="6"/>
      <c r="X140" s="6"/>
      <c r="Y140" s="6"/>
      <c r="Z140" s="6"/>
    </row>
    <row r="141" spans="1:26" ht="18" customHeight="1" x14ac:dyDescent="0.3">
      <c r="A141" s="152"/>
      <c r="B141" s="128"/>
      <c r="C141" s="152"/>
      <c r="D141" s="128"/>
      <c r="E141" s="144" t="str">
        <f>IF(D141="","",IFERROR(INDEX('12 P6 activities'!$B$7:$B$206,MATCH(D141,'12 P6 activities'!$A$7:$A$206,0)),"⚠ not in P6 list"))</f>
        <v/>
      </c>
      <c r="F141" s="144" t="str">
        <f>IF(D141="","",IFERROR(INDEX('12 P6 activities'!$C$7:$C$206,MATCH(D141,'12 P6 activities'!$A$7:$A$206,0)),"⚠ not in P6 list"))</f>
        <v/>
      </c>
      <c r="G141" s="124"/>
      <c r="H141" s="152"/>
      <c r="I141" s="153" t="str">
        <f>IF(H141&lt;&gt;"Y","",IF(D141="","Pick the affected P6 activity first",IF(COUNTIFS('11 Notice calendar'!$A$7:$A$46,A141,'11 Notice calendar'!$I$7:$I$46,D141)&gt;0,"In the Notice calendar","Log it in the Notice calendar today")))</f>
        <v/>
      </c>
      <c r="J141" s="146"/>
      <c r="K141" s="146"/>
      <c r="L141" s="6"/>
      <c r="M141" s="6"/>
      <c r="N141" s="6"/>
      <c r="O141" s="6"/>
      <c r="P141" s="6"/>
      <c r="Q141" s="6"/>
      <c r="R141" s="6"/>
      <c r="S141" s="6"/>
      <c r="T141" s="6"/>
      <c r="U141" s="6"/>
      <c r="V141" s="6"/>
      <c r="W141" s="6"/>
      <c r="X141" s="6"/>
      <c r="Y141" s="6"/>
      <c r="Z141" s="6"/>
    </row>
    <row r="142" spans="1:26" ht="18" customHeight="1" x14ac:dyDescent="0.3">
      <c r="A142" s="152"/>
      <c r="B142" s="128"/>
      <c r="C142" s="152"/>
      <c r="D142" s="128"/>
      <c r="E142" s="144" t="str">
        <f>IF(D142="","",IFERROR(INDEX('12 P6 activities'!$B$7:$B$206,MATCH(D142,'12 P6 activities'!$A$7:$A$206,0)),"⚠ not in P6 list"))</f>
        <v/>
      </c>
      <c r="F142" s="144" t="str">
        <f>IF(D142="","",IFERROR(INDEX('12 P6 activities'!$C$7:$C$206,MATCH(D142,'12 P6 activities'!$A$7:$A$206,0)),"⚠ not in P6 list"))</f>
        <v/>
      </c>
      <c r="G142" s="124"/>
      <c r="H142" s="152"/>
      <c r="I142" s="153" t="str">
        <f>IF(H142&lt;&gt;"Y","",IF(D142="","Pick the affected P6 activity first",IF(COUNTIFS('11 Notice calendar'!$A$7:$A$46,A142,'11 Notice calendar'!$I$7:$I$46,D142)&gt;0,"In the Notice calendar","Log it in the Notice calendar today")))</f>
        <v/>
      </c>
      <c r="J142" s="146"/>
      <c r="K142" s="146"/>
      <c r="L142" s="6"/>
      <c r="M142" s="6"/>
      <c r="N142" s="6"/>
      <c r="O142" s="6"/>
      <c r="P142" s="6"/>
      <c r="Q142" s="6"/>
      <c r="R142" s="6"/>
      <c r="S142" s="6"/>
      <c r="T142" s="6"/>
      <c r="U142" s="6"/>
      <c r="V142" s="6"/>
      <c r="W142" s="6"/>
      <c r="X142" s="6"/>
      <c r="Y142" s="6"/>
      <c r="Z142" s="6"/>
    </row>
    <row r="143" spans="1:26" ht="18" customHeight="1" x14ac:dyDescent="0.3">
      <c r="A143" s="152"/>
      <c r="B143" s="128"/>
      <c r="C143" s="152"/>
      <c r="D143" s="128"/>
      <c r="E143" s="144" t="str">
        <f>IF(D143="","",IFERROR(INDEX('12 P6 activities'!$B$7:$B$206,MATCH(D143,'12 P6 activities'!$A$7:$A$206,0)),"⚠ not in P6 list"))</f>
        <v/>
      </c>
      <c r="F143" s="144" t="str">
        <f>IF(D143="","",IFERROR(INDEX('12 P6 activities'!$C$7:$C$206,MATCH(D143,'12 P6 activities'!$A$7:$A$206,0)),"⚠ not in P6 list"))</f>
        <v/>
      </c>
      <c r="G143" s="124"/>
      <c r="H143" s="152"/>
      <c r="I143" s="153" t="str">
        <f>IF(H143&lt;&gt;"Y","",IF(D143="","Pick the affected P6 activity first",IF(COUNTIFS('11 Notice calendar'!$A$7:$A$46,A143,'11 Notice calendar'!$I$7:$I$46,D143)&gt;0,"In the Notice calendar","Log it in the Notice calendar today")))</f>
        <v/>
      </c>
      <c r="J143" s="146"/>
      <c r="K143" s="146"/>
      <c r="L143" s="6"/>
      <c r="M143" s="6"/>
      <c r="N143" s="6"/>
      <c r="O143" s="6"/>
      <c r="P143" s="6"/>
      <c r="Q143" s="6"/>
      <c r="R143" s="6"/>
      <c r="S143" s="6"/>
      <c r="T143" s="6"/>
      <c r="U143" s="6"/>
      <c r="V143" s="6"/>
      <c r="W143" s="6"/>
      <c r="X143" s="6"/>
      <c r="Y143" s="6"/>
      <c r="Z143" s="6"/>
    </row>
    <row r="144" spans="1:26" ht="18" customHeight="1" x14ac:dyDescent="0.3">
      <c r="A144" s="152"/>
      <c r="B144" s="128"/>
      <c r="C144" s="152"/>
      <c r="D144" s="128"/>
      <c r="E144" s="144" t="str">
        <f>IF(D144="","",IFERROR(INDEX('12 P6 activities'!$B$7:$B$206,MATCH(D144,'12 P6 activities'!$A$7:$A$206,0)),"⚠ not in P6 list"))</f>
        <v/>
      </c>
      <c r="F144" s="144" t="str">
        <f>IF(D144="","",IFERROR(INDEX('12 P6 activities'!$C$7:$C$206,MATCH(D144,'12 P6 activities'!$A$7:$A$206,0)),"⚠ not in P6 list"))</f>
        <v/>
      </c>
      <c r="G144" s="124"/>
      <c r="H144" s="152"/>
      <c r="I144" s="153" t="str">
        <f>IF(H144&lt;&gt;"Y","",IF(D144="","Pick the affected P6 activity first",IF(COUNTIFS('11 Notice calendar'!$A$7:$A$46,A144,'11 Notice calendar'!$I$7:$I$46,D144)&gt;0,"In the Notice calendar","Log it in the Notice calendar today")))</f>
        <v/>
      </c>
      <c r="J144" s="146"/>
      <c r="K144" s="146"/>
      <c r="L144" s="6"/>
      <c r="M144" s="6"/>
      <c r="N144" s="6"/>
      <c r="O144" s="6"/>
      <c r="P144" s="6"/>
      <c r="Q144" s="6"/>
      <c r="R144" s="6"/>
      <c r="S144" s="6"/>
      <c r="T144" s="6"/>
      <c r="U144" s="6"/>
      <c r="V144" s="6"/>
      <c r="W144" s="6"/>
      <c r="X144" s="6"/>
      <c r="Y144" s="6"/>
      <c r="Z144" s="6"/>
    </row>
    <row r="145" spans="1:26" ht="18" customHeight="1" x14ac:dyDescent="0.3">
      <c r="A145" s="152"/>
      <c r="B145" s="128"/>
      <c r="C145" s="152"/>
      <c r="D145" s="128"/>
      <c r="E145" s="144" t="str">
        <f>IF(D145="","",IFERROR(INDEX('12 P6 activities'!$B$7:$B$206,MATCH(D145,'12 P6 activities'!$A$7:$A$206,0)),"⚠ not in P6 list"))</f>
        <v/>
      </c>
      <c r="F145" s="144" t="str">
        <f>IF(D145="","",IFERROR(INDEX('12 P6 activities'!$C$7:$C$206,MATCH(D145,'12 P6 activities'!$A$7:$A$206,0)),"⚠ not in P6 list"))</f>
        <v/>
      </c>
      <c r="G145" s="124"/>
      <c r="H145" s="152"/>
      <c r="I145" s="153" t="str">
        <f>IF(H145&lt;&gt;"Y","",IF(D145="","Pick the affected P6 activity first",IF(COUNTIFS('11 Notice calendar'!$A$7:$A$46,A145,'11 Notice calendar'!$I$7:$I$46,D145)&gt;0,"In the Notice calendar","Log it in the Notice calendar today")))</f>
        <v/>
      </c>
      <c r="J145" s="146"/>
      <c r="K145" s="146"/>
      <c r="L145" s="6"/>
      <c r="M145" s="6"/>
      <c r="N145" s="6"/>
      <c r="O145" s="6"/>
      <c r="P145" s="6"/>
      <c r="Q145" s="6"/>
      <c r="R145" s="6"/>
      <c r="S145" s="6"/>
      <c r="T145" s="6"/>
      <c r="U145" s="6"/>
      <c r="V145" s="6"/>
      <c r="W145" s="6"/>
      <c r="X145" s="6"/>
      <c r="Y145" s="6"/>
      <c r="Z145" s="6"/>
    </row>
    <row r="146" spans="1:26" ht="18" customHeight="1" x14ac:dyDescent="0.3">
      <c r="A146" s="152"/>
      <c r="B146" s="128"/>
      <c r="C146" s="152"/>
      <c r="D146" s="128"/>
      <c r="E146" s="144" t="str">
        <f>IF(D146="","",IFERROR(INDEX('12 P6 activities'!$B$7:$B$206,MATCH(D146,'12 P6 activities'!$A$7:$A$206,0)),"⚠ not in P6 list"))</f>
        <v/>
      </c>
      <c r="F146" s="144" t="str">
        <f>IF(D146="","",IFERROR(INDEX('12 P6 activities'!$C$7:$C$206,MATCH(D146,'12 P6 activities'!$A$7:$A$206,0)),"⚠ not in P6 list"))</f>
        <v/>
      </c>
      <c r="G146" s="124"/>
      <c r="H146" s="152"/>
      <c r="I146" s="153" t="str">
        <f>IF(H146&lt;&gt;"Y","",IF(D146="","Pick the affected P6 activity first",IF(COUNTIFS('11 Notice calendar'!$A$7:$A$46,A146,'11 Notice calendar'!$I$7:$I$46,D146)&gt;0,"In the Notice calendar","Log it in the Notice calendar today")))</f>
        <v/>
      </c>
      <c r="J146" s="146"/>
      <c r="K146" s="146"/>
      <c r="L146" s="6"/>
      <c r="M146" s="6"/>
      <c r="N146" s="6"/>
      <c r="O146" s="6"/>
      <c r="P146" s="6"/>
      <c r="Q146" s="6"/>
      <c r="R146" s="6"/>
      <c r="S146" s="6"/>
      <c r="T146" s="6"/>
      <c r="U146" s="6"/>
      <c r="V146" s="6"/>
      <c r="W146" s="6"/>
      <c r="X146" s="6"/>
      <c r="Y146" s="6"/>
      <c r="Z146" s="6"/>
    </row>
    <row r="147" spans="1:26" ht="18" customHeight="1" x14ac:dyDescent="0.3">
      <c r="A147" s="152"/>
      <c r="B147" s="128"/>
      <c r="C147" s="152"/>
      <c r="D147" s="128"/>
      <c r="E147" s="144" t="str">
        <f>IF(D147="","",IFERROR(INDEX('12 P6 activities'!$B$7:$B$206,MATCH(D147,'12 P6 activities'!$A$7:$A$206,0)),"⚠ not in P6 list"))</f>
        <v/>
      </c>
      <c r="F147" s="144" t="str">
        <f>IF(D147="","",IFERROR(INDEX('12 P6 activities'!$C$7:$C$206,MATCH(D147,'12 P6 activities'!$A$7:$A$206,0)),"⚠ not in P6 list"))</f>
        <v/>
      </c>
      <c r="G147" s="124"/>
      <c r="H147" s="152"/>
      <c r="I147" s="153" t="str">
        <f>IF(H147&lt;&gt;"Y","",IF(D147="","Pick the affected P6 activity first",IF(COUNTIFS('11 Notice calendar'!$A$7:$A$46,A147,'11 Notice calendar'!$I$7:$I$46,D147)&gt;0,"In the Notice calendar","Log it in the Notice calendar today")))</f>
        <v/>
      </c>
      <c r="J147" s="146"/>
      <c r="K147" s="146"/>
      <c r="L147" s="6"/>
      <c r="M147" s="6"/>
      <c r="N147" s="6"/>
      <c r="O147" s="6"/>
      <c r="P147" s="6"/>
      <c r="Q147" s="6"/>
      <c r="R147" s="6"/>
      <c r="S147" s="6"/>
      <c r="T147" s="6"/>
      <c r="U147" s="6"/>
      <c r="V147" s="6"/>
      <c r="W147" s="6"/>
      <c r="X147" s="6"/>
      <c r="Y147" s="6"/>
      <c r="Z147" s="6"/>
    </row>
    <row r="148" spans="1:26" ht="18" customHeight="1" x14ac:dyDescent="0.3">
      <c r="A148" s="152"/>
      <c r="B148" s="128"/>
      <c r="C148" s="152"/>
      <c r="D148" s="128"/>
      <c r="E148" s="144" t="str">
        <f>IF(D148="","",IFERROR(INDEX('12 P6 activities'!$B$7:$B$206,MATCH(D148,'12 P6 activities'!$A$7:$A$206,0)),"⚠ not in P6 list"))</f>
        <v/>
      </c>
      <c r="F148" s="144" t="str">
        <f>IF(D148="","",IFERROR(INDEX('12 P6 activities'!$C$7:$C$206,MATCH(D148,'12 P6 activities'!$A$7:$A$206,0)),"⚠ not in P6 list"))</f>
        <v/>
      </c>
      <c r="G148" s="124"/>
      <c r="H148" s="152"/>
      <c r="I148" s="153" t="str">
        <f>IF(H148&lt;&gt;"Y","",IF(D148="","Pick the affected P6 activity first",IF(COUNTIFS('11 Notice calendar'!$A$7:$A$46,A148,'11 Notice calendar'!$I$7:$I$46,D148)&gt;0,"In the Notice calendar","Log it in the Notice calendar today")))</f>
        <v/>
      </c>
      <c r="J148" s="146"/>
      <c r="K148" s="146"/>
      <c r="L148" s="6"/>
      <c r="M148" s="6"/>
      <c r="N148" s="6"/>
      <c r="O148" s="6"/>
      <c r="P148" s="6"/>
      <c r="Q148" s="6"/>
      <c r="R148" s="6"/>
      <c r="S148" s="6"/>
      <c r="T148" s="6"/>
      <c r="U148" s="6"/>
      <c r="V148" s="6"/>
      <c r="W148" s="6"/>
      <c r="X148" s="6"/>
      <c r="Y148" s="6"/>
      <c r="Z148" s="6"/>
    </row>
    <row r="149" spans="1:26" ht="18" customHeight="1" x14ac:dyDescent="0.3">
      <c r="A149" s="152"/>
      <c r="B149" s="128"/>
      <c r="C149" s="152"/>
      <c r="D149" s="128"/>
      <c r="E149" s="144" t="str">
        <f>IF(D149="","",IFERROR(INDEX('12 P6 activities'!$B$7:$B$206,MATCH(D149,'12 P6 activities'!$A$7:$A$206,0)),"⚠ not in P6 list"))</f>
        <v/>
      </c>
      <c r="F149" s="144" t="str">
        <f>IF(D149="","",IFERROR(INDEX('12 P6 activities'!$C$7:$C$206,MATCH(D149,'12 P6 activities'!$A$7:$A$206,0)),"⚠ not in P6 list"))</f>
        <v/>
      </c>
      <c r="G149" s="124"/>
      <c r="H149" s="152"/>
      <c r="I149" s="153" t="str">
        <f>IF(H149&lt;&gt;"Y","",IF(D149="","Pick the affected P6 activity first",IF(COUNTIFS('11 Notice calendar'!$A$7:$A$46,A149,'11 Notice calendar'!$I$7:$I$46,D149)&gt;0,"In the Notice calendar","Log it in the Notice calendar today")))</f>
        <v/>
      </c>
      <c r="J149" s="146"/>
      <c r="K149" s="146"/>
      <c r="L149" s="6"/>
      <c r="M149" s="6"/>
      <c r="N149" s="6"/>
      <c r="O149" s="6"/>
      <c r="P149" s="6"/>
      <c r="Q149" s="6"/>
      <c r="R149" s="6"/>
      <c r="S149" s="6"/>
      <c r="T149" s="6"/>
      <c r="U149" s="6"/>
      <c r="V149" s="6"/>
      <c r="W149" s="6"/>
      <c r="X149" s="6"/>
      <c r="Y149" s="6"/>
      <c r="Z149" s="6"/>
    </row>
    <row r="150" spans="1:26" ht="18" customHeight="1" x14ac:dyDescent="0.3">
      <c r="A150" s="152"/>
      <c r="B150" s="128"/>
      <c r="C150" s="152"/>
      <c r="D150" s="128"/>
      <c r="E150" s="144" t="str">
        <f>IF(D150="","",IFERROR(INDEX('12 P6 activities'!$B$7:$B$206,MATCH(D150,'12 P6 activities'!$A$7:$A$206,0)),"⚠ not in P6 list"))</f>
        <v/>
      </c>
      <c r="F150" s="144" t="str">
        <f>IF(D150="","",IFERROR(INDEX('12 P6 activities'!$C$7:$C$206,MATCH(D150,'12 P6 activities'!$A$7:$A$206,0)),"⚠ not in P6 list"))</f>
        <v/>
      </c>
      <c r="G150" s="124"/>
      <c r="H150" s="152"/>
      <c r="I150" s="153" t="str">
        <f>IF(H150&lt;&gt;"Y","",IF(D150="","Pick the affected P6 activity first",IF(COUNTIFS('11 Notice calendar'!$A$7:$A$46,A150,'11 Notice calendar'!$I$7:$I$46,D150)&gt;0,"In the Notice calendar","Log it in the Notice calendar today")))</f>
        <v/>
      </c>
      <c r="J150" s="146"/>
      <c r="K150" s="146"/>
      <c r="L150" s="6"/>
      <c r="M150" s="6"/>
      <c r="N150" s="6"/>
      <c r="O150" s="6"/>
      <c r="P150" s="6"/>
      <c r="Q150" s="6"/>
      <c r="R150" s="6"/>
      <c r="S150" s="6"/>
      <c r="T150" s="6"/>
      <c r="U150" s="6"/>
      <c r="V150" s="6"/>
      <c r="W150" s="6"/>
      <c r="X150" s="6"/>
      <c r="Y150" s="6"/>
      <c r="Z150" s="6"/>
    </row>
    <row r="151" spans="1:26" ht="18" customHeight="1" x14ac:dyDescent="0.3">
      <c r="A151" s="152"/>
      <c r="B151" s="128"/>
      <c r="C151" s="152"/>
      <c r="D151" s="128"/>
      <c r="E151" s="144" t="str">
        <f>IF(D151="","",IFERROR(INDEX('12 P6 activities'!$B$7:$B$206,MATCH(D151,'12 P6 activities'!$A$7:$A$206,0)),"⚠ not in P6 list"))</f>
        <v/>
      </c>
      <c r="F151" s="144" t="str">
        <f>IF(D151="","",IFERROR(INDEX('12 P6 activities'!$C$7:$C$206,MATCH(D151,'12 P6 activities'!$A$7:$A$206,0)),"⚠ not in P6 list"))</f>
        <v/>
      </c>
      <c r="G151" s="124"/>
      <c r="H151" s="152"/>
      <c r="I151" s="153" t="str">
        <f>IF(H151&lt;&gt;"Y","",IF(D151="","Pick the affected P6 activity first",IF(COUNTIFS('11 Notice calendar'!$A$7:$A$46,A151,'11 Notice calendar'!$I$7:$I$46,D151)&gt;0,"In the Notice calendar","Log it in the Notice calendar today")))</f>
        <v/>
      </c>
      <c r="J151" s="146"/>
      <c r="K151" s="146"/>
      <c r="L151" s="6"/>
      <c r="M151" s="6"/>
      <c r="N151" s="6"/>
      <c r="O151" s="6"/>
      <c r="P151" s="6"/>
      <c r="Q151" s="6"/>
      <c r="R151" s="6"/>
      <c r="S151" s="6"/>
      <c r="T151" s="6"/>
      <c r="U151" s="6"/>
      <c r="V151" s="6"/>
      <c r="W151" s="6"/>
      <c r="X151" s="6"/>
      <c r="Y151" s="6"/>
      <c r="Z151" s="6"/>
    </row>
    <row r="152" spans="1:26" ht="18" customHeight="1" x14ac:dyDescent="0.3">
      <c r="A152" s="152"/>
      <c r="B152" s="128"/>
      <c r="C152" s="152"/>
      <c r="D152" s="128"/>
      <c r="E152" s="144" t="str">
        <f>IF(D152="","",IFERROR(INDEX('12 P6 activities'!$B$7:$B$206,MATCH(D152,'12 P6 activities'!$A$7:$A$206,0)),"⚠ not in P6 list"))</f>
        <v/>
      </c>
      <c r="F152" s="144" t="str">
        <f>IF(D152="","",IFERROR(INDEX('12 P6 activities'!$C$7:$C$206,MATCH(D152,'12 P6 activities'!$A$7:$A$206,0)),"⚠ not in P6 list"))</f>
        <v/>
      </c>
      <c r="G152" s="124"/>
      <c r="H152" s="152"/>
      <c r="I152" s="153" t="str">
        <f>IF(H152&lt;&gt;"Y","",IF(D152="","Pick the affected P6 activity first",IF(COUNTIFS('11 Notice calendar'!$A$7:$A$46,A152,'11 Notice calendar'!$I$7:$I$46,D152)&gt;0,"In the Notice calendar","Log it in the Notice calendar today")))</f>
        <v/>
      </c>
      <c r="J152" s="146"/>
      <c r="K152" s="146"/>
      <c r="L152" s="6"/>
      <c r="M152" s="6"/>
      <c r="N152" s="6"/>
      <c r="O152" s="6"/>
      <c r="P152" s="6"/>
      <c r="Q152" s="6"/>
      <c r="R152" s="6"/>
      <c r="S152" s="6"/>
      <c r="T152" s="6"/>
      <c r="U152" s="6"/>
      <c r="V152" s="6"/>
      <c r="W152" s="6"/>
      <c r="X152" s="6"/>
      <c r="Y152" s="6"/>
      <c r="Z152" s="6"/>
    </row>
    <row r="153" spans="1:26" ht="18" customHeight="1" x14ac:dyDescent="0.3">
      <c r="A153" s="152"/>
      <c r="B153" s="128"/>
      <c r="C153" s="152"/>
      <c r="D153" s="128"/>
      <c r="E153" s="144" t="str">
        <f>IF(D153="","",IFERROR(INDEX('12 P6 activities'!$B$7:$B$206,MATCH(D153,'12 P6 activities'!$A$7:$A$206,0)),"⚠ not in P6 list"))</f>
        <v/>
      </c>
      <c r="F153" s="144" t="str">
        <f>IF(D153="","",IFERROR(INDEX('12 P6 activities'!$C$7:$C$206,MATCH(D153,'12 P6 activities'!$A$7:$A$206,0)),"⚠ not in P6 list"))</f>
        <v/>
      </c>
      <c r="G153" s="124"/>
      <c r="H153" s="152"/>
      <c r="I153" s="153" t="str">
        <f>IF(H153&lt;&gt;"Y","",IF(D153="","Pick the affected P6 activity first",IF(COUNTIFS('11 Notice calendar'!$A$7:$A$46,A153,'11 Notice calendar'!$I$7:$I$46,D153)&gt;0,"In the Notice calendar","Log it in the Notice calendar today")))</f>
        <v/>
      </c>
      <c r="J153" s="146"/>
      <c r="K153" s="146"/>
      <c r="L153" s="6"/>
      <c r="M153" s="6"/>
      <c r="N153" s="6"/>
      <c r="O153" s="6"/>
      <c r="P153" s="6"/>
      <c r="Q153" s="6"/>
      <c r="R153" s="6"/>
      <c r="S153" s="6"/>
      <c r="T153" s="6"/>
      <c r="U153" s="6"/>
      <c r="V153" s="6"/>
      <c r="W153" s="6"/>
      <c r="X153" s="6"/>
      <c r="Y153" s="6"/>
      <c r="Z153" s="6"/>
    </row>
    <row r="154" spans="1:26" ht="18" customHeight="1" x14ac:dyDescent="0.3">
      <c r="A154" s="152"/>
      <c r="B154" s="128"/>
      <c r="C154" s="152"/>
      <c r="D154" s="128"/>
      <c r="E154" s="144" t="str">
        <f>IF(D154="","",IFERROR(INDEX('12 P6 activities'!$B$7:$B$206,MATCH(D154,'12 P6 activities'!$A$7:$A$206,0)),"⚠ not in P6 list"))</f>
        <v/>
      </c>
      <c r="F154" s="144" t="str">
        <f>IF(D154="","",IFERROR(INDEX('12 P6 activities'!$C$7:$C$206,MATCH(D154,'12 P6 activities'!$A$7:$A$206,0)),"⚠ not in P6 list"))</f>
        <v/>
      </c>
      <c r="G154" s="124"/>
      <c r="H154" s="152"/>
      <c r="I154" s="153" t="str">
        <f>IF(H154&lt;&gt;"Y","",IF(D154="","Pick the affected P6 activity first",IF(COUNTIFS('11 Notice calendar'!$A$7:$A$46,A154,'11 Notice calendar'!$I$7:$I$46,D154)&gt;0,"In the Notice calendar","Log it in the Notice calendar today")))</f>
        <v/>
      </c>
      <c r="J154" s="146"/>
      <c r="K154" s="146"/>
      <c r="L154" s="6"/>
      <c r="M154" s="6"/>
      <c r="N154" s="6"/>
      <c r="O154" s="6"/>
      <c r="P154" s="6"/>
      <c r="Q154" s="6"/>
      <c r="R154" s="6"/>
      <c r="S154" s="6"/>
      <c r="T154" s="6"/>
      <c r="U154" s="6"/>
      <c r="V154" s="6"/>
      <c r="W154" s="6"/>
      <c r="X154" s="6"/>
      <c r="Y154" s="6"/>
      <c r="Z154" s="6"/>
    </row>
    <row r="155" spans="1:26" ht="18" customHeight="1" x14ac:dyDescent="0.3">
      <c r="A155" s="152"/>
      <c r="B155" s="128"/>
      <c r="C155" s="152"/>
      <c r="D155" s="128"/>
      <c r="E155" s="144" t="str">
        <f>IF(D155="","",IFERROR(INDEX('12 P6 activities'!$B$7:$B$206,MATCH(D155,'12 P6 activities'!$A$7:$A$206,0)),"⚠ not in P6 list"))</f>
        <v/>
      </c>
      <c r="F155" s="144" t="str">
        <f>IF(D155="","",IFERROR(INDEX('12 P6 activities'!$C$7:$C$206,MATCH(D155,'12 P6 activities'!$A$7:$A$206,0)),"⚠ not in P6 list"))</f>
        <v/>
      </c>
      <c r="G155" s="124"/>
      <c r="H155" s="152"/>
      <c r="I155" s="153" t="str">
        <f>IF(H155&lt;&gt;"Y","",IF(D155="","Pick the affected P6 activity first",IF(COUNTIFS('11 Notice calendar'!$A$7:$A$46,A155,'11 Notice calendar'!$I$7:$I$46,D155)&gt;0,"In the Notice calendar","Log it in the Notice calendar today")))</f>
        <v/>
      </c>
      <c r="J155" s="146"/>
      <c r="K155" s="146"/>
      <c r="L155" s="6"/>
      <c r="M155" s="6"/>
      <c r="N155" s="6"/>
      <c r="O155" s="6"/>
      <c r="P155" s="6"/>
      <c r="Q155" s="6"/>
      <c r="R155" s="6"/>
      <c r="S155" s="6"/>
      <c r="T155" s="6"/>
      <c r="U155" s="6"/>
      <c r="V155" s="6"/>
      <c r="W155" s="6"/>
      <c r="X155" s="6"/>
      <c r="Y155" s="6"/>
      <c r="Z155" s="6"/>
    </row>
    <row r="156" spans="1:26" ht="18" customHeight="1" x14ac:dyDescent="0.3">
      <c r="A156" s="152"/>
      <c r="B156" s="128"/>
      <c r="C156" s="152"/>
      <c r="D156" s="128"/>
      <c r="E156" s="144" t="str">
        <f>IF(D156="","",IFERROR(INDEX('12 P6 activities'!$B$7:$B$206,MATCH(D156,'12 P6 activities'!$A$7:$A$206,0)),"⚠ not in P6 list"))</f>
        <v/>
      </c>
      <c r="F156" s="144" t="str">
        <f>IF(D156="","",IFERROR(INDEX('12 P6 activities'!$C$7:$C$206,MATCH(D156,'12 P6 activities'!$A$7:$A$206,0)),"⚠ not in P6 list"))</f>
        <v/>
      </c>
      <c r="G156" s="124"/>
      <c r="H156" s="152"/>
      <c r="I156" s="153" t="str">
        <f>IF(H156&lt;&gt;"Y","",IF(D156="","Pick the affected P6 activity first",IF(COUNTIFS('11 Notice calendar'!$A$7:$A$46,A156,'11 Notice calendar'!$I$7:$I$46,D156)&gt;0,"In the Notice calendar","Log it in the Notice calendar today")))</f>
        <v/>
      </c>
      <c r="J156" s="146"/>
      <c r="K156" s="146"/>
      <c r="L156" s="6"/>
      <c r="M156" s="6"/>
      <c r="N156" s="6"/>
      <c r="O156" s="6"/>
      <c r="P156" s="6"/>
      <c r="Q156" s="6"/>
      <c r="R156" s="6"/>
      <c r="S156" s="6"/>
      <c r="T156" s="6"/>
      <c r="U156" s="6"/>
      <c r="V156" s="6"/>
      <c r="W156" s="6"/>
      <c r="X156" s="6"/>
      <c r="Y156" s="6"/>
      <c r="Z156" s="6"/>
    </row>
    <row r="157" spans="1:26" ht="18" customHeight="1" x14ac:dyDescent="0.3">
      <c r="A157" s="152"/>
      <c r="B157" s="128"/>
      <c r="C157" s="152"/>
      <c r="D157" s="128"/>
      <c r="E157" s="144" t="str">
        <f>IF(D157="","",IFERROR(INDEX('12 P6 activities'!$B$7:$B$206,MATCH(D157,'12 P6 activities'!$A$7:$A$206,0)),"⚠ not in P6 list"))</f>
        <v/>
      </c>
      <c r="F157" s="144" t="str">
        <f>IF(D157="","",IFERROR(INDEX('12 P6 activities'!$C$7:$C$206,MATCH(D157,'12 P6 activities'!$A$7:$A$206,0)),"⚠ not in P6 list"))</f>
        <v/>
      </c>
      <c r="G157" s="124"/>
      <c r="H157" s="152"/>
      <c r="I157" s="153" t="str">
        <f>IF(H157&lt;&gt;"Y","",IF(D157="","Pick the affected P6 activity first",IF(COUNTIFS('11 Notice calendar'!$A$7:$A$46,A157,'11 Notice calendar'!$I$7:$I$46,D157)&gt;0,"In the Notice calendar","Log it in the Notice calendar today")))</f>
        <v/>
      </c>
      <c r="J157" s="146"/>
      <c r="K157" s="146"/>
      <c r="L157" s="6"/>
      <c r="M157" s="6"/>
      <c r="N157" s="6"/>
      <c r="O157" s="6"/>
      <c r="P157" s="6"/>
      <c r="Q157" s="6"/>
      <c r="R157" s="6"/>
      <c r="S157" s="6"/>
      <c r="T157" s="6"/>
      <c r="U157" s="6"/>
      <c r="V157" s="6"/>
      <c r="W157" s="6"/>
      <c r="X157" s="6"/>
      <c r="Y157" s="6"/>
      <c r="Z157" s="6"/>
    </row>
    <row r="158" spans="1:26" ht="18" customHeight="1" x14ac:dyDescent="0.3">
      <c r="A158" s="152"/>
      <c r="B158" s="128"/>
      <c r="C158" s="152"/>
      <c r="D158" s="128"/>
      <c r="E158" s="144" t="str">
        <f>IF(D158="","",IFERROR(INDEX('12 P6 activities'!$B$7:$B$206,MATCH(D158,'12 P6 activities'!$A$7:$A$206,0)),"⚠ not in P6 list"))</f>
        <v/>
      </c>
      <c r="F158" s="144" t="str">
        <f>IF(D158="","",IFERROR(INDEX('12 P6 activities'!$C$7:$C$206,MATCH(D158,'12 P6 activities'!$A$7:$A$206,0)),"⚠ not in P6 list"))</f>
        <v/>
      </c>
      <c r="G158" s="124"/>
      <c r="H158" s="152"/>
      <c r="I158" s="153" t="str">
        <f>IF(H158&lt;&gt;"Y","",IF(D158="","Pick the affected P6 activity first",IF(COUNTIFS('11 Notice calendar'!$A$7:$A$46,A158,'11 Notice calendar'!$I$7:$I$46,D158)&gt;0,"In the Notice calendar","Log it in the Notice calendar today")))</f>
        <v/>
      </c>
      <c r="J158" s="146"/>
      <c r="K158" s="146"/>
      <c r="L158" s="6"/>
      <c r="M158" s="6"/>
      <c r="N158" s="6"/>
      <c r="O158" s="6"/>
      <c r="P158" s="6"/>
      <c r="Q158" s="6"/>
      <c r="R158" s="6"/>
      <c r="S158" s="6"/>
      <c r="T158" s="6"/>
      <c r="U158" s="6"/>
      <c r="V158" s="6"/>
      <c r="W158" s="6"/>
      <c r="X158" s="6"/>
      <c r="Y158" s="6"/>
      <c r="Z158" s="6"/>
    </row>
    <row r="159" spans="1:26" ht="18" customHeight="1" x14ac:dyDescent="0.3">
      <c r="A159" s="152"/>
      <c r="B159" s="128"/>
      <c r="C159" s="152"/>
      <c r="D159" s="128"/>
      <c r="E159" s="144" t="str">
        <f>IF(D159="","",IFERROR(INDEX('12 P6 activities'!$B$7:$B$206,MATCH(D159,'12 P6 activities'!$A$7:$A$206,0)),"⚠ not in P6 list"))</f>
        <v/>
      </c>
      <c r="F159" s="144" t="str">
        <f>IF(D159="","",IFERROR(INDEX('12 P6 activities'!$C$7:$C$206,MATCH(D159,'12 P6 activities'!$A$7:$A$206,0)),"⚠ not in P6 list"))</f>
        <v/>
      </c>
      <c r="G159" s="124"/>
      <c r="H159" s="152"/>
      <c r="I159" s="153" t="str">
        <f>IF(H159&lt;&gt;"Y","",IF(D159="","Pick the affected P6 activity first",IF(COUNTIFS('11 Notice calendar'!$A$7:$A$46,A159,'11 Notice calendar'!$I$7:$I$46,D159)&gt;0,"In the Notice calendar","Log it in the Notice calendar today")))</f>
        <v/>
      </c>
      <c r="J159" s="146"/>
      <c r="K159" s="146"/>
      <c r="L159" s="6"/>
      <c r="M159" s="6"/>
      <c r="N159" s="6"/>
      <c r="O159" s="6"/>
      <c r="P159" s="6"/>
      <c r="Q159" s="6"/>
      <c r="R159" s="6"/>
      <c r="S159" s="6"/>
      <c r="T159" s="6"/>
      <c r="U159" s="6"/>
      <c r="V159" s="6"/>
      <c r="W159" s="6"/>
      <c r="X159" s="6"/>
      <c r="Y159" s="6"/>
      <c r="Z159" s="6"/>
    </row>
    <row r="160" spans="1:26" ht="18" customHeight="1" x14ac:dyDescent="0.3">
      <c r="A160" s="152"/>
      <c r="B160" s="128"/>
      <c r="C160" s="152"/>
      <c r="D160" s="128"/>
      <c r="E160" s="144" t="str">
        <f>IF(D160="","",IFERROR(INDEX('12 P6 activities'!$B$7:$B$206,MATCH(D160,'12 P6 activities'!$A$7:$A$206,0)),"⚠ not in P6 list"))</f>
        <v/>
      </c>
      <c r="F160" s="144" t="str">
        <f>IF(D160="","",IFERROR(INDEX('12 P6 activities'!$C$7:$C$206,MATCH(D160,'12 P6 activities'!$A$7:$A$206,0)),"⚠ not in P6 list"))</f>
        <v/>
      </c>
      <c r="G160" s="124"/>
      <c r="H160" s="152"/>
      <c r="I160" s="153" t="str">
        <f>IF(H160&lt;&gt;"Y","",IF(D160="","Pick the affected P6 activity first",IF(COUNTIFS('11 Notice calendar'!$A$7:$A$46,A160,'11 Notice calendar'!$I$7:$I$46,D160)&gt;0,"In the Notice calendar","Log it in the Notice calendar today")))</f>
        <v/>
      </c>
      <c r="J160" s="146"/>
      <c r="K160" s="146"/>
      <c r="L160" s="6"/>
      <c r="M160" s="6"/>
      <c r="N160" s="6"/>
      <c r="O160" s="6"/>
      <c r="P160" s="6"/>
      <c r="Q160" s="6"/>
      <c r="R160" s="6"/>
      <c r="S160" s="6"/>
      <c r="T160" s="6"/>
      <c r="U160" s="6"/>
      <c r="V160" s="6"/>
      <c r="W160" s="6"/>
      <c r="X160" s="6"/>
      <c r="Y160" s="6"/>
      <c r="Z160" s="6"/>
    </row>
    <row r="161" spans="1:26" ht="18" customHeight="1" x14ac:dyDescent="0.3">
      <c r="A161" s="152"/>
      <c r="B161" s="128"/>
      <c r="C161" s="152"/>
      <c r="D161" s="128"/>
      <c r="E161" s="144" t="str">
        <f>IF(D161="","",IFERROR(INDEX('12 P6 activities'!$B$7:$B$206,MATCH(D161,'12 P6 activities'!$A$7:$A$206,0)),"⚠ not in P6 list"))</f>
        <v/>
      </c>
      <c r="F161" s="144" t="str">
        <f>IF(D161="","",IFERROR(INDEX('12 P6 activities'!$C$7:$C$206,MATCH(D161,'12 P6 activities'!$A$7:$A$206,0)),"⚠ not in P6 list"))</f>
        <v/>
      </c>
      <c r="G161" s="124"/>
      <c r="H161" s="152"/>
      <c r="I161" s="153" t="str">
        <f>IF(H161&lt;&gt;"Y","",IF(D161="","Pick the affected P6 activity first",IF(COUNTIFS('11 Notice calendar'!$A$7:$A$46,A161,'11 Notice calendar'!$I$7:$I$46,D161)&gt;0,"In the Notice calendar","Log it in the Notice calendar today")))</f>
        <v/>
      </c>
      <c r="J161" s="146"/>
      <c r="K161" s="146"/>
      <c r="L161" s="6"/>
      <c r="M161" s="6"/>
      <c r="N161" s="6"/>
      <c r="O161" s="6"/>
      <c r="P161" s="6"/>
      <c r="Q161" s="6"/>
      <c r="R161" s="6"/>
      <c r="S161" s="6"/>
      <c r="T161" s="6"/>
      <c r="U161" s="6"/>
      <c r="V161" s="6"/>
      <c r="W161" s="6"/>
      <c r="X161" s="6"/>
      <c r="Y161" s="6"/>
      <c r="Z161" s="6"/>
    </row>
    <row r="162" spans="1:26" ht="18" customHeight="1" x14ac:dyDescent="0.3">
      <c r="A162" s="152"/>
      <c r="B162" s="128"/>
      <c r="C162" s="152"/>
      <c r="D162" s="128"/>
      <c r="E162" s="144" t="str">
        <f>IF(D162="","",IFERROR(INDEX('12 P6 activities'!$B$7:$B$206,MATCH(D162,'12 P6 activities'!$A$7:$A$206,0)),"⚠ not in P6 list"))</f>
        <v/>
      </c>
      <c r="F162" s="144" t="str">
        <f>IF(D162="","",IFERROR(INDEX('12 P6 activities'!$C$7:$C$206,MATCH(D162,'12 P6 activities'!$A$7:$A$206,0)),"⚠ not in P6 list"))</f>
        <v/>
      </c>
      <c r="G162" s="124"/>
      <c r="H162" s="152"/>
      <c r="I162" s="153" t="str">
        <f>IF(H162&lt;&gt;"Y","",IF(D162="","Pick the affected P6 activity first",IF(COUNTIFS('11 Notice calendar'!$A$7:$A$46,A162,'11 Notice calendar'!$I$7:$I$46,D162)&gt;0,"In the Notice calendar","Log it in the Notice calendar today")))</f>
        <v/>
      </c>
      <c r="J162" s="146"/>
      <c r="K162" s="146"/>
      <c r="L162" s="6"/>
      <c r="M162" s="6"/>
      <c r="N162" s="6"/>
      <c r="O162" s="6"/>
      <c r="P162" s="6"/>
      <c r="Q162" s="6"/>
      <c r="R162" s="6"/>
      <c r="S162" s="6"/>
      <c r="T162" s="6"/>
      <c r="U162" s="6"/>
      <c r="V162" s="6"/>
      <c r="W162" s="6"/>
      <c r="X162" s="6"/>
      <c r="Y162" s="6"/>
      <c r="Z162" s="6"/>
    </row>
    <row r="163" spans="1:26" ht="18" customHeight="1" x14ac:dyDescent="0.3">
      <c r="A163" s="152"/>
      <c r="B163" s="128"/>
      <c r="C163" s="152"/>
      <c r="D163" s="128"/>
      <c r="E163" s="144" t="str">
        <f>IF(D163="","",IFERROR(INDEX('12 P6 activities'!$B$7:$B$206,MATCH(D163,'12 P6 activities'!$A$7:$A$206,0)),"⚠ not in P6 list"))</f>
        <v/>
      </c>
      <c r="F163" s="144" t="str">
        <f>IF(D163="","",IFERROR(INDEX('12 P6 activities'!$C$7:$C$206,MATCH(D163,'12 P6 activities'!$A$7:$A$206,0)),"⚠ not in P6 list"))</f>
        <v/>
      </c>
      <c r="G163" s="124"/>
      <c r="H163" s="152"/>
      <c r="I163" s="153" t="str">
        <f>IF(H163&lt;&gt;"Y","",IF(D163="","Pick the affected P6 activity first",IF(COUNTIFS('11 Notice calendar'!$A$7:$A$46,A163,'11 Notice calendar'!$I$7:$I$46,D163)&gt;0,"In the Notice calendar","Log it in the Notice calendar today")))</f>
        <v/>
      </c>
      <c r="J163" s="146"/>
      <c r="K163" s="146"/>
      <c r="L163" s="6"/>
      <c r="M163" s="6"/>
      <c r="N163" s="6"/>
      <c r="O163" s="6"/>
      <c r="P163" s="6"/>
      <c r="Q163" s="6"/>
      <c r="R163" s="6"/>
      <c r="S163" s="6"/>
      <c r="T163" s="6"/>
      <c r="U163" s="6"/>
      <c r="V163" s="6"/>
      <c r="W163" s="6"/>
      <c r="X163" s="6"/>
      <c r="Y163" s="6"/>
      <c r="Z163" s="6"/>
    </row>
    <row r="164" spans="1:26" ht="18" customHeight="1" x14ac:dyDescent="0.3">
      <c r="A164" s="152"/>
      <c r="B164" s="128"/>
      <c r="C164" s="152"/>
      <c r="D164" s="128"/>
      <c r="E164" s="144" t="str">
        <f>IF(D164="","",IFERROR(INDEX('12 P6 activities'!$B$7:$B$206,MATCH(D164,'12 P6 activities'!$A$7:$A$206,0)),"⚠ not in P6 list"))</f>
        <v/>
      </c>
      <c r="F164" s="144" t="str">
        <f>IF(D164="","",IFERROR(INDEX('12 P6 activities'!$C$7:$C$206,MATCH(D164,'12 P6 activities'!$A$7:$A$206,0)),"⚠ not in P6 list"))</f>
        <v/>
      </c>
      <c r="G164" s="124"/>
      <c r="H164" s="152"/>
      <c r="I164" s="153" t="str">
        <f>IF(H164&lt;&gt;"Y","",IF(D164="","Pick the affected P6 activity first",IF(COUNTIFS('11 Notice calendar'!$A$7:$A$46,A164,'11 Notice calendar'!$I$7:$I$46,D164)&gt;0,"In the Notice calendar","Log it in the Notice calendar today")))</f>
        <v/>
      </c>
      <c r="J164" s="146"/>
      <c r="K164" s="146"/>
      <c r="L164" s="6"/>
      <c r="M164" s="6"/>
      <c r="N164" s="6"/>
      <c r="O164" s="6"/>
      <c r="P164" s="6"/>
      <c r="Q164" s="6"/>
      <c r="R164" s="6"/>
      <c r="S164" s="6"/>
      <c r="T164" s="6"/>
      <c r="U164" s="6"/>
      <c r="V164" s="6"/>
      <c r="W164" s="6"/>
      <c r="X164" s="6"/>
      <c r="Y164" s="6"/>
      <c r="Z164" s="6"/>
    </row>
    <row r="165" spans="1:26" ht="18" customHeight="1" x14ac:dyDescent="0.3">
      <c r="A165" s="152"/>
      <c r="B165" s="128"/>
      <c r="C165" s="152"/>
      <c r="D165" s="128"/>
      <c r="E165" s="144" t="str">
        <f>IF(D165="","",IFERROR(INDEX('12 P6 activities'!$B$7:$B$206,MATCH(D165,'12 P6 activities'!$A$7:$A$206,0)),"⚠ not in P6 list"))</f>
        <v/>
      </c>
      <c r="F165" s="144" t="str">
        <f>IF(D165="","",IFERROR(INDEX('12 P6 activities'!$C$7:$C$206,MATCH(D165,'12 P6 activities'!$A$7:$A$206,0)),"⚠ not in P6 list"))</f>
        <v/>
      </c>
      <c r="G165" s="124"/>
      <c r="H165" s="152"/>
      <c r="I165" s="153" t="str">
        <f>IF(H165&lt;&gt;"Y","",IF(D165="","Pick the affected P6 activity first",IF(COUNTIFS('11 Notice calendar'!$A$7:$A$46,A165,'11 Notice calendar'!$I$7:$I$46,D165)&gt;0,"In the Notice calendar","Log it in the Notice calendar today")))</f>
        <v/>
      </c>
      <c r="J165" s="146"/>
      <c r="K165" s="146"/>
      <c r="L165" s="6"/>
      <c r="M165" s="6"/>
      <c r="N165" s="6"/>
      <c r="O165" s="6"/>
      <c r="P165" s="6"/>
      <c r="Q165" s="6"/>
      <c r="R165" s="6"/>
      <c r="S165" s="6"/>
      <c r="T165" s="6"/>
      <c r="U165" s="6"/>
      <c r="V165" s="6"/>
      <c r="W165" s="6"/>
      <c r="X165" s="6"/>
      <c r="Y165" s="6"/>
      <c r="Z165" s="6"/>
    </row>
    <row r="166" spans="1:26" ht="18" customHeight="1" x14ac:dyDescent="0.3">
      <c r="A166" s="152"/>
      <c r="B166" s="128"/>
      <c r="C166" s="152"/>
      <c r="D166" s="128"/>
      <c r="E166" s="144" t="str">
        <f>IF(D166="","",IFERROR(INDEX('12 P6 activities'!$B$7:$B$206,MATCH(D166,'12 P6 activities'!$A$7:$A$206,0)),"⚠ not in P6 list"))</f>
        <v/>
      </c>
      <c r="F166" s="144" t="str">
        <f>IF(D166="","",IFERROR(INDEX('12 P6 activities'!$C$7:$C$206,MATCH(D166,'12 P6 activities'!$A$7:$A$206,0)),"⚠ not in P6 list"))</f>
        <v/>
      </c>
      <c r="G166" s="124"/>
      <c r="H166" s="152"/>
      <c r="I166" s="153" t="str">
        <f>IF(H166&lt;&gt;"Y","",IF(D166="","Pick the affected P6 activity first",IF(COUNTIFS('11 Notice calendar'!$A$7:$A$46,A166,'11 Notice calendar'!$I$7:$I$46,D166)&gt;0,"In the Notice calendar","Log it in the Notice calendar today")))</f>
        <v/>
      </c>
      <c r="J166" s="146"/>
      <c r="K166" s="146"/>
      <c r="L166" s="6"/>
      <c r="M166" s="6"/>
      <c r="N166" s="6"/>
      <c r="O166" s="6"/>
      <c r="P166" s="6"/>
      <c r="Q166" s="6"/>
      <c r="R166" s="6"/>
      <c r="S166" s="6"/>
      <c r="T166" s="6"/>
      <c r="U166" s="6"/>
      <c r="V166" s="6"/>
      <c r="W166" s="6"/>
      <c r="X166" s="6"/>
      <c r="Y166" s="6"/>
      <c r="Z166" s="6"/>
    </row>
    <row r="167" spans="1:26" ht="18" customHeight="1" x14ac:dyDescent="0.3">
      <c r="A167" s="152"/>
      <c r="B167" s="128"/>
      <c r="C167" s="152"/>
      <c r="D167" s="128"/>
      <c r="E167" s="144" t="str">
        <f>IF(D167="","",IFERROR(INDEX('12 P6 activities'!$B$7:$B$206,MATCH(D167,'12 P6 activities'!$A$7:$A$206,0)),"⚠ not in P6 list"))</f>
        <v/>
      </c>
      <c r="F167" s="144" t="str">
        <f>IF(D167="","",IFERROR(INDEX('12 P6 activities'!$C$7:$C$206,MATCH(D167,'12 P6 activities'!$A$7:$A$206,0)),"⚠ not in P6 list"))</f>
        <v/>
      </c>
      <c r="G167" s="124"/>
      <c r="H167" s="152"/>
      <c r="I167" s="153" t="str">
        <f>IF(H167&lt;&gt;"Y","",IF(D167="","Pick the affected P6 activity first",IF(COUNTIFS('11 Notice calendar'!$A$7:$A$46,A167,'11 Notice calendar'!$I$7:$I$46,D167)&gt;0,"In the Notice calendar","Log it in the Notice calendar today")))</f>
        <v/>
      </c>
      <c r="J167" s="146"/>
      <c r="K167" s="146"/>
      <c r="L167" s="6"/>
      <c r="M167" s="6"/>
      <c r="N167" s="6"/>
      <c r="O167" s="6"/>
      <c r="P167" s="6"/>
      <c r="Q167" s="6"/>
      <c r="R167" s="6"/>
      <c r="S167" s="6"/>
      <c r="T167" s="6"/>
      <c r="U167" s="6"/>
      <c r="V167" s="6"/>
      <c r="W167" s="6"/>
      <c r="X167" s="6"/>
      <c r="Y167" s="6"/>
      <c r="Z167" s="6"/>
    </row>
    <row r="168" spans="1:26" ht="18" customHeight="1" x14ac:dyDescent="0.3">
      <c r="A168" s="152"/>
      <c r="B168" s="128"/>
      <c r="C168" s="152"/>
      <c r="D168" s="128"/>
      <c r="E168" s="144" t="str">
        <f>IF(D168="","",IFERROR(INDEX('12 P6 activities'!$B$7:$B$206,MATCH(D168,'12 P6 activities'!$A$7:$A$206,0)),"⚠ not in P6 list"))</f>
        <v/>
      </c>
      <c r="F168" s="144" t="str">
        <f>IF(D168="","",IFERROR(INDEX('12 P6 activities'!$C$7:$C$206,MATCH(D168,'12 P6 activities'!$A$7:$A$206,0)),"⚠ not in P6 list"))</f>
        <v/>
      </c>
      <c r="G168" s="124"/>
      <c r="H168" s="152"/>
      <c r="I168" s="153" t="str">
        <f>IF(H168&lt;&gt;"Y","",IF(D168="","Pick the affected P6 activity first",IF(COUNTIFS('11 Notice calendar'!$A$7:$A$46,A168,'11 Notice calendar'!$I$7:$I$46,D168)&gt;0,"In the Notice calendar","Log it in the Notice calendar today")))</f>
        <v/>
      </c>
      <c r="J168" s="146"/>
      <c r="K168" s="146"/>
      <c r="L168" s="6"/>
      <c r="M168" s="6"/>
      <c r="N168" s="6"/>
      <c r="O168" s="6"/>
      <c r="P168" s="6"/>
      <c r="Q168" s="6"/>
      <c r="R168" s="6"/>
      <c r="S168" s="6"/>
      <c r="T168" s="6"/>
      <c r="U168" s="6"/>
      <c r="V168" s="6"/>
      <c r="W168" s="6"/>
      <c r="X168" s="6"/>
      <c r="Y168" s="6"/>
      <c r="Z168" s="6"/>
    </row>
    <row r="169" spans="1:26" ht="18" customHeight="1" x14ac:dyDescent="0.3">
      <c r="A169" s="152"/>
      <c r="B169" s="128"/>
      <c r="C169" s="152"/>
      <c r="D169" s="128"/>
      <c r="E169" s="144" t="str">
        <f>IF(D169="","",IFERROR(INDEX('12 P6 activities'!$B$7:$B$206,MATCH(D169,'12 P6 activities'!$A$7:$A$206,0)),"⚠ not in P6 list"))</f>
        <v/>
      </c>
      <c r="F169" s="144" t="str">
        <f>IF(D169="","",IFERROR(INDEX('12 P6 activities'!$C$7:$C$206,MATCH(D169,'12 P6 activities'!$A$7:$A$206,0)),"⚠ not in P6 list"))</f>
        <v/>
      </c>
      <c r="G169" s="124"/>
      <c r="H169" s="152"/>
      <c r="I169" s="153" t="str">
        <f>IF(H169&lt;&gt;"Y","",IF(D169="","Pick the affected P6 activity first",IF(COUNTIFS('11 Notice calendar'!$A$7:$A$46,A169,'11 Notice calendar'!$I$7:$I$46,D169)&gt;0,"In the Notice calendar","Log it in the Notice calendar today")))</f>
        <v/>
      </c>
      <c r="J169" s="146"/>
      <c r="K169" s="146"/>
      <c r="L169" s="6"/>
      <c r="M169" s="6"/>
      <c r="N169" s="6"/>
      <c r="O169" s="6"/>
      <c r="P169" s="6"/>
      <c r="Q169" s="6"/>
      <c r="R169" s="6"/>
      <c r="S169" s="6"/>
      <c r="T169" s="6"/>
      <c r="U169" s="6"/>
      <c r="V169" s="6"/>
      <c r="W169" s="6"/>
      <c r="X169" s="6"/>
      <c r="Y169" s="6"/>
      <c r="Z169" s="6"/>
    </row>
    <row r="170" spans="1:26" ht="18" customHeight="1" x14ac:dyDescent="0.3">
      <c r="A170" s="152"/>
      <c r="B170" s="128"/>
      <c r="C170" s="152"/>
      <c r="D170" s="128"/>
      <c r="E170" s="144" t="str">
        <f>IF(D170="","",IFERROR(INDEX('12 P6 activities'!$B$7:$B$206,MATCH(D170,'12 P6 activities'!$A$7:$A$206,0)),"⚠ not in P6 list"))</f>
        <v/>
      </c>
      <c r="F170" s="144" t="str">
        <f>IF(D170="","",IFERROR(INDEX('12 P6 activities'!$C$7:$C$206,MATCH(D170,'12 P6 activities'!$A$7:$A$206,0)),"⚠ not in P6 list"))</f>
        <v/>
      </c>
      <c r="G170" s="124"/>
      <c r="H170" s="152"/>
      <c r="I170" s="153" t="str">
        <f>IF(H170&lt;&gt;"Y","",IF(D170="","Pick the affected P6 activity first",IF(COUNTIFS('11 Notice calendar'!$A$7:$A$46,A170,'11 Notice calendar'!$I$7:$I$46,D170)&gt;0,"In the Notice calendar","Log it in the Notice calendar today")))</f>
        <v/>
      </c>
      <c r="J170" s="146"/>
      <c r="K170" s="146"/>
      <c r="L170" s="6"/>
      <c r="M170" s="6"/>
      <c r="N170" s="6"/>
      <c r="O170" s="6"/>
      <c r="P170" s="6"/>
      <c r="Q170" s="6"/>
      <c r="R170" s="6"/>
      <c r="S170" s="6"/>
      <c r="T170" s="6"/>
      <c r="U170" s="6"/>
      <c r="V170" s="6"/>
      <c r="W170" s="6"/>
      <c r="X170" s="6"/>
      <c r="Y170" s="6"/>
      <c r="Z170" s="6"/>
    </row>
    <row r="171" spans="1:26" ht="18" customHeight="1" x14ac:dyDescent="0.3">
      <c r="A171" s="152"/>
      <c r="B171" s="128"/>
      <c r="C171" s="152"/>
      <c r="D171" s="128"/>
      <c r="E171" s="144" t="str">
        <f>IF(D171="","",IFERROR(INDEX('12 P6 activities'!$B$7:$B$206,MATCH(D171,'12 P6 activities'!$A$7:$A$206,0)),"⚠ not in P6 list"))</f>
        <v/>
      </c>
      <c r="F171" s="144" t="str">
        <f>IF(D171="","",IFERROR(INDEX('12 P6 activities'!$C$7:$C$206,MATCH(D171,'12 P6 activities'!$A$7:$A$206,0)),"⚠ not in P6 list"))</f>
        <v/>
      </c>
      <c r="G171" s="124"/>
      <c r="H171" s="152"/>
      <c r="I171" s="153" t="str">
        <f>IF(H171&lt;&gt;"Y","",IF(D171="","Pick the affected P6 activity first",IF(COUNTIFS('11 Notice calendar'!$A$7:$A$46,A171,'11 Notice calendar'!$I$7:$I$46,D171)&gt;0,"In the Notice calendar","Log it in the Notice calendar today")))</f>
        <v/>
      </c>
      <c r="J171" s="146"/>
      <c r="K171" s="146"/>
      <c r="L171" s="6"/>
      <c r="M171" s="6"/>
      <c r="N171" s="6"/>
      <c r="O171" s="6"/>
      <c r="P171" s="6"/>
      <c r="Q171" s="6"/>
      <c r="R171" s="6"/>
      <c r="S171" s="6"/>
      <c r="T171" s="6"/>
      <c r="U171" s="6"/>
      <c r="V171" s="6"/>
      <c r="W171" s="6"/>
      <c r="X171" s="6"/>
      <c r="Y171" s="6"/>
      <c r="Z171" s="6"/>
    </row>
    <row r="172" spans="1:26" ht="18" customHeight="1" x14ac:dyDescent="0.3">
      <c r="A172" s="152"/>
      <c r="B172" s="128"/>
      <c r="C172" s="152"/>
      <c r="D172" s="128"/>
      <c r="E172" s="144" t="str">
        <f>IF(D172="","",IFERROR(INDEX('12 P6 activities'!$B$7:$B$206,MATCH(D172,'12 P6 activities'!$A$7:$A$206,0)),"⚠ not in P6 list"))</f>
        <v/>
      </c>
      <c r="F172" s="144" t="str">
        <f>IF(D172="","",IFERROR(INDEX('12 P6 activities'!$C$7:$C$206,MATCH(D172,'12 P6 activities'!$A$7:$A$206,0)),"⚠ not in P6 list"))</f>
        <v/>
      </c>
      <c r="G172" s="124"/>
      <c r="H172" s="152"/>
      <c r="I172" s="153" t="str">
        <f>IF(H172&lt;&gt;"Y","",IF(D172="","Pick the affected P6 activity first",IF(COUNTIFS('11 Notice calendar'!$A$7:$A$46,A172,'11 Notice calendar'!$I$7:$I$46,D172)&gt;0,"In the Notice calendar","Log it in the Notice calendar today")))</f>
        <v/>
      </c>
      <c r="J172" s="146"/>
      <c r="K172" s="146"/>
      <c r="L172" s="6"/>
      <c r="M172" s="6"/>
      <c r="N172" s="6"/>
      <c r="O172" s="6"/>
      <c r="P172" s="6"/>
      <c r="Q172" s="6"/>
      <c r="R172" s="6"/>
      <c r="S172" s="6"/>
      <c r="T172" s="6"/>
      <c r="U172" s="6"/>
      <c r="V172" s="6"/>
      <c r="W172" s="6"/>
      <c r="X172" s="6"/>
      <c r="Y172" s="6"/>
      <c r="Z172" s="6"/>
    </row>
    <row r="173" spans="1:26" ht="18" customHeight="1" x14ac:dyDescent="0.3">
      <c r="A173" s="152"/>
      <c r="B173" s="128"/>
      <c r="C173" s="152"/>
      <c r="D173" s="128"/>
      <c r="E173" s="144" t="str">
        <f>IF(D173="","",IFERROR(INDEX('12 P6 activities'!$B$7:$B$206,MATCH(D173,'12 P6 activities'!$A$7:$A$206,0)),"⚠ not in P6 list"))</f>
        <v/>
      </c>
      <c r="F173" s="144" t="str">
        <f>IF(D173="","",IFERROR(INDEX('12 P6 activities'!$C$7:$C$206,MATCH(D173,'12 P6 activities'!$A$7:$A$206,0)),"⚠ not in P6 list"))</f>
        <v/>
      </c>
      <c r="G173" s="124"/>
      <c r="H173" s="152"/>
      <c r="I173" s="153" t="str">
        <f>IF(H173&lt;&gt;"Y","",IF(D173="","Pick the affected P6 activity first",IF(COUNTIFS('11 Notice calendar'!$A$7:$A$46,A173,'11 Notice calendar'!$I$7:$I$46,D173)&gt;0,"In the Notice calendar","Log it in the Notice calendar today")))</f>
        <v/>
      </c>
      <c r="J173" s="146"/>
      <c r="K173" s="146"/>
      <c r="L173" s="6"/>
      <c r="M173" s="6"/>
      <c r="N173" s="6"/>
      <c r="O173" s="6"/>
      <c r="P173" s="6"/>
      <c r="Q173" s="6"/>
      <c r="R173" s="6"/>
      <c r="S173" s="6"/>
      <c r="T173" s="6"/>
      <c r="U173" s="6"/>
      <c r="V173" s="6"/>
      <c r="W173" s="6"/>
      <c r="X173" s="6"/>
      <c r="Y173" s="6"/>
      <c r="Z173" s="6"/>
    </row>
    <row r="174" spans="1:26" ht="18" customHeight="1" x14ac:dyDescent="0.3">
      <c r="A174" s="152"/>
      <c r="B174" s="128"/>
      <c r="C174" s="152"/>
      <c r="D174" s="128"/>
      <c r="E174" s="144" t="str">
        <f>IF(D174="","",IFERROR(INDEX('12 P6 activities'!$B$7:$B$206,MATCH(D174,'12 P6 activities'!$A$7:$A$206,0)),"⚠ not in P6 list"))</f>
        <v/>
      </c>
      <c r="F174" s="144" t="str">
        <f>IF(D174="","",IFERROR(INDEX('12 P6 activities'!$C$7:$C$206,MATCH(D174,'12 P6 activities'!$A$7:$A$206,0)),"⚠ not in P6 list"))</f>
        <v/>
      </c>
      <c r="G174" s="124"/>
      <c r="H174" s="152"/>
      <c r="I174" s="153" t="str">
        <f>IF(H174&lt;&gt;"Y","",IF(D174="","Pick the affected P6 activity first",IF(COUNTIFS('11 Notice calendar'!$A$7:$A$46,A174,'11 Notice calendar'!$I$7:$I$46,D174)&gt;0,"In the Notice calendar","Log it in the Notice calendar today")))</f>
        <v/>
      </c>
      <c r="J174" s="146"/>
      <c r="K174" s="146"/>
      <c r="L174" s="6"/>
      <c r="M174" s="6"/>
      <c r="N174" s="6"/>
      <c r="O174" s="6"/>
      <c r="P174" s="6"/>
      <c r="Q174" s="6"/>
      <c r="R174" s="6"/>
      <c r="S174" s="6"/>
      <c r="T174" s="6"/>
      <c r="U174" s="6"/>
      <c r="V174" s="6"/>
      <c r="W174" s="6"/>
      <c r="X174" s="6"/>
      <c r="Y174" s="6"/>
      <c r="Z174" s="6"/>
    </row>
    <row r="175" spans="1:26" ht="18" customHeight="1" x14ac:dyDescent="0.3">
      <c r="A175" s="152"/>
      <c r="B175" s="128"/>
      <c r="C175" s="152"/>
      <c r="D175" s="128"/>
      <c r="E175" s="144" t="str">
        <f>IF(D175="","",IFERROR(INDEX('12 P6 activities'!$B$7:$B$206,MATCH(D175,'12 P6 activities'!$A$7:$A$206,0)),"⚠ not in P6 list"))</f>
        <v/>
      </c>
      <c r="F175" s="144" t="str">
        <f>IF(D175="","",IFERROR(INDEX('12 P6 activities'!$C$7:$C$206,MATCH(D175,'12 P6 activities'!$A$7:$A$206,0)),"⚠ not in P6 list"))</f>
        <v/>
      </c>
      <c r="G175" s="124"/>
      <c r="H175" s="152"/>
      <c r="I175" s="153" t="str">
        <f>IF(H175&lt;&gt;"Y","",IF(D175="","Pick the affected P6 activity first",IF(COUNTIFS('11 Notice calendar'!$A$7:$A$46,A175,'11 Notice calendar'!$I$7:$I$46,D175)&gt;0,"In the Notice calendar","Log it in the Notice calendar today")))</f>
        <v/>
      </c>
      <c r="J175" s="146"/>
      <c r="K175" s="146"/>
      <c r="L175" s="6"/>
      <c r="M175" s="6"/>
      <c r="N175" s="6"/>
      <c r="O175" s="6"/>
      <c r="P175" s="6"/>
      <c r="Q175" s="6"/>
      <c r="R175" s="6"/>
      <c r="S175" s="6"/>
      <c r="T175" s="6"/>
      <c r="U175" s="6"/>
      <c r="V175" s="6"/>
      <c r="W175" s="6"/>
      <c r="X175" s="6"/>
      <c r="Y175" s="6"/>
      <c r="Z175" s="6"/>
    </row>
    <row r="176" spans="1:26" ht="18" customHeight="1" x14ac:dyDescent="0.3">
      <c r="A176" s="152"/>
      <c r="B176" s="128"/>
      <c r="C176" s="152"/>
      <c r="D176" s="128"/>
      <c r="E176" s="144" t="str">
        <f>IF(D176="","",IFERROR(INDEX('12 P6 activities'!$B$7:$B$206,MATCH(D176,'12 P6 activities'!$A$7:$A$206,0)),"⚠ not in P6 list"))</f>
        <v/>
      </c>
      <c r="F176" s="144" t="str">
        <f>IF(D176="","",IFERROR(INDEX('12 P6 activities'!$C$7:$C$206,MATCH(D176,'12 P6 activities'!$A$7:$A$206,0)),"⚠ not in P6 list"))</f>
        <v/>
      </c>
      <c r="G176" s="124"/>
      <c r="H176" s="152"/>
      <c r="I176" s="153" t="str">
        <f>IF(H176&lt;&gt;"Y","",IF(D176="","Pick the affected P6 activity first",IF(COUNTIFS('11 Notice calendar'!$A$7:$A$46,A176,'11 Notice calendar'!$I$7:$I$46,D176)&gt;0,"In the Notice calendar","Log it in the Notice calendar today")))</f>
        <v/>
      </c>
      <c r="J176" s="146"/>
      <c r="K176" s="146"/>
      <c r="L176" s="6"/>
      <c r="M176" s="6"/>
      <c r="N176" s="6"/>
      <c r="O176" s="6"/>
      <c r="P176" s="6"/>
      <c r="Q176" s="6"/>
      <c r="R176" s="6"/>
      <c r="S176" s="6"/>
      <c r="T176" s="6"/>
      <c r="U176" s="6"/>
      <c r="V176" s="6"/>
      <c r="W176" s="6"/>
      <c r="X176" s="6"/>
      <c r="Y176" s="6"/>
      <c r="Z176" s="6"/>
    </row>
    <row r="177" spans="1:26" ht="18" customHeight="1" x14ac:dyDescent="0.3">
      <c r="A177" s="152"/>
      <c r="B177" s="128"/>
      <c r="C177" s="152"/>
      <c r="D177" s="128"/>
      <c r="E177" s="144" t="str">
        <f>IF(D177="","",IFERROR(INDEX('12 P6 activities'!$B$7:$B$206,MATCH(D177,'12 P6 activities'!$A$7:$A$206,0)),"⚠ not in P6 list"))</f>
        <v/>
      </c>
      <c r="F177" s="144" t="str">
        <f>IF(D177="","",IFERROR(INDEX('12 P6 activities'!$C$7:$C$206,MATCH(D177,'12 P6 activities'!$A$7:$A$206,0)),"⚠ not in P6 list"))</f>
        <v/>
      </c>
      <c r="G177" s="124"/>
      <c r="H177" s="152"/>
      <c r="I177" s="153" t="str">
        <f>IF(H177&lt;&gt;"Y","",IF(D177="","Pick the affected P6 activity first",IF(COUNTIFS('11 Notice calendar'!$A$7:$A$46,A177,'11 Notice calendar'!$I$7:$I$46,D177)&gt;0,"In the Notice calendar","Log it in the Notice calendar today")))</f>
        <v/>
      </c>
      <c r="J177" s="146"/>
      <c r="K177" s="146"/>
      <c r="L177" s="6"/>
      <c r="M177" s="6"/>
      <c r="N177" s="6"/>
      <c r="O177" s="6"/>
      <c r="P177" s="6"/>
      <c r="Q177" s="6"/>
      <c r="R177" s="6"/>
      <c r="S177" s="6"/>
      <c r="T177" s="6"/>
      <c r="U177" s="6"/>
      <c r="V177" s="6"/>
      <c r="W177" s="6"/>
      <c r="X177" s="6"/>
      <c r="Y177" s="6"/>
      <c r="Z177" s="6"/>
    </row>
    <row r="178" spans="1:26" ht="18" customHeight="1" x14ac:dyDescent="0.3">
      <c r="A178" s="152"/>
      <c r="B178" s="128"/>
      <c r="C178" s="152"/>
      <c r="D178" s="128"/>
      <c r="E178" s="144" t="str">
        <f>IF(D178="","",IFERROR(INDEX('12 P6 activities'!$B$7:$B$206,MATCH(D178,'12 P6 activities'!$A$7:$A$206,0)),"⚠ not in P6 list"))</f>
        <v/>
      </c>
      <c r="F178" s="144" t="str">
        <f>IF(D178="","",IFERROR(INDEX('12 P6 activities'!$C$7:$C$206,MATCH(D178,'12 P6 activities'!$A$7:$A$206,0)),"⚠ not in P6 list"))</f>
        <v/>
      </c>
      <c r="G178" s="124"/>
      <c r="H178" s="152"/>
      <c r="I178" s="153" t="str">
        <f>IF(H178&lt;&gt;"Y","",IF(D178="","Pick the affected P6 activity first",IF(COUNTIFS('11 Notice calendar'!$A$7:$A$46,A178,'11 Notice calendar'!$I$7:$I$46,D178)&gt;0,"In the Notice calendar","Log it in the Notice calendar today")))</f>
        <v/>
      </c>
      <c r="J178" s="146"/>
      <c r="K178" s="146"/>
      <c r="L178" s="6"/>
      <c r="M178" s="6"/>
      <c r="N178" s="6"/>
      <c r="O178" s="6"/>
      <c r="P178" s="6"/>
      <c r="Q178" s="6"/>
      <c r="R178" s="6"/>
      <c r="S178" s="6"/>
      <c r="T178" s="6"/>
      <c r="U178" s="6"/>
      <c r="V178" s="6"/>
      <c r="W178" s="6"/>
      <c r="X178" s="6"/>
      <c r="Y178" s="6"/>
      <c r="Z178" s="6"/>
    </row>
    <row r="179" spans="1:26" ht="18" customHeight="1" x14ac:dyDescent="0.3">
      <c r="A179" s="152"/>
      <c r="B179" s="128"/>
      <c r="C179" s="152"/>
      <c r="D179" s="128"/>
      <c r="E179" s="144" t="str">
        <f>IF(D179="","",IFERROR(INDEX('12 P6 activities'!$B$7:$B$206,MATCH(D179,'12 P6 activities'!$A$7:$A$206,0)),"⚠ not in P6 list"))</f>
        <v/>
      </c>
      <c r="F179" s="144" t="str">
        <f>IF(D179="","",IFERROR(INDEX('12 P6 activities'!$C$7:$C$206,MATCH(D179,'12 P6 activities'!$A$7:$A$206,0)),"⚠ not in P6 list"))</f>
        <v/>
      </c>
      <c r="G179" s="124"/>
      <c r="H179" s="152"/>
      <c r="I179" s="153" t="str">
        <f>IF(H179&lt;&gt;"Y","",IF(D179="","Pick the affected P6 activity first",IF(COUNTIFS('11 Notice calendar'!$A$7:$A$46,A179,'11 Notice calendar'!$I$7:$I$46,D179)&gt;0,"In the Notice calendar","Log it in the Notice calendar today")))</f>
        <v/>
      </c>
      <c r="J179" s="146"/>
      <c r="K179" s="146"/>
      <c r="L179" s="6"/>
      <c r="M179" s="6"/>
      <c r="N179" s="6"/>
      <c r="O179" s="6"/>
      <c r="P179" s="6"/>
      <c r="Q179" s="6"/>
      <c r="R179" s="6"/>
      <c r="S179" s="6"/>
      <c r="T179" s="6"/>
      <c r="U179" s="6"/>
      <c r="V179" s="6"/>
      <c r="W179" s="6"/>
      <c r="X179" s="6"/>
      <c r="Y179" s="6"/>
      <c r="Z179" s="6"/>
    </row>
    <row r="180" spans="1:26" ht="18" customHeight="1" x14ac:dyDescent="0.3">
      <c r="A180" s="152"/>
      <c r="B180" s="128"/>
      <c r="C180" s="152"/>
      <c r="D180" s="128"/>
      <c r="E180" s="144" t="str">
        <f>IF(D180="","",IFERROR(INDEX('12 P6 activities'!$B$7:$B$206,MATCH(D180,'12 P6 activities'!$A$7:$A$206,0)),"⚠ not in P6 list"))</f>
        <v/>
      </c>
      <c r="F180" s="144" t="str">
        <f>IF(D180="","",IFERROR(INDEX('12 P6 activities'!$C$7:$C$206,MATCH(D180,'12 P6 activities'!$A$7:$A$206,0)),"⚠ not in P6 list"))</f>
        <v/>
      </c>
      <c r="G180" s="124"/>
      <c r="H180" s="152"/>
      <c r="I180" s="153" t="str">
        <f>IF(H180&lt;&gt;"Y","",IF(D180="","Pick the affected P6 activity first",IF(COUNTIFS('11 Notice calendar'!$A$7:$A$46,A180,'11 Notice calendar'!$I$7:$I$46,D180)&gt;0,"In the Notice calendar","Log it in the Notice calendar today")))</f>
        <v/>
      </c>
      <c r="J180" s="146"/>
      <c r="K180" s="146"/>
      <c r="L180" s="6"/>
      <c r="M180" s="6"/>
      <c r="N180" s="6"/>
      <c r="O180" s="6"/>
      <c r="P180" s="6"/>
      <c r="Q180" s="6"/>
      <c r="R180" s="6"/>
      <c r="S180" s="6"/>
      <c r="T180" s="6"/>
      <c r="U180" s="6"/>
      <c r="V180" s="6"/>
      <c r="W180" s="6"/>
      <c r="X180" s="6"/>
      <c r="Y180" s="6"/>
      <c r="Z180" s="6"/>
    </row>
    <row r="181" spans="1:26" ht="18" customHeight="1" x14ac:dyDescent="0.3">
      <c r="A181" s="152"/>
      <c r="B181" s="128"/>
      <c r="C181" s="152"/>
      <c r="D181" s="128"/>
      <c r="E181" s="144" t="str">
        <f>IF(D181="","",IFERROR(INDEX('12 P6 activities'!$B$7:$B$206,MATCH(D181,'12 P6 activities'!$A$7:$A$206,0)),"⚠ not in P6 list"))</f>
        <v/>
      </c>
      <c r="F181" s="144" t="str">
        <f>IF(D181="","",IFERROR(INDEX('12 P6 activities'!$C$7:$C$206,MATCH(D181,'12 P6 activities'!$A$7:$A$206,0)),"⚠ not in P6 list"))</f>
        <v/>
      </c>
      <c r="G181" s="124"/>
      <c r="H181" s="152"/>
      <c r="I181" s="153" t="str">
        <f>IF(H181&lt;&gt;"Y","",IF(D181="","Pick the affected P6 activity first",IF(COUNTIFS('11 Notice calendar'!$A$7:$A$46,A181,'11 Notice calendar'!$I$7:$I$46,D181)&gt;0,"In the Notice calendar","Log it in the Notice calendar today")))</f>
        <v/>
      </c>
      <c r="J181" s="146"/>
      <c r="K181" s="146"/>
      <c r="L181" s="6"/>
      <c r="M181" s="6"/>
      <c r="N181" s="6"/>
      <c r="O181" s="6"/>
      <c r="P181" s="6"/>
      <c r="Q181" s="6"/>
      <c r="R181" s="6"/>
      <c r="S181" s="6"/>
      <c r="T181" s="6"/>
      <c r="U181" s="6"/>
      <c r="V181" s="6"/>
      <c r="W181" s="6"/>
      <c r="X181" s="6"/>
      <c r="Y181" s="6"/>
      <c r="Z181" s="6"/>
    </row>
    <row r="182" spans="1:26" ht="18" customHeight="1" x14ac:dyDescent="0.3">
      <c r="A182" s="152"/>
      <c r="B182" s="128"/>
      <c r="C182" s="152"/>
      <c r="D182" s="128"/>
      <c r="E182" s="144" t="str">
        <f>IF(D182="","",IFERROR(INDEX('12 P6 activities'!$B$7:$B$206,MATCH(D182,'12 P6 activities'!$A$7:$A$206,0)),"⚠ not in P6 list"))</f>
        <v/>
      </c>
      <c r="F182" s="144" t="str">
        <f>IF(D182="","",IFERROR(INDEX('12 P6 activities'!$C$7:$C$206,MATCH(D182,'12 P6 activities'!$A$7:$A$206,0)),"⚠ not in P6 list"))</f>
        <v/>
      </c>
      <c r="G182" s="124"/>
      <c r="H182" s="152"/>
      <c r="I182" s="153" t="str">
        <f>IF(H182&lt;&gt;"Y","",IF(D182="","Pick the affected P6 activity first",IF(COUNTIFS('11 Notice calendar'!$A$7:$A$46,A182,'11 Notice calendar'!$I$7:$I$46,D182)&gt;0,"In the Notice calendar","Log it in the Notice calendar today")))</f>
        <v/>
      </c>
      <c r="J182" s="146"/>
      <c r="K182" s="146"/>
      <c r="L182" s="6"/>
      <c r="M182" s="6"/>
      <c r="N182" s="6"/>
      <c r="O182" s="6"/>
      <c r="P182" s="6"/>
      <c r="Q182" s="6"/>
      <c r="R182" s="6"/>
      <c r="S182" s="6"/>
      <c r="T182" s="6"/>
      <c r="U182" s="6"/>
      <c r="V182" s="6"/>
      <c r="W182" s="6"/>
      <c r="X182" s="6"/>
      <c r="Y182" s="6"/>
      <c r="Z182" s="6"/>
    </row>
    <row r="183" spans="1:26" ht="18" customHeight="1" x14ac:dyDescent="0.3">
      <c r="A183" s="152"/>
      <c r="B183" s="128"/>
      <c r="C183" s="152"/>
      <c r="D183" s="128"/>
      <c r="E183" s="144" t="str">
        <f>IF(D183="","",IFERROR(INDEX('12 P6 activities'!$B$7:$B$206,MATCH(D183,'12 P6 activities'!$A$7:$A$206,0)),"⚠ not in P6 list"))</f>
        <v/>
      </c>
      <c r="F183" s="144" t="str">
        <f>IF(D183="","",IFERROR(INDEX('12 P6 activities'!$C$7:$C$206,MATCH(D183,'12 P6 activities'!$A$7:$A$206,0)),"⚠ not in P6 list"))</f>
        <v/>
      </c>
      <c r="G183" s="124"/>
      <c r="H183" s="152"/>
      <c r="I183" s="153" t="str">
        <f>IF(H183&lt;&gt;"Y","",IF(D183="","Pick the affected P6 activity first",IF(COUNTIFS('11 Notice calendar'!$A$7:$A$46,A183,'11 Notice calendar'!$I$7:$I$46,D183)&gt;0,"In the Notice calendar","Log it in the Notice calendar today")))</f>
        <v/>
      </c>
      <c r="J183" s="146"/>
      <c r="K183" s="146"/>
      <c r="L183" s="6"/>
      <c r="M183" s="6"/>
      <c r="N183" s="6"/>
      <c r="O183" s="6"/>
      <c r="P183" s="6"/>
      <c r="Q183" s="6"/>
      <c r="R183" s="6"/>
      <c r="S183" s="6"/>
      <c r="T183" s="6"/>
      <c r="U183" s="6"/>
      <c r="V183" s="6"/>
      <c r="W183" s="6"/>
      <c r="X183" s="6"/>
      <c r="Y183" s="6"/>
      <c r="Z183" s="6"/>
    </row>
    <row r="184" spans="1:26" ht="18" customHeight="1" x14ac:dyDescent="0.3">
      <c r="A184" s="152"/>
      <c r="B184" s="128"/>
      <c r="C184" s="152"/>
      <c r="D184" s="128"/>
      <c r="E184" s="144" t="str">
        <f>IF(D184="","",IFERROR(INDEX('12 P6 activities'!$B$7:$B$206,MATCH(D184,'12 P6 activities'!$A$7:$A$206,0)),"⚠ not in P6 list"))</f>
        <v/>
      </c>
      <c r="F184" s="144" t="str">
        <f>IF(D184="","",IFERROR(INDEX('12 P6 activities'!$C$7:$C$206,MATCH(D184,'12 P6 activities'!$A$7:$A$206,0)),"⚠ not in P6 list"))</f>
        <v/>
      </c>
      <c r="G184" s="124"/>
      <c r="H184" s="152"/>
      <c r="I184" s="153" t="str">
        <f>IF(H184&lt;&gt;"Y","",IF(D184="","Pick the affected P6 activity first",IF(COUNTIFS('11 Notice calendar'!$A$7:$A$46,A184,'11 Notice calendar'!$I$7:$I$46,D184)&gt;0,"In the Notice calendar","Log it in the Notice calendar today")))</f>
        <v/>
      </c>
      <c r="J184" s="146"/>
      <c r="K184" s="146"/>
      <c r="L184" s="6"/>
      <c r="M184" s="6"/>
      <c r="N184" s="6"/>
      <c r="O184" s="6"/>
      <c r="P184" s="6"/>
      <c r="Q184" s="6"/>
      <c r="R184" s="6"/>
      <c r="S184" s="6"/>
      <c r="T184" s="6"/>
      <c r="U184" s="6"/>
      <c r="V184" s="6"/>
      <c r="W184" s="6"/>
      <c r="X184" s="6"/>
      <c r="Y184" s="6"/>
      <c r="Z184" s="6"/>
    </row>
    <row r="185" spans="1:26" ht="18" customHeight="1" x14ac:dyDescent="0.3">
      <c r="A185" s="152"/>
      <c r="B185" s="128"/>
      <c r="C185" s="152"/>
      <c r="D185" s="128"/>
      <c r="E185" s="144" t="str">
        <f>IF(D185="","",IFERROR(INDEX('12 P6 activities'!$B$7:$B$206,MATCH(D185,'12 P6 activities'!$A$7:$A$206,0)),"⚠ not in P6 list"))</f>
        <v/>
      </c>
      <c r="F185" s="144" t="str">
        <f>IF(D185="","",IFERROR(INDEX('12 P6 activities'!$C$7:$C$206,MATCH(D185,'12 P6 activities'!$A$7:$A$206,0)),"⚠ not in P6 list"))</f>
        <v/>
      </c>
      <c r="G185" s="124"/>
      <c r="H185" s="152"/>
      <c r="I185" s="153" t="str">
        <f>IF(H185&lt;&gt;"Y","",IF(D185="","Pick the affected P6 activity first",IF(COUNTIFS('11 Notice calendar'!$A$7:$A$46,A185,'11 Notice calendar'!$I$7:$I$46,D185)&gt;0,"In the Notice calendar","Log it in the Notice calendar today")))</f>
        <v/>
      </c>
      <c r="J185" s="146"/>
      <c r="K185" s="146"/>
      <c r="L185" s="6"/>
      <c r="M185" s="6"/>
      <c r="N185" s="6"/>
      <c r="O185" s="6"/>
      <c r="P185" s="6"/>
      <c r="Q185" s="6"/>
      <c r="R185" s="6"/>
      <c r="S185" s="6"/>
      <c r="T185" s="6"/>
      <c r="U185" s="6"/>
      <c r="V185" s="6"/>
      <c r="W185" s="6"/>
      <c r="X185" s="6"/>
      <c r="Y185" s="6"/>
      <c r="Z185" s="6"/>
    </row>
    <row r="186" spans="1:26" ht="18" customHeight="1" x14ac:dyDescent="0.3">
      <c r="A186" s="152"/>
      <c r="B186" s="128"/>
      <c r="C186" s="152"/>
      <c r="D186" s="128"/>
      <c r="E186" s="144" t="str">
        <f>IF(D186="","",IFERROR(INDEX('12 P6 activities'!$B$7:$B$206,MATCH(D186,'12 P6 activities'!$A$7:$A$206,0)),"⚠ not in P6 list"))</f>
        <v/>
      </c>
      <c r="F186" s="144" t="str">
        <f>IF(D186="","",IFERROR(INDEX('12 P6 activities'!$C$7:$C$206,MATCH(D186,'12 P6 activities'!$A$7:$A$206,0)),"⚠ not in P6 list"))</f>
        <v/>
      </c>
      <c r="G186" s="124"/>
      <c r="H186" s="152"/>
      <c r="I186" s="153" t="str">
        <f>IF(H186&lt;&gt;"Y","",IF(D186="","Pick the affected P6 activity first",IF(COUNTIFS('11 Notice calendar'!$A$7:$A$46,A186,'11 Notice calendar'!$I$7:$I$46,D186)&gt;0,"In the Notice calendar","Log it in the Notice calendar today")))</f>
        <v/>
      </c>
      <c r="J186" s="146"/>
      <c r="K186" s="146"/>
      <c r="L186" s="6"/>
      <c r="M186" s="6"/>
      <c r="N186" s="6"/>
      <c r="O186" s="6"/>
      <c r="P186" s="6"/>
      <c r="Q186" s="6"/>
      <c r="R186" s="6"/>
      <c r="S186" s="6"/>
      <c r="T186" s="6"/>
      <c r="U186" s="6"/>
      <c r="V186" s="6"/>
      <c r="W186" s="6"/>
      <c r="X186" s="6"/>
      <c r="Y186" s="6"/>
      <c r="Z186" s="6"/>
    </row>
    <row r="187" spans="1:26" ht="18" customHeight="1" x14ac:dyDescent="0.3">
      <c r="A187" s="152"/>
      <c r="B187" s="128"/>
      <c r="C187" s="152"/>
      <c r="D187" s="128"/>
      <c r="E187" s="144" t="str">
        <f>IF(D187="","",IFERROR(INDEX('12 P6 activities'!$B$7:$B$206,MATCH(D187,'12 P6 activities'!$A$7:$A$206,0)),"⚠ not in P6 list"))</f>
        <v/>
      </c>
      <c r="F187" s="144" t="str">
        <f>IF(D187="","",IFERROR(INDEX('12 P6 activities'!$C$7:$C$206,MATCH(D187,'12 P6 activities'!$A$7:$A$206,0)),"⚠ not in P6 list"))</f>
        <v/>
      </c>
      <c r="G187" s="124"/>
      <c r="H187" s="152"/>
      <c r="I187" s="153" t="str">
        <f>IF(H187&lt;&gt;"Y","",IF(D187="","Pick the affected P6 activity first",IF(COUNTIFS('11 Notice calendar'!$A$7:$A$46,A187,'11 Notice calendar'!$I$7:$I$46,D187)&gt;0,"In the Notice calendar","Log it in the Notice calendar today")))</f>
        <v/>
      </c>
      <c r="J187" s="146"/>
      <c r="K187" s="146"/>
      <c r="L187" s="6"/>
      <c r="M187" s="6"/>
      <c r="N187" s="6"/>
      <c r="O187" s="6"/>
      <c r="P187" s="6"/>
      <c r="Q187" s="6"/>
      <c r="R187" s="6"/>
      <c r="S187" s="6"/>
      <c r="T187" s="6"/>
      <c r="U187" s="6"/>
      <c r="V187" s="6"/>
      <c r="W187" s="6"/>
      <c r="X187" s="6"/>
      <c r="Y187" s="6"/>
      <c r="Z187" s="6"/>
    </row>
    <row r="188" spans="1:26" ht="18" customHeight="1" x14ac:dyDescent="0.3">
      <c r="A188" s="152"/>
      <c r="B188" s="128"/>
      <c r="C188" s="152"/>
      <c r="D188" s="128"/>
      <c r="E188" s="144" t="str">
        <f>IF(D188="","",IFERROR(INDEX('12 P6 activities'!$B$7:$B$206,MATCH(D188,'12 P6 activities'!$A$7:$A$206,0)),"⚠ not in P6 list"))</f>
        <v/>
      </c>
      <c r="F188" s="144" t="str">
        <f>IF(D188="","",IFERROR(INDEX('12 P6 activities'!$C$7:$C$206,MATCH(D188,'12 P6 activities'!$A$7:$A$206,0)),"⚠ not in P6 list"))</f>
        <v/>
      </c>
      <c r="G188" s="124"/>
      <c r="H188" s="152"/>
      <c r="I188" s="153" t="str">
        <f>IF(H188&lt;&gt;"Y","",IF(D188="","Pick the affected P6 activity first",IF(COUNTIFS('11 Notice calendar'!$A$7:$A$46,A188,'11 Notice calendar'!$I$7:$I$46,D188)&gt;0,"In the Notice calendar","Log it in the Notice calendar today")))</f>
        <v/>
      </c>
      <c r="J188" s="146"/>
      <c r="K188" s="146"/>
      <c r="L188" s="6"/>
      <c r="M188" s="6"/>
      <c r="N188" s="6"/>
      <c r="O188" s="6"/>
      <c r="P188" s="6"/>
      <c r="Q188" s="6"/>
      <c r="R188" s="6"/>
      <c r="S188" s="6"/>
      <c r="T188" s="6"/>
      <c r="U188" s="6"/>
      <c r="V188" s="6"/>
      <c r="W188" s="6"/>
      <c r="X188" s="6"/>
      <c r="Y188" s="6"/>
      <c r="Z188" s="6"/>
    </row>
    <row r="189" spans="1:26" ht="18" customHeight="1" x14ac:dyDescent="0.3">
      <c r="A189" s="152"/>
      <c r="B189" s="128"/>
      <c r="C189" s="152"/>
      <c r="D189" s="128"/>
      <c r="E189" s="144" t="str">
        <f>IF(D189="","",IFERROR(INDEX('12 P6 activities'!$B$7:$B$206,MATCH(D189,'12 P6 activities'!$A$7:$A$206,0)),"⚠ not in P6 list"))</f>
        <v/>
      </c>
      <c r="F189" s="144" t="str">
        <f>IF(D189="","",IFERROR(INDEX('12 P6 activities'!$C$7:$C$206,MATCH(D189,'12 P6 activities'!$A$7:$A$206,0)),"⚠ not in P6 list"))</f>
        <v/>
      </c>
      <c r="G189" s="124"/>
      <c r="H189" s="152"/>
      <c r="I189" s="153" t="str">
        <f>IF(H189&lt;&gt;"Y","",IF(D189="","Pick the affected P6 activity first",IF(COUNTIFS('11 Notice calendar'!$A$7:$A$46,A189,'11 Notice calendar'!$I$7:$I$46,D189)&gt;0,"In the Notice calendar","Log it in the Notice calendar today")))</f>
        <v/>
      </c>
      <c r="J189" s="146"/>
      <c r="K189" s="146"/>
      <c r="L189" s="6"/>
      <c r="M189" s="6"/>
      <c r="N189" s="6"/>
      <c r="O189" s="6"/>
      <c r="P189" s="6"/>
      <c r="Q189" s="6"/>
      <c r="R189" s="6"/>
      <c r="S189" s="6"/>
      <c r="T189" s="6"/>
      <c r="U189" s="6"/>
      <c r="V189" s="6"/>
      <c r="W189" s="6"/>
      <c r="X189" s="6"/>
      <c r="Y189" s="6"/>
      <c r="Z189" s="6"/>
    </row>
    <row r="190" spans="1:26" ht="18" customHeight="1" x14ac:dyDescent="0.3">
      <c r="A190" s="152"/>
      <c r="B190" s="128"/>
      <c r="C190" s="152"/>
      <c r="D190" s="128"/>
      <c r="E190" s="144" t="str">
        <f>IF(D190="","",IFERROR(INDEX('12 P6 activities'!$B$7:$B$206,MATCH(D190,'12 P6 activities'!$A$7:$A$206,0)),"⚠ not in P6 list"))</f>
        <v/>
      </c>
      <c r="F190" s="144" t="str">
        <f>IF(D190="","",IFERROR(INDEX('12 P6 activities'!$C$7:$C$206,MATCH(D190,'12 P6 activities'!$A$7:$A$206,0)),"⚠ not in P6 list"))</f>
        <v/>
      </c>
      <c r="G190" s="124"/>
      <c r="H190" s="152"/>
      <c r="I190" s="153" t="str">
        <f>IF(H190&lt;&gt;"Y","",IF(D190="","Pick the affected P6 activity first",IF(COUNTIFS('11 Notice calendar'!$A$7:$A$46,A190,'11 Notice calendar'!$I$7:$I$46,D190)&gt;0,"In the Notice calendar","Log it in the Notice calendar today")))</f>
        <v/>
      </c>
      <c r="J190" s="146"/>
      <c r="K190" s="146"/>
      <c r="L190" s="6"/>
      <c r="M190" s="6"/>
      <c r="N190" s="6"/>
      <c r="O190" s="6"/>
      <c r="P190" s="6"/>
      <c r="Q190" s="6"/>
      <c r="R190" s="6"/>
      <c r="S190" s="6"/>
      <c r="T190" s="6"/>
      <c r="U190" s="6"/>
      <c r="V190" s="6"/>
      <c r="W190" s="6"/>
      <c r="X190" s="6"/>
      <c r="Y190" s="6"/>
      <c r="Z190" s="6"/>
    </row>
    <row r="191" spans="1:26" ht="18" customHeight="1" x14ac:dyDescent="0.3">
      <c r="A191" s="152"/>
      <c r="B191" s="128"/>
      <c r="C191" s="152"/>
      <c r="D191" s="128"/>
      <c r="E191" s="144" t="str">
        <f>IF(D191="","",IFERROR(INDEX('12 P6 activities'!$B$7:$B$206,MATCH(D191,'12 P6 activities'!$A$7:$A$206,0)),"⚠ not in P6 list"))</f>
        <v/>
      </c>
      <c r="F191" s="144" t="str">
        <f>IF(D191="","",IFERROR(INDEX('12 P6 activities'!$C$7:$C$206,MATCH(D191,'12 P6 activities'!$A$7:$A$206,0)),"⚠ not in P6 list"))</f>
        <v/>
      </c>
      <c r="G191" s="124"/>
      <c r="H191" s="152"/>
      <c r="I191" s="153" t="str">
        <f>IF(H191&lt;&gt;"Y","",IF(D191="","Pick the affected P6 activity first",IF(COUNTIFS('11 Notice calendar'!$A$7:$A$46,A191,'11 Notice calendar'!$I$7:$I$46,D191)&gt;0,"In the Notice calendar","Log it in the Notice calendar today")))</f>
        <v/>
      </c>
      <c r="J191" s="146"/>
      <c r="K191" s="146"/>
      <c r="L191" s="6"/>
      <c r="M191" s="6"/>
      <c r="N191" s="6"/>
      <c r="O191" s="6"/>
      <c r="P191" s="6"/>
      <c r="Q191" s="6"/>
      <c r="R191" s="6"/>
      <c r="S191" s="6"/>
      <c r="T191" s="6"/>
      <c r="U191" s="6"/>
      <c r="V191" s="6"/>
      <c r="W191" s="6"/>
      <c r="X191" s="6"/>
      <c r="Y191" s="6"/>
      <c r="Z191" s="6"/>
    </row>
    <row r="192" spans="1:26" ht="18" customHeight="1" x14ac:dyDescent="0.3">
      <c r="A192" s="152"/>
      <c r="B192" s="128"/>
      <c r="C192" s="152"/>
      <c r="D192" s="128"/>
      <c r="E192" s="144" t="str">
        <f>IF(D192="","",IFERROR(INDEX('12 P6 activities'!$B$7:$B$206,MATCH(D192,'12 P6 activities'!$A$7:$A$206,0)),"⚠ not in P6 list"))</f>
        <v/>
      </c>
      <c r="F192" s="144" t="str">
        <f>IF(D192="","",IFERROR(INDEX('12 P6 activities'!$C$7:$C$206,MATCH(D192,'12 P6 activities'!$A$7:$A$206,0)),"⚠ not in P6 list"))</f>
        <v/>
      </c>
      <c r="G192" s="124"/>
      <c r="H192" s="152"/>
      <c r="I192" s="153" t="str">
        <f>IF(H192&lt;&gt;"Y","",IF(D192="","Pick the affected P6 activity first",IF(COUNTIFS('11 Notice calendar'!$A$7:$A$46,A192,'11 Notice calendar'!$I$7:$I$46,D192)&gt;0,"In the Notice calendar","Log it in the Notice calendar today")))</f>
        <v/>
      </c>
      <c r="J192" s="146"/>
      <c r="K192" s="146"/>
      <c r="L192" s="6"/>
      <c r="M192" s="6"/>
      <c r="N192" s="6"/>
      <c r="O192" s="6"/>
      <c r="P192" s="6"/>
      <c r="Q192" s="6"/>
      <c r="R192" s="6"/>
      <c r="S192" s="6"/>
      <c r="T192" s="6"/>
      <c r="U192" s="6"/>
      <c r="V192" s="6"/>
      <c r="W192" s="6"/>
      <c r="X192" s="6"/>
      <c r="Y192" s="6"/>
      <c r="Z192" s="6"/>
    </row>
    <row r="193" spans="1:26" ht="18" customHeight="1" x14ac:dyDescent="0.3">
      <c r="A193" s="152"/>
      <c r="B193" s="128"/>
      <c r="C193" s="152"/>
      <c r="D193" s="128"/>
      <c r="E193" s="144" t="str">
        <f>IF(D193="","",IFERROR(INDEX('12 P6 activities'!$B$7:$B$206,MATCH(D193,'12 P6 activities'!$A$7:$A$206,0)),"⚠ not in P6 list"))</f>
        <v/>
      </c>
      <c r="F193" s="144" t="str">
        <f>IF(D193="","",IFERROR(INDEX('12 P6 activities'!$C$7:$C$206,MATCH(D193,'12 P6 activities'!$A$7:$A$206,0)),"⚠ not in P6 list"))</f>
        <v/>
      </c>
      <c r="G193" s="124"/>
      <c r="H193" s="152"/>
      <c r="I193" s="153" t="str">
        <f>IF(H193&lt;&gt;"Y","",IF(D193="","Pick the affected P6 activity first",IF(COUNTIFS('11 Notice calendar'!$A$7:$A$46,A193,'11 Notice calendar'!$I$7:$I$46,D193)&gt;0,"In the Notice calendar","Log it in the Notice calendar today")))</f>
        <v/>
      </c>
      <c r="J193" s="146"/>
      <c r="K193" s="146"/>
      <c r="L193" s="6"/>
      <c r="M193" s="6"/>
      <c r="N193" s="6"/>
      <c r="O193" s="6"/>
      <c r="P193" s="6"/>
      <c r="Q193" s="6"/>
      <c r="R193" s="6"/>
      <c r="S193" s="6"/>
      <c r="T193" s="6"/>
      <c r="U193" s="6"/>
      <c r="V193" s="6"/>
      <c r="W193" s="6"/>
      <c r="X193" s="6"/>
      <c r="Y193" s="6"/>
      <c r="Z193" s="6"/>
    </row>
    <row r="194" spans="1:26" ht="18" customHeight="1" x14ac:dyDescent="0.3">
      <c r="A194" s="152"/>
      <c r="B194" s="128"/>
      <c r="C194" s="152"/>
      <c r="D194" s="128"/>
      <c r="E194" s="144" t="str">
        <f>IF(D194="","",IFERROR(INDEX('12 P6 activities'!$B$7:$B$206,MATCH(D194,'12 P6 activities'!$A$7:$A$206,0)),"⚠ not in P6 list"))</f>
        <v/>
      </c>
      <c r="F194" s="144" t="str">
        <f>IF(D194="","",IFERROR(INDEX('12 P6 activities'!$C$7:$C$206,MATCH(D194,'12 P6 activities'!$A$7:$A$206,0)),"⚠ not in P6 list"))</f>
        <v/>
      </c>
      <c r="G194" s="124"/>
      <c r="H194" s="152"/>
      <c r="I194" s="153" t="str">
        <f>IF(H194&lt;&gt;"Y","",IF(D194="","Pick the affected P6 activity first",IF(COUNTIFS('11 Notice calendar'!$A$7:$A$46,A194,'11 Notice calendar'!$I$7:$I$46,D194)&gt;0,"In the Notice calendar","Log it in the Notice calendar today")))</f>
        <v/>
      </c>
      <c r="J194" s="146"/>
      <c r="K194" s="146"/>
      <c r="L194" s="6"/>
      <c r="M194" s="6"/>
      <c r="N194" s="6"/>
      <c r="O194" s="6"/>
      <c r="P194" s="6"/>
      <c r="Q194" s="6"/>
      <c r="R194" s="6"/>
      <c r="S194" s="6"/>
      <c r="T194" s="6"/>
      <c r="U194" s="6"/>
      <c r="V194" s="6"/>
      <c r="W194" s="6"/>
      <c r="X194" s="6"/>
      <c r="Y194" s="6"/>
      <c r="Z194" s="6"/>
    </row>
    <row r="195" spans="1:26" ht="18" customHeight="1" x14ac:dyDescent="0.3">
      <c r="A195" s="152"/>
      <c r="B195" s="128"/>
      <c r="C195" s="152"/>
      <c r="D195" s="128"/>
      <c r="E195" s="144" t="str">
        <f>IF(D195="","",IFERROR(INDEX('12 P6 activities'!$B$7:$B$206,MATCH(D195,'12 P6 activities'!$A$7:$A$206,0)),"⚠ not in P6 list"))</f>
        <v/>
      </c>
      <c r="F195" s="144" t="str">
        <f>IF(D195="","",IFERROR(INDEX('12 P6 activities'!$C$7:$C$206,MATCH(D195,'12 P6 activities'!$A$7:$A$206,0)),"⚠ not in P6 list"))</f>
        <v/>
      </c>
      <c r="G195" s="124"/>
      <c r="H195" s="152"/>
      <c r="I195" s="153" t="str">
        <f>IF(H195&lt;&gt;"Y","",IF(D195="","Pick the affected P6 activity first",IF(COUNTIFS('11 Notice calendar'!$A$7:$A$46,A195,'11 Notice calendar'!$I$7:$I$46,D195)&gt;0,"In the Notice calendar","Log it in the Notice calendar today")))</f>
        <v/>
      </c>
      <c r="J195" s="146"/>
      <c r="K195" s="146"/>
      <c r="L195" s="6"/>
      <c r="M195" s="6"/>
      <c r="N195" s="6"/>
      <c r="O195" s="6"/>
      <c r="P195" s="6"/>
      <c r="Q195" s="6"/>
      <c r="R195" s="6"/>
      <c r="S195" s="6"/>
      <c r="T195" s="6"/>
      <c r="U195" s="6"/>
      <c r="V195" s="6"/>
      <c r="W195" s="6"/>
      <c r="X195" s="6"/>
      <c r="Y195" s="6"/>
      <c r="Z195" s="6"/>
    </row>
    <row r="196" spans="1:26" ht="18" customHeight="1" x14ac:dyDescent="0.3">
      <c r="A196" s="152"/>
      <c r="B196" s="128"/>
      <c r="C196" s="152"/>
      <c r="D196" s="128"/>
      <c r="E196" s="144" t="str">
        <f>IF(D196="","",IFERROR(INDEX('12 P6 activities'!$B$7:$B$206,MATCH(D196,'12 P6 activities'!$A$7:$A$206,0)),"⚠ not in P6 list"))</f>
        <v/>
      </c>
      <c r="F196" s="144" t="str">
        <f>IF(D196="","",IFERROR(INDEX('12 P6 activities'!$C$7:$C$206,MATCH(D196,'12 P6 activities'!$A$7:$A$206,0)),"⚠ not in P6 list"))</f>
        <v/>
      </c>
      <c r="G196" s="124"/>
      <c r="H196" s="152"/>
      <c r="I196" s="153" t="str">
        <f>IF(H196&lt;&gt;"Y","",IF(D196="","Pick the affected P6 activity first",IF(COUNTIFS('11 Notice calendar'!$A$7:$A$46,A196,'11 Notice calendar'!$I$7:$I$46,D196)&gt;0,"In the Notice calendar","Log it in the Notice calendar today")))</f>
        <v/>
      </c>
      <c r="J196" s="146"/>
      <c r="K196" s="146"/>
      <c r="L196" s="6"/>
      <c r="M196" s="6"/>
      <c r="N196" s="6"/>
      <c r="O196" s="6"/>
      <c r="P196" s="6"/>
      <c r="Q196" s="6"/>
      <c r="R196" s="6"/>
      <c r="S196" s="6"/>
      <c r="T196" s="6"/>
      <c r="U196" s="6"/>
      <c r="V196" s="6"/>
      <c r="W196" s="6"/>
      <c r="X196" s="6"/>
      <c r="Y196" s="6"/>
      <c r="Z196" s="6"/>
    </row>
    <row r="197" spans="1:26" ht="18" customHeight="1" x14ac:dyDescent="0.3">
      <c r="A197" s="152"/>
      <c r="B197" s="128"/>
      <c r="C197" s="152"/>
      <c r="D197" s="128"/>
      <c r="E197" s="144" t="str">
        <f>IF(D197="","",IFERROR(INDEX('12 P6 activities'!$B$7:$B$206,MATCH(D197,'12 P6 activities'!$A$7:$A$206,0)),"⚠ not in P6 list"))</f>
        <v/>
      </c>
      <c r="F197" s="144" t="str">
        <f>IF(D197="","",IFERROR(INDEX('12 P6 activities'!$C$7:$C$206,MATCH(D197,'12 P6 activities'!$A$7:$A$206,0)),"⚠ not in P6 list"))</f>
        <v/>
      </c>
      <c r="G197" s="124"/>
      <c r="H197" s="152"/>
      <c r="I197" s="153" t="str">
        <f>IF(H197&lt;&gt;"Y","",IF(D197="","Pick the affected P6 activity first",IF(COUNTIFS('11 Notice calendar'!$A$7:$A$46,A197,'11 Notice calendar'!$I$7:$I$46,D197)&gt;0,"In the Notice calendar","Log it in the Notice calendar today")))</f>
        <v/>
      </c>
      <c r="J197" s="146"/>
      <c r="K197" s="146"/>
      <c r="L197" s="6"/>
      <c r="M197" s="6"/>
      <c r="N197" s="6"/>
      <c r="O197" s="6"/>
      <c r="P197" s="6"/>
      <c r="Q197" s="6"/>
      <c r="R197" s="6"/>
      <c r="S197" s="6"/>
      <c r="T197" s="6"/>
      <c r="U197" s="6"/>
      <c r="V197" s="6"/>
      <c r="W197" s="6"/>
      <c r="X197" s="6"/>
      <c r="Y197" s="6"/>
      <c r="Z197" s="6"/>
    </row>
    <row r="198" spans="1:26" ht="18" customHeight="1" x14ac:dyDescent="0.3">
      <c r="A198" s="152"/>
      <c r="B198" s="128"/>
      <c r="C198" s="152"/>
      <c r="D198" s="128"/>
      <c r="E198" s="144" t="str">
        <f>IF(D198="","",IFERROR(INDEX('12 P6 activities'!$B$7:$B$206,MATCH(D198,'12 P6 activities'!$A$7:$A$206,0)),"⚠ not in P6 list"))</f>
        <v/>
      </c>
      <c r="F198" s="144" t="str">
        <f>IF(D198="","",IFERROR(INDEX('12 P6 activities'!$C$7:$C$206,MATCH(D198,'12 P6 activities'!$A$7:$A$206,0)),"⚠ not in P6 list"))</f>
        <v/>
      </c>
      <c r="G198" s="124"/>
      <c r="H198" s="152"/>
      <c r="I198" s="153" t="str">
        <f>IF(H198&lt;&gt;"Y","",IF(D198="","Pick the affected P6 activity first",IF(COUNTIFS('11 Notice calendar'!$A$7:$A$46,A198,'11 Notice calendar'!$I$7:$I$46,D198)&gt;0,"In the Notice calendar","Log it in the Notice calendar today")))</f>
        <v/>
      </c>
      <c r="J198" s="146"/>
      <c r="K198" s="146"/>
      <c r="L198" s="6"/>
      <c r="M198" s="6"/>
      <c r="N198" s="6"/>
      <c r="O198" s="6"/>
      <c r="P198" s="6"/>
      <c r="Q198" s="6"/>
      <c r="R198" s="6"/>
      <c r="S198" s="6"/>
      <c r="T198" s="6"/>
      <c r="U198" s="6"/>
      <c r="V198" s="6"/>
      <c r="W198" s="6"/>
      <c r="X198" s="6"/>
      <c r="Y198" s="6"/>
      <c r="Z198" s="6"/>
    </row>
    <row r="199" spans="1:26" ht="18" customHeight="1" x14ac:dyDescent="0.3">
      <c r="A199" s="152"/>
      <c r="B199" s="128"/>
      <c r="C199" s="152"/>
      <c r="D199" s="128"/>
      <c r="E199" s="144" t="str">
        <f>IF(D199="","",IFERROR(INDEX('12 P6 activities'!$B$7:$B$206,MATCH(D199,'12 P6 activities'!$A$7:$A$206,0)),"⚠ not in P6 list"))</f>
        <v/>
      </c>
      <c r="F199" s="144" t="str">
        <f>IF(D199="","",IFERROR(INDEX('12 P6 activities'!$C$7:$C$206,MATCH(D199,'12 P6 activities'!$A$7:$A$206,0)),"⚠ not in P6 list"))</f>
        <v/>
      </c>
      <c r="G199" s="124"/>
      <c r="H199" s="152"/>
      <c r="I199" s="153" t="str">
        <f>IF(H199&lt;&gt;"Y","",IF(D199="","Pick the affected P6 activity first",IF(COUNTIFS('11 Notice calendar'!$A$7:$A$46,A199,'11 Notice calendar'!$I$7:$I$46,D199)&gt;0,"In the Notice calendar","Log it in the Notice calendar today")))</f>
        <v/>
      </c>
      <c r="J199" s="146"/>
      <c r="K199" s="146"/>
      <c r="L199" s="6"/>
      <c r="M199" s="6"/>
      <c r="N199" s="6"/>
      <c r="O199" s="6"/>
      <c r="P199" s="6"/>
      <c r="Q199" s="6"/>
      <c r="R199" s="6"/>
      <c r="S199" s="6"/>
      <c r="T199" s="6"/>
      <c r="U199" s="6"/>
      <c r="V199" s="6"/>
      <c r="W199" s="6"/>
      <c r="X199" s="6"/>
      <c r="Y199" s="6"/>
      <c r="Z199" s="6"/>
    </row>
    <row r="200" spans="1:26" ht="18" customHeight="1" x14ac:dyDescent="0.3">
      <c r="A200" s="152"/>
      <c r="B200" s="128"/>
      <c r="C200" s="152"/>
      <c r="D200" s="128"/>
      <c r="E200" s="144" t="str">
        <f>IF(D200="","",IFERROR(INDEX('12 P6 activities'!$B$7:$B$206,MATCH(D200,'12 P6 activities'!$A$7:$A$206,0)),"⚠ not in P6 list"))</f>
        <v/>
      </c>
      <c r="F200" s="144" t="str">
        <f>IF(D200="","",IFERROR(INDEX('12 P6 activities'!$C$7:$C$206,MATCH(D200,'12 P6 activities'!$A$7:$A$206,0)),"⚠ not in P6 list"))</f>
        <v/>
      </c>
      <c r="G200" s="124"/>
      <c r="H200" s="152"/>
      <c r="I200" s="153" t="str">
        <f>IF(H200&lt;&gt;"Y","",IF(D200="","Pick the affected P6 activity first",IF(COUNTIFS('11 Notice calendar'!$A$7:$A$46,A200,'11 Notice calendar'!$I$7:$I$46,D200)&gt;0,"In the Notice calendar","Log it in the Notice calendar today")))</f>
        <v/>
      </c>
      <c r="J200" s="146"/>
      <c r="K200" s="146"/>
      <c r="L200" s="6"/>
      <c r="M200" s="6"/>
      <c r="N200" s="6"/>
      <c r="O200" s="6"/>
      <c r="P200" s="6"/>
      <c r="Q200" s="6"/>
      <c r="R200" s="6"/>
      <c r="S200" s="6"/>
      <c r="T200" s="6"/>
      <c r="U200" s="6"/>
      <c r="V200" s="6"/>
      <c r="W200" s="6"/>
      <c r="X200" s="6"/>
      <c r="Y200" s="6"/>
      <c r="Z200" s="6"/>
    </row>
    <row r="201" spans="1:26" ht="18" customHeight="1" x14ac:dyDescent="0.3">
      <c r="A201" s="152"/>
      <c r="B201" s="128"/>
      <c r="C201" s="152"/>
      <c r="D201" s="128"/>
      <c r="E201" s="144" t="str">
        <f>IF(D201="","",IFERROR(INDEX('12 P6 activities'!$B$7:$B$206,MATCH(D201,'12 P6 activities'!$A$7:$A$206,0)),"⚠ not in P6 list"))</f>
        <v/>
      </c>
      <c r="F201" s="144" t="str">
        <f>IF(D201="","",IFERROR(INDEX('12 P6 activities'!$C$7:$C$206,MATCH(D201,'12 P6 activities'!$A$7:$A$206,0)),"⚠ not in P6 list"))</f>
        <v/>
      </c>
      <c r="G201" s="124"/>
      <c r="H201" s="152"/>
      <c r="I201" s="153" t="str">
        <f>IF(H201&lt;&gt;"Y","",IF(D201="","Pick the affected P6 activity first",IF(COUNTIFS('11 Notice calendar'!$A$7:$A$46,A201,'11 Notice calendar'!$I$7:$I$46,D201)&gt;0,"In the Notice calendar","Log it in the Notice calendar today")))</f>
        <v/>
      </c>
      <c r="J201" s="146"/>
      <c r="K201" s="146"/>
      <c r="L201" s="6"/>
      <c r="M201" s="6"/>
      <c r="N201" s="6"/>
      <c r="O201" s="6"/>
      <c r="P201" s="6"/>
      <c r="Q201" s="6"/>
      <c r="R201" s="6"/>
      <c r="S201" s="6"/>
      <c r="T201" s="6"/>
      <c r="U201" s="6"/>
      <c r="V201" s="6"/>
      <c r="W201" s="6"/>
      <c r="X201" s="6"/>
      <c r="Y201" s="6"/>
      <c r="Z201" s="6"/>
    </row>
    <row r="202" spans="1:26" ht="18" customHeight="1" x14ac:dyDescent="0.3">
      <c r="A202" s="152"/>
      <c r="B202" s="128"/>
      <c r="C202" s="152"/>
      <c r="D202" s="128"/>
      <c r="E202" s="144" t="str">
        <f>IF(D202="","",IFERROR(INDEX('12 P6 activities'!$B$7:$B$206,MATCH(D202,'12 P6 activities'!$A$7:$A$206,0)),"⚠ not in P6 list"))</f>
        <v/>
      </c>
      <c r="F202" s="144" t="str">
        <f>IF(D202="","",IFERROR(INDEX('12 P6 activities'!$C$7:$C$206,MATCH(D202,'12 P6 activities'!$A$7:$A$206,0)),"⚠ not in P6 list"))</f>
        <v/>
      </c>
      <c r="G202" s="124"/>
      <c r="H202" s="152"/>
      <c r="I202" s="153" t="str">
        <f>IF(H202&lt;&gt;"Y","",IF(D202="","Pick the affected P6 activity first",IF(COUNTIFS('11 Notice calendar'!$A$7:$A$46,A202,'11 Notice calendar'!$I$7:$I$46,D202)&gt;0,"In the Notice calendar","Log it in the Notice calendar today")))</f>
        <v/>
      </c>
      <c r="J202" s="146"/>
      <c r="K202" s="146"/>
      <c r="L202" s="6"/>
      <c r="M202" s="6"/>
      <c r="N202" s="6"/>
      <c r="O202" s="6"/>
      <c r="P202" s="6"/>
      <c r="Q202" s="6"/>
      <c r="R202" s="6"/>
      <c r="S202" s="6"/>
      <c r="T202" s="6"/>
      <c r="U202" s="6"/>
      <c r="V202" s="6"/>
      <c r="W202" s="6"/>
      <c r="X202" s="6"/>
      <c r="Y202" s="6"/>
      <c r="Z202" s="6"/>
    </row>
    <row r="203" spans="1:26" ht="18" customHeight="1" x14ac:dyDescent="0.3">
      <c r="A203" s="152"/>
      <c r="B203" s="128"/>
      <c r="C203" s="152"/>
      <c r="D203" s="128"/>
      <c r="E203" s="144" t="str">
        <f>IF(D203="","",IFERROR(INDEX('12 P6 activities'!$B$7:$B$206,MATCH(D203,'12 P6 activities'!$A$7:$A$206,0)),"⚠ not in P6 list"))</f>
        <v/>
      </c>
      <c r="F203" s="144" t="str">
        <f>IF(D203="","",IFERROR(INDEX('12 P6 activities'!$C$7:$C$206,MATCH(D203,'12 P6 activities'!$A$7:$A$206,0)),"⚠ not in P6 list"))</f>
        <v/>
      </c>
      <c r="G203" s="124"/>
      <c r="H203" s="152"/>
      <c r="I203" s="153" t="str">
        <f>IF(H203&lt;&gt;"Y","",IF(D203="","Pick the affected P6 activity first",IF(COUNTIFS('11 Notice calendar'!$A$7:$A$46,A203,'11 Notice calendar'!$I$7:$I$46,D203)&gt;0,"In the Notice calendar","Log it in the Notice calendar today")))</f>
        <v/>
      </c>
      <c r="J203" s="146"/>
      <c r="K203" s="146"/>
      <c r="L203" s="6"/>
      <c r="M203" s="6"/>
      <c r="N203" s="6"/>
      <c r="O203" s="6"/>
      <c r="P203" s="6"/>
      <c r="Q203" s="6"/>
      <c r="R203" s="6"/>
      <c r="S203" s="6"/>
      <c r="T203" s="6"/>
      <c r="U203" s="6"/>
      <c r="V203" s="6"/>
      <c r="W203" s="6"/>
      <c r="X203" s="6"/>
      <c r="Y203" s="6"/>
      <c r="Z203" s="6"/>
    </row>
    <row r="204" spans="1:26" ht="18" customHeight="1" x14ac:dyDescent="0.3">
      <c r="A204" s="152"/>
      <c r="B204" s="128"/>
      <c r="C204" s="152"/>
      <c r="D204" s="128"/>
      <c r="E204" s="144" t="str">
        <f>IF(D204="","",IFERROR(INDEX('12 P6 activities'!$B$7:$B$206,MATCH(D204,'12 P6 activities'!$A$7:$A$206,0)),"⚠ not in P6 list"))</f>
        <v/>
      </c>
      <c r="F204" s="144" t="str">
        <f>IF(D204="","",IFERROR(INDEX('12 P6 activities'!$C$7:$C$206,MATCH(D204,'12 P6 activities'!$A$7:$A$206,0)),"⚠ not in P6 list"))</f>
        <v/>
      </c>
      <c r="G204" s="124"/>
      <c r="H204" s="152"/>
      <c r="I204" s="153" t="str">
        <f>IF(H204&lt;&gt;"Y","",IF(D204="","Pick the affected P6 activity first",IF(COUNTIFS('11 Notice calendar'!$A$7:$A$46,A204,'11 Notice calendar'!$I$7:$I$46,D204)&gt;0,"In the Notice calendar","Log it in the Notice calendar today")))</f>
        <v/>
      </c>
      <c r="J204" s="146"/>
      <c r="K204" s="146"/>
      <c r="L204" s="6"/>
      <c r="M204" s="6"/>
      <c r="N204" s="6"/>
      <c r="O204" s="6"/>
      <c r="P204" s="6"/>
      <c r="Q204" s="6"/>
      <c r="R204" s="6"/>
      <c r="S204" s="6"/>
      <c r="T204" s="6"/>
      <c r="U204" s="6"/>
      <c r="V204" s="6"/>
      <c r="W204" s="6"/>
      <c r="X204" s="6"/>
      <c r="Y204" s="6"/>
      <c r="Z204" s="6"/>
    </row>
    <row r="205" spans="1:26" ht="18" customHeight="1" x14ac:dyDescent="0.3">
      <c r="A205" s="152"/>
      <c r="B205" s="128"/>
      <c r="C205" s="152"/>
      <c r="D205" s="128"/>
      <c r="E205" s="144" t="str">
        <f>IF(D205="","",IFERROR(INDEX('12 P6 activities'!$B$7:$B$206,MATCH(D205,'12 P6 activities'!$A$7:$A$206,0)),"⚠ not in P6 list"))</f>
        <v/>
      </c>
      <c r="F205" s="144" t="str">
        <f>IF(D205="","",IFERROR(INDEX('12 P6 activities'!$C$7:$C$206,MATCH(D205,'12 P6 activities'!$A$7:$A$206,0)),"⚠ not in P6 list"))</f>
        <v/>
      </c>
      <c r="G205" s="124"/>
      <c r="H205" s="152"/>
      <c r="I205" s="153" t="str">
        <f>IF(H205&lt;&gt;"Y","",IF(D205="","Pick the affected P6 activity first",IF(COUNTIFS('11 Notice calendar'!$A$7:$A$46,A205,'11 Notice calendar'!$I$7:$I$46,D205)&gt;0,"In the Notice calendar","Log it in the Notice calendar today")))</f>
        <v/>
      </c>
      <c r="J205" s="146"/>
      <c r="K205" s="146"/>
      <c r="L205" s="6"/>
      <c r="M205" s="6"/>
      <c r="N205" s="6"/>
      <c r="O205" s="6"/>
      <c r="P205" s="6"/>
      <c r="Q205" s="6"/>
      <c r="R205" s="6"/>
      <c r="S205" s="6"/>
      <c r="T205" s="6"/>
      <c r="U205" s="6"/>
      <c r="V205" s="6"/>
      <c r="W205" s="6"/>
      <c r="X205" s="6"/>
      <c r="Y205" s="6"/>
      <c r="Z205" s="6"/>
    </row>
    <row r="206" spans="1:26" ht="18" customHeight="1" x14ac:dyDescent="0.3">
      <c r="A206" s="152"/>
      <c r="B206" s="128"/>
      <c r="C206" s="152"/>
      <c r="D206" s="128"/>
      <c r="E206" s="144" t="str">
        <f>IF(D206="","",IFERROR(INDEX('12 P6 activities'!$B$7:$B$206,MATCH(D206,'12 P6 activities'!$A$7:$A$206,0)),"⚠ not in P6 list"))</f>
        <v/>
      </c>
      <c r="F206" s="144" t="str">
        <f>IF(D206="","",IFERROR(INDEX('12 P6 activities'!$C$7:$C$206,MATCH(D206,'12 P6 activities'!$A$7:$A$206,0)),"⚠ not in P6 list"))</f>
        <v/>
      </c>
      <c r="G206" s="124"/>
      <c r="H206" s="152"/>
      <c r="I206" s="153" t="str">
        <f>IF(H206&lt;&gt;"Y","",IF(D206="","Pick the affected P6 activity first",IF(COUNTIFS('11 Notice calendar'!$A$7:$A$46,A206,'11 Notice calendar'!$I$7:$I$46,D206)&gt;0,"In the Notice calendar","Log it in the Notice calendar today")))</f>
        <v/>
      </c>
      <c r="J206" s="146"/>
      <c r="K206" s="146"/>
      <c r="L206" s="6"/>
      <c r="M206" s="6"/>
      <c r="N206" s="6"/>
      <c r="O206" s="6"/>
      <c r="P206" s="6"/>
      <c r="Q206" s="6"/>
      <c r="R206" s="6"/>
      <c r="S206" s="6"/>
      <c r="T206" s="6"/>
      <c r="U206" s="6"/>
      <c r="V206" s="6"/>
      <c r="W206" s="6"/>
      <c r="X206" s="6"/>
      <c r="Y206" s="6"/>
      <c r="Z206" s="6"/>
    </row>
    <row r="207" spans="1:26" ht="18" customHeight="1" x14ac:dyDescent="0.3">
      <c r="A207" s="152"/>
      <c r="B207" s="128"/>
      <c r="C207" s="152"/>
      <c r="D207" s="128"/>
      <c r="E207" s="144" t="str">
        <f>IF(D207="","",IFERROR(INDEX('12 P6 activities'!$B$7:$B$206,MATCH(D207,'12 P6 activities'!$A$7:$A$206,0)),"⚠ not in P6 list"))</f>
        <v/>
      </c>
      <c r="F207" s="144" t="str">
        <f>IF(D207="","",IFERROR(INDEX('12 P6 activities'!$C$7:$C$206,MATCH(D207,'12 P6 activities'!$A$7:$A$206,0)),"⚠ not in P6 list"))</f>
        <v/>
      </c>
      <c r="G207" s="124"/>
      <c r="H207" s="152"/>
      <c r="I207" s="153" t="str">
        <f>IF(H207&lt;&gt;"Y","",IF(D207="","Pick the affected P6 activity first",IF(COUNTIFS('11 Notice calendar'!$A$7:$A$46,A207,'11 Notice calendar'!$I$7:$I$46,D207)&gt;0,"In the Notice calendar","Log it in the Notice calendar today")))</f>
        <v/>
      </c>
      <c r="J207" s="146"/>
      <c r="K207" s="146"/>
      <c r="L207" s="6"/>
      <c r="M207" s="6"/>
      <c r="N207" s="6"/>
      <c r="O207" s="6"/>
      <c r="P207" s="6"/>
      <c r="Q207" s="6"/>
      <c r="R207" s="6"/>
      <c r="S207" s="6"/>
      <c r="T207" s="6"/>
      <c r="U207" s="6"/>
      <c r="V207" s="6"/>
      <c r="W207" s="6"/>
      <c r="X207" s="6"/>
      <c r="Y207" s="6"/>
      <c r="Z207" s="6"/>
    </row>
    <row r="208" spans="1:26" ht="18" customHeight="1" x14ac:dyDescent="0.3">
      <c r="A208" s="152"/>
      <c r="B208" s="128"/>
      <c r="C208" s="152"/>
      <c r="D208" s="128"/>
      <c r="E208" s="144" t="str">
        <f>IF(D208="","",IFERROR(INDEX('12 P6 activities'!$B$7:$B$206,MATCH(D208,'12 P6 activities'!$A$7:$A$206,0)),"⚠ not in P6 list"))</f>
        <v/>
      </c>
      <c r="F208" s="144" t="str">
        <f>IF(D208="","",IFERROR(INDEX('12 P6 activities'!$C$7:$C$206,MATCH(D208,'12 P6 activities'!$A$7:$A$206,0)),"⚠ not in P6 list"))</f>
        <v/>
      </c>
      <c r="G208" s="124"/>
      <c r="H208" s="152"/>
      <c r="I208" s="153" t="str">
        <f>IF(H208&lt;&gt;"Y","",IF(D208="","Pick the affected P6 activity first",IF(COUNTIFS('11 Notice calendar'!$A$7:$A$46,A208,'11 Notice calendar'!$I$7:$I$46,D208)&gt;0,"In the Notice calendar","Log it in the Notice calendar today")))</f>
        <v/>
      </c>
      <c r="J208" s="146"/>
      <c r="K208" s="146"/>
      <c r="L208" s="6"/>
      <c r="M208" s="6"/>
      <c r="N208" s="6"/>
      <c r="O208" s="6"/>
      <c r="P208" s="6"/>
      <c r="Q208" s="6"/>
      <c r="R208" s="6"/>
      <c r="S208" s="6"/>
      <c r="T208" s="6"/>
      <c r="U208" s="6"/>
      <c r="V208" s="6"/>
      <c r="W208" s="6"/>
      <c r="X208" s="6"/>
      <c r="Y208" s="6"/>
      <c r="Z208" s="6"/>
    </row>
    <row r="209" spans="1:26" ht="18" customHeight="1" x14ac:dyDescent="0.3">
      <c r="A209" s="152"/>
      <c r="B209" s="128"/>
      <c r="C209" s="152"/>
      <c r="D209" s="128"/>
      <c r="E209" s="144" t="str">
        <f>IF(D209="","",IFERROR(INDEX('12 P6 activities'!$B$7:$B$206,MATCH(D209,'12 P6 activities'!$A$7:$A$206,0)),"⚠ not in P6 list"))</f>
        <v/>
      </c>
      <c r="F209" s="144" t="str">
        <f>IF(D209="","",IFERROR(INDEX('12 P6 activities'!$C$7:$C$206,MATCH(D209,'12 P6 activities'!$A$7:$A$206,0)),"⚠ not in P6 list"))</f>
        <v/>
      </c>
      <c r="G209" s="124"/>
      <c r="H209" s="152"/>
      <c r="I209" s="153" t="str">
        <f>IF(H209&lt;&gt;"Y","",IF(D209="","Pick the affected P6 activity first",IF(COUNTIFS('11 Notice calendar'!$A$7:$A$46,A209,'11 Notice calendar'!$I$7:$I$46,D209)&gt;0,"In the Notice calendar","Log it in the Notice calendar today")))</f>
        <v/>
      </c>
      <c r="J209" s="146"/>
      <c r="K209" s="146"/>
      <c r="L209" s="6"/>
      <c r="M209" s="6"/>
      <c r="N209" s="6"/>
      <c r="O209" s="6"/>
      <c r="P209" s="6"/>
      <c r="Q209" s="6"/>
      <c r="R209" s="6"/>
      <c r="S209" s="6"/>
      <c r="T209" s="6"/>
      <c r="U209" s="6"/>
      <c r="V209" s="6"/>
      <c r="W209" s="6"/>
      <c r="X209" s="6"/>
      <c r="Y209" s="6"/>
      <c r="Z209" s="6"/>
    </row>
    <row r="210" spans="1:26" ht="18" customHeight="1" x14ac:dyDescent="0.3">
      <c r="A210" s="152"/>
      <c r="B210" s="128"/>
      <c r="C210" s="152"/>
      <c r="D210" s="128"/>
      <c r="E210" s="144" t="str">
        <f>IF(D210="","",IFERROR(INDEX('12 P6 activities'!$B$7:$B$206,MATCH(D210,'12 P6 activities'!$A$7:$A$206,0)),"⚠ not in P6 list"))</f>
        <v/>
      </c>
      <c r="F210" s="144" t="str">
        <f>IF(D210="","",IFERROR(INDEX('12 P6 activities'!$C$7:$C$206,MATCH(D210,'12 P6 activities'!$A$7:$A$206,0)),"⚠ not in P6 list"))</f>
        <v/>
      </c>
      <c r="G210" s="124"/>
      <c r="H210" s="152"/>
      <c r="I210" s="153" t="str">
        <f>IF(H210&lt;&gt;"Y","",IF(D210="","Pick the affected P6 activity first",IF(COUNTIFS('11 Notice calendar'!$A$7:$A$46,A210,'11 Notice calendar'!$I$7:$I$46,D210)&gt;0,"In the Notice calendar","Log it in the Notice calendar today")))</f>
        <v/>
      </c>
      <c r="J210" s="146"/>
      <c r="K210" s="146"/>
      <c r="L210" s="6"/>
      <c r="M210" s="6"/>
      <c r="N210" s="6"/>
      <c r="O210" s="6"/>
      <c r="P210" s="6"/>
      <c r="Q210" s="6"/>
      <c r="R210" s="6"/>
      <c r="S210" s="6"/>
      <c r="T210" s="6"/>
      <c r="U210" s="6"/>
      <c r="V210" s="6"/>
      <c r="W210" s="6"/>
      <c r="X210" s="6"/>
      <c r="Y210" s="6"/>
      <c r="Z210" s="6"/>
    </row>
    <row r="211" spans="1:26" ht="18" customHeight="1" x14ac:dyDescent="0.3">
      <c r="A211" s="152"/>
      <c r="B211" s="128"/>
      <c r="C211" s="152"/>
      <c r="D211" s="128"/>
      <c r="E211" s="144" t="str">
        <f>IF(D211="","",IFERROR(INDEX('12 P6 activities'!$B$7:$B$206,MATCH(D211,'12 P6 activities'!$A$7:$A$206,0)),"⚠ not in P6 list"))</f>
        <v/>
      </c>
      <c r="F211" s="144" t="str">
        <f>IF(D211="","",IFERROR(INDEX('12 P6 activities'!$C$7:$C$206,MATCH(D211,'12 P6 activities'!$A$7:$A$206,0)),"⚠ not in P6 list"))</f>
        <v/>
      </c>
      <c r="G211" s="124"/>
      <c r="H211" s="152"/>
      <c r="I211" s="153" t="str">
        <f>IF(H211&lt;&gt;"Y","",IF(D211="","Pick the affected P6 activity first",IF(COUNTIFS('11 Notice calendar'!$A$7:$A$46,A211,'11 Notice calendar'!$I$7:$I$46,D211)&gt;0,"In the Notice calendar","Log it in the Notice calendar today")))</f>
        <v/>
      </c>
      <c r="J211" s="146"/>
      <c r="K211" s="146"/>
      <c r="L211" s="6"/>
      <c r="M211" s="6"/>
      <c r="N211" s="6"/>
      <c r="O211" s="6"/>
      <c r="P211" s="6"/>
      <c r="Q211" s="6"/>
      <c r="R211" s="6"/>
      <c r="S211" s="6"/>
      <c r="T211" s="6"/>
      <c r="U211" s="6"/>
      <c r="V211" s="6"/>
      <c r="W211" s="6"/>
      <c r="X211" s="6"/>
      <c r="Y211" s="6"/>
      <c r="Z211" s="6"/>
    </row>
    <row r="212" spans="1:26" ht="18" customHeight="1" x14ac:dyDescent="0.3">
      <c r="A212" s="152"/>
      <c r="B212" s="128"/>
      <c r="C212" s="152"/>
      <c r="D212" s="128"/>
      <c r="E212" s="144" t="str">
        <f>IF(D212="","",IFERROR(INDEX('12 P6 activities'!$B$7:$B$206,MATCH(D212,'12 P6 activities'!$A$7:$A$206,0)),"⚠ not in P6 list"))</f>
        <v/>
      </c>
      <c r="F212" s="144" t="str">
        <f>IF(D212="","",IFERROR(INDEX('12 P6 activities'!$C$7:$C$206,MATCH(D212,'12 P6 activities'!$A$7:$A$206,0)),"⚠ not in P6 list"))</f>
        <v/>
      </c>
      <c r="G212" s="124"/>
      <c r="H212" s="152"/>
      <c r="I212" s="153" t="str">
        <f>IF(H212&lt;&gt;"Y","",IF(D212="","Pick the affected P6 activity first",IF(COUNTIFS('11 Notice calendar'!$A$7:$A$46,A212,'11 Notice calendar'!$I$7:$I$46,D212)&gt;0,"In the Notice calendar","Log it in the Notice calendar today")))</f>
        <v/>
      </c>
      <c r="J212" s="146"/>
      <c r="K212" s="146"/>
      <c r="L212" s="6"/>
      <c r="M212" s="6"/>
      <c r="N212" s="6"/>
      <c r="O212" s="6"/>
      <c r="P212" s="6"/>
      <c r="Q212" s="6"/>
      <c r="R212" s="6"/>
      <c r="S212" s="6"/>
      <c r="T212" s="6"/>
      <c r="U212" s="6"/>
      <c r="V212" s="6"/>
      <c r="W212" s="6"/>
      <c r="X212" s="6"/>
      <c r="Y212" s="6"/>
      <c r="Z212" s="6"/>
    </row>
    <row r="213" spans="1:26" ht="18" customHeight="1" x14ac:dyDescent="0.3">
      <c r="A213" s="152"/>
      <c r="B213" s="128"/>
      <c r="C213" s="152"/>
      <c r="D213" s="128"/>
      <c r="E213" s="144" t="str">
        <f>IF(D213="","",IFERROR(INDEX('12 P6 activities'!$B$7:$B$206,MATCH(D213,'12 P6 activities'!$A$7:$A$206,0)),"⚠ not in P6 list"))</f>
        <v/>
      </c>
      <c r="F213" s="144" t="str">
        <f>IF(D213="","",IFERROR(INDEX('12 P6 activities'!$C$7:$C$206,MATCH(D213,'12 P6 activities'!$A$7:$A$206,0)),"⚠ not in P6 list"))</f>
        <v/>
      </c>
      <c r="G213" s="124"/>
      <c r="H213" s="152"/>
      <c r="I213" s="153" t="str">
        <f>IF(H213&lt;&gt;"Y","",IF(D213="","Pick the affected P6 activity first",IF(COUNTIFS('11 Notice calendar'!$A$7:$A$46,A213,'11 Notice calendar'!$I$7:$I$46,D213)&gt;0,"In the Notice calendar","Log it in the Notice calendar today")))</f>
        <v/>
      </c>
      <c r="J213" s="146"/>
      <c r="K213" s="146"/>
      <c r="L213" s="6"/>
      <c r="M213" s="6"/>
      <c r="N213" s="6"/>
      <c r="O213" s="6"/>
      <c r="P213" s="6"/>
      <c r="Q213" s="6"/>
      <c r="R213" s="6"/>
      <c r="S213" s="6"/>
      <c r="T213" s="6"/>
      <c r="U213" s="6"/>
      <c r="V213" s="6"/>
      <c r="W213" s="6"/>
      <c r="X213" s="6"/>
      <c r="Y213" s="6"/>
      <c r="Z213" s="6"/>
    </row>
    <row r="214" spans="1:26" ht="18" customHeight="1" x14ac:dyDescent="0.3">
      <c r="A214" s="152"/>
      <c r="B214" s="128"/>
      <c r="C214" s="152"/>
      <c r="D214" s="128"/>
      <c r="E214" s="144" t="str">
        <f>IF(D214="","",IFERROR(INDEX('12 P6 activities'!$B$7:$B$206,MATCH(D214,'12 P6 activities'!$A$7:$A$206,0)),"⚠ not in P6 list"))</f>
        <v/>
      </c>
      <c r="F214" s="144" t="str">
        <f>IF(D214="","",IFERROR(INDEX('12 P6 activities'!$C$7:$C$206,MATCH(D214,'12 P6 activities'!$A$7:$A$206,0)),"⚠ not in P6 list"))</f>
        <v/>
      </c>
      <c r="G214" s="124"/>
      <c r="H214" s="152"/>
      <c r="I214" s="153" t="str">
        <f>IF(H214&lt;&gt;"Y","",IF(D214="","Pick the affected P6 activity first",IF(COUNTIFS('11 Notice calendar'!$A$7:$A$46,A214,'11 Notice calendar'!$I$7:$I$46,D214)&gt;0,"In the Notice calendar","Log it in the Notice calendar today")))</f>
        <v/>
      </c>
      <c r="J214" s="146"/>
      <c r="K214" s="146"/>
      <c r="L214" s="6"/>
      <c r="M214" s="6"/>
      <c r="N214" s="6"/>
      <c r="O214" s="6"/>
      <c r="P214" s="6"/>
      <c r="Q214" s="6"/>
      <c r="R214" s="6"/>
      <c r="S214" s="6"/>
      <c r="T214" s="6"/>
      <c r="U214" s="6"/>
      <c r="V214" s="6"/>
      <c r="W214" s="6"/>
      <c r="X214" s="6"/>
      <c r="Y214" s="6"/>
      <c r="Z214" s="6"/>
    </row>
    <row r="215" spans="1:26" ht="18" customHeight="1" x14ac:dyDescent="0.3">
      <c r="A215" s="152"/>
      <c r="B215" s="128"/>
      <c r="C215" s="152"/>
      <c r="D215" s="128"/>
      <c r="E215" s="144" t="str">
        <f>IF(D215="","",IFERROR(INDEX('12 P6 activities'!$B$7:$B$206,MATCH(D215,'12 P6 activities'!$A$7:$A$206,0)),"⚠ not in P6 list"))</f>
        <v/>
      </c>
      <c r="F215" s="144" t="str">
        <f>IF(D215="","",IFERROR(INDEX('12 P6 activities'!$C$7:$C$206,MATCH(D215,'12 P6 activities'!$A$7:$A$206,0)),"⚠ not in P6 list"))</f>
        <v/>
      </c>
      <c r="G215" s="124"/>
      <c r="H215" s="152"/>
      <c r="I215" s="153" t="str">
        <f>IF(H215&lt;&gt;"Y","",IF(D215="","Pick the affected P6 activity first",IF(COUNTIFS('11 Notice calendar'!$A$7:$A$46,A215,'11 Notice calendar'!$I$7:$I$46,D215)&gt;0,"In the Notice calendar","Log it in the Notice calendar today")))</f>
        <v/>
      </c>
      <c r="J215" s="146"/>
      <c r="K215" s="146"/>
      <c r="L215" s="6"/>
      <c r="M215" s="6"/>
      <c r="N215" s="6"/>
      <c r="O215" s="6"/>
      <c r="P215" s="6"/>
      <c r="Q215" s="6"/>
      <c r="R215" s="6"/>
      <c r="S215" s="6"/>
      <c r="T215" s="6"/>
      <c r="U215" s="6"/>
      <c r="V215" s="6"/>
      <c r="W215" s="6"/>
      <c r="X215" s="6"/>
      <c r="Y215" s="6"/>
      <c r="Z215" s="6"/>
    </row>
    <row r="216" spans="1:26" ht="18" customHeight="1" x14ac:dyDescent="0.3">
      <c r="A216" s="152"/>
      <c r="B216" s="128"/>
      <c r="C216" s="152"/>
      <c r="D216" s="128"/>
      <c r="E216" s="144" t="str">
        <f>IF(D216="","",IFERROR(INDEX('12 P6 activities'!$B$7:$B$206,MATCH(D216,'12 P6 activities'!$A$7:$A$206,0)),"⚠ not in P6 list"))</f>
        <v/>
      </c>
      <c r="F216" s="144" t="str">
        <f>IF(D216="","",IFERROR(INDEX('12 P6 activities'!$C$7:$C$206,MATCH(D216,'12 P6 activities'!$A$7:$A$206,0)),"⚠ not in P6 list"))</f>
        <v/>
      </c>
      <c r="G216" s="124"/>
      <c r="H216" s="152"/>
      <c r="I216" s="153" t="str">
        <f>IF(H216&lt;&gt;"Y","",IF(D216="","Pick the affected P6 activity first",IF(COUNTIFS('11 Notice calendar'!$A$7:$A$46,A216,'11 Notice calendar'!$I$7:$I$46,D216)&gt;0,"In the Notice calendar","Log it in the Notice calendar today")))</f>
        <v/>
      </c>
      <c r="J216" s="146"/>
      <c r="K216" s="146"/>
      <c r="L216" s="6"/>
      <c r="M216" s="6"/>
      <c r="N216" s="6"/>
      <c r="O216" s="6"/>
      <c r="P216" s="6"/>
      <c r="Q216" s="6"/>
      <c r="R216" s="6"/>
      <c r="S216" s="6"/>
      <c r="T216" s="6"/>
      <c r="U216" s="6"/>
      <c r="V216" s="6"/>
      <c r="W216" s="6"/>
      <c r="X216" s="6"/>
      <c r="Y216" s="6"/>
      <c r="Z216" s="6"/>
    </row>
    <row r="217" spans="1:26" ht="18" customHeight="1" x14ac:dyDescent="0.3">
      <c r="A217" s="152"/>
      <c r="B217" s="128"/>
      <c r="C217" s="152"/>
      <c r="D217" s="128"/>
      <c r="E217" s="144" t="str">
        <f>IF(D217="","",IFERROR(INDEX('12 P6 activities'!$B$7:$B$206,MATCH(D217,'12 P6 activities'!$A$7:$A$206,0)),"⚠ not in P6 list"))</f>
        <v/>
      </c>
      <c r="F217" s="144" t="str">
        <f>IF(D217="","",IFERROR(INDEX('12 P6 activities'!$C$7:$C$206,MATCH(D217,'12 P6 activities'!$A$7:$A$206,0)),"⚠ not in P6 list"))</f>
        <v/>
      </c>
      <c r="G217" s="124"/>
      <c r="H217" s="152"/>
      <c r="I217" s="153" t="str">
        <f>IF(H217&lt;&gt;"Y","",IF(D217="","Pick the affected P6 activity first",IF(COUNTIFS('11 Notice calendar'!$A$7:$A$46,A217,'11 Notice calendar'!$I$7:$I$46,D217)&gt;0,"In the Notice calendar","Log it in the Notice calendar today")))</f>
        <v/>
      </c>
      <c r="J217" s="146"/>
      <c r="K217" s="146"/>
      <c r="L217" s="6"/>
      <c r="M217" s="6"/>
      <c r="N217" s="6"/>
      <c r="O217" s="6"/>
      <c r="P217" s="6"/>
      <c r="Q217" s="6"/>
      <c r="R217" s="6"/>
      <c r="S217" s="6"/>
      <c r="T217" s="6"/>
      <c r="U217" s="6"/>
      <c r="V217" s="6"/>
      <c r="W217" s="6"/>
      <c r="X217" s="6"/>
      <c r="Y217" s="6"/>
      <c r="Z217" s="6"/>
    </row>
    <row r="218" spans="1:26" ht="18" customHeight="1" x14ac:dyDescent="0.3">
      <c r="A218" s="152"/>
      <c r="B218" s="128"/>
      <c r="C218" s="152"/>
      <c r="D218" s="128"/>
      <c r="E218" s="144" t="str">
        <f>IF(D218="","",IFERROR(INDEX('12 P6 activities'!$B$7:$B$206,MATCH(D218,'12 P6 activities'!$A$7:$A$206,0)),"⚠ not in P6 list"))</f>
        <v/>
      </c>
      <c r="F218" s="144" t="str">
        <f>IF(D218="","",IFERROR(INDEX('12 P6 activities'!$C$7:$C$206,MATCH(D218,'12 P6 activities'!$A$7:$A$206,0)),"⚠ not in P6 list"))</f>
        <v/>
      </c>
      <c r="G218" s="124"/>
      <c r="H218" s="152"/>
      <c r="I218" s="153" t="str">
        <f>IF(H218&lt;&gt;"Y","",IF(D218="","Pick the affected P6 activity first",IF(COUNTIFS('11 Notice calendar'!$A$7:$A$46,A218,'11 Notice calendar'!$I$7:$I$46,D218)&gt;0,"In the Notice calendar","Log it in the Notice calendar today")))</f>
        <v/>
      </c>
      <c r="J218" s="146"/>
      <c r="K218" s="146"/>
      <c r="L218" s="6"/>
      <c r="M218" s="6"/>
      <c r="N218" s="6"/>
      <c r="O218" s="6"/>
      <c r="P218" s="6"/>
      <c r="Q218" s="6"/>
      <c r="R218" s="6"/>
      <c r="S218" s="6"/>
      <c r="T218" s="6"/>
      <c r="U218" s="6"/>
      <c r="V218" s="6"/>
      <c r="W218" s="6"/>
      <c r="X218" s="6"/>
      <c r="Y218" s="6"/>
      <c r="Z218" s="6"/>
    </row>
    <row r="219" spans="1:26" ht="18" customHeight="1" x14ac:dyDescent="0.3">
      <c r="A219" s="152"/>
      <c r="B219" s="128"/>
      <c r="C219" s="152"/>
      <c r="D219" s="128"/>
      <c r="E219" s="144" t="str">
        <f>IF(D219="","",IFERROR(INDEX('12 P6 activities'!$B$7:$B$206,MATCH(D219,'12 P6 activities'!$A$7:$A$206,0)),"⚠ not in P6 list"))</f>
        <v/>
      </c>
      <c r="F219" s="144" t="str">
        <f>IF(D219="","",IFERROR(INDEX('12 P6 activities'!$C$7:$C$206,MATCH(D219,'12 P6 activities'!$A$7:$A$206,0)),"⚠ not in P6 list"))</f>
        <v/>
      </c>
      <c r="G219" s="124"/>
      <c r="H219" s="152"/>
      <c r="I219" s="153" t="str">
        <f>IF(H219&lt;&gt;"Y","",IF(D219="","Pick the affected P6 activity first",IF(COUNTIFS('11 Notice calendar'!$A$7:$A$46,A219,'11 Notice calendar'!$I$7:$I$46,D219)&gt;0,"In the Notice calendar","Log it in the Notice calendar today")))</f>
        <v/>
      </c>
      <c r="J219" s="146"/>
      <c r="K219" s="146"/>
      <c r="L219" s="6"/>
      <c r="M219" s="6"/>
      <c r="N219" s="6"/>
      <c r="O219" s="6"/>
      <c r="P219" s="6"/>
      <c r="Q219" s="6"/>
      <c r="R219" s="6"/>
      <c r="S219" s="6"/>
      <c r="T219" s="6"/>
      <c r="U219" s="6"/>
      <c r="V219" s="6"/>
      <c r="W219" s="6"/>
      <c r="X219" s="6"/>
      <c r="Y219" s="6"/>
      <c r="Z219" s="6"/>
    </row>
    <row r="220" spans="1:26" ht="18" customHeight="1" x14ac:dyDescent="0.3">
      <c r="A220" s="152"/>
      <c r="B220" s="128"/>
      <c r="C220" s="152"/>
      <c r="D220" s="128"/>
      <c r="E220" s="144" t="str">
        <f>IF(D220="","",IFERROR(INDEX('12 P6 activities'!$B$7:$B$206,MATCH(D220,'12 P6 activities'!$A$7:$A$206,0)),"⚠ not in P6 list"))</f>
        <v/>
      </c>
      <c r="F220" s="144" t="str">
        <f>IF(D220="","",IFERROR(INDEX('12 P6 activities'!$C$7:$C$206,MATCH(D220,'12 P6 activities'!$A$7:$A$206,0)),"⚠ not in P6 list"))</f>
        <v/>
      </c>
      <c r="G220" s="124"/>
      <c r="H220" s="152"/>
      <c r="I220" s="153" t="str">
        <f>IF(H220&lt;&gt;"Y","",IF(D220="","Pick the affected P6 activity first",IF(COUNTIFS('11 Notice calendar'!$A$7:$A$46,A220,'11 Notice calendar'!$I$7:$I$46,D220)&gt;0,"In the Notice calendar","Log it in the Notice calendar today")))</f>
        <v/>
      </c>
      <c r="J220" s="146"/>
      <c r="K220" s="146"/>
      <c r="L220" s="6"/>
      <c r="M220" s="6"/>
      <c r="N220" s="6"/>
      <c r="O220" s="6"/>
      <c r="P220" s="6"/>
      <c r="Q220" s="6"/>
      <c r="R220" s="6"/>
      <c r="S220" s="6"/>
      <c r="T220" s="6"/>
      <c r="U220" s="6"/>
      <c r="V220" s="6"/>
      <c r="W220" s="6"/>
      <c r="X220" s="6"/>
      <c r="Y220" s="6"/>
      <c r="Z220" s="6"/>
    </row>
    <row r="221" spans="1:26" ht="18" customHeight="1" x14ac:dyDescent="0.3">
      <c r="A221" s="152"/>
      <c r="B221" s="128"/>
      <c r="C221" s="152"/>
      <c r="D221" s="128"/>
      <c r="E221" s="144" t="str">
        <f>IF(D221="","",IFERROR(INDEX('12 P6 activities'!$B$7:$B$206,MATCH(D221,'12 P6 activities'!$A$7:$A$206,0)),"⚠ not in P6 list"))</f>
        <v/>
      </c>
      <c r="F221" s="144" t="str">
        <f>IF(D221="","",IFERROR(INDEX('12 P6 activities'!$C$7:$C$206,MATCH(D221,'12 P6 activities'!$A$7:$A$206,0)),"⚠ not in P6 list"))</f>
        <v/>
      </c>
      <c r="G221" s="124"/>
      <c r="H221" s="152"/>
      <c r="I221" s="153" t="str">
        <f>IF(H221&lt;&gt;"Y","",IF(D221="","Pick the affected P6 activity first",IF(COUNTIFS('11 Notice calendar'!$A$7:$A$46,A221,'11 Notice calendar'!$I$7:$I$46,D221)&gt;0,"In the Notice calendar","Log it in the Notice calendar today")))</f>
        <v/>
      </c>
      <c r="J221" s="146"/>
      <c r="K221" s="146"/>
      <c r="L221" s="6"/>
      <c r="M221" s="6"/>
      <c r="N221" s="6"/>
      <c r="O221" s="6"/>
      <c r="P221" s="6"/>
      <c r="Q221" s="6"/>
      <c r="R221" s="6"/>
      <c r="S221" s="6"/>
      <c r="T221" s="6"/>
      <c r="U221" s="6"/>
      <c r="V221" s="6"/>
      <c r="W221" s="6"/>
      <c r="X221" s="6"/>
      <c r="Y221" s="6"/>
      <c r="Z221" s="6"/>
    </row>
    <row r="222" spans="1:26" ht="18" customHeight="1" x14ac:dyDescent="0.3">
      <c r="A222" s="152"/>
      <c r="B222" s="128"/>
      <c r="C222" s="152"/>
      <c r="D222" s="128"/>
      <c r="E222" s="144" t="str">
        <f>IF(D222="","",IFERROR(INDEX('12 P6 activities'!$B$7:$B$206,MATCH(D222,'12 P6 activities'!$A$7:$A$206,0)),"⚠ not in P6 list"))</f>
        <v/>
      </c>
      <c r="F222" s="144" t="str">
        <f>IF(D222="","",IFERROR(INDEX('12 P6 activities'!$C$7:$C$206,MATCH(D222,'12 P6 activities'!$A$7:$A$206,0)),"⚠ not in P6 list"))</f>
        <v/>
      </c>
      <c r="G222" s="124"/>
      <c r="H222" s="152"/>
      <c r="I222" s="153" t="str">
        <f>IF(H222&lt;&gt;"Y","",IF(D222="","Pick the affected P6 activity first",IF(COUNTIFS('11 Notice calendar'!$A$7:$A$46,A222,'11 Notice calendar'!$I$7:$I$46,D222)&gt;0,"In the Notice calendar","Log it in the Notice calendar today")))</f>
        <v/>
      </c>
      <c r="J222" s="146"/>
      <c r="K222" s="146"/>
      <c r="L222" s="6"/>
      <c r="M222" s="6"/>
      <c r="N222" s="6"/>
      <c r="O222" s="6"/>
      <c r="P222" s="6"/>
      <c r="Q222" s="6"/>
      <c r="R222" s="6"/>
      <c r="S222" s="6"/>
      <c r="T222" s="6"/>
      <c r="U222" s="6"/>
      <c r="V222" s="6"/>
      <c r="W222" s="6"/>
      <c r="X222" s="6"/>
      <c r="Y222" s="6"/>
      <c r="Z222" s="6"/>
    </row>
    <row r="223" spans="1:26" ht="18" customHeight="1" x14ac:dyDescent="0.3">
      <c r="A223" s="152"/>
      <c r="B223" s="128"/>
      <c r="C223" s="152"/>
      <c r="D223" s="128"/>
      <c r="E223" s="144" t="str">
        <f>IF(D223="","",IFERROR(INDEX('12 P6 activities'!$B$7:$B$206,MATCH(D223,'12 P6 activities'!$A$7:$A$206,0)),"⚠ not in P6 list"))</f>
        <v/>
      </c>
      <c r="F223" s="144" t="str">
        <f>IF(D223="","",IFERROR(INDEX('12 P6 activities'!$C$7:$C$206,MATCH(D223,'12 P6 activities'!$A$7:$A$206,0)),"⚠ not in P6 list"))</f>
        <v/>
      </c>
      <c r="G223" s="124"/>
      <c r="H223" s="152"/>
      <c r="I223" s="153" t="str">
        <f>IF(H223&lt;&gt;"Y","",IF(D223="","Pick the affected P6 activity first",IF(COUNTIFS('11 Notice calendar'!$A$7:$A$46,A223,'11 Notice calendar'!$I$7:$I$46,D223)&gt;0,"In the Notice calendar","Log it in the Notice calendar today")))</f>
        <v/>
      </c>
      <c r="J223" s="146"/>
      <c r="K223" s="146"/>
      <c r="L223" s="6"/>
      <c r="M223" s="6"/>
      <c r="N223" s="6"/>
      <c r="O223" s="6"/>
      <c r="P223" s="6"/>
      <c r="Q223" s="6"/>
      <c r="R223" s="6"/>
      <c r="S223" s="6"/>
      <c r="T223" s="6"/>
      <c r="U223" s="6"/>
      <c r="V223" s="6"/>
      <c r="W223" s="6"/>
      <c r="X223" s="6"/>
      <c r="Y223" s="6"/>
      <c r="Z223" s="6"/>
    </row>
    <row r="224" spans="1:26" ht="18" customHeight="1" x14ac:dyDescent="0.3">
      <c r="A224" s="152"/>
      <c r="B224" s="128"/>
      <c r="C224" s="152"/>
      <c r="D224" s="128"/>
      <c r="E224" s="144" t="str">
        <f>IF(D224="","",IFERROR(INDEX('12 P6 activities'!$B$7:$B$206,MATCH(D224,'12 P6 activities'!$A$7:$A$206,0)),"⚠ not in P6 list"))</f>
        <v/>
      </c>
      <c r="F224" s="144" t="str">
        <f>IF(D224="","",IFERROR(INDEX('12 P6 activities'!$C$7:$C$206,MATCH(D224,'12 P6 activities'!$A$7:$A$206,0)),"⚠ not in P6 list"))</f>
        <v/>
      </c>
      <c r="G224" s="124"/>
      <c r="H224" s="152"/>
      <c r="I224" s="153" t="str">
        <f>IF(H224&lt;&gt;"Y","",IF(D224="","Pick the affected P6 activity first",IF(COUNTIFS('11 Notice calendar'!$A$7:$A$46,A224,'11 Notice calendar'!$I$7:$I$46,D224)&gt;0,"In the Notice calendar","Log it in the Notice calendar today")))</f>
        <v/>
      </c>
      <c r="J224" s="146"/>
      <c r="K224" s="146"/>
      <c r="L224" s="6"/>
      <c r="M224" s="6"/>
      <c r="N224" s="6"/>
      <c r="O224" s="6"/>
      <c r="P224" s="6"/>
      <c r="Q224" s="6"/>
      <c r="R224" s="6"/>
      <c r="S224" s="6"/>
      <c r="T224" s="6"/>
      <c r="U224" s="6"/>
      <c r="V224" s="6"/>
      <c r="W224" s="6"/>
      <c r="X224" s="6"/>
      <c r="Y224" s="6"/>
      <c r="Z224" s="6"/>
    </row>
    <row r="225" spans="1:26" ht="18" customHeight="1" x14ac:dyDescent="0.3">
      <c r="A225" s="152"/>
      <c r="B225" s="128"/>
      <c r="C225" s="152"/>
      <c r="D225" s="128"/>
      <c r="E225" s="144" t="str">
        <f>IF(D225="","",IFERROR(INDEX('12 P6 activities'!$B$7:$B$206,MATCH(D225,'12 P6 activities'!$A$7:$A$206,0)),"⚠ not in P6 list"))</f>
        <v/>
      </c>
      <c r="F225" s="144" t="str">
        <f>IF(D225="","",IFERROR(INDEX('12 P6 activities'!$C$7:$C$206,MATCH(D225,'12 P6 activities'!$A$7:$A$206,0)),"⚠ not in P6 list"))</f>
        <v/>
      </c>
      <c r="G225" s="124"/>
      <c r="H225" s="152"/>
      <c r="I225" s="153" t="str">
        <f>IF(H225&lt;&gt;"Y","",IF(D225="","Pick the affected P6 activity first",IF(COUNTIFS('11 Notice calendar'!$A$7:$A$46,A225,'11 Notice calendar'!$I$7:$I$46,D225)&gt;0,"In the Notice calendar","Log it in the Notice calendar today")))</f>
        <v/>
      </c>
      <c r="J225" s="146"/>
      <c r="K225" s="146"/>
      <c r="L225" s="6"/>
      <c r="M225" s="6"/>
      <c r="N225" s="6"/>
      <c r="O225" s="6"/>
      <c r="P225" s="6"/>
      <c r="Q225" s="6"/>
      <c r="R225" s="6"/>
      <c r="S225" s="6"/>
      <c r="T225" s="6"/>
      <c r="U225" s="6"/>
      <c r="V225" s="6"/>
      <c r="W225" s="6"/>
      <c r="X225" s="6"/>
      <c r="Y225" s="6"/>
      <c r="Z225" s="6"/>
    </row>
    <row r="226" spans="1:26" ht="18" customHeight="1" x14ac:dyDescent="0.3">
      <c r="A226" s="152"/>
      <c r="B226" s="128"/>
      <c r="C226" s="152"/>
      <c r="D226" s="128"/>
      <c r="E226" s="144" t="str">
        <f>IF(D226="","",IFERROR(INDEX('12 P6 activities'!$B$7:$B$206,MATCH(D226,'12 P6 activities'!$A$7:$A$206,0)),"⚠ not in P6 list"))</f>
        <v/>
      </c>
      <c r="F226" s="144" t="str">
        <f>IF(D226="","",IFERROR(INDEX('12 P6 activities'!$C$7:$C$206,MATCH(D226,'12 P6 activities'!$A$7:$A$206,0)),"⚠ not in P6 list"))</f>
        <v/>
      </c>
      <c r="G226" s="124"/>
      <c r="H226" s="152"/>
      <c r="I226" s="153" t="str">
        <f>IF(H226&lt;&gt;"Y","",IF(D226="","Pick the affected P6 activity first",IF(COUNTIFS('11 Notice calendar'!$A$7:$A$46,A226,'11 Notice calendar'!$I$7:$I$46,D226)&gt;0,"In the Notice calendar","Log it in the Notice calendar today")))</f>
        <v/>
      </c>
      <c r="J226" s="146"/>
      <c r="K226" s="146"/>
      <c r="L226" s="6"/>
      <c r="M226" s="6"/>
      <c r="N226" s="6"/>
      <c r="O226" s="6"/>
      <c r="P226" s="6"/>
      <c r="Q226" s="6"/>
      <c r="R226" s="6"/>
      <c r="S226" s="6"/>
      <c r="T226" s="6"/>
      <c r="U226" s="6"/>
      <c r="V226" s="6"/>
      <c r="W226" s="6"/>
      <c r="X226" s="6"/>
      <c r="Y226" s="6"/>
      <c r="Z226" s="6"/>
    </row>
    <row r="227" spans="1:26" ht="18" customHeight="1" x14ac:dyDescent="0.3">
      <c r="A227" s="152"/>
      <c r="B227" s="128"/>
      <c r="C227" s="152"/>
      <c r="D227" s="128"/>
      <c r="E227" s="144" t="str">
        <f>IF(D227="","",IFERROR(INDEX('12 P6 activities'!$B$7:$B$206,MATCH(D227,'12 P6 activities'!$A$7:$A$206,0)),"⚠ not in P6 list"))</f>
        <v/>
      </c>
      <c r="F227" s="144" t="str">
        <f>IF(D227="","",IFERROR(INDEX('12 P6 activities'!$C$7:$C$206,MATCH(D227,'12 P6 activities'!$A$7:$A$206,0)),"⚠ not in P6 list"))</f>
        <v/>
      </c>
      <c r="G227" s="124"/>
      <c r="H227" s="152"/>
      <c r="I227" s="153" t="str">
        <f>IF(H227&lt;&gt;"Y","",IF(D227="","Pick the affected P6 activity first",IF(COUNTIFS('11 Notice calendar'!$A$7:$A$46,A227,'11 Notice calendar'!$I$7:$I$46,D227)&gt;0,"In the Notice calendar","Log it in the Notice calendar today")))</f>
        <v/>
      </c>
      <c r="J227" s="146"/>
      <c r="K227" s="146"/>
      <c r="L227" s="6"/>
      <c r="M227" s="6"/>
      <c r="N227" s="6"/>
      <c r="O227" s="6"/>
      <c r="P227" s="6"/>
      <c r="Q227" s="6"/>
      <c r="R227" s="6"/>
      <c r="S227" s="6"/>
      <c r="T227" s="6"/>
      <c r="U227" s="6"/>
      <c r="V227" s="6"/>
      <c r="W227" s="6"/>
      <c r="X227" s="6"/>
      <c r="Y227" s="6"/>
      <c r="Z227" s="6"/>
    </row>
    <row r="228" spans="1:26" ht="18" customHeight="1" x14ac:dyDescent="0.3">
      <c r="A228" s="152"/>
      <c r="B228" s="128"/>
      <c r="C228" s="152"/>
      <c r="D228" s="128"/>
      <c r="E228" s="144" t="str">
        <f>IF(D228="","",IFERROR(INDEX('12 P6 activities'!$B$7:$B$206,MATCH(D228,'12 P6 activities'!$A$7:$A$206,0)),"⚠ not in P6 list"))</f>
        <v/>
      </c>
      <c r="F228" s="144" t="str">
        <f>IF(D228="","",IFERROR(INDEX('12 P6 activities'!$C$7:$C$206,MATCH(D228,'12 P6 activities'!$A$7:$A$206,0)),"⚠ not in P6 list"))</f>
        <v/>
      </c>
      <c r="G228" s="124"/>
      <c r="H228" s="152"/>
      <c r="I228" s="153" t="str">
        <f>IF(H228&lt;&gt;"Y","",IF(D228="","Pick the affected P6 activity first",IF(COUNTIFS('11 Notice calendar'!$A$7:$A$46,A228,'11 Notice calendar'!$I$7:$I$46,D228)&gt;0,"In the Notice calendar","Log it in the Notice calendar today")))</f>
        <v/>
      </c>
      <c r="J228" s="146"/>
      <c r="K228" s="146"/>
      <c r="L228" s="6"/>
      <c r="M228" s="6"/>
      <c r="N228" s="6"/>
      <c r="O228" s="6"/>
      <c r="P228" s="6"/>
      <c r="Q228" s="6"/>
      <c r="R228" s="6"/>
      <c r="S228" s="6"/>
      <c r="T228" s="6"/>
      <c r="U228" s="6"/>
      <c r="V228" s="6"/>
      <c r="W228" s="6"/>
      <c r="X228" s="6"/>
      <c r="Y228" s="6"/>
      <c r="Z228" s="6"/>
    </row>
    <row r="229" spans="1:26" ht="18" customHeight="1" x14ac:dyDescent="0.3">
      <c r="A229" s="152"/>
      <c r="B229" s="128"/>
      <c r="C229" s="152"/>
      <c r="D229" s="128"/>
      <c r="E229" s="144" t="str">
        <f>IF(D229="","",IFERROR(INDEX('12 P6 activities'!$B$7:$B$206,MATCH(D229,'12 P6 activities'!$A$7:$A$206,0)),"⚠ not in P6 list"))</f>
        <v/>
      </c>
      <c r="F229" s="144" t="str">
        <f>IF(D229="","",IFERROR(INDEX('12 P6 activities'!$C$7:$C$206,MATCH(D229,'12 P6 activities'!$A$7:$A$206,0)),"⚠ not in P6 list"))</f>
        <v/>
      </c>
      <c r="G229" s="124"/>
      <c r="H229" s="152"/>
      <c r="I229" s="153" t="str">
        <f>IF(H229&lt;&gt;"Y","",IF(D229="","Pick the affected P6 activity first",IF(COUNTIFS('11 Notice calendar'!$A$7:$A$46,A229,'11 Notice calendar'!$I$7:$I$46,D229)&gt;0,"In the Notice calendar","Log it in the Notice calendar today")))</f>
        <v/>
      </c>
      <c r="J229" s="146"/>
      <c r="K229" s="146"/>
      <c r="L229" s="6"/>
      <c r="M229" s="6"/>
      <c r="N229" s="6"/>
      <c r="O229" s="6"/>
      <c r="P229" s="6"/>
      <c r="Q229" s="6"/>
      <c r="R229" s="6"/>
      <c r="S229" s="6"/>
      <c r="T229" s="6"/>
      <c r="U229" s="6"/>
      <c r="V229" s="6"/>
      <c r="W229" s="6"/>
      <c r="X229" s="6"/>
      <c r="Y229" s="6"/>
      <c r="Z229" s="6"/>
    </row>
    <row r="230" spans="1:26" ht="18" customHeight="1" x14ac:dyDescent="0.3">
      <c r="A230" s="152"/>
      <c r="B230" s="128"/>
      <c r="C230" s="152"/>
      <c r="D230" s="128"/>
      <c r="E230" s="144" t="str">
        <f>IF(D230="","",IFERROR(INDEX('12 P6 activities'!$B$7:$B$206,MATCH(D230,'12 P6 activities'!$A$7:$A$206,0)),"⚠ not in P6 list"))</f>
        <v/>
      </c>
      <c r="F230" s="144" t="str">
        <f>IF(D230="","",IFERROR(INDEX('12 P6 activities'!$C$7:$C$206,MATCH(D230,'12 P6 activities'!$A$7:$A$206,0)),"⚠ not in P6 list"))</f>
        <v/>
      </c>
      <c r="G230" s="124"/>
      <c r="H230" s="152"/>
      <c r="I230" s="153" t="str">
        <f>IF(H230&lt;&gt;"Y","",IF(D230="","Pick the affected P6 activity first",IF(COUNTIFS('11 Notice calendar'!$A$7:$A$46,A230,'11 Notice calendar'!$I$7:$I$46,D230)&gt;0,"In the Notice calendar","Log it in the Notice calendar today")))</f>
        <v/>
      </c>
      <c r="J230" s="146"/>
      <c r="K230" s="146"/>
      <c r="L230" s="6"/>
      <c r="M230" s="6"/>
      <c r="N230" s="6"/>
      <c r="O230" s="6"/>
      <c r="P230" s="6"/>
      <c r="Q230" s="6"/>
      <c r="R230" s="6"/>
      <c r="S230" s="6"/>
      <c r="T230" s="6"/>
      <c r="U230" s="6"/>
      <c r="V230" s="6"/>
      <c r="W230" s="6"/>
      <c r="X230" s="6"/>
      <c r="Y230" s="6"/>
      <c r="Z230" s="6"/>
    </row>
    <row r="231" spans="1:26" ht="18" customHeight="1" x14ac:dyDescent="0.3">
      <c r="A231" s="152"/>
      <c r="B231" s="128"/>
      <c r="C231" s="152"/>
      <c r="D231" s="128"/>
      <c r="E231" s="144" t="str">
        <f>IF(D231="","",IFERROR(INDEX('12 P6 activities'!$B$7:$B$206,MATCH(D231,'12 P6 activities'!$A$7:$A$206,0)),"⚠ not in P6 list"))</f>
        <v/>
      </c>
      <c r="F231" s="144" t="str">
        <f>IF(D231="","",IFERROR(INDEX('12 P6 activities'!$C$7:$C$206,MATCH(D231,'12 P6 activities'!$A$7:$A$206,0)),"⚠ not in P6 list"))</f>
        <v/>
      </c>
      <c r="G231" s="124"/>
      <c r="H231" s="152"/>
      <c r="I231" s="153" t="str">
        <f>IF(H231&lt;&gt;"Y","",IF(D231="","Pick the affected P6 activity first",IF(COUNTIFS('11 Notice calendar'!$A$7:$A$46,A231,'11 Notice calendar'!$I$7:$I$46,D231)&gt;0,"In the Notice calendar","Log it in the Notice calendar today")))</f>
        <v/>
      </c>
      <c r="J231" s="146"/>
      <c r="K231" s="146"/>
      <c r="L231" s="6"/>
      <c r="M231" s="6"/>
      <c r="N231" s="6"/>
      <c r="O231" s="6"/>
      <c r="P231" s="6"/>
      <c r="Q231" s="6"/>
      <c r="R231" s="6"/>
      <c r="S231" s="6"/>
      <c r="T231" s="6"/>
      <c r="U231" s="6"/>
      <c r="V231" s="6"/>
      <c r="W231" s="6"/>
      <c r="X231" s="6"/>
      <c r="Y231" s="6"/>
      <c r="Z231" s="6"/>
    </row>
    <row r="232" spans="1:26" ht="18" customHeight="1" x14ac:dyDescent="0.3">
      <c r="A232" s="152"/>
      <c r="B232" s="128"/>
      <c r="C232" s="152"/>
      <c r="D232" s="128"/>
      <c r="E232" s="144" t="str">
        <f>IF(D232="","",IFERROR(INDEX('12 P6 activities'!$B$7:$B$206,MATCH(D232,'12 P6 activities'!$A$7:$A$206,0)),"⚠ not in P6 list"))</f>
        <v/>
      </c>
      <c r="F232" s="144" t="str">
        <f>IF(D232="","",IFERROR(INDEX('12 P6 activities'!$C$7:$C$206,MATCH(D232,'12 P6 activities'!$A$7:$A$206,0)),"⚠ not in P6 list"))</f>
        <v/>
      </c>
      <c r="G232" s="124"/>
      <c r="H232" s="152"/>
      <c r="I232" s="153" t="str">
        <f>IF(H232&lt;&gt;"Y","",IF(D232="","Pick the affected P6 activity first",IF(COUNTIFS('11 Notice calendar'!$A$7:$A$46,A232,'11 Notice calendar'!$I$7:$I$46,D232)&gt;0,"In the Notice calendar","Log it in the Notice calendar today")))</f>
        <v/>
      </c>
      <c r="J232" s="146"/>
      <c r="K232" s="146"/>
      <c r="L232" s="6"/>
      <c r="M232" s="6"/>
      <c r="N232" s="6"/>
      <c r="O232" s="6"/>
      <c r="P232" s="6"/>
      <c r="Q232" s="6"/>
      <c r="R232" s="6"/>
      <c r="S232" s="6"/>
      <c r="T232" s="6"/>
      <c r="U232" s="6"/>
      <c r="V232" s="6"/>
      <c r="W232" s="6"/>
      <c r="X232" s="6"/>
      <c r="Y232" s="6"/>
      <c r="Z232" s="6"/>
    </row>
    <row r="233" spans="1:26" ht="18" customHeight="1" x14ac:dyDescent="0.3">
      <c r="A233" s="152"/>
      <c r="B233" s="128"/>
      <c r="C233" s="152"/>
      <c r="D233" s="128"/>
      <c r="E233" s="144" t="str">
        <f>IF(D233="","",IFERROR(INDEX('12 P6 activities'!$B$7:$B$206,MATCH(D233,'12 P6 activities'!$A$7:$A$206,0)),"⚠ not in P6 list"))</f>
        <v/>
      </c>
      <c r="F233" s="144" t="str">
        <f>IF(D233="","",IFERROR(INDEX('12 P6 activities'!$C$7:$C$206,MATCH(D233,'12 P6 activities'!$A$7:$A$206,0)),"⚠ not in P6 list"))</f>
        <v/>
      </c>
      <c r="G233" s="124"/>
      <c r="H233" s="152"/>
      <c r="I233" s="153" t="str">
        <f>IF(H233&lt;&gt;"Y","",IF(D233="","Pick the affected P6 activity first",IF(COUNTIFS('11 Notice calendar'!$A$7:$A$46,A233,'11 Notice calendar'!$I$7:$I$46,D233)&gt;0,"In the Notice calendar","Log it in the Notice calendar today")))</f>
        <v/>
      </c>
      <c r="J233" s="146"/>
      <c r="K233" s="146"/>
      <c r="L233" s="6"/>
      <c r="M233" s="6"/>
      <c r="N233" s="6"/>
      <c r="O233" s="6"/>
      <c r="P233" s="6"/>
      <c r="Q233" s="6"/>
      <c r="R233" s="6"/>
      <c r="S233" s="6"/>
      <c r="T233" s="6"/>
      <c r="U233" s="6"/>
      <c r="V233" s="6"/>
      <c r="W233" s="6"/>
      <c r="X233" s="6"/>
      <c r="Y233" s="6"/>
      <c r="Z233" s="6"/>
    </row>
    <row r="234" spans="1:26" ht="18" customHeight="1" x14ac:dyDescent="0.3">
      <c r="A234" s="152"/>
      <c r="B234" s="128"/>
      <c r="C234" s="152"/>
      <c r="D234" s="128"/>
      <c r="E234" s="144" t="str">
        <f>IF(D234="","",IFERROR(INDEX('12 P6 activities'!$B$7:$B$206,MATCH(D234,'12 P6 activities'!$A$7:$A$206,0)),"⚠ not in P6 list"))</f>
        <v/>
      </c>
      <c r="F234" s="144" t="str">
        <f>IF(D234="","",IFERROR(INDEX('12 P6 activities'!$C$7:$C$206,MATCH(D234,'12 P6 activities'!$A$7:$A$206,0)),"⚠ not in P6 list"))</f>
        <v/>
      </c>
      <c r="G234" s="124"/>
      <c r="H234" s="152"/>
      <c r="I234" s="153" t="str">
        <f>IF(H234&lt;&gt;"Y","",IF(D234="","Pick the affected P6 activity first",IF(COUNTIFS('11 Notice calendar'!$A$7:$A$46,A234,'11 Notice calendar'!$I$7:$I$46,D234)&gt;0,"In the Notice calendar","Log it in the Notice calendar today")))</f>
        <v/>
      </c>
      <c r="J234" s="146"/>
      <c r="K234" s="146"/>
      <c r="L234" s="6"/>
      <c r="M234" s="6"/>
      <c r="N234" s="6"/>
      <c r="O234" s="6"/>
      <c r="P234" s="6"/>
      <c r="Q234" s="6"/>
      <c r="R234" s="6"/>
      <c r="S234" s="6"/>
      <c r="T234" s="6"/>
      <c r="U234" s="6"/>
      <c r="V234" s="6"/>
      <c r="W234" s="6"/>
      <c r="X234" s="6"/>
      <c r="Y234" s="6"/>
      <c r="Z234" s="6"/>
    </row>
    <row r="235" spans="1:26" ht="18" customHeight="1" x14ac:dyDescent="0.3">
      <c r="A235" s="152"/>
      <c r="B235" s="128"/>
      <c r="C235" s="152"/>
      <c r="D235" s="128"/>
      <c r="E235" s="144" t="str">
        <f>IF(D235="","",IFERROR(INDEX('12 P6 activities'!$B$7:$B$206,MATCH(D235,'12 P6 activities'!$A$7:$A$206,0)),"⚠ not in P6 list"))</f>
        <v/>
      </c>
      <c r="F235" s="144" t="str">
        <f>IF(D235="","",IFERROR(INDEX('12 P6 activities'!$C$7:$C$206,MATCH(D235,'12 P6 activities'!$A$7:$A$206,0)),"⚠ not in P6 list"))</f>
        <v/>
      </c>
      <c r="G235" s="124"/>
      <c r="H235" s="152"/>
      <c r="I235" s="153" t="str">
        <f>IF(H235&lt;&gt;"Y","",IF(D235="","Pick the affected P6 activity first",IF(COUNTIFS('11 Notice calendar'!$A$7:$A$46,A235,'11 Notice calendar'!$I$7:$I$46,D235)&gt;0,"In the Notice calendar","Log it in the Notice calendar today")))</f>
        <v/>
      </c>
      <c r="J235" s="146"/>
      <c r="K235" s="146"/>
      <c r="L235" s="6"/>
      <c r="M235" s="6"/>
      <c r="N235" s="6"/>
      <c r="O235" s="6"/>
      <c r="P235" s="6"/>
      <c r="Q235" s="6"/>
      <c r="R235" s="6"/>
      <c r="S235" s="6"/>
      <c r="T235" s="6"/>
      <c r="U235" s="6"/>
      <c r="V235" s="6"/>
      <c r="W235" s="6"/>
      <c r="X235" s="6"/>
      <c r="Y235" s="6"/>
      <c r="Z235" s="6"/>
    </row>
    <row r="236" spans="1:26" ht="18" customHeight="1" x14ac:dyDescent="0.3">
      <c r="A236" s="152"/>
      <c r="B236" s="128"/>
      <c r="C236" s="152"/>
      <c r="D236" s="128"/>
      <c r="E236" s="144" t="str">
        <f>IF(D236="","",IFERROR(INDEX('12 P6 activities'!$B$7:$B$206,MATCH(D236,'12 P6 activities'!$A$7:$A$206,0)),"⚠ not in P6 list"))</f>
        <v/>
      </c>
      <c r="F236" s="144" t="str">
        <f>IF(D236="","",IFERROR(INDEX('12 P6 activities'!$C$7:$C$206,MATCH(D236,'12 P6 activities'!$A$7:$A$206,0)),"⚠ not in P6 list"))</f>
        <v/>
      </c>
      <c r="G236" s="124"/>
      <c r="H236" s="152"/>
      <c r="I236" s="153" t="str">
        <f>IF(H236&lt;&gt;"Y","",IF(D236="","Pick the affected P6 activity first",IF(COUNTIFS('11 Notice calendar'!$A$7:$A$46,A236,'11 Notice calendar'!$I$7:$I$46,D236)&gt;0,"In the Notice calendar","Log it in the Notice calendar today")))</f>
        <v/>
      </c>
      <c r="J236" s="146"/>
      <c r="K236" s="146"/>
      <c r="L236" s="6"/>
      <c r="M236" s="6"/>
      <c r="N236" s="6"/>
      <c r="O236" s="6"/>
      <c r="P236" s="6"/>
      <c r="Q236" s="6"/>
      <c r="R236" s="6"/>
      <c r="S236" s="6"/>
      <c r="T236" s="6"/>
      <c r="U236" s="6"/>
      <c r="V236" s="6"/>
      <c r="W236" s="6"/>
      <c r="X236" s="6"/>
      <c r="Y236" s="6"/>
      <c r="Z236" s="6"/>
    </row>
    <row r="237" spans="1:26" ht="18" customHeight="1" x14ac:dyDescent="0.3">
      <c r="A237" s="152"/>
      <c r="B237" s="128"/>
      <c r="C237" s="152"/>
      <c r="D237" s="128"/>
      <c r="E237" s="144" t="str">
        <f>IF(D237="","",IFERROR(INDEX('12 P6 activities'!$B$7:$B$206,MATCH(D237,'12 P6 activities'!$A$7:$A$206,0)),"⚠ not in P6 list"))</f>
        <v/>
      </c>
      <c r="F237" s="144" t="str">
        <f>IF(D237="","",IFERROR(INDEX('12 P6 activities'!$C$7:$C$206,MATCH(D237,'12 P6 activities'!$A$7:$A$206,0)),"⚠ not in P6 list"))</f>
        <v/>
      </c>
      <c r="G237" s="124"/>
      <c r="H237" s="152"/>
      <c r="I237" s="153" t="str">
        <f>IF(H237&lt;&gt;"Y","",IF(D237="","Pick the affected P6 activity first",IF(COUNTIFS('11 Notice calendar'!$A$7:$A$46,A237,'11 Notice calendar'!$I$7:$I$46,D237)&gt;0,"In the Notice calendar","Log it in the Notice calendar today")))</f>
        <v/>
      </c>
      <c r="J237" s="146"/>
      <c r="K237" s="146"/>
      <c r="L237" s="6"/>
      <c r="M237" s="6"/>
      <c r="N237" s="6"/>
      <c r="O237" s="6"/>
      <c r="P237" s="6"/>
      <c r="Q237" s="6"/>
      <c r="R237" s="6"/>
      <c r="S237" s="6"/>
      <c r="T237" s="6"/>
      <c r="U237" s="6"/>
      <c r="V237" s="6"/>
      <c r="W237" s="6"/>
      <c r="X237" s="6"/>
      <c r="Y237" s="6"/>
      <c r="Z237" s="6"/>
    </row>
    <row r="238" spans="1:26" ht="18" customHeight="1" x14ac:dyDescent="0.3">
      <c r="A238" s="152"/>
      <c r="B238" s="128"/>
      <c r="C238" s="152"/>
      <c r="D238" s="128"/>
      <c r="E238" s="144" t="str">
        <f>IF(D238="","",IFERROR(INDEX('12 P6 activities'!$B$7:$B$206,MATCH(D238,'12 P6 activities'!$A$7:$A$206,0)),"⚠ not in P6 list"))</f>
        <v/>
      </c>
      <c r="F238" s="144" t="str">
        <f>IF(D238="","",IFERROR(INDEX('12 P6 activities'!$C$7:$C$206,MATCH(D238,'12 P6 activities'!$A$7:$A$206,0)),"⚠ not in P6 list"))</f>
        <v/>
      </c>
      <c r="G238" s="124"/>
      <c r="H238" s="152"/>
      <c r="I238" s="153" t="str">
        <f>IF(H238&lt;&gt;"Y","",IF(D238="","Pick the affected P6 activity first",IF(COUNTIFS('11 Notice calendar'!$A$7:$A$46,A238,'11 Notice calendar'!$I$7:$I$46,D238)&gt;0,"In the Notice calendar","Log it in the Notice calendar today")))</f>
        <v/>
      </c>
      <c r="J238" s="146"/>
      <c r="K238" s="146"/>
      <c r="L238" s="6"/>
      <c r="M238" s="6"/>
      <c r="N238" s="6"/>
      <c r="O238" s="6"/>
      <c r="P238" s="6"/>
      <c r="Q238" s="6"/>
      <c r="R238" s="6"/>
      <c r="S238" s="6"/>
      <c r="T238" s="6"/>
      <c r="U238" s="6"/>
      <c r="V238" s="6"/>
      <c r="W238" s="6"/>
      <c r="X238" s="6"/>
      <c r="Y238" s="6"/>
      <c r="Z238" s="6"/>
    </row>
    <row r="239" spans="1:26" ht="18" customHeight="1" x14ac:dyDescent="0.3">
      <c r="A239" s="152"/>
      <c r="B239" s="128"/>
      <c r="C239" s="152"/>
      <c r="D239" s="128"/>
      <c r="E239" s="144" t="str">
        <f>IF(D239="","",IFERROR(INDEX('12 P6 activities'!$B$7:$B$206,MATCH(D239,'12 P6 activities'!$A$7:$A$206,0)),"⚠ not in P6 list"))</f>
        <v/>
      </c>
      <c r="F239" s="144" t="str">
        <f>IF(D239="","",IFERROR(INDEX('12 P6 activities'!$C$7:$C$206,MATCH(D239,'12 P6 activities'!$A$7:$A$206,0)),"⚠ not in P6 list"))</f>
        <v/>
      </c>
      <c r="G239" s="124"/>
      <c r="H239" s="152"/>
      <c r="I239" s="153" t="str">
        <f>IF(H239&lt;&gt;"Y","",IF(D239="","Pick the affected P6 activity first",IF(COUNTIFS('11 Notice calendar'!$A$7:$A$46,A239,'11 Notice calendar'!$I$7:$I$46,D239)&gt;0,"In the Notice calendar","Log it in the Notice calendar today")))</f>
        <v/>
      </c>
      <c r="J239" s="146"/>
      <c r="K239" s="146"/>
      <c r="L239" s="6"/>
      <c r="M239" s="6"/>
      <c r="N239" s="6"/>
      <c r="O239" s="6"/>
      <c r="P239" s="6"/>
      <c r="Q239" s="6"/>
      <c r="R239" s="6"/>
      <c r="S239" s="6"/>
      <c r="T239" s="6"/>
      <c r="U239" s="6"/>
      <c r="V239" s="6"/>
      <c r="W239" s="6"/>
      <c r="X239" s="6"/>
      <c r="Y239" s="6"/>
      <c r="Z239" s="6"/>
    </row>
    <row r="240" spans="1:26" ht="18" customHeight="1" x14ac:dyDescent="0.3">
      <c r="A240" s="152"/>
      <c r="B240" s="128"/>
      <c r="C240" s="152"/>
      <c r="D240" s="128"/>
      <c r="E240" s="144" t="str">
        <f>IF(D240="","",IFERROR(INDEX('12 P6 activities'!$B$7:$B$206,MATCH(D240,'12 P6 activities'!$A$7:$A$206,0)),"⚠ not in P6 list"))</f>
        <v/>
      </c>
      <c r="F240" s="144" t="str">
        <f>IF(D240="","",IFERROR(INDEX('12 P6 activities'!$C$7:$C$206,MATCH(D240,'12 P6 activities'!$A$7:$A$206,0)),"⚠ not in P6 list"))</f>
        <v/>
      </c>
      <c r="G240" s="124"/>
      <c r="H240" s="152"/>
      <c r="I240" s="153" t="str">
        <f>IF(H240&lt;&gt;"Y","",IF(D240="","Pick the affected P6 activity first",IF(COUNTIFS('11 Notice calendar'!$A$7:$A$46,A240,'11 Notice calendar'!$I$7:$I$46,D240)&gt;0,"In the Notice calendar","Log it in the Notice calendar today")))</f>
        <v/>
      </c>
      <c r="J240" s="146"/>
      <c r="K240" s="146"/>
      <c r="L240" s="6"/>
      <c r="M240" s="6"/>
      <c r="N240" s="6"/>
      <c r="O240" s="6"/>
      <c r="P240" s="6"/>
      <c r="Q240" s="6"/>
      <c r="R240" s="6"/>
      <c r="S240" s="6"/>
      <c r="T240" s="6"/>
      <c r="U240" s="6"/>
      <c r="V240" s="6"/>
      <c r="W240" s="6"/>
      <c r="X240" s="6"/>
      <c r="Y240" s="6"/>
      <c r="Z240" s="6"/>
    </row>
    <row r="241" spans="1:26" ht="18" customHeight="1" x14ac:dyDescent="0.3">
      <c r="A241" s="152"/>
      <c r="B241" s="128"/>
      <c r="C241" s="152"/>
      <c r="D241" s="128"/>
      <c r="E241" s="144" t="str">
        <f>IF(D241="","",IFERROR(INDEX('12 P6 activities'!$B$7:$B$206,MATCH(D241,'12 P6 activities'!$A$7:$A$206,0)),"⚠ not in P6 list"))</f>
        <v/>
      </c>
      <c r="F241" s="144" t="str">
        <f>IF(D241="","",IFERROR(INDEX('12 P6 activities'!$C$7:$C$206,MATCH(D241,'12 P6 activities'!$A$7:$A$206,0)),"⚠ not in P6 list"))</f>
        <v/>
      </c>
      <c r="G241" s="124"/>
      <c r="H241" s="152"/>
      <c r="I241" s="153" t="str">
        <f>IF(H241&lt;&gt;"Y","",IF(D241="","Pick the affected P6 activity first",IF(COUNTIFS('11 Notice calendar'!$A$7:$A$46,A241,'11 Notice calendar'!$I$7:$I$46,D241)&gt;0,"In the Notice calendar","Log it in the Notice calendar today")))</f>
        <v/>
      </c>
      <c r="J241" s="146"/>
      <c r="K241" s="146"/>
      <c r="L241" s="6"/>
      <c r="M241" s="6"/>
      <c r="N241" s="6"/>
      <c r="O241" s="6"/>
      <c r="P241" s="6"/>
      <c r="Q241" s="6"/>
      <c r="R241" s="6"/>
      <c r="S241" s="6"/>
      <c r="T241" s="6"/>
      <c r="U241" s="6"/>
      <c r="V241" s="6"/>
      <c r="W241" s="6"/>
      <c r="X241" s="6"/>
      <c r="Y241" s="6"/>
      <c r="Z241" s="6"/>
    </row>
    <row r="242" spans="1:26" ht="18" customHeight="1" x14ac:dyDescent="0.3">
      <c r="A242" s="152"/>
      <c r="B242" s="128"/>
      <c r="C242" s="152"/>
      <c r="D242" s="128"/>
      <c r="E242" s="144" t="str">
        <f>IF(D242="","",IFERROR(INDEX('12 P6 activities'!$B$7:$B$206,MATCH(D242,'12 P6 activities'!$A$7:$A$206,0)),"⚠ not in P6 list"))</f>
        <v/>
      </c>
      <c r="F242" s="144" t="str">
        <f>IF(D242="","",IFERROR(INDEX('12 P6 activities'!$C$7:$C$206,MATCH(D242,'12 P6 activities'!$A$7:$A$206,0)),"⚠ not in P6 list"))</f>
        <v/>
      </c>
      <c r="G242" s="124"/>
      <c r="H242" s="152"/>
      <c r="I242" s="153" t="str">
        <f>IF(H242&lt;&gt;"Y","",IF(D242="","Pick the affected P6 activity first",IF(COUNTIFS('11 Notice calendar'!$A$7:$A$46,A242,'11 Notice calendar'!$I$7:$I$46,D242)&gt;0,"In the Notice calendar","Log it in the Notice calendar today")))</f>
        <v/>
      </c>
      <c r="J242" s="146"/>
      <c r="K242" s="146"/>
      <c r="L242" s="6"/>
      <c r="M242" s="6"/>
      <c r="N242" s="6"/>
      <c r="O242" s="6"/>
      <c r="P242" s="6"/>
      <c r="Q242" s="6"/>
      <c r="R242" s="6"/>
      <c r="S242" s="6"/>
      <c r="T242" s="6"/>
      <c r="U242" s="6"/>
      <c r="V242" s="6"/>
      <c r="W242" s="6"/>
      <c r="X242" s="6"/>
      <c r="Y242" s="6"/>
      <c r="Z242" s="6"/>
    </row>
    <row r="243" spans="1:26" ht="18" customHeight="1" x14ac:dyDescent="0.3">
      <c r="A243" s="152"/>
      <c r="B243" s="128"/>
      <c r="C243" s="152"/>
      <c r="D243" s="128"/>
      <c r="E243" s="144" t="str">
        <f>IF(D243="","",IFERROR(INDEX('12 P6 activities'!$B$7:$B$206,MATCH(D243,'12 P6 activities'!$A$7:$A$206,0)),"⚠ not in P6 list"))</f>
        <v/>
      </c>
      <c r="F243" s="144" t="str">
        <f>IF(D243="","",IFERROR(INDEX('12 P6 activities'!$C$7:$C$206,MATCH(D243,'12 P6 activities'!$A$7:$A$206,0)),"⚠ not in P6 list"))</f>
        <v/>
      </c>
      <c r="G243" s="124"/>
      <c r="H243" s="152"/>
      <c r="I243" s="153" t="str">
        <f>IF(H243&lt;&gt;"Y","",IF(D243="","Pick the affected P6 activity first",IF(COUNTIFS('11 Notice calendar'!$A$7:$A$46,A243,'11 Notice calendar'!$I$7:$I$46,D243)&gt;0,"In the Notice calendar","Log it in the Notice calendar today")))</f>
        <v/>
      </c>
      <c r="J243" s="146"/>
      <c r="K243" s="146"/>
      <c r="L243" s="6"/>
      <c r="M243" s="6"/>
      <c r="N243" s="6"/>
      <c r="O243" s="6"/>
      <c r="P243" s="6"/>
      <c r="Q243" s="6"/>
      <c r="R243" s="6"/>
      <c r="S243" s="6"/>
      <c r="T243" s="6"/>
      <c r="U243" s="6"/>
      <c r="V243" s="6"/>
      <c r="W243" s="6"/>
      <c r="X243" s="6"/>
      <c r="Y243" s="6"/>
      <c r="Z243" s="6"/>
    </row>
    <row r="244" spans="1:26" ht="18" customHeight="1" x14ac:dyDescent="0.3">
      <c r="A244" s="152"/>
      <c r="B244" s="128"/>
      <c r="C244" s="152"/>
      <c r="D244" s="128"/>
      <c r="E244" s="144" t="str">
        <f>IF(D244="","",IFERROR(INDEX('12 P6 activities'!$B$7:$B$206,MATCH(D244,'12 P6 activities'!$A$7:$A$206,0)),"⚠ not in P6 list"))</f>
        <v/>
      </c>
      <c r="F244" s="144" t="str">
        <f>IF(D244="","",IFERROR(INDEX('12 P6 activities'!$C$7:$C$206,MATCH(D244,'12 P6 activities'!$A$7:$A$206,0)),"⚠ not in P6 list"))</f>
        <v/>
      </c>
      <c r="G244" s="124"/>
      <c r="H244" s="152"/>
      <c r="I244" s="153" t="str">
        <f>IF(H244&lt;&gt;"Y","",IF(D244="","Pick the affected P6 activity first",IF(COUNTIFS('11 Notice calendar'!$A$7:$A$46,A244,'11 Notice calendar'!$I$7:$I$46,D244)&gt;0,"In the Notice calendar","Log it in the Notice calendar today")))</f>
        <v/>
      </c>
      <c r="J244" s="146"/>
      <c r="K244" s="146"/>
      <c r="L244" s="6"/>
      <c r="M244" s="6"/>
      <c r="N244" s="6"/>
      <c r="O244" s="6"/>
      <c r="P244" s="6"/>
      <c r="Q244" s="6"/>
      <c r="R244" s="6"/>
      <c r="S244" s="6"/>
      <c r="T244" s="6"/>
      <c r="U244" s="6"/>
      <c r="V244" s="6"/>
      <c r="W244" s="6"/>
      <c r="X244" s="6"/>
      <c r="Y244" s="6"/>
      <c r="Z244" s="6"/>
    </row>
    <row r="245" spans="1:26" ht="18" customHeight="1" x14ac:dyDescent="0.3">
      <c r="A245" s="152"/>
      <c r="B245" s="128"/>
      <c r="C245" s="152"/>
      <c r="D245" s="128"/>
      <c r="E245" s="144" t="str">
        <f>IF(D245="","",IFERROR(INDEX('12 P6 activities'!$B$7:$B$206,MATCH(D245,'12 P6 activities'!$A$7:$A$206,0)),"⚠ not in P6 list"))</f>
        <v/>
      </c>
      <c r="F245" s="144" t="str">
        <f>IF(D245="","",IFERROR(INDEX('12 P6 activities'!$C$7:$C$206,MATCH(D245,'12 P6 activities'!$A$7:$A$206,0)),"⚠ not in P6 list"))</f>
        <v/>
      </c>
      <c r="G245" s="124"/>
      <c r="H245" s="152"/>
      <c r="I245" s="153" t="str">
        <f>IF(H245&lt;&gt;"Y","",IF(D245="","Pick the affected P6 activity first",IF(COUNTIFS('11 Notice calendar'!$A$7:$A$46,A245,'11 Notice calendar'!$I$7:$I$46,D245)&gt;0,"In the Notice calendar","Log it in the Notice calendar today")))</f>
        <v/>
      </c>
      <c r="J245" s="146"/>
      <c r="K245" s="146"/>
      <c r="L245" s="6"/>
      <c r="M245" s="6"/>
      <c r="N245" s="6"/>
      <c r="O245" s="6"/>
      <c r="P245" s="6"/>
      <c r="Q245" s="6"/>
      <c r="R245" s="6"/>
      <c r="S245" s="6"/>
      <c r="T245" s="6"/>
      <c r="U245" s="6"/>
      <c r="V245" s="6"/>
      <c r="W245" s="6"/>
      <c r="X245" s="6"/>
      <c r="Y245" s="6"/>
      <c r="Z245" s="6"/>
    </row>
    <row r="246" spans="1:26" ht="18" customHeight="1" x14ac:dyDescent="0.3">
      <c r="A246" s="152"/>
      <c r="B246" s="128"/>
      <c r="C246" s="152"/>
      <c r="D246" s="128"/>
      <c r="E246" s="144" t="str">
        <f>IF(D246="","",IFERROR(INDEX('12 P6 activities'!$B$7:$B$206,MATCH(D246,'12 P6 activities'!$A$7:$A$206,0)),"⚠ not in P6 list"))</f>
        <v/>
      </c>
      <c r="F246" s="144" t="str">
        <f>IF(D246="","",IFERROR(INDEX('12 P6 activities'!$C$7:$C$206,MATCH(D246,'12 P6 activities'!$A$7:$A$206,0)),"⚠ not in P6 list"))</f>
        <v/>
      </c>
      <c r="G246" s="124"/>
      <c r="H246" s="152"/>
      <c r="I246" s="153" t="str">
        <f>IF(H246&lt;&gt;"Y","",IF(D246="","Pick the affected P6 activity first",IF(COUNTIFS('11 Notice calendar'!$A$7:$A$46,A246,'11 Notice calendar'!$I$7:$I$46,D246)&gt;0,"In the Notice calendar","Log it in the Notice calendar today")))</f>
        <v/>
      </c>
      <c r="J246" s="146"/>
      <c r="K246" s="146"/>
      <c r="L246" s="6"/>
      <c r="M246" s="6"/>
      <c r="N246" s="6"/>
      <c r="O246" s="6"/>
      <c r="P246" s="6"/>
      <c r="Q246" s="6"/>
      <c r="R246" s="6"/>
      <c r="S246" s="6"/>
      <c r="T246" s="6"/>
      <c r="U246" s="6"/>
      <c r="V246" s="6"/>
      <c r="W246" s="6"/>
      <c r="X246" s="6"/>
      <c r="Y246" s="6"/>
      <c r="Z246" s="6"/>
    </row>
    <row r="247" spans="1:26" ht="18" customHeight="1" x14ac:dyDescent="0.3">
      <c r="A247" s="152"/>
      <c r="B247" s="128"/>
      <c r="C247" s="152"/>
      <c r="D247" s="128"/>
      <c r="E247" s="144" t="str">
        <f>IF(D247="","",IFERROR(INDEX('12 P6 activities'!$B$7:$B$206,MATCH(D247,'12 P6 activities'!$A$7:$A$206,0)),"⚠ not in P6 list"))</f>
        <v/>
      </c>
      <c r="F247" s="144" t="str">
        <f>IF(D247="","",IFERROR(INDEX('12 P6 activities'!$C$7:$C$206,MATCH(D247,'12 P6 activities'!$A$7:$A$206,0)),"⚠ not in P6 list"))</f>
        <v/>
      </c>
      <c r="G247" s="124"/>
      <c r="H247" s="152"/>
      <c r="I247" s="153" t="str">
        <f>IF(H247&lt;&gt;"Y","",IF(D247="","Pick the affected P6 activity first",IF(COUNTIFS('11 Notice calendar'!$A$7:$A$46,A247,'11 Notice calendar'!$I$7:$I$46,D247)&gt;0,"In the Notice calendar","Log it in the Notice calendar today")))</f>
        <v/>
      </c>
      <c r="J247" s="146"/>
      <c r="K247" s="146"/>
      <c r="L247" s="6"/>
      <c r="M247" s="6"/>
      <c r="N247" s="6"/>
      <c r="O247" s="6"/>
      <c r="P247" s="6"/>
      <c r="Q247" s="6"/>
      <c r="R247" s="6"/>
      <c r="S247" s="6"/>
      <c r="T247" s="6"/>
      <c r="U247" s="6"/>
      <c r="V247" s="6"/>
      <c r="W247" s="6"/>
      <c r="X247" s="6"/>
      <c r="Y247" s="6"/>
      <c r="Z247" s="6"/>
    </row>
    <row r="248" spans="1:26" ht="18" customHeight="1" x14ac:dyDescent="0.3">
      <c r="A248" s="152"/>
      <c r="B248" s="128"/>
      <c r="C248" s="152"/>
      <c r="D248" s="128"/>
      <c r="E248" s="144" t="str">
        <f>IF(D248="","",IFERROR(INDEX('12 P6 activities'!$B$7:$B$206,MATCH(D248,'12 P6 activities'!$A$7:$A$206,0)),"⚠ not in P6 list"))</f>
        <v/>
      </c>
      <c r="F248" s="144" t="str">
        <f>IF(D248="","",IFERROR(INDEX('12 P6 activities'!$C$7:$C$206,MATCH(D248,'12 P6 activities'!$A$7:$A$206,0)),"⚠ not in P6 list"))</f>
        <v/>
      </c>
      <c r="G248" s="124"/>
      <c r="H248" s="152"/>
      <c r="I248" s="153" t="str">
        <f>IF(H248&lt;&gt;"Y","",IF(D248="","Pick the affected P6 activity first",IF(COUNTIFS('11 Notice calendar'!$A$7:$A$46,A248,'11 Notice calendar'!$I$7:$I$46,D248)&gt;0,"In the Notice calendar","Log it in the Notice calendar today")))</f>
        <v/>
      </c>
      <c r="J248" s="146"/>
      <c r="K248" s="146"/>
      <c r="L248" s="6"/>
      <c r="M248" s="6"/>
      <c r="N248" s="6"/>
      <c r="O248" s="6"/>
      <c r="P248" s="6"/>
      <c r="Q248" s="6"/>
      <c r="R248" s="6"/>
      <c r="S248" s="6"/>
      <c r="T248" s="6"/>
      <c r="U248" s="6"/>
      <c r="V248" s="6"/>
      <c r="W248" s="6"/>
      <c r="X248" s="6"/>
      <c r="Y248" s="6"/>
      <c r="Z248" s="6"/>
    </row>
    <row r="249" spans="1:26" ht="18" customHeight="1" x14ac:dyDescent="0.3">
      <c r="A249" s="152"/>
      <c r="B249" s="128"/>
      <c r="C249" s="152"/>
      <c r="D249" s="128"/>
      <c r="E249" s="144" t="str">
        <f>IF(D249="","",IFERROR(INDEX('12 P6 activities'!$B$7:$B$206,MATCH(D249,'12 P6 activities'!$A$7:$A$206,0)),"⚠ not in P6 list"))</f>
        <v/>
      </c>
      <c r="F249" s="144" t="str">
        <f>IF(D249="","",IFERROR(INDEX('12 P6 activities'!$C$7:$C$206,MATCH(D249,'12 P6 activities'!$A$7:$A$206,0)),"⚠ not in P6 list"))</f>
        <v/>
      </c>
      <c r="G249" s="124"/>
      <c r="H249" s="152"/>
      <c r="I249" s="153" t="str">
        <f>IF(H249&lt;&gt;"Y","",IF(D249="","Pick the affected P6 activity first",IF(COUNTIFS('11 Notice calendar'!$A$7:$A$46,A249,'11 Notice calendar'!$I$7:$I$46,D249)&gt;0,"In the Notice calendar","Log it in the Notice calendar today")))</f>
        <v/>
      </c>
      <c r="J249" s="146"/>
      <c r="K249" s="146"/>
      <c r="L249" s="6"/>
      <c r="M249" s="6"/>
      <c r="N249" s="6"/>
      <c r="O249" s="6"/>
      <c r="P249" s="6"/>
      <c r="Q249" s="6"/>
      <c r="R249" s="6"/>
      <c r="S249" s="6"/>
      <c r="T249" s="6"/>
      <c r="U249" s="6"/>
      <c r="V249" s="6"/>
      <c r="W249" s="6"/>
      <c r="X249" s="6"/>
      <c r="Y249" s="6"/>
      <c r="Z249" s="6"/>
    </row>
    <row r="250" spans="1:26" ht="18" customHeight="1" x14ac:dyDescent="0.3">
      <c r="A250" s="152"/>
      <c r="B250" s="128"/>
      <c r="C250" s="152"/>
      <c r="D250" s="128"/>
      <c r="E250" s="144" t="str">
        <f>IF(D250="","",IFERROR(INDEX('12 P6 activities'!$B$7:$B$206,MATCH(D250,'12 P6 activities'!$A$7:$A$206,0)),"⚠ not in P6 list"))</f>
        <v/>
      </c>
      <c r="F250" s="144" t="str">
        <f>IF(D250="","",IFERROR(INDEX('12 P6 activities'!$C$7:$C$206,MATCH(D250,'12 P6 activities'!$A$7:$A$206,0)),"⚠ not in P6 list"))</f>
        <v/>
      </c>
      <c r="G250" s="124"/>
      <c r="H250" s="152"/>
      <c r="I250" s="153" t="str">
        <f>IF(H250&lt;&gt;"Y","",IF(D250="","Pick the affected P6 activity first",IF(COUNTIFS('11 Notice calendar'!$A$7:$A$46,A250,'11 Notice calendar'!$I$7:$I$46,D250)&gt;0,"In the Notice calendar","Log it in the Notice calendar today")))</f>
        <v/>
      </c>
      <c r="J250" s="146"/>
      <c r="K250" s="146"/>
      <c r="L250" s="6"/>
      <c r="M250" s="6"/>
      <c r="N250" s="6"/>
      <c r="O250" s="6"/>
      <c r="P250" s="6"/>
      <c r="Q250" s="6"/>
      <c r="R250" s="6"/>
      <c r="S250" s="6"/>
      <c r="T250" s="6"/>
      <c r="U250" s="6"/>
      <c r="V250" s="6"/>
      <c r="W250" s="6"/>
      <c r="X250" s="6"/>
      <c r="Y250" s="6"/>
      <c r="Z250" s="6"/>
    </row>
    <row r="251" spans="1:26" ht="18" customHeight="1" x14ac:dyDescent="0.3">
      <c r="A251" s="152"/>
      <c r="B251" s="128"/>
      <c r="C251" s="152"/>
      <c r="D251" s="128"/>
      <c r="E251" s="144" t="str">
        <f>IF(D251="","",IFERROR(INDEX('12 P6 activities'!$B$7:$B$206,MATCH(D251,'12 P6 activities'!$A$7:$A$206,0)),"⚠ not in P6 list"))</f>
        <v/>
      </c>
      <c r="F251" s="144" t="str">
        <f>IF(D251="","",IFERROR(INDEX('12 P6 activities'!$C$7:$C$206,MATCH(D251,'12 P6 activities'!$A$7:$A$206,0)),"⚠ not in P6 list"))</f>
        <v/>
      </c>
      <c r="G251" s="124"/>
      <c r="H251" s="152"/>
      <c r="I251" s="153" t="str">
        <f>IF(H251&lt;&gt;"Y","",IF(D251="","Pick the affected P6 activity first",IF(COUNTIFS('11 Notice calendar'!$A$7:$A$46,A251,'11 Notice calendar'!$I$7:$I$46,D251)&gt;0,"In the Notice calendar","Log it in the Notice calendar today")))</f>
        <v/>
      </c>
      <c r="J251" s="146"/>
      <c r="K251" s="146"/>
      <c r="L251" s="6"/>
      <c r="M251" s="6"/>
      <c r="N251" s="6"/>
      <c r="O251" s="6"/>
      <c r="P251" s="6"/>
      <c r="Q251" s="6"/>
      <c r="R251" s="6"/>
      <c r="S251" s="6"/>
      <c r="T251" s="6"/>
      <c r="U251" s="6"/>
      <c r="V251" s="6"/>
      <c r="W251" s="6"/>
      <c r="X251" s="6"/>
      <c r="Y251" s="6"/>
      <c r="Z251" s="6"/>
    </row>
    <row r="252" spans="1:26" ht="18" customHeight="1" x14ac:dyDescent="0.3">
      <c r="A252" s="152"/>
      <c r="B252" s="128"/>
      <c r="C252" s="152"/>
      <c r="D252" s="128"/>
      <c r="E252" s="144" t="str">
        <f>IF(D252="","",IFERROR(INDEX('12 P6 activities'!$B$7:$B$206,MATCH(D252,'12 P6 activities'!$A$7:$A$206,0)),"⚠ not in P6 list"))</f>
        <v/>
      </c>
      <c r="F252" s="144" t="str">
        <f>IF(D252="","",IFERROR(INDEX('12 P6 activities'!$C$7:$C$206,MATCH(D252,'12 P6 activities'!$A$7:$A$206,0)),"⚠ not in P6 list"))</f>
        <v/>
      </c>
      <c r="G252" s="124"/>
      <c r="H252" s="152"/>
      <c r="I252" s="153" t="str">
        <f>IF(H252&lt;&gt;"Y","",IF(D252="","Pick the affected P6 activity first",IF(COUNTIFS('11 Notice calendar'!$A$7:$A$46,A252,'11 Notice calendar'!$I$7:$I$46,D252)&gt;0,"In the Notice calendar","Log it in the Notice calendar today")))</f>
        <v/>
      </c>
      <c r="J252" s="146"/>
      <c r="K252" s="146"/>
      <c r="L252" s="6"/>
      <c r="M252" s="6"/>
      <c r="N252" s="6"/>
      <c r="O252" s="6"/>
      <c r="P252" s="6"/>
      <c r="Q252" s="6"/>
      <c r="R252" s="6"/>
      <c r="S252" s="6"/>
      <c r="T252" s="6"/>
      <c r="U252" s="6"/>
      <c r="V252" s="6"/>
      <c r="W252" s="6"/>
      <c r="X252" s="6"/>
      <c r="Y252" s="6"/>
      <c r="Z252" s="6"/>
    </row>
    <row r="253" spans="1:26" ht="18" customHeight="1" x14ac:dyDescent="0.3">
      <c r="A253" s="152"/>
      <c r="B253" s="128"/>
      <c r="C253" s="152"/>
      <c r="D253" s="128"/>
      <c r="E253" s="144" t="str">
        <f>IF(D253="","",IFERROR(INDEX('12 P6 activities'!$B$7:$B$206,MATCH(D253,'12 P6 activities'!$A$7:$A$206,0)),"⚠ not in P6 list"))</f>
        <v/>
      </c>
      <c r="F253" s="144" t="str">
        <f>IF(D253="","",IFERROR(INDEX('12 P6 activities'!$C$7:$C$206,MATCH(D253,'12 P6 activities'!$A$7:$A$206,0)),"⚠ not in P6 list"))</f>
        <v/>
      </c>
      <c r="G253" s="124"/>
      <c r="H253" s="152"/>
      <c r="I253" s="153" t="str">
        <f>IF(H253&lt;&gt;"Y","",IF(D253="","Pick the affected P6 activity first",IF(COUNTIFS('11 Notice calendar'!$A$7:$A$46,A253,'11 Notice calendar'!$I$7:$I$46,D253)&gt;0,"In the Notice calendar","Log it in the Notice calendar today")))</f>
        <v/>
      </c>
      <c r="J253" s="146"/>
      <c r="K253" s="146"/>
      <c r="L253" s="6"/>
      <c r="M253" s="6"/>
      <c r="N253" s="6"/>
      <c r="O253" s="6"/>
      <c r="P253" s="6"/>
      <c r="Q253" s="6"/>
      <c r="R253" s="6"/>
      <c r="S253" s="6"/>
      <c r="T253" s="6"/>
      <c r="U253" s="6"/>
      <c r="V253" s="6"/>
      <c r="W253" s="6"/>
      <c r="X253" s="6"/>
      <c r="Y253" s="6"/>
      <c r="Z253" s="6"/>
    </row>
    <row r="254" spans="1:26" ht="18" customHeight="1" x14ac:dyDescent="0.3">
      <c r="A254" s="152"/>
      <c r="B254" s="128"/>
      <c r="C254" s="152"/>
      <c r="D254" s="128"/>
      <c r="E254" s="144" t="str">
        <f>IF(D254="","",IFERROR(INDEX('12 P6 activities'!$B$7:$B$206,MATCH(D254,'12 P6 activities'!$A$7:$A$206,0)),"⚠ not in P6 list"))</f>
        <v/>
      </c>
      <c r="F254" s="144" t="str">
        <f>IF(D254="","",IFERROR(INDEX('12 P6 activities'!$C$7:$C$206,MATCH(D254,'12 P6 activities'!$A$7:$A$206,0)),"⚠ not in P6 list"))</f>
        <v/>
      </c>
      <c r="G254" s="124"/>
      <c r="H254" s="152"/>
      <c r="I254" s="153" t="str">
        <f>IF(H254&lt;&gt;"Y","",IF(D254="","Pick the affected P6 activity first",IF(COUNTIFS('11 Notice calendar'!$A$7:$A$46,A254,'11 Notice calendar'!$I$7:$I$46,D254)&gt;0,"In the Notice calendar","Log it in the Notice calendar today")))</f>
        <v/>
      </c>
      <c r="J254" s="146"/>
      <c r="K254" s="146"/>
      <c r="L254" s="6"/>
      <c r="M254" s="6"/>
      <c r="N254" s="6"/>
      <c r="O254" s="6"/>
      <c r="P254" s="6"/>
      <c r="Q254" s="6"/>
      <c r="R254" s="6"/>
      <c r="S254" s="6"/>
      <c r="T254" s="6"/>
      <c r="U254" s="6"/>
      <c r="V254" s="6"/>
      <c r="W254" s="6"/>
      <c r="X254" s="6"/>
      <c r="Y254" s="6"/>
      <c r="Z254" s="6"/>
    </row>
    <row r="255" spans="1:26" ht="18" customHeight="1" x14ac:dyDescent="0.3">
      <c r="A255" s="152"/>
      <c r="B255" s="128"/>
      <c r="C255" s="152"/>
      <c r="D255" s="128"/>
      <c r="E255" s="144" t="str">
        <f>IF(D255="","",IFERROR(INDEX('12 P6 activities'!$B$7:$B$206,MATCH(D255,'12 P6 activities'!$A$7:$A$206,0)),"⚠ not in P6 list"))</f>
        <v/>
      </c>
      <c r="F255" s="144" t="str">
        <f>IF(D255="","",IFERROR(INDEX('12 P6 activities'!$C$7:$C$206,MATCH(D255,'12 P6 activities'!$A$7:$A$206,0)),"⚠ not in P6 list"))</f>
        <v/>
      </c>
      <c r="G255" s="124"/>
      <c r="H255" s="152"/>
      <c r="I255" s="153" t="str">
        <f>IF(H255&lt;&gt;"Y","",IF(D255="","Pick the affected P6 activity first",IF(COUNTIFS('11 Notice calendar'!$A$7:$A$46,A255,'11 Notice calendar'!$I$7:$I$46,D255)&gt;0,"In the Notice calendar","Log it in the Notice calendar today")))</f>
        <v/>
      </c>
      <c r="J255" s="146"/>
      <c r="K255" s="146"/>
      <c r="L255" s="6"/>
      <c r="M255" s="6"/>
      <c r="N255" s="6"/>
      <c r="O255" s="6"/>
      <c r="P255" s="6"/>
      <c r="Q255" s="6"/>
      <c r="R255" s="6"/>
      <c r="S255" s="6"/>
      <c r="T255" s="6"/>
      <c r="U255" s="6"/>
      <c r="V255" s="6"/>
      <c r="W255" s="6"/>
      <c r="X255" s="6"/>
      <c r="Y255" s="6"/>
      <c r="Z255" s="6"/>
    </row>
    <row r="256" spans="1:26" ht="18" customHeight="1" x14ac:dyDescent="0.3">
      <c r="A256" s="152"/>
      <c r="B256" s="128"/>
      <c r="C256" s="152"/>
      <c r="D256" s="128"/>
      <c r="E256" s="144" t="str">
        <f>IF(D256="","",IFERROR(INDEX('12 P6 activities'!$B$7:$B$206,MATCH(D256,'12 P6 activities'!$A$7:$A$206,0)),"⚠ not in P6 list"))</f>
        <v/>
      </c>
      <c r="F256" s="144" t="str">
        <f>IF(D256="","",IFERROR(INDEX('12 P6 activities'!$C$7:$C$206,MATCH(D256,'12 P6 activities'!$A$7:$A$206,0)),"⚠ not in P6 list"))</f>
        <v/>
      </c>
      <c r="G256" s="124"/>
      <c r="H256" s="152"/>
      <c r="I256" s="153" t="str">
        <f>IF(H256&lt;&gt;"Y","",IF(D256="","Pick the affected P6 activity first",IF(COUNTIFS('11 Notice calendar'!$A$7:$A$46,A256,'11 Notice calendar'!$I$7:$I$46,D256)&gt;0,"In the Notice calendar","Log it in the Notice calendar today")))</f>
        <v/>
      </c>
      <c r="J256" s="146"/>
      <c r="K256" s="146"/>
      <c r="L256" s="6"/>
      <c r="M256" s="6"/>
      <c r="N256" s="6"/>
      <c r="O256" s="6"/>
      <c r="P256" s="6"/>
      <c r="Q256" s="6"/>
      <c r="R256" s="6"/>
      <c r="S256" s="6"/>
      <c r="T256" s="6"/>
      <c r="U256" s="6"/>
      <c r="V256" s="6"/>
      <c r="W256" s="6"/>
      <c r="X256" s="6"/>
      <c r="Y256" s="6"/>
      <c r="Z256" s="6"/>
    </row>
    <row r="257" spans="1:26" ht="18" customHeight="1" x14ac:dyDescent="0.3">
      <c r="A257" s="152"/>
      <c r="B257" s="128"/>
      <c r="C257" s="152"/>
      <c r="D257" s="128"/>
      <c r="E257" s="144" t="str">
        <f>IF(D257="","",IFERROR(INDEX('12 P6 activities'!$B$7:$B$206,MATCH(D257,'12 P6 activities'!$A$7:$A$206,0)),"⚠ not in P6 list"))</f>
        <v/>
      </c>
      <c r="F257" s="144" t="str">
        <f>IF(D257="","",IFERROR(INDEX('12 P6 activities'!$C$7:$C$206,MATCH(D257,'12 P6 activities'!$A$7:$A$206,0)),"⚠ not in P6 list"))</f>
        <v/>
      </c>
      <c r="G257" s="124"/>
      <c r="H257" s="152"/>
      <c r="I257" s="153" t="str">
        <f>IF(H257&lt;&gt;"Y","",IF(D257="","Pick the affected P6 activity first",IF(COUNTIFS('11 Notice calendar'!$A$7:$A$46,A257,'11 Notice calendar'!$I$7:$I$46,D257)&gt;0,"In the Notice calendar","Log it in the Notice calendar today")))</f>
        <v/>
      </c>
      <c r="J257" s="146"/>
      <c r="K257" s="146"/>
      <c r="L257" s="6"/>
      <c r="M257" s="6"/>
      <c r="N257" s="6"/>
      <c r="O257" s="6"/>
      <c r="P257" s="6"/>
      <c r="Q257" s="6"/>
      <c r="R257" s="6"/>
      <c r="S257" s="6"/>
      <c r="T257" s="6"/>
      <c r="U257" s="6"/>
      <c r="V257" s="6"/>
      <c r="W257" s="6"/>
      <c r="X257" s="6"/>
      <c r="Y257" s="6"/>
      <c r="Z257" s="6"/>
    </row>
    <row r="258" spans="1:26" ht="18" customHeight="1" x14ac:dyDescent="0.3">
      <c r="A258" s="152"/>
      <c r="B258" s="128"/>
      <c r="C258" s="152"/>
      <c r="D258" s="128"/>
      <c r="E258" s="144" t="str">
        <f>IF(D258="","",IFERROR(INDEX('12 P6 activities'!$B$7:$B$206,MATCH(D258,'12 P6 activities'!$A$7:$A$206,0)),"⚠ not in P6 list"))</f>
        <v/>
      </c>
      <c r="F258" s="144" t="str">
        <f>IF(D258="","",IFERROR(INDEX('12 P6 activities'!$C$7:$C$206,MATCH(D258,'12 P6 activities'!$A$7:$A$206,0)),"⚠ not in P6 list"))</f>
        <v/>
      </c>
      <c r="G258" s="124"/>
      <c r="H258" s="152"/>
      <c r="I258" s="153" t="str">
        <f>IF(H258&lt;&gt;"Y","",IF(D258="","Pick the affected P6 activity first",IF(COUNTIFS('11 Notice calendar'!$A$7:$A$46,A258,'11 Notice calendar'!$I$7:$I$46,D258)&gt;0,"In the Notice calendar","Log it in the Notice calendar today")))</f>
        <v/>
      </c>
      <c r="J258" s="146"/>
      <c r="K258" s="146"/>
      <c r="L258" s="6"/>
      <c r="M258" s="6"/>
      <c r="N258" s="6"/>
      <c r="O258" s="6"/>
      <c r="P258" s="6"/>
      <c r="Q258" s="6"/>
      <c r="R258" s="6"/>
      <c r="S258" s="6"/>
      <c r="T258" s="6"/>
      <c r="U258" s="6"/>
      <c r="V258" s="6"/>
      <c r="W258" s="6"/>
      <c r="X258" s="6"/>
      <c r="Y258" s="6"/>
      <c r="Z258" s="6"/>
    </row>
    <row r="259" spans="1:26" ht="18" customHeight="1" x14ac:dyDescent="0.3">
      <c r="A259" s="152"/>
      <c r="B259" s="128"/>
      <c r="C259" s="152"/>
      <c r="D259" s="128"/>
      <c r="E259" s="144" t="str">
        <f>IF(D259="","",IFERROR(INDEX('12 P6 activities'!$B$7:$B$206,MATCH(D259,'12 P6 activities'!$A$7:$A$206,0)),"⚠ not in P6 list"))</f>
        <v/>
      </c>
      <c r="F259" s="144" t="str">
        <f>IF(D259="","",IFERROR(INDEX('12 P6 activities'!$C$7:$C$206,MATCH(D259,'12 P6 activities'!$A$7:$A$206,0)),"⚠ not in P6 list"))</f>
        <v/>
      </c>
      <c r="G259" s="124"/>
      <c r="H259" s="152"/>
      <c r="I259" s="153" t="str">
        <f>IF(H259&lt;&gt;"Y","",IF(D259="","Pick the affected P6 activity first",IF(COUNTIFS('11 Notice calendar'!$A$7:$A$46,A259,'11 Notice calendar'!$I$7:$I$46,D259)&gt;0,"In the Notice calendar","Log it in the Notice calendar today")))</f>
        <v/>
      </c>
      <c r="J259" s="146"/>
      <c r="K259" s="146"/>
      <c r="L259" s="6"/>
      <c r="M259" s="6"/>
      <c r="N259" s="6"/>
      <c r="O259" s="6"/>
      <c r="P259" s="6"/>
      <c r="Q259" s="6"/>
      <c r="R259" s="6"/>
      <c r="S259" s="6"/>
      <c r="T259" s="6"/>
      <c r="U259" s="6"/>
      <c r="V259" s="6"/>
      <c r="W259" s="6"/>
      <c r="X259" s="6"/>
      <c r="Y259" s="6"/>
      <c r="Z259" s="6"/>
    </row>
    <row r="260" spans="1:26" ht="18" customHeight="1" x14ac:dyDescent="0.3">
      <c r="A260" s="152"/>
      <c r="B260" s="128"/>
      <c r="C260" s="152"/>
      <c r="D260" s="128"/>
      <c r="E260" s="144" t="str">
        <f>IF(D260="","",IFERROR(INDEX('12 P6 activities'!$B$7:$B$206,MATCH(D260,'12 P6 activities'!$A$7:$A$206,0)),"⚠ not in P6 list"))</f>
        <v/>
      </c>
      <c r="F260" s="144" t="str">
        <f>IF(D260="","",IFERROR(INDEX('12 P6 activities'!$C$7:$C$206,MATCH(D260,'12 P6 activities'!$A$7:$A$206,0)),"⚠ not in P6 list"))</f>
        <v/>
      </c>
      <c r="G260" s="124"/>
      <c r="H260" s="152"/>
      <c r="I260" s="153" t="str">
        <f>IF(H260&lt;&gt;"Y","",IF(D260="","Pick the affected P6 activity first",IF(COUNTIFS('11 Notice calendar'!$A$7:$A$46,A260,'11 Notice calendar'!$I$7:$I$46,D260)&gt;0,"In the Notice calendar","Log it in the Notice calendar today")))</f>
        <v/>
      </c>
      <c r="J260" s="146"/>
      <c r="K260" s="146"/>
      <c r="L260" s="6"/>
      <c r="M260" s="6"/>
      <c r="N260" s="6"/>
      <c r="O260" s="6"/>
      <c r="P260" s="6"/>
      <c r="Q260" s="6"/>
      <c r="R260" s="6"/>
      <c r="S260" s="6"/>
      <c r="T260" s="6"/>
      <c r="U260" s="6"/>
      <c r="V260" s="6"/>
      <c r="W260" s="6"/>
      <c r="X260" s="6"/>
      <c r="Y260" s="6"/>
      <c r="Z260" s="6"/>
    </row>
    <row r="261" spans="1:26" ht="18" customHeight="1" x14ac:dyDescent="0.3">
      <c r="A261" s="152"/>
      <c r="B261" s="128"/>
      <c r="C261" s="152"/>
      <c r="D261" s="128"/>
      <c r="E261" s="144" t="str">
        <f>IF(D261="","",IFERROR(INDEX('12 P6 activities'!$B$7:$B$206,MATCH(D261,'12 P6 activities'!$A$7:$A$206,0)),"⚠ not in P6 list"))</f>
        <v/>
      </c>
      <c r="F261" s="144" t="str">
        <f>IF(D261="","",IFERROR(INDEX('12 P6 activities'!$C$7:$C$206,MATCH(D261,'12 P6 activities'!$A$7:$A$206,0)),"⚠ not in P6 list"))</f>
        <v/>
      </c>
      <c r="G261" s="124"/>
      <c r="H261" s="152"/>
      <c r="I261" s="153" t="str">
        <f>IF(H261&lt;&gt;"Y","",IF(D261="","Pick the affected P6 activity first",IF(COUNTIFS('11 Notice calendar'!$A$7:$A$46,A261,'11 Notice calendar'!$I$7:$I$46,D261)&gt;0,"In the Notice calendar","Log it in the Notice calendar today")))</f>
        <v/>
      </c>
      <c r="J261" s="146"/>
      <c r="K261" s="146"/>
      <c r="L261" s="6"/>
      <c r="M261" s="6"/>
      <c r="N261" s="6"/>
      <c r="O261" s="6"/>
      <c r="P261" s="6"/>
      <c r="Q261" s="6"/>
      <c r="R261" s="6"/>
      <c r="S261" s="6"/>
      <c r="T261" s="6"/>
      <c r="U261" s="6"/>
      <c r="V261" s="6"/>
      <c r="W261" s="6"/>
      <c r="X261" s="6"/>
      <c r="Y261" s="6"/>
      <c r="Z261" s="6"/>
    </row>
    <row r="262" spans="1:26" ht="18" customHeight="1" x14ac:dyDescent="0.3">
      <c r="A262" s="152"/>
      <c r="B262" s="128"/>
      <c r="C262" s="152"/>
      <c r="D262" s="128"/>
      <c r="E262" s="144" t="str">
        <f>IF(D262="","",IFERROR(INDEX('12 P6 activities'!$B$7:$B$206,MATCH(D262,'12 P6 activities'!$A$7:$A$206,0)),"⚠ not in P6 list"))</f>
        <v/>
      </c>
      <c r="F262" s="144" t="str">
        <f>IF(D262="","",IFERROR(INDEX('12 P6 activities'!$C$7:$C$206,MATCH(D262,'12 P6 activities'!$A$7:$A$206,0)),"⚠ not in P6 list"))</f>
        <v/>
      </c>
      <c r="G262" s="124"/>
      <c r="H262" s="152"/>
      <c r="I262" s="153" t="str">
        <f>IF(H262&lt;&gt;"Y","",IF(D262="","Pick the affected P6 activity first",IF(COUNTIFS('11 Notice calendar'!$A$7:$A$46,A262,'11 Notice calendar'!$I$7:$I$46,D262)&gt;0,"In the Notice calendar","Log it in the Notice calendar today")))</f>
        <v/>
      </c>
      <c r="J262" s="146"/>
      <c r="K262" s="146"/>
      <c r="L262" s="6"/>
      <c r="M262" s="6"/>
      <c r="N262" s="6"/>
      <c r="O262" s="6"/>
      <c r="P262" s="6"/>
      <c r="Q262" s="6"/>
      <c r="R262" s="6"/>
      <c r="S262" s="6"/>
      <c r="T262" s="6"/>
      <c r="U262" s="6"/>
      <c r="V262" s="6"/>
      <c r="W262" s="6"/>
      <c r="X262" s="6"/>
      <c r="Y262" s="6"/>
      <c r="Z262" s="6"/>
    </row>
    <row r="263" spans="1:26" ht="18" customHeight="1" x14ac:dyDescent="0.3">
      <c r="A263" s="152"/>
      <c r="B263" s="128"/>
      <c r="C263" s="152"/>
      <c r="D263" s="128"/>
      <c r="E263" s="144" t="str">
        <f>IF(D263="","",IFERROR(INDEX('12 P6 activities'!$B$7:$B$206,MATCH(D263,'12 P6 activities'!$A$7:$A$206,0)),"⚠ not in P6 list"))</f>
        <v/>
      </c>
      <c r="F263" s="144" t="str">
        <f>IF(D263="","",IFERROR(INDEX('12 P6 activities'!$C$7:$C$206,MATCH(D263,'12 P6 activities'!$A$7:$A$206,0)),"⚠ not in P6 list"))</f>
        <v/>
      </c>
      <c r="G263" s="124"/>
      <c r="H263" s="152"/>
      <c r="I263" s="153" t="str">
        <f>IF(H263&lt;&gt;"Y","",IF(D263="","Pick the affected P6 activity first",IF(COUNTIFS('11 Notice calendar'!$A$7:$A$46,A263,'11 Notice calendar'!$I$7:$I$46,D263)&gt;0,"In the Notice calendar","Log it in the Notice calendar today")))</f>
        <v/>
      </c>
      <c r="J263" s="146"/>
      <c r="K263" s="146"/>
      <c r="L263" s="6"/>
      <c r="M263" s="6"/>
      <c r="N263" s="6"/>
      <c r="O263" s="6"/>
      <c r="P263" s="6"/>
      <c r="Q263" s="6"/>
      <c r="R263" s="6"/>
      <c r="S263" s="6"/>
      <c r="T263" s="6"/>
      <c r="U263" s="6"/>
      <c r="V263" s="6"/>
      <c r="W263" s="6"/>
      <c r="X263" s="6"/>
      <c r="Y263" s="6"/>
      <c r="Z263" s="6"/>
    </row>
    <row r="264" spans="1:26" ht="18" customHeight="1" x14ac:dyDescent="0.3">
      <c r="A264" s="152"/>
      <c r="B264" s="128"/>
      <c r="C264" s="152"/>
      <c r="D264" s="128"/>
      <c r="E264" s="144" t="str">
        <f>IF(D264="","",IFERROR(INDEX('12 P6 activities'!$B$7:$B$206,MATCH(D264,'12 P6 activities'!$A$7:$A$206,0)),"⚠ not in P6 list"))</f>
        <v/>
      </c>
      <c r="F264" s="144" t="str">
        <f>IF(D264="","",IFERROR(INDEX('12 P6 activities'!$C$7:$C$206,MATCH(D264,'12 P6 activities'!$A$7:$A$206,0)),"⚠ not in P6 list"))</f>
        <v/>
      </c>
      <c r="G264" s="124"/>
      <c r="H264" s="152"/>
      <c r="I264" s="153" t="str">
        <f>IF(H264&lt;&gt;"Y","",IF(D264="","Pick the affected P6 activity first",IF(COUNTIFS('11 Notice calendar'!$A$7:$A$46,A264,'11 Notice calendar'!$I$7:$I$46,D264)&gt;0,"In the Notice calendar","Log it in the Notice calendar today")))</f>
        <v/>
      </c>
      <c r="J264" s="146"/>
      <c r="K264" s="146"/>
      <c r="L264" s="6"/>
      <c r="M264" s="6"/>
      <c r="N264" s="6"/>
      <c r="O264" s="6"/>
      <c r="P264" s="6"/>
      <c r="Q264" s="6"/>
      <c r="R264" s="6"/>
      <c r="S264" s="6"/>
      <c r="T264" s="6"/>
      <c r="U264" s="6"/>
      <c r="V264" s="6"/>
      <c r="W264" s="6"/>
      <c r="X264" s="6"/>
      <c r="Y264" s="6"/>
      <c r="Z264" s="6"/>
    </row>
    <row r="265" spans="1:26" ht="18" customHeight="1" x14ac:dyDescent="0.3">
      <c r="A265" s="152"/>
      <c r="B265" s="128"/>
      <c r="C265" s="152"/>
      <c r="D265" s="128"/>
      <c r="E265" s="144" t="str">
        <f>IF(D265="","",IFERROR(INDEX('12 P6 activities'!$B$7:$B$206,MATCH(D265,'12 P6 activities'!$A$7:$A$206,0)),"⚠ not in P6 list"))</f>
        <v/>
      </c>
      <c r="F265" s="144" t="str">
        <f>IF(D265="","",IFERROR(INDEX('12 P6 activities'!$C$7:$C$206,MATCH(D265,'12 P6 activities'!$A$7:$A$206,0)),"⚠ not in P6 list"))</f>
        <v/>
      </c>
      <c r="G265" s="124"/>
      <c r="H265" s="152"/>
      <c r="I265" s="153" t="str">
        <f>IF(H265&lt;&gt;"Y","",IF(D265="","Pick the affected P6 activity first",IF(COUNTIFS('11 Notice calendar'!$A$7:$A$46,A265,'11 Notice calendar'!$I$7:$I$46,D265)&gt;0,"In the Notice calendar","Log it in the Notice calendar today")))</f>
        <v/>
      </c>
      <c r="J265" s="146"/>
      <c r="K265" s="146"/>
      <c r="L265" s="6"/>
      <c r="M265" s="6"/>
      <c r="N265" s="6"/>
      <c r="O265" s="6"/>
      <c r="P265" s="6"/>
      <c r="Q265" s="6"/>
      <c r="R265" s="6"/>
      <c r="S265" s="6"/>
      <c r="T265" s="6"/>
      <c r="U265" s="6"/>
      <c r="V265" s="6"/>
      <c r="W265" s="6"/>
      <c r="X265" s="6"/>
      <c r="Y265" s="6"/>
      <c r="Z265" s="6"/>
    </row>
    <row r="266" spans="1:26" ht="18" customHeight="1" x14ac:dyDescent="0.3">
      <c r="A266" s="152"/>
      <c r="B266" s="128"/>
      <c r="C266" s="152"/>
      <c r="D266" s="128"/>
      <c r="E266" s="144" t="str">
        <f>IF(D266="","",IFERROR(INDEX('12 P6 activities'!$B$7:$B$206,MATCH(D266,'12 P6 activities'!$A$7:$A$206,0)),"⚠ not in P6 list"))</f>
        <v/>
      </c>
      <c r="F266" s="144" t="str">
        <f>IF(D266="","",IFERROR(INDEX('12 P6 activities'!$C$7:$C$206,MATCH(D266,'12 P6 activities'!$A$7:$A$206,0)),"⚠ not in P6 list"))</f>
        <v/>
      </c>
      <c r="G266" s="124"/>
      <c r="H266" s="152"/>
      <c r="I266" s="153" t="str">
        <f>IF(H266&lt;&gt;"Y","",IF(D266="","Pick the affected P6 activity first",IF(COUNTIFS('11 Notice calendar'!$A$7:$A$46,A266,'11 Notice calendar'!$I$7:$I$46,D266)&gt;0,"In the Notice calendar","Log it in the Notice calendar today")))</f>
        <v/>
      </c>
      <c r="J266" s="146"/>
      <c r="K266" s="146"/>
      <c r="L266" s="6"/>
      <c r="M266" s="6"/>
      <c r="N266" s="6"/>
      <c r="O266" s="6"/>
      <c r="P266" s="6"/>
      <c r="Q266" s="6"/>
      <c r="R266" s="6"/>
      <c r="S266" s="6"/>
      <c r="T266" s="6"/>
      <c r="U266" s="6"/>
      <c r="V266" s="6"/>
      <c r="W266" s="6"/>
      <c r="X266" s="6"/>
      <c r="Y266" s="6"/>
      <c r="Z266" s="6"/>
    </row>
    <row r="267" spans="1:26" ht="18" customHeight="1" x14ac:dyDescent="0.3">
      <c r="A267" s="152"/>
      <c r="B267" s="128"/>
      <c r="C267" s="152"/>
      <c r="D267" s="128"/>
      <c r="E267" s="144" t="str">
        <f>IF(D267="","",IFERROR(INDEX('12 P6 activities'!$B$7:$B$206,MATCH(D267,'12 P6 activities'!$A$7:$A$206,0)),"⚠ not in P6 list"))</f>
        <v/>
      </c>
      <c r="F267" s="144" t="str">
        <f>IF(D267="","",IFERROR(INDEX('12 P6 activities'!$C$7:$C$206,MATCH(D267,'12 P6 activities'!$A$7:$A$206,0)),"⚠ not in P6 list"))</f>
        <v/>
      </c>
      <c r="G267" s="124"/>
      <c r="H267" s="152"/>
      <c r="I267" s="153" t="str">
        <f>IF(H267&lt;&gt;"Y","",IF(D267="","Pick the affected P6 activity first",IF(COUNTIFS('11 Notice calendar'!$A$7:$A$46,A267,'11 Notice calendar'!$I$7:$I$46,D267)&gt;0,"In the Notice calendar","Log it in the Notice calendar today")))</f>
        <v/>
      </c>
      <c r="J267" s="146"/>
      <c r="K267" s="146"/>
      <c r="L267" s="6"/>
      <c r="M267" s="6"/>
      <c r="N267" s="6"/>
      <c r="O267" s="6"/>
      <c r="P267" s="6"/>
      <c r="Q267" s="6"/>
      <c r="R267" s="6"/>
      <c r="S267" s="6"/>
      <c r="T267" s="6"/>
      <c r="U267" s="6"/>
      <c r="V267" s="6"/>
      <c r="W267" s="6"/>
      <c r="X267" s="6"/>
      <c r="Y267" s="6"/>
      <c r="Z267" s="6"/>
    </row>
    <row r="268" spans="1:26" ht="18" customHeight="1" x14ac:dyDescent="0.3">
      <c r="A268" s="152"/>
      <c r="B268" s="128"/>
      <c r="C268" s="152"/>
      <c r="D268" s="128"/>
      <c r="E268" s="144" t="str">
        <f>IF(D268="","",IFERROR(INDEX('12 P6 activities'!$B$7:$B$206,MATCH(D268,'12 P6 activities'!$A$7:$A$206,0)),"⚠ not in P6 list"))</f>
        <v/>
      </c>
      <c r="F268" s="144" t="str">
        <f>IF(D268="","",IFERROR(INDEX('12 P6 activities'!$C$7:$C$206,MATCH(D268,'12 P6 activities'!$A$7:$A$206,0)),"⚠ not in P6 list"))</f>
        <v/>
      </c>
      <c r="G268" s="124"/>
      <c r="H268" s="152"/>
      <c r="I268" s="153" t="str">
        <f>IF(H268&lt;&gt;"Y","",IF(D268="","Pick the affected P6 activity first",IF(COUNTIFS('11 Notice calendar'!$A$7:$A$46,A268,'11 Notice calendar'!$I$7:$I$46,D268)&gt;0,"In the Notice calendar","Log it in the Notice calendar today")))</f>
        <v/>
      </c>
      <c r="J268" s="146"/>
      <c r="K268" s="146"/>
      <c r="L268" s="6"/>
      <c r="M268" s="6"/>
      <c r="N268" s="6"/>
      <c r="O268" s="6"/>
      <c r="P268" s="6"/>
      <c r="Q268" s="6"/>
      <c r="R268" s="6"/>
      <c r="S268" s="6"/>
      <c r="T268" s="6"/>
      <c r="U268" s="6"/>
      <c r="V268" s="6"/>
      <c r="W268" s="6"/>
      <c r="X268" s="6"/>
      <c r="Y268" s="6"/>
      <c r="Z268" s="6"/>
    </row>
    <row r="269" spans="1:26" ht="18" customHeight="1" x14ac:dyDescent="0.3">
      <c r="A269" s="152"/>
      <c r="B269" s="128"/>
      <c r="C269" s="152"/>
      <c r="D269" s="128"/>
      <c r="E269" s="144" t="str">
        <f>IF(D269="","",IFERROR(INDEX('12 P6 activities'!$B$7:$B$206,MATCH(D269,'12 P6 activities'!$A$7:$A$206,0)),"⚠ not in P6 list"))</f>
        <v/>
      </c>
      <c r="F269" s="144" t="str">
        <f>IF(D269="","",IFERROR(INDEX('12 P6 activities'!$C$7:$C$206,MATCH(D269,'12 P6 activities'!$A$7:$A$206,0)),"⚠ not in P6 list"))</f>
        <v/>
      </c>
      <c r="G269" s="124"/>
      <c r="H269" s="152"/>
      <c r="I269" s="153" t="str">
        <f>IF(H269&lt;&gt;"Y","",IF(D269="","Pick the affected P6 activity first",IF(COUNTIFS('11 Notice calendar'!$A$7:$A$46,A269,'11 Notice calendar'!$I$7:$I$46,D269)&gt;0,"In the Notice calendar","Log it in the Notice calendar today")))</f>
        <v/>
      </c>
      <c r="J269" s="146"/>
      <c r="K269" s="146"/>
      <c r="L269" s="6"/>
      <c r="M269" s="6"/>
      <c r="N269" s="6"/>
      <c r="O269" s="6"/>
      <c r="P269" s="6"/>
      <c r="Q269" s="6"/>
      <c r="R269" s="6"/>
      <c r="S269" s="6"/>
      <c r="T269" s="6"/>
      <c r="U269" s="6"/>
      <c r="V269" s="6"/>
      <c r="W269" s="6"/>
      <c r="X269" s="6"/>
      <c r="Y269" s="6"/>
      <c r="Z269" s="6"/>
    </row>
    <row r="270" spans="1:26" ht="18" customHeight="1" x14ac:dyDescent="0.3">
      <c r="A270" s="152"/>
      <c r="B270" s="128"/>
      <c r="C270" s="152"/>
      <c r="D270" s="128"/>
      <c r="E270" s="144" t="str">
        <f>IF(D270="","",IFERROR(INDEX('12 P6 activities'!$B$7:$B$206,MATCH(D270,'12 P6 activities'!$A$7:$A$206,0)),"⚠ not in P6 list"))</f>
        <v/>
      </c>
      <c r="F270" s="144" t="str">
        <f>IF(D270="","",IFERROR(INDEX('12 P6 activities'!$C$7:$C$206,MATCH(D270,'12 P6 activities'!$A$7:$A$206,0)),"⚠ not in P6 list"))</f>
        <v/>
      </c>
      <c r="G270" s="124"/>
      <c r="H270" s="152"/>
      <c r="I270" s="153" t="str">
        <f>IF(H270&lt;&gt;"Y","",IF(D270="","Pick the affected P6 activity first",IF(COUNTIFS('11 Notice calendar'!$A$7:$A$46,A270,'11 Notice calendar'!$I$7:$I$46,D270)&gt;0,"In the Notice calendar","Log it in the Notice calendar today")))</f>
        <v/>
      </c>
      <c r="J270" s="146"/>
      <c r="K270" s="146"/>
      <c r="L270" s="6"/>
      <c r="M270" s="6"/>
      <c r="N270" s="6"/>
      <c r="O270" s="6"/>
      <c r="P270" s="6"/>
      <c r="Q270" s="6"/>
      <c r="R270" s="6"/>
      <c r="S270" s="6"/>
      <c r="T270" s="6"/>
      <c r="U270" s="6"/>
      <c r="V270" s="6"/>
      <c r="W270" s="6"/>
      <c r="X270" s="6"/>
      <c r="Y270" s="6"/>
      <c r="Z270" s="6"/>
    </row>
    <row r="271" spans="1:26" ht="18" customHeight="1" x14ac:dyDescent="0.3">
      <c r="A271" s="152"/>
      <c r="B271" s="128"/>
      <c r="C271" s="152"/>
      <c r="D271" s="128"/>
      <c r="E271" s="144" t="str">
        <f>IF(D271="","",IFERROR(INDEX('12 P6 activities'!$B$7:$B$206,MATCH(D271,'12 P6 activities'!$A$7:$A$206,0)),"⚠ not in P6 list"))</f>
        <v/>
      </c>
      <c r="F271" s="144" t="str">
        <f>IF(D271="","",IFERROR(INDEX('12 P6 activities'!$C$7:$C$206,MATCH(D271,'12 P6 activities'!$A$7:$A$206,0)),"⚠ not in P6 list"))</f>
        <v/>
      </c>
      <c r="G271" s="124"/>
      <c r="H271" s="152"/>
      <c r="I271" s="153" t="str">
        <f>IF(H271&lt;&gt;"Y","",IF(D271="","Pick the affected P6 activity first",IF(COUNTIFS('11 Notice calendar'!$A$7:$A$46,A271,'11 Notice calendar'!$I$7:$I$46,D271)&gt;0,"In the Notice calendar","Log it in the Notice calendar today")))</f>
        <v/>
      </c>
      <c r="J271" s="146"/>
      <c r="K271" s="146"/>
      <c r="L271" s="6"/>
      <c r="M271" s="6"/>
      <c r="N271" s="6"/>
      <c r="O271" s="6"/>
      <c r="P271" s="6"/>
      <c r="Q271" s="6"/>
      <c r="R271" s="6"/>
      <c r="S271" s="6"/>
      <c r="T271" s="6"/>
      <c r="U271" s="6"/>
      <c r="V271" s="6"/>
      <c r="W271" s="6"/>
      <c r="X271" s="6"/>
      <c r="Y271" s="6"/>
      <c r="Z271" s="6"/>
    </row>
    <row r="272" spans="1:26" ht="18" customHeight="1" x14ac:dyDescent="0.3">
      <c r="A272" s="152"/>
      <c r="B272" s="128"/>
      <c r="C272" s="152"/>
      <c r="D272" s="128"/>
      <c r="E272" s="144" t="str">
        <f>IF(D272="","",IFERROR(INDEX('12 P6 activities'!$B$7:$B$206,MATCH(D272,'12 P6 activities'!$A$7:$A$206,0)),"⚠ not in P6 list"))</f>
        <v/>
      </c>
      <c r="F272" s="144" t="str">
        <f>IF(D272="","",IFERROR(INDEX('12 P6 activities'!$C$7:$C$206,MATCH(D272,'12 P6 activities'!$A$7:$A$206,0)),"⚠ not in P6 list"))</f>
        <v/>
      </c>
      <c r="G272" s="124"/>
      <c r="H272" s="152"/>
      <c r="I272" s="153" t="str">
        <f>IF(H272&lt;&gt;"Y","",IF(D272="","Pick the affected P6 activity first",IF(COUNTIFS('11 Notice calendar'!$A$7:$A$46,A272,'11 Notice calendar'!$I$7:$I$46,D272)&gt;0,"In the Notice calendar","Log it in the Notice calendar today")))</f>
        <v/>
      </c>
      <c r="J272" s="146"/>
      <c r="K272" s="146"/>
      <c r="L272" s="6"/>
      <c r="M272" s="6"/>
      <c r="N272" s="6"/>
      <c r="O272" s="6"/>
      <c r="P272" s="6"/>
      <c r="Q272" s="6"/>
      <c r="R272" s="6"/>
      <c r="S272" s="6"/>
      <c r="T272" s="6"/>
      <c r="U272" s="6"/>
      <c r="V272" s="6"/>
      <c r="W272" s="6"/>
      <c r="X272" s="6"/>
      <c r="Y272" s="6"/>
      <c r="Z272" s="6"/>
    </row>
    <row r="273" spans="1:26" ht="18" customHeight="1" x14ac:dyDescent="0.3">
      <c r="A273" s="152"/>
      <c r="B273" s="128"/>
      <c r="C273" s="152"/>
      <c r="D273" s="128"/>
      <c r="E273" s="144" t="str">
        <f>IF(D273="","",IFERROR(INDEX('12 P6 activities'!$B$7:$B$206,MATCH(D273,'12 P6 activities'!$A$7:$A$206,0)),"⚠ not in P6 list"))</f>
        <v/>
      </c>
      <c r="F273" s="144" t="str">
        <f>IF(D273="","",IFERROR(INDEX('12 P6 activities'!$C$7:$C$206,MATCH(D273,'12 P6 activities'!$A$7:$A$206,0)),"⚠ not in P6 list"))</f>
        <v/>
      </c>
      <c r="G273" s="124"/>
      <c r="H273" s="152"/>
      <c r="I273" s="153" t="str">
        <f>IF(H273&lt;&gt;"Y","",IF(D273="","Pick the affected P6 activity first",IF(COUNTIFS('11 Notice calendar'!$A$7:$A$46,A273,'11 Notice calendar'!$I$7:$I$46,D273)&gt;0,"In the Notice calendar","Log it in the Notice calendar today")))</f>
        <v/>
      </c>
      <c r="J273" s="146"/>
      <c r="K273" s="146"/>
      <c r="L273" s="6"/>
      <c r="M273" s="6"/>
      <c r="N273" s="6"/>
      <c r="O273" s="6"/>
      <c r="P273" s="6"/>
      <c r="Q273" s="6"/>
      <c r="R273" s="6"/>
      <c r="S273" s="6"/>
      <c r="T273" s="6"/>
      <c r="U273" s="6"/>
      <c r="V273" s="6"/>
      <c r="W273" s="6"/>
      <c r="X273" s="6"/>
      <c r="Y273" s="6"/>
      <c r="Z273" s="6"/>
    </row>
    <row r="274" spans="1:26" ht="18" customHeight="1" x14ac:dyDescent="0.3">
      <c r="A274" s="152"/>
      <c r="B274" s="128"/>
      <c r="C274" s="152"/>
      <c r="D274" s="128"/>
      <c r="E274" s="144" t="str">
        <f>IF(D274="","",IFERROR(INDEX('12 P6 activities'!$B$7:$B$206,MATCH(D274,'12 P6 activities'!$A$7:$A$206,0)),"⚠ not in P6 list"))</f>
        <v/>
      </c>
      <c r="F274" s="144" t="str">
        <f>IF(D274="","",IFERROR(INDEX('12 P6 activities'!$C$7:$C$206,MATCH(D274,'12 P6 activities'!$A$7:$A$206,0)),"⚠ not in P6 list"))</f>
        <v/>
      </c>
      <c r="G274" s="124"/>
      <c r="H274" s="152"/>
      <c r="I274" s="153" t="str">
        <f>IF(H274&lt;&gt;"Y","",IF(D274="","Pick the affected P6 activity first",IF(COUNTIFS('11 Notice calendar'!$A$7:$A$46,A274,'11 Notice calendar'!$I$7:$I$46,D274)&gt;0,"In the Notice calendar","Log it in the Notice calendar today")))</f>
        <v/>
      </c>
      <c r="J274" s="146"/>
      <c r="K274" s="146"/>
      <c r="L274" s="6"/>
      <c r="M274" s="6"/>
      <c r="N274" s="6"/>
      <c r="O274" s="6"/>
      <c r="P274" s="6"/>
      <c r="Q274" s="6"/>
      <c r="R274" s="6"/>
      <c r="S274" s="6"/>
      <c r="T274" s="6"/>
      <c r="U274" s="6"/>
      <c r="V274" s="6"/>
      <c r="W274" s="6"/>
      <c r="X274" s="6"/>
      <c r="Y274" s="6"/>
      <c r="Z274" s="6"/>
    </row>
    <row r="275" spans="1:26" ht="18" customHeight="1" x14ac:dyDescent="0.3">
      <c r="A275" s="152"/>
      <c r="B275" s="128"/>
      <c r="C275" s="152"/>
      <c r="D275" s="128"/>
      <c r="E275" s="144" t="str">
        <f>IF(D275="","",IFERROR(INDEX('12 P6 activities'!$B$7:$B$206,MATCH(D275,'12 P6 activities'!$A$7:$A$206,0)),"⚠ not in P6 list"))</f>
        <v/>
      </c>
      <c r="F275" s="144" t="str">
        <f>IF(D275="","",IFERROR(INDEX('12 P6 activities'!$C$7:$C$206,MATCH(D275,'12 P6 activities'!$A$7:$A$206,0)),"⚠ not in P6 list"))</f>
        <v/>
      </c>
      <c r="G275" s="124"/>
      <c r="H275" s="152"/>
      <c r="I275" s="153" t="str">
        <f>IF(H275&lt;&gt;"Y","",IF(D275="","Pick the affected P6 activity first",IF(COUNTIFS('11 Notice calendar'!$A$7:$A$46,A275,'11 Notice calendar'!$I$7:$I$46,D275)&gt;0,"In the Notice calendar","Log it in the Notice calendar today")))</f>
        <v/>
      </c>
      <c r="J275" s="146"/>
      <c r="K275" s="146"/>
      <c r="L275" s="6"/>
      <c r="M275" s="6"/>
      <c r="N275" s="6"/>
      <c r="O275" s="6"/>
      <c r="P275" s="6"/>
      <c r="Q275" s="6"/>
      <c r="R275" s="6"/>
      <c r="S275" s="6"/>
      <c r="T275" s="6"/>
      <c r="U275" s="6"/>
      <c r="V275" s="6"/>
      <c r="W275" s="6"/>
      <c r="X275" s="6"/>
      <c r="Y275" s="6"/>
      <c r="Z275" s="6"/>
    </row>
    <row r="276" spans="1:26" ht="18" customHeight="1" x14ac:dyDescent="0.3">
      <c r="A276" s="152"/>
      <c r="B276" s="128"/>
      <c r="C276" s="152"/>
      <c r="D276" s="128"/>
      <c r="E276" s="144" t="str">
        <f>IF(D276="","",IFERROR(INDEX('12 P6 activities'!$B$7:$B$206,MATCH(D276,'12 P6 activities'!$A$7:$A$206,0)),"⚠ not in P6 list"))</f>
        <v/>
      </c>
      <c r="F276" s="144" t="str">
        <f>IF(D276="","",IFERROR(INDEX('12 P6 activities'!$C$7:$C$206,MATCH(D276,'12 P6 activities'!$A$7:$A$206,0)),"⚠ not in P6 list"))</f>
        <v/>
      </c>
      <c r="G276" s="124"/>
      <c r="H276" s="152"/>
      <c r="I276" s="153" t="str">
        <f>IF(H276&lt;&gt;"Y","",IF(D276="","Pick the affected P6 activity first",IF(COUNTIFS('11 Notice calendar'!$A$7:$A$46,A276,'11 Notice calendar'!$I$7:$I$46,D276)&gt;0,"In the Notice calendar","Log it in the Notice calendar today")))</f>
        <v/>
      </c>
      <c r="J276" s="146"/>
      <c r="K276" s="146"/>
      <c r="L276" s="6"/>
      <c r="M276" s="6"/>
      <c r="N276" s="6"/>
      <c r="O276" s="6"/>
      <c r="P276" s="6"/>
      <c r="Q276" s="6"/>
      <c r="R276" s="6"/>
      <c r="S276" s="6"/>
      <c r="T276" s="6"/>
      <c r="U276" s="6"/>
      <c r="V276" s="6"/>
      <c r="W276" s="6"/>
      <c r="X276" s="6"/>
      <c r="Y276" s="6"/>
      <c r="Z276" s="6"/>
    </row>
    <row r="277" spans="1:26" ht="18" customHeight="1" x14ac:dyDescent="0.3">
      <c r="A277" s="152"/>
      <c r="B277" s="128"/>
      <c r="C277" s="152"/>
      <c r="D277" s="128"/>
      <c r="E277" s="144" t="str">
        <f>IF(D277="","",IFERROR(INDEX('12 P6 activities'!$B$7:$B$206,MATCH(D277,'12 P6 activities'!$A$7:$A$206,0)),"⚠ not in P6 list"))</f>
        <v/>
      </c>
      <c r="F277" s="144" t="str">
        <f>IF(D277="","",IFERROR(INDEX('12 P6 activities'!$C$7:$C$206,MATCH(D277,'12 P6 activities'!$A$7:$A$206,0)),"⚠ not in P6 list"))</f>
        <v/>
      </c>
      <c r="G277" s="124"/>
      <c r="H277" s="152"/>
      <c r="I277" s="153" t="str">
        <f>IF(H277&lt;&gt;"Y","",IF(D277="","Pick the affected P6 activity first",IF(COUNTIFS('11 Notice calendar'!$A$7:$A$46,A277,'11 Notice calendar'!$I$7:$I$46,D277)&gt;0,"In the Notice calendar","Log it in the Notice calendar today")))</f>
        <v/>
      </c>
      <c r="J277" s="146"/>
      <c r="K277" s="146"/>
      <c r="L277" s="6"/>
      <c r="M277" s="6"/>
      <c r="N277" s="6"/>
      <c r="O277" s="6"/>
      <c r="P277" s="6"/>
      <c r="Q277" s="6"/>
      <c r="R277" s="6"/>
      <c r="S277" s="6"/>
      <c r="T277" s="6"/>
      <c r="U277" s="6"/>
      <c r="V277" s="6"/>
      <c r="W277" s="6"/>
      <c r="X277" s="6"/>
      <c r="Y277" s="6"/>
      <c r="Z277" s="6"/>
    </row>
    <row r="278" spans="1:26" ht="18" customHeight="1" x14ac:dyDescent="0.3">
      <c r="A278" s="152"/>
      <c r="B278" s="128"/>
      <c r="C278" s="152"/>
      <c r="D278" s="128"/>
      <c r="E278" s="144" t="str">
        <f>IF(D278="","",IFERROR(INDEX('12 P6 activities'!$B$7:$B$206,MATCH(D278,'12 P6 activities'!$A$7:$A$206,0)),"⚠ not in P6 list"))</f>
        <v/>
      </c>
      <c r="F278" s="144" t="str">
        <f>IF(D278="","",IFERROR(INDEX('12 P6 activities'!$C$7:$C$206,MATCH(D278,'12 P6 activities'!$A$7:$A$206,0)),"⚠ not in P6 list"))</f>
        <v/>
      </c>
      <c r="G278" s="124"/>
      <c r="H278" s="152"/>
      <c r="I278" s="153" t="str">
        <f>IF(H278&lt;&gt;"Y","",IF(D278="","Pick the affected P6 activity first",IF(COUNTIFS('11 Notice calendar'!$A$7:$A$46,A278,'11 Notice calendar'!$I$7:$I$46,D278)&gt;0,"In the Notice calendar","Log it in the Notice calendar today")))</f>
        <v/>
      </c>
      <c r="J278" s="146"/>
      <c r="K278" s="146"/>
      <c r="L278" s="6"/>
      <c r="M278" s="6"/>
      <c r="N278" s="6"/>
      <c r="O278" s="6"/>
      <c r="P278" s="6"/>
      <c r="Q278" s="6"/>
      <c r="R278" s="6"/>
      <c r="S278" s="6"/>
      <c r="T278" s="6"/>
      <c r="U278" s="6"/>
      <c r="V278" s="6"/>
      <c r="W278" s="6"/>
      <c r="X278" s="6"/>
      <c r="Y278" s="6"/>
      <c r="Z278" s="6"/>
    </row>
    <row r="279" spans="1:26" ht="18" customHeight="1" x14ac:dyDescent="0.3">
      <c r="A279" s="152"/>
      <c r="B279" s="128"/>
      <c r="C279" s="152"/>
      <c r="D279" s="128"/>
      <c r="E279" s="144" t="str">
        <f>IF(D279="","",IFERROR(INDEX('12 P6 activities'!$B$7:$B$206,MATCH(D279,'12 P6 activities'!$A$7:$A$206,0)),"⚠ not in P6 list"))</f>
        <v/>
      </c>
      <c r="F279" s="144" t="str">
        <f>IF(D279="","",IFERROR(INDEX('12 P6 activities'!$C$7:$C$206,MATCH(D279,'12 P6 activities'!$A$7:$A$206,0)),"⚠ not in P6 list"))</f>
        <v/>
      </c>
      <c r="G279" s="124"/>
      <c r="H279" s="152"/>
      <c r="I279" s="153" t="str">
        <f>IF(H279&lt;&gt;"Y","",IF(D279="","Pick the affected P6 activity first",IF(COUNTIFS('11 Notice calendar'!$A$7:$A$46,A279,'11 Notice calendar'!$I$7:$I$46,D279)&gt;0,"In the Notice calendar","Log it in the Notice calendar today")))</f>
        <v/>
      </c>
      <c r="J279" s="146"/>
      <c r="K279" s="146"/>
      <c r="L279" s="6"/>
      <c r="M279" s="6"/>
      <c r="N279" s="6"/>
      <c r="O279" s="6"/>
      <c r="P279" s="6"/>
      <c r="Q279" s="6"/>
      <c r="R279" s="6"/>
      <c r="S279" s="6"/>
      <c r="T279" s="6"/>
      <c r="U279" s="6"/>
      <c r="V279" s="6"/>
      <c r="W279" s="6"/>
      <c r="X279" s="6"/>
      <c r="Y279" s="6"/>
      <c r="Z279" s="6"/>
    </row>
    <row r="280" spans="1:26" ht="18" customHeight="1" x14ac:dyDescent="0.3">
      <c r="A280" s="152"/>
      <c r="B280" s="128"/>
      <c r="C280" s="152"/>
      <c r="D280" s="128"/>
      <c r="E280" s="144" t="str">
        <f>IF(D280="","",IFERROR(INDEX('12 P6 activities'!$B$7:$B$206,MATCH(D280,'12 P6 activities'!$A$7:$A$206,0)),"⚠ not in P6 list"))</f>
        <v/>
      </c>
      <c r="F280" s="144" t="str">
        <f>IF(D280="","",IFERROR(INDEX('12 P6 activities'!$C$7:$C$206,MATCH(D280,'12 P6 activities'!$A$7:$A$206,0)),"⚠ not in P6 list"))</f>
        <v/>
      </c>
      <c r="G280" s="124"/>
      <c r="H280" s="152"/>
      <c r="I280" s="153" t="str">
        <f>IF(H280&lt;&gt;"Y","",IF(D280="","Pick the affected P6 activity first",IF(COUNTIFS('11 Notice calendar'!$A$7:$A$46,A280,'11 Notice calendar'!$I$7:$I$46,D280)&gt;0,"In the Notice calendar","Log it in the Notice calendar today")))</f>
        <v/>
      </c>
      <c r="J280" s="146"/>
      <c r="K280" s="146"/>
      <c r="L280" s="6"/>
      <c r="M280" s="6"/>
      <c r="N280" s="6"/>
      <c r="O280" s="6"/>
      <c r="P280" s="6"/>
      <c r="Q280" s="6"/>
      <c r="R280" s="6"/>
      <c r="S280" s="6"/>
      <c r="T280" s="6"/>
      <c r="U280" s="6"/>
      <c r="V280" s="6"/>
      <c r="W280" s="6"/>
      <c r="X280" s="6"/>
      <c r="Y280" s="6"/>
      <c r="Z280" s="6"/>
    </row>
    <row r="281" spans="1:26" ht="18" customHeight="1" x14ac:dyDescent="0.3">
      <c r="A281" s="152"/>
      <c r="B281" s="128"/>
      <c r="C281" s="152"/>
      <c r="D281" s="128"/>
      <c r="E281" s="144" t="str">
        <f>IF(D281="","",IFERROR(INDEX('12 P6 activities'!$B$7:$B$206,MATCH(D281,'12 P6 activities'!$A$7:$A$206,0)),"⚠ not in P6 list"))</f>
        <v/>
      </c>
      <c r="F281" s="144" t="str">
        <f>IF(D281="","",IFERROR(INDEX('12 P6 activities'!$C$7:$C$206,MATCH(D281,'12 P6 activities'!$A$7:$A$206,0)),"⚠ not in P6 list"))</f>
        <v/>
      </c>
      <c r="G281" s="124"/>
      <c r="H281" s="152"/>
      <c r="I281" s="153" t="str">
        <f>IF(H281&lt;&gt;"Y","",IF(D281="","Pick the affected P6 activity first",IF(COUNTIFS('11 Notice calendar'!$A$7:$A$46,A281,'11 Notice calendar'!$I$7:$I$46,D281)&gt;0,"In the Notice calendar","Log it in the Notice calendar today")))</f>
        <v/>
      </c>
      <c r="J281" s="146"/>
      <c r="K281" s="146"/>
      <c r="L281" s="6"/>
      <c r="M281" s="6"/>
      <c r="N281" s="6"/>
      <c r="O281" s="6"/>
      <c r="P281" s="6"/>
      <c r="Q281" s="6"/>
      <c r="R281" s="6"/>
      <c r="S281" s="6"/>
      <c r="T281" s="6"/>
      <c r="U281" s="6"/>
      <c r="V281" s="6"/>
      <c r="W281" s="6"/>
      <c r="X281" s="6"/>
      <c r="Y281" s="6"/>
      <c r="Z281" s="6"/>
    </row>
    <row r="282" spans="1:26" ht="18" customHeight="1" x14ac:dyDescent="0.3">
      <c r="A282" s="152"/>
      <c r="B282" s="128"/>
      <c r="C282" s="152"/>
      <c r="D282" s="128"/>
      <c r="E282" s="144" t="str">
        <f>IF(D282="","",IFERROR(INDEX('12 P6 activities'!$B$7:$B$206,MATCH(D282,'12 P6 activities'!$A$7:$A$206,0)),"⚠ not in P6 list"))</f>
        <v/>
      </c>
      <c r="F282" s="144" t="str">
        <f>IF(D282="","",IFERROR(INDEX('12 P6 activities'!$C$7:$C$206,MATCH(D282,'12 P6 activities'!$A$7:$A$206,0)),"⚠ not in P6 list"))</f>
        <v/>
      </c>
      <c r="G282" s="124"/>
      <c r="H282" s="152"/>
      <c r="I282" s="153" t="str">
        <f>IF(H282&lt;&gt;"Y","",IF(D282="","Pick the affected P6 activity first",IF(COUNTIFS('11 Notice calendar'!$A$7:$A$46,A282,'11 Notice calendar'!$I$7:$I$46,D282)&gt;0,"In the Notice calendar","Log it in the Notice calendar today")))</f>
        <v/>
      </c>
      <c r="J282" s="146"/>
      <c r="K282" s="146"/>
      <c r="L282" s="6"/>
      <c r="M282" s="6"/>
      <c r="N282" s="6"/>
      <c r="O282" s="6"/>
      <c r="P282" s="6"/>
      <c r="Q282" s="6"/>
      <c r="R282" s="6"/>
      <c r="S282" s="6"/>
      <c r="T282" s="6"/>
      <c r="U282" s="6"/>
      <c r="V282" s="6"/>
      <c r="W282" s="6"/>
      <c r="X282" s="6"/>
      <c r="Y282" s="6"/>
      <c r="Z282" s="6"/>
    </row>
    <row r="283" spans="1:26" ht="18" customHeight="1" x14ac:dyDescent="0.3">
      <c r="A283" s="152"/>
      <c r="B283" s="128"/>
      <c r="C283" s="152"/>
      <c r="D283" s="128"/>
      <c r="E283" s="144" t="str">
        <f>IF(D283="","",IFERROR(INDEX('12 P6 activities'!$B$7:$B$206,MATCH(D283,'12 P6 activities'!$A$7:$A$206,0)),"⚠ not in P6 list"))</f>
        <v/>
      </c>
      <c r="F283" s="144" t="str">
        <f>IF(D283="","",IFERROR(INDEX('12 P6 activities'!$C$7:$C$206,MATCH(D283,'12 P6 activities'!$A$7:$A$206,0)),"⚠ not in P6 list"))</f>
        <v/>
      </c>
      <c r="G283" s="124"/>
      <c r="H283" s="152"/>
      <c r="I283" s="153" t="str">
        <f>IF(H283&lt;&gt;"Y","",IF(D283="","Pick the affected P6 activity first",IF(COUNTIFS('11 Notice calendar'!$A$7:$A$46,A283,'11 Notice calendar'!$I$7:$I$46,D283)&gt;0,"In the Notice calendar","Log it in the Notice calendar today")))</f>
        <v/>
      </c>
      <c r="J283" s="146"/>
      <c r="K283" s="146"/>
      <c r="L283" s="6"/>
      <c r="M283" s="6"/>
      <c r="N283" s="6"/>
      <c r="O283" s="6"/>
      <c r="P283" s="6"/>
      <c r="Q283" s="6"/>
      <c r="R283" s="6"/>
      <c r="S283" s="6"/>
      <c r="T283" s="6"/>
      <c r="U283" s="6"/>
      <c r="V283" s="6"/>
      <c r="W283" s="6"/>
      <c r="X283" s="6"/>
      <c r="Y283" s="6"/>
      <c r="Z283" s="6"/>
    </row>
    <row r="284" spans="1:26" ht="18" customHeight="1" x14ac:dyDescent="0.3">
      <c r="A284" s="152"/>
      <c r="B284" s="128"/>
      <c r="C284" s="152"/>
      <c r="D284" s="128"/>
      <c r="E284" s="144" t="str">
        <f>IF(D284="","",IFERROR(INDEX('12 P6 activities'!$B$7:$B$206,MATCH(D284,'12 P6 activities'!$A$7:$A$206,0)),"⚠ not in P6 list"))</f>
        <v/>
      </c>
      <c r="F284" s="144" t="str">
        <f>IF(D284="","",IFERROR(INDEX('12 P6 activities'!$C$7:$C$206,MATCH(D284,'12 P6 activities'!$A$7:$A$206,0)),"⚠ not in P6 list"))</f>
        <v/>
      </c>
      <c r="G284" s="124"/>
      <c r="H284" s="152"/>
      <c r="I284" s="153" t="str">
        <f>IF(H284&lt;&gt;"Y","",IF(D284="","Pick the affected P6 activity first",IF(COUNTIFS('11 Notice calendar'!$A$7:$A$46,A284,'11 Notice calendar'!$I$7:$I$46,D284)&gt;0,"In the Notice calendar","Log it in the Notice calendar today")))</f>
        <v/>
      </c>
      <c r="J284" s="146"/>
      <c r="K284" s="146"/>
      <c r="L284" s="6"/>
      <c r="M284" s="6"/>
      <c r="N284" s="6"/>
      <c r="O284" s="6"/>
      <c r="P284" s="6"/>
      <c r="Q284" s="6"/>
      <c r="R284" s="6"/>
      <c r="S284" s="6"/>
      <c r="T284" s="6"/>
      <c r="U284" s="6"/>
      <c r="V284" s="6"/>
      <c r="W284" s="6"/>
      <c r="X284" s="6"/>
      <c r="Y284" s="6"/>
      <c r="Z284" s="6"/>
    </row>
    <row r="285" spans="1:26" ht="18" customHeight="1" x14ac:dyDescent="0.3">
      <c r="A285" s="152"/>
      <c r="B285" s="128"/>
      <c r="C285" s="152"/>
      <c r="D285" s="128"/>
      <c r="E285" s="144" t="str">
        <f>IF(D285="","",IFERROR(INDEX('12 P6 activities'!$B$7:$B$206,MATCH(D285,'12 P6 activities'!$A$7:$A$206,0)),"⚠ not in P6 list"))</f>
        <v/>
      </c>
      <c r="F285" s="144" t="str">
        <f>IF(D285="","",IFERROR(INDEX('12 P6 activities'!$C$7:$C$206,MATCH(D285,'12 P6 activities'!$A$7:$A$206,0)),"⚠ not in P6 list"))</f>
        <v/>
      </c>
      <c r="G285" s="124"/>
      <c r="H285" s="152"/>
      <c r="I285" s="153" t="str">
        <f>IF(H285&lt;&gt;"Y","",IF(D285="","Pick the affected P6 activity first",IF(COUNTIFS('11 Notice calendar'!$A$7:$A$46,A285,'11 Notice calendar'!$I$7:$I$46,D285)&gt;0,"In the Notice calendar","Log it in the Notice calendar today")))</f>
        <v/>
      </c>
      <c r="J285" s="146"/>
      <c r="K285" s="146"/>
      <c r="L285" s="6"/>
      <c r="M285" s="6"/>
      <c r="N285" s="6"/>
      <c r="O285" s="6"/>
      <c r="P285" s="6"/>
      <c r="Q285" s="6"/>
      <c r="R285" s="6"/>
      <c r="S285" s="6"/>
      <c r="T285" s="6"/>
      <c r="U285" s="6"/>
      <c r="V285" s="6"/>
      <c r="W285" s="6"/>
      <c r="X285" s="6"/>
      <c r="Y285" s="6"/>
      <c r="Z285" s="6"/>
    </row>
    <row r="286" spans="1:26" ht="18" customHeight="1" x14ac:dyDescent="0.3">
      <c r="A286" s="152"/>
      <c r="B286" s="128"/>
      <c r="C286" s="152"/>
      <c r="D286" s="128"/>
      <c r="E286" s="144" t="str">
        <f>IF(D286="","",IFERROR(INDEX('12 P6 activities'!$B$7:$B$206,MATCH(D286,'12 P6 activities'!$A$7:$A$206,0)),"⚠ not in P6 list"))</f>
        <v/>
      </c>
      <c r="F286" s="144" t="str">
        <f>IF(D286="","",IFERROR(INDEX('12 P6 activities'!$C$7:$C$206,MATCH(D286,'12 P6 activities'!$A$7:$A$206,0)),"⚠ not in P6 list"))</f>
        <v/>
      </c>
      <c r="G286" s="124"/>
      <c r="H286" s="152"/>
      <c r="I286" s="153" t="str">
        <f>IF(H286&lt;&gt;"Y","",IF(D286="","Pick the affected P6 activity first",IF(COUNTIFS('11 Notice calendar'!$A$7:$A$46,A286,'11 Notice calendar'!$I$7:$I$46,D286)&gt;0,"In the Notice calendar","Log it in the Notice calendar today")))</f>
        <v/>
      </c>
      <c r="J286" s="146"/>
      <c r="K286" s="146"/>
      <c r="L286" s="6"/>
      <c r="M286" s="6"/>
      <c r="N286" s="6"/>
      <c r="O286" s="6"/>
      <c r="P286" s="6"/>
      <c r="Q286" s="6"/>
      <c r="R286" s="6"/>
      <c r="S286" s="6"/>
      <c r="T286" s="6"/>
      <c r="U286" s="6"/>
      <c r="V286" s="6"/>
      <c r="W286" s="6"/>
      <c r="X286" s="6"/>
      <c r="Y286" s="6"/>
      <c r="Z286" s="6"/>
    </row>
    <row r="287" spans="1:26" ht="18" customHeight="1" x14ac:dyDescent="0.3">
      <c r="A287" s="152"/>
      <c r="B287" s="128"/>
      <c r="C287" s="152"/>
      <c r="D287" s="128"/>
      <c r="E287" s="144" t="str">
        <f>IF(D287="","",IFERROR(INDEX('12 P6 activities'!$B$7:$B$206,MATCH(D287,'12 P6 activities'!$A$7:$A$206,0)),"⚠ not in P6 list"))</f>
        <v/>
      </c>
      <c r="F287" s="144" t="str">
        <f>IF(D287="","",IFERROR(INDEX('12 P6 activities'!$C$7:$C$206,MATCH(D287,'12 P6 activities'!$A$7:$A$206,0)),"⚠ not in P6 list"))</f>
        <v/>
      </c>
      <c r="G287" s="124"/>
      <c r="H287" s="152"/>
      <c r="I287" s="153" t="str">
        <f>IF(H287&lt;&gt;"Y","",IF(D287="","Pick the affected P6 activity first",IF(COUNTIFS('11 Notice calendar'!$A$7:$A$46,A287,'11 Notice calendar'!$I$7:$I$46,D287)&gt;0,"In the Notice calendar","Log it in the Notice calendar today")))</f>
        <v/>
      </c>
      <c r="J287" s="146"/>
      <c r="K287" s="146"/>
      <c r="L287" s="6"/>
      <c r="M287" s="6"/>
      <c r="N287" s="6"/>
      <c r="O287" s="6"/>
      <c r="P287" s="6"/>
      <c r="Q287" s="6"/>
      <c r="R287" s="6"/>
      <c r="S287" s="6"/>
      <c r="T287" s="6"/>
      <c r="U287" s="6"/>
      <c r="V287" s="6"/>
      <c r="W287" s="6"/>
      <c r="X287" s="6"/>
      <c r="Y287" s="6"/>
      <c r="Z287" s="6"/>
    </row>
    <row r="288" spans="1:26" ht="18" customHeight="1" x14ac:dyDescent="0.3">
      <c r="A288" s="152"/>
      <c r="B288" s="128"/>
      <c r="C288" s="152"/>
      <c r="D288" s="128"/>
      <c r="E288" s="144" t="str">
        <f>IF(D288="","",IFERROR(INDEX('12 P6 activities'!$B$7:$B$206,MATCH(D288,'12 P6 activities'!$A$7:$A$206,0)),"⚠ not in P6 list"))</f>
        <v/>
      </c>
      <c r="F288" s="144" t="str">
        <f>IF(D288="","",IFERROR(INDEX('12 P6 activities'!$C$7:$C$206,MATCH(D288,'12 P6 activities'!$A$7:$A$206,0)),"⚠ not in P6 list"))</f>
        <v/>
      </c>
      <c r="G288" s="124"/>
      <c r="H288" s="152"/>
      <c r="I288" s="153" t="str">
        <f>IF(H288&lt;&gt;"Y","",IF(D288="","Pick the affected P6 activity first",IF(COUNTIFS('11 Notice calendar'!$A$7:$A$46,A288,'11 Notice calendar'!$I$7:$I$46,D288)&gt;0,"In the Notice calendar","Log it in the Notice calendar today")))</f>
        <v/>
      </c>
      <c r="J288" s="146"/>
      <c r="K288" s="146"/>
      <c r="L288" s="6"/>
      <c r="M288" s="6"/>
      <c r="N288" s="6"/>
      <c r="O288" s="6"/>
      <c r="P288" s="6"/>
      <c r="Q288" s="6"/>
      <c r="R288" s="6"/>
      <c r="S288" s="6"/>
      <c r="T288" s="6"/>
      <c r="U288" s="6"/>
      <c r="V288" s="6"/>
      <c r="W288" s="6"/>
      <c r="X288" s="6"/>
      <c r="Y288" s="6"/>
      <c r="Z288" s="6"/>
    </row>
    <row r="289" spans="1:26" ht="18" customHeight="1" x14ac:dyDescent="0.3">
      <c r="A289" s="152"/>
      <c r="B289" s="128"/>
      <c r="C289" s="152"/>
      <c r="D289" s="128"/>
      <c r="E289" s="144" t="str">
        <f>IF(D289="","",IFERROR(INDEX('12 P6 activities'!$B$7:$B$206,MATCH(D289,'12 P6 activities'!$A$7:$A$206,0)),"⚠ not in P6 list"))</f>
        <v/>
      </c>
      <c r="F289" s="144" t="str">
        <f>IF(D289="","",IFERROR(INDEX('12 P6 activities'!$C$7:$C$206,MATCH(D289,'12 P6 activities'!$A$7:$A$206,0)),"⚠ not in P6 list"))</f>
        <v/>
      </c>
      <c r="G289" s="124"/>
      <c r="H289" s="152"/>
      <c r="I289" s="153" t="str">
        <f>IF(H289&lt;&gt;"Y","",IF(D289="","Pick the affected P6 activity first",IF(COUNTIFS('11 Notice calendar'!$A$7:$A$46,A289,'11 Notice calendar'!$I$7:$I$46,D289)&gt;0,"In the Notice calendar","Log it in the Notice calendar today")))</f>
        <v/>
      </c>
      <c r="J289" s="146"/>
      <c r="K289" s="146"/>
      <c r="L289" s="6"/>
      <c r="M289" s="6"/>
      <c r="N289" s="6"/>
      <c r="O289" s="6"/>
      <c r="P289" s="6"/>
      <c r="Q289" s="6"/>
      <c r="R289" s="6"/>
      <c r="S289" s="6"/>
      <c r="T289" s="6"/>
      <c r="U289" s="6"/>
      <c r="V289" s="6"/>
      <c r="W289" s="6"/>
      <c r="X289" s="6"/>
      <c r="Y289" s="6"/>
      <c r="Z289" s="6"/>
    </row>
    <row r="290" spans="1:26" ht="18" customHeight="1" x14ac:dyDescent="0.3">
      <c r="A290" s="152"/>
      <c r="B290" s="128"/>
      <c r="C290" s="152"/>
      <c r="D290" s="128"/>
      <c r="E290" s="144" t="str">
        <f>IF(D290="","",IFERROR(INDEX('12 P6 activities'!$B$7:$B$206,MATCH(D290,'12 P6 activities'!$A$7:$A$206,0)),"⚠ not in P6 list"))</f>
        <v/>
      </c>
      <c r="F290" s="144" t="str">
        <f>IF(D290="","",IFERROR(INDEX('12 P6 activities'!$C$7:$C$206,MATCH(D290,'12 P6 activities'!$A$7:$A$206,0)),"⚠ not in P6 list"))</f>
        <v/>
      </c>
      <c r="G290" s="124"/>
      <c r="H290" s="152"/>
      <c r="I290" s="153" t="str">
        <f>IF(H290&lt;&gt;"Y","",IF(D290="","Pick the affected P6 activity first",IF(COUNTIFS('11 Notice calendar'!$A$7:$A$46,A290,'11 Notice calendar'!$I$7:$I$46,D290)&gt;0,"In the Notice calendar","Log it in the Notice calendar today")))</f>
        <v/>
      </c>
      <c r="J290" s="146"/>
      <c r="K290" s="146"/>
      <c r="L290" s="6"/>
      <c r="M290" s="6"/>
      <c r="N290" s="6"/>
      <c r="O290" s="6"/>
      <c r="P290" s="6"/>
      <c r="Q290" s="6"/>
      <c r="R290" s="6"/>
      <c r="S290" s="6"/>
      <c r="T290" s="6"/>
      <c r="U290" s="6"/>
      <c r="V290" s="6"/>
      <c r="W290" s="6"/>
      <c r="X290" s="6"/>
      <c r="Y290" s="6"/>
      <c r="Z290" s="6"/>
    </row>
    <row r="291" spans="1:26" ht="18" customHeight="1" x14ac:dyDescent="0.3">
      <c r="A291" s="152"/>
      <c r="B291" s="128"/>
      <c r="C291" s="152"/>
      <c r="D291" s="128"/>
      <c r="E291" s="144" t="str">
        <f>IF(D291="","",IFERROR(INDEX('12 P6 activities'!$B$7:$B$206,MATCH(D291,'12 P6 activities'!$A$7:$A$206,0)),"⚠ not in P6 list"))</f>
        <v/>
      </c>
      <c r="F291" s="144" t="str">
        <f>IF(D291="","",IFERROR(INDEX('12 P6 activities'!$C$7:$C$206,MATCH(D291,'12 P6 activities'!$A$7:$A$206,0)),"⚠ not in P6 list"))</f>
        <v/>
      </c>
      <c r="G291" s="124"/>
      <c r="H291" s="152"/>
      <c r="I291" s="153" t="str">
        <f>IF(H291&lt;&gt;"Y","",IF(D291="","Pick the affected P6 activity first",IF(COUNTIFS('11 Notice calendar'!$A$7:$A$46,A291,'11 Notice calendar'!$I$7:$I$46,D291)&gt;0,"In the Notice calendar","Log it in the Notice calendar today")))</f>
        <v/>
      </c>
      <c r="J291" s="146"/>
      <c r="K291" s="146"/>
      <c r="L291" s="6"/>
      <c r="M291" s="6"/>
      <c r="N291" s="6"/>
      <c r="O291" s="6"/>
      <c r="P291" s="6"/>
      <c r="Q291" s="6"/>
      <c r="R291" s="6"/>
      <c r="S291" s="6"/>
      <c r="T291" s="6"/>
      <c r="U291" s="6"/>
      <c r="V291" s="6"/>
      <c r="W291" s="6"/>
      <c r="X291" s="6"/>
      <c r="Y291" s="6"/>
      <c r="Z291" s="6"/>
    </row>
    <row r="292" spans="1:26" ht="18" customHeight="1" x14ac:dyDescent="0.3">
      <c r="A292" s="152"/>
      <c r="B292" s="128"/>
      <c r="C292" s="152"/>
      <c r="D292" s="128"/>
      <c r="E292" s="144" t="str">
        <f>IF(D292="","",IFERROR(INDEX('12 P6 activities'!$B$7:$B$206,MATCH(D292,'12 P6 activities'!$A$7:$A$206,0)),"⚠ not in P6 list"))</f>
        <v/>
      </c>
      <c r="F292" s="144" t="str">
        <f>IF(D292="","",IFERROR(INDEX('12 P6 activities'!$C$7:$C$206,MATCH(D292,'12 P6 activities'!$A$7:$A$206,0)),"⚠ not in P6 list"))</f>
        <v/>
      </c>
      <c r="G292" s="124"/>
      <c r="H292" s="152"/>
      <c r="I292" s="153" t="str">
        <f>IF(H292&lt;&gt;"Y","",IF(D292="","Pick the affected P6 activity first",IF(COUNTIFS('11 Notice calendar'!$A$7:$A$46,A292,'11 Notice calendar'!$I$7:$I$46,D292)&gt;0,"In the Notice calendar","Log it in the Notice calendar today")))</f>
        <v/>
      </c>
      <c r="J292" s="146"/>
      <c r="K292" s="146"/>
      <c r="L292" s="6"/>
      <c r="M292" s="6"/>
      <c r="N292" s="6"/>
      <c r="O292" s="6"/>
      <c r="P292" s="6"/>
      <c r="Q292" s="6"/>
      <c r="R292" s="6"/>
      <c r="S292" s="6"/>
      <c r="T292" s="6"/>
      <c r="U292" s="6"/>
      <c r="V292" s="6"/>
      <c r="W292" s="6"/>
      <c r="X292" s="6"/>
      <c r="Y292" s="6"/>
      <c r="Z292" s="6"/>
    </row>
    <row r="293" spans="1:26" ht="18" customHeight="1" x14ac:dyDescent="0.3">
      <c r="A293" s="152"/>
      <c r="B293" s="128"/>
      <c r="C293" s="152"/>
      <c r="D293" s="128"/>
      <c r="E293" s="144" t="str">
        <f>IF(D293="","",IFERROR(INDEX('12 P6 activities'!$B$7:$B$206,MATCH(D293,'12 P6 activities'!$A$7:$A$206,0)),"⚠ not in P6 list"))</f>
        <v/>
      </c>
      <c r="F293" s="144" t="str">
        <f>IF(D293="","",IFERROR(INDEX('12 P6 activities'!$C$7:$C$206,MATCH(D293,'12 P6 activities'!$A$7:$A$206,0)),"⚠ not in P6 list"))</f>
        <v/>
      </c>
      <c r="G293" s="124"/>
      <c r="H293" s="152"/>
      <c r="I293" s="153" t="str">
        <f>IF(H293&lt;&gt;"Y","",IF(D293="","Pick the affected P6 activity first",IF(COUNTIFS('11 Notice calendar'!$A$7:$A$46,A293,'11 Notice calendar'!$I$7:$I$46,D293)&gt;0,"In the Notice calendar","Log it in the Notice calendar today")))</f>
        <v/>
      </c>
      <c r="J293" s="146"/>
      <c r="K293" s="146"/>
      <c r="L293" s="6"/>
      <c r="M293" s="6"/>
      <c r="N293" s="6"/>
      <c r="O293" s="6"/>
      <c r="P293" s="6"/>
      <c r="Q293" s="6"/>
      <c r="R293" s="6"/>
      <c r="S293" s="6"/>
      <c r="T293" s="6"/>
      <c r="U293" s="6"/>
      <c r="V293" s="6"/>
      <c r="W293" s="6"/>
      <c r="X293" s="6"/>
      <c r="Y293" s="6"/>
      <c r="Z293" s="6"/>
    </row>
    <row r="294" spans="1:26" ht="18" customHeight="1" x14ac:dyDescent="0.3">
      <c r="A294" s="152"/>
      <c r="B294" s="128"/>
      <c r="C294" s="152"/>
      <c r="D294" s="128"/>
      <c r="E294" s="144" t="str">
        <f>IF(D294="","",IFERROR(INDEX('12 P6 activities'!$B$7:$B$206,MATCH(D294,'12 P6 activities'!$A$7:$A$206,0)),"⚠ not in P6 list"))</f>
        <v/>
      </c>
      <c r="F294" s="144" t="str">
        <f>IF(D294="","",IFERROR(INDEX('12 P6 activities'!$C$7:$C$206,MATCH(D294,'12 P6 activities'!$A$7:$A$206,0)),"⚠ not in P6 list"))</f>
        <v/>
      </c>
      <c r="G294" s="124"/>
      <c r="H294" s="152"/>
      <c r="I294" s="153" t="str">
        <f>IF(H294&lt;&gt;"Y","",IF(D294="","Pick the affected P6 activity first",IF(COUNTIFS('11 Notice calendar'!$A$7:$A$46,A294,'11 Notice calendar'!$I$7:$I$46,D294)&gt;0,"In the Notice calendar","Log it in the Notice calendar today")))</f>
        <v/>
      </c>
      <c r="J294" s="146"/>
      <c r="K294" s="146"/>
      <c r="L294" s="6"/>
      <c r="M294" s="6"/>
      <c r="N294" s="6"/>
      <c r="O294" s="6"/>
      <c r="P294" s="6"/>
      <c r="Q294" s="6"/>
      <c r="R294" s="6"/>
      <c r="S294" s="6"/>
      <c r="T294" s="6"/>
      <c r="U294" s="6"/>
      <c r="V294" s="6"/>
      <c r="W294" s="6"/>
      <c r="X294" s="6"/>
      <c r="Y294" s="6"/>
      <c r="Z294" s="6"/>
    </row>
    <row r="295" spans="1:26" ht="18" customHeight="1" x14ac:dyDescent="0.3">
      <c r="A295" s="152"/>
      <c r="B295" s="128"/>
      <c r="C295" s="152"/>
      <c r="D295" s="128"/>
      <c r="E295" s="144" t="str">
        <f>IF(D295="","",IFERROR(INDEX('12 P6 activities'!$B$7:$B$206,MATCH(D295,'12 P6 activities'!$A$7:$A$206,0)),"⚠ not in P6 list"))</f>
        <v/>
      </c>
      <c r="F295" s="144" t="str">
        <f>IF(D295="","",IFERROR(INDEX('12 P6 activities'!$C$7:$C$206,MATCH(D295,'12 P6 activities'!$A$7:$A$206,0)),"⚠ not in P6 list"))</f>
        <v/>
      </c>
      <c r="G295" s="124"/>
      <c r="H295" s="152"/>
      <c r="I295" s="153" t="str">
        <f>IF(H295&lt;&gt;"Y","",IF(D295="","Pick the affected P6 activity first",IF(COUNTIFS('11 Notice calendar'!$A$7:$A$46,A295,'11 Notice calendar'!$I$7:$I$46,D295)&gt;0,"In the Notice calendar","Log it in the Notice calendar today")))</f>
        <v/>
      </c>
      <c r="J295" s="146"/>
      <c r="K295" s="146"/>
      <c r="L295" s="6"/>
      <c r="M295" s="6"/>
      <c r="N295" s="6"/>
      <c r="O295" s="6"/>
      <c r="P295" s="6"/>
      <c r="Q295" s="6"/>
      <c r="R295" s="6"/>
      <c r="S295" s="6"/>
      <c r="T295" s="6"/>
      <c r="U295" s="6"/>
      <c r="V295" s="6"/>
      <c r="W295" s="6"/>
      <c r="X295" s="6"/>
      <c r="Y295" s="6"/>
      <c r="Z295" s="6"/>
    </row>
    <row r="296" spans="1:26" ht="18" customHeight="1" x14ac:dyDescent="0.3">
      <c r="A296" s="152"/>
      <c r="B296" s="128"/>
      <c r="C296" s="152"/>
      <c r="D296" s="128"/>
      <c r="E296" s="144" t="str">
        <f>IF(D296="","",IFERROR(INDEX('12 P6 activities'!$B$7:$B$206,MATCH(D296,'12 P6 activities'!$A$7:$A$206,0)),"⚠ not in P6 list"))</f>
        <v/>
      </c>
      <c r="F296" s="144" t="str">
        <f>IF(D296="","",IFERROR(INDEX('12 P6 activities'!$C$7:$C$206,MATCH(D296,'12 P6 activities'!$A$7:$A$206,0)),"⚠ not in P6 list"))</f>
        <v/>
      </c>
      <c r="G296" s="124"/>
      <c r="H296" s="152"/>
      <c r="I296" s="153" t="str">
        <f>IF(H296&lt;&gt;"Y","",IF(D296="","Pick the affected P6 activity first",IF(COUNTIFS('11 Notice calendar'!$A$7:$A$46,A296,'11 Notice calendar'!$I$7:$I$46,D296)&gt;0,"In the Notice calendar","Log it in the Notice calendar today")))</f>
        <v/>
      </c>
      <c r="J296" s="146"/>
      <c r="K296" s="146"/>
      <c r="L296" s="6"/>
      <c r="M296" s="6"/>
      <c r="N296" s="6"/>
      <c r="O296" s="6"/>
      <c r="P296" s="6"/>
      <c r="Q296" s="6"/>
      <c r="R296" s="6"/>
      <c r="S296" s="6"/>
      <c r="T296" s="6"/>
      <c r="U296" s="6"/>
      <c r="V296" s="6"/>
      <c r="W296" s="6"/>
      <c r="X296" s="6"/>
      <c r="Y296" s="6"/>
      <c r="Z296" s="6"/>
    </row>
    <row r="297" spans="1:26" ht="18" customHeight="1" x14ac:dyDescent="0.3">
      <c r="A297" s="152"/>
      <c r="B297" s="128"/>
      <c r="C297" s="152"/>
      <c r="D297" s="128"/>
      <c r="E297" s="144" t="str">
        <f>IF(D297="","",IFERROR(INDEX('12 P6 activities'!$B$7:$B$206,MATCH(D297,'12 P6 activities'!$A$7:$A$206,0)),"⚠ not in P6 list"))</f>
        <v/>
      </c>
      <c r="F297" s="144" t="str">
        <f>IF(D297="","",IFERROR(INDEX('12 P6 activities'!$C$7:$C$206,MATCH(D297,'12 P6 activities'!$A$7:$A$206,0)),"⚠ not in P6 list"))</f>
        <v/>
      </c>
      <c r="G297" s="124"/>
      <c r="H297" s="152"/>
      <c r="I297" s="153" t="str">
        <f>IF(H297&lt;&gt;"Y","",IF(D297="","Pick the affected P6 activity first",IF(COUNTIFS('11 Notice calendar'!$A$7:$A$46,A297,'11 Notice calendar'!$I$7:$I$46,D297)&gt;0,"In the Notice calendar","Log it in the Notice calendar today")))</f>
        <v/>
      </c>
      <c r="J297" s="146"/>
      <c r="K297" s="146"/>
      <c r="L297" s="6"/>
      <c r="M297" s="6"/>
      <c r="N297" s="6"/>
      <c r="O297" s="6"/>
      <c r="P297" s="6"/>
      <c r="Q297" s="6"/>
      <c r="R297" s="6"/>
      <c r="S297" s="6"/>
      <c r="T297" s="6"/>
      <c r="U297" s="6"/>
      <c r="V297" s="6"/>
      <c r="W297" s="6"/>
      <c r="X297" s="6"/>
      <c r="Y297" s="6"/>
      <c r="Z297" s="6"/>
    </row>
    <row r="298" spans="1:26" ht="18" customHeight="1" x14ac:dyDescent="0.3">
      <c r="A298" s="152"/>
      <c r="B298" s="128"/>
      <c r="C298" s="152"/>
      <c r="D298" s="128"/>
      <c r="E298" s="144" t="str">
        <f>IF(D298="","",IFERROR(INDEX('12 P6 activities'!$B$7:$B$206,MATCH(D298,'12 P6 activities'!$A$7:$A$206,0)),"⚠ not in P6 list"))</f>
        <v/>
      </c>
      <c r="F298" s="144" t="str">
        <f>IF(D298="","",IFERROR(INDEX('12 P6 activities'!$C$7:$C$206,MATCH(D298,'12 P6 activities'!$A$7:$A$206,0)),"⚠ not in P6 list"))</f>
        <v/>
      </c>
      <c r="G298" s="124"/>
      <c r="H298" s="152"/>
      <c r="I298" s="153" t="str">
        <f>IF(H298&lt;&gt;"Y","",IF(D298="","Pick the affected P6 activity first",IF(COUNTIFS('11 Notice calendar'!$A$7:$A$46,A298,'11 Notice calendar'!$I$7:$I$46,D298)&gt;0,"In the Notice calendar","Log it in the Notice calendar today")))</f>
        <v/>
      </c>
      <c r="J298" s="146"/>
      <c r="K298" s="146"/>
      <c r="L298" s="6"/>
      <c r="M298" s="6"/>
      <c r="N298" s="6"/>
      <c r="O298" s="6"/>
      <c r="P298" s="6"/>
      <c r="Q298" s="6"/>
      <c r="R298" s="6"/>
      <c r="S298" s="6"/>
      <c r="T298" s="6"/>
      <c r="U298" s="6"/>
      <c r="V298" s="6"/>
      <c r="W298" s="6"/>
      <c r="X298" s="6"/>
      <c r="Y298" s="6"/>
      <c r="Z298" s="6"/>
    </row>
    <row r="299" spans="1:26" ht="18" customHeight="1" x14ac:dyDescent="0.3">
      <c r="A299" s="152"/>
      <c r="B299" s="128"/>
      <c r="C299" s="152"/>
      <c r="D299" s="128"/>
      <c r="E299" s="144" t="str">
        <f>IF(D299="","",IFERROR(INDEX('12 P6 activities'!$B$7:$B$206,MATCH(D299,'12 P6 activities'!$A$7:$A$206,0)),"⚠ not in P6 list"))</f>
        <v/>
      </c>
      <c r="F299" s="144" t="str">
        <f>IF(D299="","",IFERROR(INDEX('12 P6 activities'!$C$7:$C$206,MATCH(D299,'12 P6 activities'!$A$7:$A$206,0)),"⚠ not in P6 list"))</f>
        <v/>
      </c>
      <c r="G299" s="124"/>
      <c r="H299" s="152"/>
      <c r="I299" s="153" t="str">
        <f>IF(H299&lt;&gt;"Y","",IF(D299="","Pick the affected P6 activity first",IF(COUNTIFS('11 Notice calendar'!$A$7:$A$46,A299,'11 Notice calendar'!$I$7:$I$46,D299)&gt;0,"In the Notice calendar","Log it in the Notice calendar today")))</f>
        <v/>
      </c>
      <c r="J299" s="146"/>
      <c r="K299" s="146"/>
      <c r="L299" s="6"/>
      <c r="M299" s="6"/>
      <c r="N299" s="6"/>
      <c r="O299" s="6"/>
      <c r="P299" s="6"/>
      <c r="Q299" s="6"/>
      <c r="R299" s="6"/>
      <c r="S299" s="6"/>
      <c r="T299" s="6"/>
      <c r="U299" s="6"/>
      <c r="V299" s="6"/>
      <c r="W299" s="6"/>
      <c r="X299" s="6"/>
      <c r="Y299" s="6"/>
      <c r="Z299" s="6"/>
    </row>
    <row r="300" spans="1:26" ht="18" customHeight="1" x14ac:dyDescent="0.3">
      <c r="A300" s="152"/>
      <c r="B300" s="128"/>
      <c r="C300" s="152"/>
      <c r="D300" s="128"/>
      <c r="E300" s="144" t="str">
        <f>IF(D300="","",IFERROR(INDEX('12 P6 activities'!$B$7:$B$206,MATCH(D300,'12 P6 activities'!$A$7:$A$206,0)),"⚠ not in P6 list"))</f>
        <v/>
      </c>
      <c r="F300" s="144" t="str">
        <f>IF(D300="","",IFERROR(INDEX('12 P6 activities'!$C$7:$C$206,MATCH(D300,'12 P6 activities'!$A$7:$A$206,0)),"⚠ not in P6 list"))</f>
        <v/>
      </c>
      <c r="G300" s="124"/>
      <c r="H300" s="152"/>
      <c r="I300" s="153" t="str">
        <f>IF(H300&lt;&gt;"Y","",IF(D300="","Pick the affected P6 activity first",IF(COUNTIFS('11 Notice calendar'!$A$7:$A$46,A300,'11 Notice calendar'!$I$7:$I$46,D300)&gt;0,"In the Notice calendar","Log it in the Notice calendar today")))</f>
        <v/>
      </c>
      <c r="J300" s="146"/>
      <c r="K300" s="146"/>
      <c r="L300" s="6"/>
      <c r="M300" s="6"/>
      <c r="N300" s="6"/>
      <c r="O300" s="6"/>
      <c r="P300" s="6"/>
      <c r="Q300" s="6"/>
      <c r="R300" s="6"/>
      <c r="S300" s="6"/>
      <c r="T300" s="6"/>
      <c r="U300" s="6"/>
      <c r="V300" s="6"/>
      <c r="W300" s="6"/>
      <c r="X300" s="6"/>
      <c r="Y300" s="6"/>
      <c r="Z300" s="6"/>
    </row>
    <row r="301" spans="1:26" ht="18" customHeight="1" x14ac:dyDescent="0.3">
      <c r="A301" s="152"/>
      <c r="B301" s="128"/>
      <c r="C301" s="152"/>
      <c r="D301" s="128"/>
      <c r="E301" s="144" t="str">
        <f>IF(D301="","",IFERROR(INDEX('12 P6 activities'!$B$7:$B$206,MATCH(D301,'12 P6 activities'!$A$7:$A$206,0)),"⚠ not in P6 list"))</f>
        <v/>
      </c>
      <c r="F301" s="144" t="str">
        <f>IF(D301="","",IFERROR(INDEX('12 P6 activities'!$C$7:$C$206,MATCH(D301,'12 P6 activities'!$A$7:$A$206,0)),"⚠ not in P6 list"))</f>
        <v/>
      </c>
      <c r="G301" s="124"/>
      <c r="H301" s="152"/>
      <c r="I301" s="153" t="str">
        <f>IF(H301&lt;&gt;"Y","",IF(D301="","Pick the affected P6 activity first",IF(COUNTIFS('11 Notice calendar'!$A$7:$A$46,A301,'11 Notice calendar'!$I$7:$I$46,D301)&gt;0,"In the Notice calendar","Log it in the Notice calendar today")))</f>
        <v/>
      </c>
      <c r="J301" s="146"/>
      <c r="K301" s="146"/>
      <c r="L301" s="6"/>
      <c r="M301" s="6"/>
      <c r="N301" s="6"/>
      <c r="O301" s="6"/>
      <c r="P301" s="6"/>
      <c r="Q301" s="6"/>
      <c r="R301" s="6"/>
      <c r="S301" s="6"/>
      <c r="T301" s="6"/>
      <c r="U301" s="6"/>
      <c r="V301" s="6"/>
      <c r="W301" s="6"/>
      <c r="X301" s="6"/>
      <c r="Y301" s="6"/>
      <c r="Z301" s="6"/>
    </row>
    <row r="302" spans="1:26" ht="18" customHeight="1" x14ac:dyDescent="0.3">
      <c r="A302" s="152"/>
      <c r="B302" s="128"/>
      <c r="C302" s="152"/>
      <c r="D302" s="128"/>
      <c r="E302" s="144" t="str">
        <f>IF(D302="","",IFERROR(INDEX('12 P6 activities'!$B$7:$B$206,MATCH(D302,'12 P6 activities'!$A$7:$A$206,0)),"⚠ not in P6 list"))</f>
        <v/>
      </c>
      <c r="F302" s="144" t="str">
        <f>IF(D302="","",IFERROR(INDEX('12 P6 activities'!$C$7:$C$206,MATCH(D302,'12 P6 activities'!$A$7:$A$206,0)),"⚠ not in P6 list"))</f>
        <v/>
      </c>
      <c r="G302" s="124"/>
      <c r="H302" s="152"/>
      <c r="I302" s="153" t="str">
        <f>IF(H302&lt;&gt;"Y","",IF(D302="","Pick the affected P6 activity first",IF(COUNTIFS('11 Notice calendar'!$A$7:$A$46,A302,'11 Notice calendar'!$I$7:$I$46,D302)&gt;0,"In the Notice calendar","Log it in the Notice calendar today")))</f>
        <v/>
      </c>
      <c r="J302" s="146"/>
      <c r="K302" s="146"/>
      <c r="L302" s="6"/>
      <c r="M302" s="6"/>
      <c r="N302" s="6"/>
      <c r="O302" s="6"/>
      <c r="P302" s="6"/>
      <c r="Q302" s="6"/>
      <c r="R302" s="6"/>
      <c r="S302" s="6"/>
      <c r="T302" s="6"/>
      <c r="U302" s="6"/>
      <c r="V302" s="6"/>
      <c r="W302" s="6"/>
      <c r="X302" s="6"/>
      <c r="Y302" s="6"/>
      <c r="Z302" s="6"/>
    </row>
    <row r="303" spans="1:26" ht="18" customHeight="1" x14ac:dyDescent="0.3">
      <c r="A303" s="152"/>
      <c r="B303" s="128"/>
      <c r="C303" s="152"/>
      <c r="D303" s="128"/>
      <c r="E303" s="144" t="str">
        <f>IF(D303="","",IFERROR(INDEX('12 P6 activities'!$B$7:$B$206,MATCH(D303,'12 P6 activities'!$A$7:$A$206,0)),"⚠ not in P6 list"))</f>
        <v/>
      </c>
      <c r="F303" s="144" t="str">
        <f>IF(D303="","",IFERROR(INDEX('12 P6 activities'!$C$7:$C$206,MATCH(D303,'12 P6 activities'!$A$7:$A$206,0)),"⚠ not in P6 list"))</f>
        <v/>
      </c>
      <c r="G303" s="124"/>
      <c r="H303" s="152"/>
      <c r="I303" s="153" t="str">
        <f>IF(H303&lt;&gt;"Y","",IF(D303="","Pick the affected P6 activity first",IF(COUNTIFS('11 Notice calendar'!$A$7:$A$46,A303,'11 Notice calendar'!$I$7:$I$46,D303)&gt;0,"In the Notice calendar","Log it in the Notice calendar today")))</f>
        <v/>
      </c>
      <c r="J303" s="146"/>
      <c r="K303" s="146"/>
      <c r="L303" s="6"/>
      <c r="M303" s="6"/>
      <c r="N303" s="6"/>
      <c r="O303" s="6"/>
      <c r="P303" s="6"/>
      <c r="Q303" s="6"/>
      <c r="R303" s="6"/>
      <c r="S303" s="6"/>
      <c r="T303" s="6"/>
      <c r="U303" s="6"/>
      <c r="V303" s="6"/>
      <c r="W303" s="6"/>
      <c r="X303" s="6"/>
      <c r="Y303" s="6"/>
      <c r="Z303" s="6"/>
    </row>
    <row r="304" spans="1:26" ht="18" customHeight="1" x14ac:dyDescent="0.3">
      <c r="A304" s="152"/>
      <c r="B304" s="128"/>
      <c r="C304" s="152"/>
      <c r="D304" s="128"/>
      <c r="E304" s="144" t="str">
        <f>IF(D304="","",IFERROR(INDEX('12 P6 activities'!$B$7:$B$206,MATCH(D304,'12 P6 activities'!$A$7:$A$206,0)),"⚠ not in P6 list"))</f>
        <v/>
      </c>
      <c r="F304" s="144" t="str">
        <f>IF(D304="","",IFERROR(INDEX('12 P6 activities'!$C$7:$C$206,MATCH(D304,'12 P6 activities'!$A$7:$A$206,0)),"⚠ not in P6 list"))</f>
        <v/>
      </c>
      <c r="G304" s="124"/>
      <c r="H304" s="152"/>
      <c r="I304" s="153" t="str">
        <f>IF(H304&lt;&gt;"Y","",IF(D304="","Pick the affected P6 activity first",IF(COUNTIFS('11 Notice calendar'!$A$7:$A$46,A304,'11 Notice calendar'!$I$7:$I$46,D304)&gt;0,"In the Notice calendar","Log it in the Notice calendar today")))</f>
        <v/>
      </c>
      <c r="J304" s="146"/>
      <c r="K304" s="146"/>
      <c r="L304" s="6"/>
      <c r="M304" s="6"/>
      <c r="N304" s="6"/>
      <c r="O304" s="6"/>
      <c r="P304" s="6"/>
      <c r="Q304" s="6"/>
      <c r="R304" s="6"/>
      <c r="S304" s="6"/>
      <c r="T304" s="6"/>
      <c r="U304" s="6"/>
      <c r="V304" s="6"/>
      <c r="W304" s="6"/>
      <c r="X304" s="6"/>
      <c r="Y304" s="6"/>
      <c r="Z304" s="6"/>
    </row>
    <row r="305" spans="1:26" ht="18" customHeight="1" x14ac:dyDescent="0.3">
      <c r="A305" s="152"/>
      <c r="B305" s="128"/>
      <c r="C305" s="152"/>
      <c r="D305" s="128"/>
      <c r="E305" s="144" t="str">
        <f>IF(D305="","",IFERROR(INDEX('12 P6 activities'!$B$7:$B$206,MATCH(D305,'12 P6 activities'!$A$7:$A$206,0)),"⚠ not in P6 list"))</f>
        <v/>
      </c>
      <c r="F305" s="144" t="str">
        <f>IF(D305="","",IFERROR(INDEX('12 P6 activities'!$C$7:$C$206,MATCH(D305,'12 P6 activities'!$A$7:$A$206,0)),"⚠ not in P6 list"))</f>
        <v/>
      </c>
      <c r="G305" s="124"/>
      <c r="H305" s="152"/>
      <c r="I305" s="153" t="str">
        <f>IF(H305&lt;&gt;"Y","",IF(D305="","Pick the affected P6 activity first",IF(COUNTIFS('11 Notice calendar'!$A$7:$A$46,A305,'11 Notice calendar'!$I$7:$I$46,D305)&gt;0,"In the Notice calendar","Log it in the Notice calendar today")))</f>
        <v/>
      </c>
      <c r="J305" s="146"/>
      <c r="K305" s="146"/>
      <c r="L305" s="6"/>
      <c r="M305" s="6"/>
      <c r="N305" s="6"/>
      <c r="O305" s="6"/>
      <c r="P305" s="6"/>
      <c r="Q305" s="6"/>
      <c r="R305" s="6"/>
      <c r="S305" s="6"/>
      <c r="T305" s="6"/>
      <c r="U305" s="6"/>
      <c r="V305" s="6"/>
      <c r="W305" s="6"/>
      <c r="X305" s="6"/>
      <c r="Y305" s="6"/>
      <c r="Z305" s="6"/>
    </row>
    <row r="306" spans="1:26" ht="18" customHeight="1" x14ac:dyDescent="0.3">
      <c r="A306" s="152"/>
      <c r="B306" s="128"/>
      <c r="C306" s="152"/>
      <c r="D306" s="128"/>
      <c r="E306" s="144" t="str">
        <f>IF(D306="","",IFERROR(INDEX('12 P6 activities'!$B$7:$B$206,MATCH(D306,'12 P6 activities'!$A$7:$A$206,0)),"⚠ not in P6 list"))</f>
        <v/>
      </c>
      <c r="F306" s="144" t="str">
        <f>IF(D306="","",IFERROR(INDEX('12 P6 activities'!$C$7:$C$206,MATCH(D306,'12 P6 activities'!$A$7:$A$206,0)),"⚠ not in P6 list"))</f>
        <v/>
      </c>
      <c r="G306" s="124"/>
      <c r="H306" s="152"/>
      <c r="I306" s="153" t="str">
        <f>IF(H306&lt;&gt;"Y","",IF(D306="","Pick the affected P6 activity first",IF(COUNTIFS('11 Notice calendar'!$A$7:$A$46,A306,'11 Notice calendar'!$I$7:$I$46,D306)&gt;0,"In the Notice calendar","Log it in the Notice calendar today")))</f>
        <v/>
      </c>
      <c r="J306" s="146"/>
      <c r="K306" s="146"/>
      <c r="L306" s="6"/>
      <c r="M306" s="6"/>
      <c r="N306" s="6"/>
      <c r="O306" s="6"/>
      <c r="P306" s="6"/>
      <c r="Q306" s="6"/>
      <c r="R306" s="6"/>
      <c r="S306" s="6"/>
      <c r="T306" s="6"/>
      <c r="U306" s="6"/>
      <c r="V306" s="6"/>
      <c r="W306" s="6"/>
      <c r="X306" s="6"/>
      <c r="Y306" s="6"/>
      <c r="Z306" s="6"/>
    </row>
    <row r="307" spans="1:26" ht="18" customHeight="1" x14ac:dyDescent="0.3">
      <c r="A307" s="152"/>
      <c r="B307" s="128"/>
      <c r="C307" s="152"/>
      <c r="D307" s="128"/>
      <c r="E307" s="144" t="str">
        <f>IF(D307="","",IFERROR(INDEX('12 P6 activities'!$B$7:$B$206,MATCH(D307,'12 P6 activities'!$A$7:$A$206,0)),"⚠ not in P6 list"))</f>
        <v/>
      </c>
      <c r="F307" s="144" t="str">
        <f>IF(D307="","",IFERROR(INDEX('12 P6 activities'!$C$7:$C$206,MATCH(D307,'12 P6 activities'!$A$7:$A$206,0)),"⚠ not in P6 list"))</f>
        <v/>
      </c>
      <c r="G307" s="124"/>
      <c r="H307" s="152"/>
      <c r="I307" s="153" t="str">
        <f>IF(H307&lt;&gt;"Y","",IF(D307="","Pick the affected P6 activity first",IF(COUNTIFS('11 Notice calendar'!$A$7:$A$46,A307,'11 Notice calendar'!$I$7:$I$46,D307)&gt;0,"In the Notice calendar","Log it in the Notice calendar today")))</f>
        <v/>
      </c>
      <c r="J307" s="146"/>
      <c r="K307" s="146"/>
      <c r="L307" s="6"/>
      <c r="M307" s="6"/>
      <c r="N307" s="6"/>
      <c r="O307" s="6"/>
      <c r="P307" s="6"/>
      <c r="Q307" s="6"/>
      <c r="R307" s="6"/>
      <c r="S307" s="6"/>
      <c r="T307" s="6"/>
      <c r="U307" s="6"/>
      <c r="V307" s="6"/>
      <c r="W307" s="6"/>
      <c r="X307" s="6"/>
      <c r="Y307" s="6"/>
      <c r="Z307" s="6"/>
    </row>
    <row r="308" spans="1:26" ht="18" customHeight="1" x14ac:dyDescent="0.3">
      <c r="A308" s="152"/>
      <c r="B308" s="128"/>
      <c r="C308" s="152"/>
      <c r="D308" s="128"/>
      <c r="E308" s="144" t="str">
        <f>IF(D308="","",IFERROR(INDEX('12 P6 activities'!$B$7:$B$206,MATCH(D308,'12 P6 activities'!$A$7:$A$206,0)),"⚠ not in P6 list"))</f>
        <v/>
      </c>
      <c r="F308" s="144" t="str">
        <f>IF(D308="","",IFERROR(INDEX('12 P6 activities'!$C$7:$C$206,MATCH(D308,'12 P6 activities'!$A$7:$A$206,0)),"⚠ not in P6 list"))</f>
        <v/>
      </c>
      <c r="G308" s="124"/>
      <c r="H308" s="152"/>
      <c r="I308" s="153" t="str">
        <f>IF(H308&lt;&gt;"Y","",IF(D308="","Pick the affected P6 activity first",IF(COUNTIFS('11 Notice calendar'!$A$7:$A$46,A308,'11 Notice calendar'!$I$7:$I$46,D308)&gt;0,"In the Notice calendar","Log it in the Notice calendar today")))</f>
        <v/>
      </c>
      <c r="J308" s="146"/>
      <c r="K308" s="146"/>
      <c r="L308" s="6"/>
      <c r="M308" s="6"/>
      <c r="N308" s="6"/>
      <c r="O308" s="6"/>
      <c r="P308" s="6"/>
      <c r="Q308" s="6"/>
      <c r="R308" s="6"/>
      <c r="S308" s="6"/>
      <c r="T308" s="6"/>
      <c r="U308" s="6"/>
      <c r="V308" s="6"/>
      <c r="W308" s="6"/>
      <c r="X308" s="6"/>
      <c r="Y308" s="6"/>
      <c r="Z308" s="6"/>
    </row>
    <row r="309" spans="1:26" ht="18" customHeight="1" x14ac:dyDescent="0.3">
      <c r="A309" s="152"/>
      <c r="B309" s="128"/>
      <c r="C309" s="152"/>
      <c r="D309" s="128"/>
      <c r="E309" s="144" t="str">
        <f>IF(D309="","",IFERROR(INDEX('12 P6 activities'!$B$7:$B$206,MATCH(D309,'12 P6 activities'!$A$7:$A$206,0)),"⚠ not in P6 list"))</f>
        <v/>
      </c>
      <c r="F309" s="144" t="str">
        <f>IF(D309="","",IFERROR(INDEX('12 P6 activities'!$C$7:$C$206,MATCH(D309,'12 P6 activities'!$A$7:$A$206,0)),"⚠ not in P6 list"))</f>
        <v/>
      </c>
      <c r="G309" s="124"/>
      <c r="H309" s="152"/>
      <c r="I309" s="153" t="str">
        <f>IF(H309&lt;&gt;"Y","",IF(D309="","Pick the affected P6 activity first",IF(COUNTIFS('11 Notice calendar'!$A$7:$A$46,A309,'11 Notice calendar'!$I$7:$I$46,D309)&gt;0,"In the Notice calendar","Log it in the Notice calendar today")))</f>
        <v/>
      </c>
      <c r="J309" s="146"/>
      <c r="K309" s="146"/>
      <c r="L309" s="6"/>
      <c r="M309" s="6"/>
      <c r="N309" s="6"/>
      <c r="O309" s="6"/>
      <c r="P309" s="6"/>
      <c r="Q309" s="6"/>
      <c r="R309" s="6"/>
      <c r="S309" s="6"/>
      <c r="T309" s="6"/>
      <c r="U309" s="6"/>
      <c r="V309" s="6"/>
      <c r="W309" s="6"/>
      <c r="X309" s="6"/>
      <c r="Y309" s="6"/>
      <c r="Z309" s="6"/>
    </row>
    <row r="310" spans="1:26" ht="18" customHeight="1" x14ac:dyDescent="0.3">
      <c r="A310" s="152"/>
      <c r="B310" s="128"/>
      <c r="C310" s="152"/>
      <c r="D310" s="128"/>
      <c r="E310" s="144" t="str">
        <f>IF(D310="","",IFERROR(INDEX('12 P6 activities'!$B$7:$B$206,MATCH(D310,'12 P6 activities'!$A$7:$A$206,0)),"⚠ not in P6 list"))</f>
        <v/>
      </c>
      <c r="F310" s="144" t="str">
        <f>IF(D310="","",IFERROR(INDEX('12 P6 activities'!$C$7:$C$206,MATCH(D310,'12 P6 activities'!$A$7:$A$206,0)),"⚠ not in P6 list"))</f>
        <v/>
      </c>
      <c r="G310" s="124"/>
      <c r="H310" s="152"/>
      <c r="I310" s="153" t="str">
        <f>IF(H310&lt;&gt;"Y","",IF(D310="","Pick the affected P6 activity first",IF(COUNTIFS('11 Notice calendar'!$A$7:$A$46,A310,'11 Notice calendar'!$I$7:$I$46,D310)&gt;0,"In the Notice calendar","Log it in the Notice calendar today")))</f>
        <v/>
      </c>
      <c r="J310" s="146"/>
      <c r="K310" s="146"/>
      <c r="L310" s="6"/>
      <c r="M310" s="6"/>
      <c r="N310" s="6"/>
      <c r="O310" s="6"/>
      <c r="P310" s="6"/>
      <c r="Q310" s="6"/>
      <c r="R310" s="6"/>
      <c r="S310" s="6"/>
      <c r="T310" s="6"/>
      <c r="U310" s="6"/>
      <c r="V310" s="6"/>
      <c r="W310" s="6"/>
      <c r="X310" s="6"/>
      <c r="Y310" s="6"/>
      <c r="Z310" s="6"/>
    </row>
    <row r="311" spans="1:26" ht="18" customHeight="1" x14ac:dyDescent="0.3">
      <c r="A311" s="152"/>
      <c r="B311" s="128"/>
      <c r="C311" s="152"/>
      <c r="D311" s="128"/>
      <c r="E311" s="144" t="str">
        <f>IF(D311="","",IFERROR(INDEX('12 P6 activities'!$B$7:$B$206,MATCH(D311,'12 P6 activities'!$A$7:$A$206,0)),"⚠ not in P6 list"))</f>
        <v/>
      </c>
      <c r="F311" s="144" t="str">
        <f>IF(D311="","",IFERROR(INDEX('12 P6 activities'!$C$7:$C$206,MATCH(D311,'12 P6 activities'!$A$7:$A$206,0)),"⚠ not in P6 list"))</f>
        <v/>
      </c>
      <c r="G311" s="124"/>
      <c r="H311" s="152"/>
      <c r="I311" s="153" t="str">
        <f>IF(H311&lt;&gt;"Y","",IF(D311="","Pick the affected P6 activity first",IF(COUNTIFS('11 Notice calendar'!$A$7:$A$46,A311,'11 Notice calendar'!$I$7:$I$46,D311)&gt;0,"In the Notice calendar","Log it in the Notice calendar today")))</f>
        <v/>
      </c>
      <c r="J311" s="146"/>
      <c r="K311" s="146"/>
      <c r="L311" s="6"/>
      <c r="M311" s="6"/>
      <c r="N311" s="6"/>
      <c r="O311" s="6"/>
      <c r="P311" s="6"/>
      <c r="Q311" s="6"/>
      <c r="R311" s="6"/>
      <c r="S311" s="6"/>
      <c r="T311" s="6"/>
      <c r="U311" s="6"/>
      <c r="V311" s="6"/>
      <c r="W311" s="6"/>
      <c r="X311" s="6"/>
      <c r="Y311" s="6"/>
      <c r="Z311" s="6"/>
    </row>
    <row r="312" spans="1:26" ht="18" customHeight="1" x14ac:dyDescent="0.3">
      <c r="A312" s="152"/>
      <c r="B312" s="128"/>
      <c r="C312" s="152"/>
      <c r="D312" s="128"/>
      <c r="E312" s="144" t="str">
        <f>IF(D312="","",IFERROR(INDEX('12 P6 activities'!$B$7:$B$206,MATCH(D312,'12 P6 activities'!$A$7:$A$206,0)),"⚠ not in P6 list"))</f>
        <v/>
      </c>
      <c r="F312" s="144" t="str">
        <f>IF(D312="","",IFERROR(INDEX('12 P6 activities'!$C$7:$C$206,MATCH(D312,'12 P6 activities'!$A$7:$A$206,0)),"⚠ not in P6 list"))</f>
        <v/>
      </c>
      <c r="G312" s="124"/>
      <c r="H312" s="152"/>
      <c r="I312" s="153" t="str">
        <f>IF(H312&lt;&gt;"Y","",IF(D312="","Pick the affected P6 activity first",IF(COUNTIFS('11 Notice calendar'!$A$7:$A$46,A312,'11 Notice calendar'!$I$7:$I$46,D312)&gt;0,"In the Notice calendar","Log it in the Notice calendar today")))</f>
        <v/>
      </c>
      <c r="J312" s="146"/>
      <c r="K312" s="146"/>
      <c r="L312" s="6"/>
      <c r="M312" s="6"/>
      <c r="N312" s="6"/>
      <c r="O312" s="6"/>
      <c r="P312" s="6"/>
      <c r="Q312" s="6"/>
      <c r="R312" s="6"/>
      <c r="S312" s="6"/>
      <c r="T312" s="6"/>
      <c r="U312" s="6"/>
      <c r="V312" s="6"/>
      <c r="W312" s="6"/>
      <c r="X312" s="6"/>
      <c r="Y312" s="6"/>
      <c r="Z312" s="6"/>
    </row>
    <row r="313" spans="1:26" ht="18" customHeight="1" x14ac:dyDescent="0.3">
      <c r="A313" s="152"/>
      <c r="B313" s="128"/>
      <c r="C313" s="152"/>
      <c r="D313" s="128"/>
      <c r="E313" s="144" t="str">
        <f>IF(D313="","",IFERROR(INDEX('12 P6 activities'!$B$7:$B$206,MATCH(D313,'12 P6 activities'!$A$7:$A$206,0)),"⚠ not in P6 list"))</f>
        <v/>
      </c>
      <c r="F313" s="144" t="str">
        <f>IF(D313="","",IFERROR(INDEX('12 P6 activities'!$C$7:$C$206,MATCH(D313,'12 P6 activities'!$A$7:$A$206,0)),"⚠ not in P6 list"))</f>
        <v/>
      </c>
      <c r="G313" s="124"/>
      <c r="H313" s="152"/>
      <c r="I313" s="153" t="str">
        <f>IF(H313&lt;&gt;"Y","",IF(D313="","Pick the affected P6 activity first",IF(COUNTIFS('11 Notice calendar'!$A$7:$A$46,A313,'11 Notice calendar'!$I$7:$I$46,D313)&gt;0,"In the Notice calendar","Log it in the Notice calendar today")))</f>
        <v/>
      </c>
      <c r="J313" s="146"/>
      <c r="K313" s="146"/>
      <c r="L313" s="6"/>
      <c r="M313" s="6"/>
      <c r="N313" s="6"/>
      <c r="O313" s="6"/>
      <c r="P313" s="6"/>
      <c r="Q313" s="6"/>
      <c r="R313" s="6"/>
      <c r="S313" s="6"/>
      <c r="T313" s="6"/>
      <c r="U313" s="6"/>
      <c r="V313" s="6"/>
      <c r="W313" s="6"/>
      <c r="X313" s="6"/>
      <c r="Y313" s="6"/>
      <c r="Z313" s="6"/>
    </row>
    <row r="314" spans="1:26" ht="18" customHeight="1" x14ac:dyDescent="0.3">
      <c r="A314" s="152"/>
      <c r="B314" s="128"/>
      <c r="C314" s="152"/>
      <c r="D314" s="128"/>
      <c r="E314" s="144" t="str">
        <f>IF(D314="","",IFERROR(INDEX('12 P6 activities'!$B$7:$B$206,MATCH(D314,'12 P6 activities'!$A$7:$A$206,0)),"⚠ not in P6 list"))</f>
        <v/>
      </c>
      <c r="F314" s="144" t="str">
        <f>IF(D314="","",IFERROR(INDEX('12 P6 activities'!$C$7:$C$206,MATCH(D314,'12 P6 activities'!$A$7:$A$206,0)),"⚠ not in P6 list"))</f>
        <v/>
      </c>
      <c r="G314" s="124"/>
      <c r="H314" s="152"/>
      <c r="I314" s="153" t="str">
        <f>IF(H314&lt;&gt;"Y","",IF(D314="","Pick the affected P6 activity first",IF(COUNTIFS('11 Notice calendar'!$A$7:$A$46,A314,'11 Notice calendar'!$I$7:$I$46,D314)&gt;0,"In the Notice calendar","Log it in the Notice calendar today")))</f>
        <v/>
      </c>
      <c r="J314" s="146"/>
      <c r="K314" s="146"/>
      <c r="L314" s="6"/>
      <c r="M314" s="6"/>
      <c r="N314" s="6"/>
      <c r="O314" s="6"/>
      <c r="P314" s="6"/>
      <c r="Q314" s="6"/>
      <c r="R314" s="6"/>
      <c r="S314" s="6"/>
      <c r="T314" s="6"/>
      <c r="U314" s="6"/>
      <c r="V314" s="6"/>
      <c r="W314" s="6"/>
      <c r="X314" s="6"/>
      <c r="Y314" s="6"/>
      <c r="Z314" s="6"/>
    </row>
    <row r="315" spans="1:26" ht="18" customHeight="1" x14ac:dyDescent="0.3">
      <c r="A315" s="152"/>
      <c r="B315" s="128"/>
      <c r="C315" s="152"/>
      <c r="D315" s="128"/>
      <c r="E315" s="144" t="str">
        <f>IF(D315="","",IFERROR(INDEX('12 P6 activities'!$B$7:$B$206,MATCH(D315,'12 P6 activities'!$A$7:$A$206,0)),"⚠ not in P6 list"))</f>
        <v/>
      </c>
      <c r="F315" s="144" t="str">
        <f>IF(D315="","",IFERROR(INDEX('12 P6 activities'!$C$7:$C$206,MATCH(D315,'12 P6 activities'!$A$7:$A$206,0)),"⚠ not in P6 list"))</f>
        <v/>
      </c>
      <c r="G315" s="124"/>
      <c r="H315" s="152"/>
      <c r="I315" s="153" t="str">
        <f>IF(H315&lt;&gt;"Y","",IF(D315="","Pick the affected P6 activity first",IF(COUNTIFS('11 Notice calendar'!$A$7:$A$46,A315,'11 Notice calendar'!$I$7:$I$46,D315)&gt;0,"In the Notice calendar","Log it in the Notice calendar today")))</f>
        <v/>
      </c>
      <c r="J315" s="146"/>
      <c r="K315" s="146"/>
      <c r="L315" s="6"/>
      <c r="M315" s="6"/>
      <c r="N315" s="6"/>
      <c r="O315" s="6"/>
      <c r="P315" s="6"/>
      <c r="Q315" s="6"/>
      <c r="R315" s="6"/>
      <c r="S315" s="6"/>
      <c r="T315" s="6"/>
      <c r="U315" s="6"/>
      <c r="V315" s="6"/>
      <c r="W315" s="6"/>
      <c r="X315" s="6"/>
      <c r="Y315" s="6"/>
      <c r="Z315" s="6"/>
    </row>
    <row r="316" spans="1:26" ht="18" customHeight="1" x14ac:dyDescent="0.3">
      <c r="A316" s="152"/>
      <c r="B316" s="128"/>
      <c r="C316" s="152"/>
      <c r="D316" s="128"/>
      <c r="E316" s="144" t="str">
        <f>IF(D316="","",IFERROR(INDEX('12 P6 activities'!$B$7:$B$206,MATCH(D316,'12 P6 activities'!$A$7:$A$206,0)),"⚠ not in P6 list"))</f>
        <v/>
      </c>
      <c r="F316" s="144" t="str">
        <f>IF(D316="","",IFERROR(INDEX('12 P6 activities'!$C$7:$C$206,MATCH(D316,'12 P6 activities'!$A$7:$A$206,0)),"⚠ not in P6 list"))</f>
        <v/>
      </c>
      <c r="G316" s="124"/>
      <c r="H316" s="152"/>
      <c r="I316" s="153" t="str">
        <f>IF(H316&lt;&gt;"Y","",IF(D316="","Pick the affected P6 activity first",IF(COUNTIFS('11 Notice calendar'!$A$7:$A$46,A316,'11 Notice calendar'!$I$7:$I$46,D316)&gt;0,"In the Notice calendar","Log it in the Notice calendar today")))</f>
        <v/>
      </c>
      <c r="J316" s="146"/>
      <c r="K316" s="146"/>
      <c r="L316" s="6"/>
      <c r="M316" s="6"/>
      <c r="N316" s="6"/>
      <c r="O316" s="6"/>
      <c r="P316" s="6"/>
      <c r="Q316" s="6"/>
      <c r="R316" s="6"/>
      <c r="S316" s="6"/>
      <c r="T316" s="6"/>
      <c r="U316" s="6"/>
      <c r="V316" s="6"/>
      <c r="W316" s="6"/>
      <c r="X316" s="6"/>
      <c r="Y316" s="6"/>
      <c r="Z316" s="6"/>
    </row>
    <row r="317" spans="1:26" ht="18" customHeight="1" x14ac:dyDescent="0.3">
      <c r="A317" s="152"/>
      <c r="B317" s="128"/>
      <c r="C317" s="152"/>
      <c r="D317" s="128"/>
      <c r="E317" s="144" t="str">
        <f>IF(D317="","",IFERROR(INDEX('12 P6 activities'!$B$7:$B$206,MATCH(D317,'12 P6 activities'!$A$7:$A$206,0)),"⚠ not in P6 list"))</f>
        <v/>
      </c>
      <c r="F317" s="144" t="str">
        <f>IF(D317="","",IFERROR(INDEX('12 P6 activities'!$C$7:$C$206,MATCH(D317,'12 P6 activities'!$A$7:$A$206,0)),"⚠ not in P6 list"))</f>
        <v/>
      </c>
      <c r="G317" s="124"/>
      <c r="H317" s="152"/>
      <c r="I317" s="153" t="str">
        <f>IF(H317&lt;&gt;"Y","",IF(D317="","Pick the affected P6 activity first",IF(COUNTIFS('11 Notice calendar'!$A$7:$A$46,A317,'11 Notice calendar'!$I$7:$I$46,D317)&gt;0,"In the Notice calendar","Log it in the Notice calendar today")))</f>
        <v/>
      </c>
      <c r="J317" s="146"/>
      <c r="K317" s="146"/>
      <c r="L317" s="6"/>
      <c r="M317" s="6"/>
      <c r="N317" s="6"/>
      <c r="O317" s="6"/>
      <c r="P317" s="6"/>
      <c r="Q317" s="6"/>
      <c r="R317" s="6"/>
      <c r="S317" s="6"/>
      <c r="T317" s="6"/>
      <c r="U317" s="6"/>
      <c r="V317" s="6"/>
      <c r="W317" s="6"/>
      <c r="X317" s="6"/>
      <c r="Y317" s="6"/>
      <c r="Z317" s="6"/>
    </row>
    <row r="318" spans="1:26" ht="18" customHeight="1" x14ac:dyDescent="0.3">
      <c r="A318" s="152"/>
      <c r="B318" s="128"/>
      <c r="C318" s="152"/>
      <c r="D318" s="128"/>
      <c r="E318" s="144" t="str">
        <f>IF(D318="","",IFERROR(INDEX('12 P6 activities'!$B$7:$B$206,MATCH(D318,'12 P6 activities'!$A$7:$A$206,0)),"⚠ not in P6 list"))</f>
        <v/>
      </c>
      <c r="F318" s="144" t="str">
        <f>IF(D318="","",IFERROR(INDEX('12 P6 activities'!$C$7:$C$206,MATCH(D318,'12 P6 activities'!$A$7:$A$206,0)),"⚠ not in P6 list"))</f>
        <v/>
      </c>
      <c r="G318" s="124"/>
      <c r="H318" s="152"/>
      <c r="I318" s="153" t="str">
        <f>IF(H318&lt;&gt;"Y","",IF(D318="","Pick the affected P6 activity first",IF(COUNTIFS('11 Notice calendar'!$A$7:$A$46,A318,'11 Notice calendar'!$I$7:$I$46,D318)&gt;0,"In the Notice calendar","Log it in the Notice calendar today")))</f>
        <v/>
      </c>
      <c r="J318" s="146"/>
      <c r="K318" s="146"/>
      <c r="L318" s="6"/>
      <c r="M318" s="6"/>
      <c r="N318" s="6"/>
      <c r="O318" s="6"/>
      <c r="P318" s="6"/>
      <c r="Q318" s="6"/>
      <c r="R318" s="6"/>
      <c r="S318" s="6"/>
      <c r="T318" s="6"/>
      <c r="U318" s="6"/>
      <c r="V318" s="6"/>
      <c r="W318" s="6"/>
      <c r="X318" s="6"/>
      <c r="Y318" s="6"/>
      <c r="Z318" s="6"/>
    </row>
    <row r="319" spans="1:26" ht="18" customHeight="1" x14ac:dyDescent="0.3">
      <c r="A319" s="152"/>
      <c r="B319" s="128"/>
      <c r="C319" s="152"/>
      <c r="D319" s="128"/>
      <c r="E319" s="144" t="str">
        <f>IF(D319="","",IFERROR(INDEX('12 P6 activities'!$B$7:$B$206,MATCH(D319,'12 P6 activities'!$A$7:$A$206,0)),"⚠ not in P6 list"))</f>
        <v/>
      </c>
      <c r="F319" s="144" t="str">
        <f>IF(D319="","",IFERROR(INDEX('12 P6 activities'!$C$7:$C$206,MATCH(D319,'12 P6 activities'!$A$7:$A$206,0)),"⚠ not in P6 list"))</f>
        <v/>
      </c>
      <c r="G319" s="124"/>
      <c r="H319" s="152"/>
      <c r="I319" s="153" t="str">
        <f>IF(H319&lt;&gt;"Y","",IF(D319="","Pick the affected P6 activity first",IF(COUNTIFS('11 Notice calendar'!$A$7:$A$46,A319,'11 Notice calendar'!$I$7:$I$46,D319)&gt;0,"In the Notice calendar","Log it in the Notice calendar today")))</f>
        <v/>
      </c>
      <c r="J319" s="146"/>
      <c r="K319" s="146"/>
      <c r="L319" s="6"/>
      <c r="M319" s="6"/>
      <c r="N319" s="6"/>
      <c r="O319" s="6"/>
      <c r="P319" s="6"/>
      <c r="Q319" s="6"/>
      <c r="R319" s="6"/>
      <c r="S319" s="6"/>
      <c r="T319" s="6"/>
      <c r="U319" s="6"/>
      <c r="V319" s="6"/>
      <c r="W319" s="6"/>
      <c r="X319" s="6"/>
      <c r="Y319" s="6"/>
      <c r="Z319" s="6"/>
    </row>
    <row r="320" spans="1:26" ht="18" customHeight="1" x14ac:dyDescent="0.3">
      <c r="A320" s="152"/>
      <c r="B320" s="128"/>
      <c r="C320" s="152"/>
      <c r="D320" s="128"/>
      <c r="E320" s="144" t="str">
        <f>IF(D320="","",IFERROR(INDEX('12 P6 activities'!$B$7:$B$206,MATCH(D320,'12 P6 activities'!$A$7:$A$206,0)),"⚠ not in P6 list"))</f>
        <v/>
      </c>
      <c r="F320" s="144" t="str">
        <f>IF(D320="","",IFERROR(INDEX('12 P6 activities'!$C$7:$C$206,MATCH(D320,'12 P6 activities'!$A$7:$A$206,0)),"⚠ not in P6 list"))</f>
        <v/>
      </c>
      <c r="G320" s="124"/>
      <c r="H320" s="152"/>
      <c r="I320" s="153" t="str">
        <f>IF(H320&lt;&gt;"Y","",IF(D320="","Pick the affected P6 activity first",IF(COUNTIFS('11 Notice calendar'!$A$7:$A$46,A320,'11 Notice calendar'!$I$7:$I$46,D320)&gt;0,"In the Notice calendar","Log it in the Notice calendar today")))</f>
        <v/>
      </c>
      <c r="J320" s="146"/>
      <c r="K320" s="146"/>
      <c r="L320" s="6"/>
      <c r="M320" s="6"/>
      <c r="N320" s="6"/>
      <c r="O320" s="6"/>
      <c r="P320" s="6"/>
      <c r="Q320" s="6"/>
      <c r="R320" s="6"/>
      <c r="S320" s="6"/>
      <c r="T320" s="6"/>
      <c r="U320" s="6"/>
      <c r="V320" s="6"/>
      <c r="W320" s="6"/>
      <c r="X320" s="6"/>
      <c r="Y320" s="6"/>
      <c r="Z320" s="6"/>
    </row>
    <row r="321" spans="1:26" ht="18" customHeight="1" x14ac:dyDescent="0.3">
      <c r="A321" s="152"/>
      <c r="B321" s="128"/>
      <c r="C321" s="152"/>
      <c r="D321" s="128"/>
      <c r="E321" s="144" t="str">
        <f>IF(D321="","",IFERROR(INDEX('12 P6 activities'!$B$7:$B$206,MATCH(D321,'12 P6 activities'!$A$7:$A$206,0)),"⚠ not in P6 list"))</f>
        <v/>
      </c>
      <c r="F321" s="144" t="str">
        <f>IF(D321="","",IFERROR(INDEX('12 P6 activities'!$C$7:$C$206,MATCH(D321,'12 P6 activities'!$A$7:$A$206,0)),"⚠ not in P6 list"))</f>
        <v/>
      </c>
      <c r="G321" s="124"/>
      <c r="H321" s="152"/>
      <c r="I321" s="153" t="str">
        <f>IF(H321&lt;&gt;"Y","",IF(D321="","Pick the affected P6 activity first",IF(COUNTIFS('11 Notice calendar'!$A$7:$A$46,A321,'11 Notice calendar'!$I$7:$I$46,D321)&gt;0,"In the Notice calendar","Log it in the Notice calendar today")))</f>
        <v/>
      </c>
      <c r="J321" s="146"/>
      <c r="K321" s="146"/>
      <c r="L321" s="6"/>
      <c r="M321" s="6"/>
      <c r="N321" s="6"/>
      <c r="O321" s="6"/>
      <c r="P321" s="6"/>
      <c r="Q321" s="6"/>
      <c r="R321" s="6"/>
      <c r="S321" s="6"/>
      <c r="T321" s="6"/>
      <c r="U321" s="6"/>
      <c r="V321" s="6"/>
      <c r="W321" s="6"/>
      <c r="X321" s="6"/>
      <c r="Y321" s="6"/>
      <c r="Z321" s="6"/>
    </row>
    <row r="322" spans="1:26" ht="18" customHeight="1" x14ac:dyDescent="0.3">
      <c r="A322" s="152"/>
      <c r="B322" s="128"/>
      <c r="C322" s="152"/>
      <c r="D322" s="128"/>
      <c r="E322" s="144" t="str">
        <f>IF(D322="","",IFERROR(INDEX('12 P6 activities'!$B$7:$B$206,MATCH(D322,'12 P6 activities'!$A$7:$A$206,0)),"⚠ not in P6 list"))</f>
        <v/>
      </c>
      <c r="F322" s="144" t="str">
        <f>IF(D322="","",IFERROR(INDEX('12 P6 activities'!$C$7:$C$206,MATCH(D322,'12 P6 activities'!$A$7:$A$206,0)),"⚠ not in P6 list"))</f>
        <v/>
      </c>
      <c r="G322" s="124"/>
      <c r="H322" s="152"/>
      <c r="I322" s="153" t="str">
        <f>IF(H322&lt;&gt;"Y","",IF(D322="","Pick the affected P6 activity first",IF(COUNTIFS('11 Notice calendar'!$A$7:$A$46,A322,'11 Notice calendar'!$I$7:$I$46,D322)&gt;0,"In the Notice calendar","Log it in the Notice calendar today")))</f>
        <v/>
      </c>
      <c r="J322" s="146"/>
      <c r="K322" s="146"/>
      <c r="L322" s="6"/>
      <c r="M322" s="6"/>
      <c r="N322" s="6"/>
      <c r="O322" s="6"/>
      <c r="P322" s="6"/>
      <c r="Q322" s="6"/>
      <c r="R322" s="6"/>
      <c r="S322" s="6"/>
      <c r="T322" s="6"/>
      <c r="U322" s="6"/>
      <c r="V322" s="6"/>
      <c r="W322" s="6"/>
      <c r="X322" s="6"/>
      <c r="Y322" s="6"/>
      <c r="Z322" s="6"/>
    </row>
    <row r="323" spans="1:26" ht="18" customHeight="1" x14ac:dyDescent="0.3">
      <c r="A323" s="152"/>
      <c r="B323" s="128"/>
      <c r="C323" s="152"/>
      <c r="D323" s="128"/>
      <c r="E323" s="144" t="str">
        <f>IF(D323="","",IFERROR(INDEX('12 P6 activities'!$B$7:$B$206,MATCH(D323,'12 P6 activities'!$A$7:$A$206,0)),"⚠ not in P6 list"))</f>
        <v/>
      </c>
      <c r="F323" s="144" t="str">
        <f>IF(D323="","",IFERROR(INDEX('12 P6 activities'!$C$7:$C$206,MATCH(D323,'12 P6 activities'!$A$7:$A$206,0)),"⚠ not in P6 list"))</f>
        <v/>
      </c>
      <c r="G323" s="124"/>
      <c r="H323" s="152"/>
      <c r="I323" s="153" t="str">
        <f>IF(H323&lt;&gt;"Y","",IF(D323="","Pick the affected P6 activity first",IF(COUNTIFS('11 Notice calendar'!$A$7:$A$46,A323,'11 Notice calendar'!$I$7:$I$46,D323)&gt;0,"In the Notice calendar","Log it in the Notice calendar today")))</f>
        <v/>
      </c>
      <c r="J323" s="146"/>
      <c r="K323" s="146"/>
      <c r="L323" s="6"/>
      <c r="M323" s="6"/>
      <c r="N323" s="6"/>
      <c r="O323" s="6"/>
      <c r="P323" s="6"/>
      <c r="Q323" s="6"/>
      <c r="R323" s="6"/>
      <c r="S323" s="6"/>
      <c r="T323" s="6"/>
      <c r="U323" s="6"/>
      <c r="V323" s="6"/>
      <c r="W323" s="6"/>
      <c r="X323" s="6"/>
      <c r="Y323" s="6"/>
      <c r="Z323" s="6"/>
    </row>
    <row r="324" spans="1:26" ht="18" customHeight="1" x14ac:dyDescent="0.3">
      <c r="A324" s="152"/>
      <c r="B324" s="128"/>
      <c r="C324" s="152"/>
      <c r="D324" s="128"/>
      <c r="E324" s="144" t="str">
        <f>IF(D324="","",IFERROR(INDEX('12 P6 activities'!$B$7:$B$206,MATCH(D324,'12 P6 activities'!$A$7:$A$206,0)),"⚠ not in P6 list"))</f>
        <v/>
      </c>
      <c r="F324" s="144" t="str">
        <f>IF(D324="","",IFERROR(INDEX('12 P6 activities'!$C$7:$C$206,MATCH(D324,'12 P6 activities'!$A$7:$A$206,0)),"⚠ not in P6 list"))</f>
        <v/>
      </c>
      <c r="G324" s="124"/>
      <c r="H324" s="152"/>
      <c r="I324" s="153" t="str">
        <f>IF(H324&lt;&gt;"Y","",IF(D324="","Pick the affected P6 activity first",IF(COUNTIFS('11 Notice calendar'!$A$7:$A$46,A324,'11 Notice calendar'!$I$7:$I$46,D324)&gt;0,"In the Notice calendar","Log it in the Notice calendar today")))</f>
        <v/>
      </c>
      <c r="J324" s="146"/>
      <c r="K324" s="146"/>
      <c r="L324" s="6"/>
      <c r="M324" s="6"/>
      <c r="N324" s="6"/>
      <c r="O324" s="6"/>
      <c r="P324" s="6"/>
      <c r="Q324" s="6"/>
      <c r="R324" s="6"/>
      <c r="S324" s="6"/>
      <c r="T324" s="6"/>
      <c r="U324" s="6"/>
      <c r="V324" s="6"/>
      <c r="W324" s="6"/>
      <c r="X324" s="6"/>
      <c r="Y324" s="6"/>
      <c r="Z324" s="6"/>
    </row>
    <row r="325" spans="1:26" ht="18" customHeight="1" x14ac:dyDescent="0.3">
      <c r="A325" s="152"/>
      <c r="B325" s="128"/>
      <c r="C325" s="152"/>
      <c r="D325" s="128"/>
      <c r="E325" s="144" t="str">
        <f>IF(D325="","",IFERROR(INDEX('12 P6 activities'!$B$7:$B$206,MATCH(D325,'12 P6 activities'!$A$7:$A$206,0)),"⚠ not in P6 list"))</f>
        <v/>
      </c>
      <c r="F325" s="144" t="str">
        <f>IF(D325="","",IFERROR(INDEX('12 P6 activities'!$C$7:$C$206,MATCH(D325,'12 P6 activities'!$A$7:$A$206,0)),"⚠ not in P6 list"))</f>
        <v/>
      </c>
      <c r="G325" s="124"/>
      <c r="H325" s="152"/>
      <c r="I325" s="153" t="str">
        <f>IF(H325&lt;&gt;"Y","",IF(D325="","Pick the affected P6 activity first",IF(COUNTIFS('11 Notice calendar'!$A$7:$A$46,A325,'11 Notice calendar'!$I$7:$I$46,D325)&gt;0,"In the Notice calendar","Log it in the Notice calendar today")))</f>
        <v/>
      </c>
      <c r="J325" s="146"/>
      <c r="K325" s="146"/>
      <c r="L325" s="6"/>
      <c r="M325" s="6"/>
      <c r="N325" s="6"/>
      <c r="O325" s="6"/>
      <c r="P325" s="6"/>
      <c r="Q325" s="6"/>
      <c r="R325" s="6"/>
      <c r="S325" s="6"/>
      <c r="T325" s="6"/>
      <c r="U325" s="6"/>
      <c r="V325" s="6"/>
      <c r="W325" s="6"/>
      <c r="X325" s="6"/>
      <c r="Y325" s="6"/>
      <c r="Z325" s="6"/>
    </row>
    <row r="326" spans="1:26" ht="18" customHeight="1" x14ac:dyDescent="0.3">
      <c r="A326" s="152"/>
      <c r="B326" s="128"/>
      <c r="C326" s="152"/>
      <c r="D326" s="128"/>
      <c r="E326" s="144" t="str">
        <f>IF(D326="","",IFERROR(INDEX('12 P6 activities'!$B$7:$B$206,MATCH(D326,'12 P6 activities'!$A$7:$A$206,0)),"⚠ not in P6 list"))</f>
        <v/>
      </c>
      <c r="F326" s="144" t="str">
        <f>IF(D326="","",IFERROR(INDEX('12 P6 activities'!$C$7:$C$206,MATCH(D326,'12 P6 activities'!$A$7:$A$206,0)),"⚠ not in P6 list"))</f>
        <v/>
      </c>
      <c r="G326" s="124"/>
      <c r="H326" s="152"/>
      <c r="I326" s="153" t="str">
        <f>IF(H326&lt;&gt;"Y","",IF(D326="","Pick the affected P6 activity first",IF(COUNTIFS('11 Notice calendar'!$A$7:$A$46,A326,'11 Notice calendar'!$I$7:$I$46,D326)&gt;0,"In the Notice calendar","Log it in the Notice calendar today")))</f>
        <v/>
      </c>
      <c r="J326" s="146"/>
      <c r="K326" s="146"/>
      <c r="L326" s="6"/>
      <c r="M326" s="6"/>
      <c r="N326" s="6"/>
      <c r="O326" s="6"/>
      <c r="P326" s="6"/>
      <c r="Q326" s="6"/>
      <c r="R326" s="6"/>
      <c r="S326" s="6"/>
      <c r="T326" s="6"/>
      <c r="U326" s="6"/>
      <c r="V326" s="6"/>
      <c r="W326" s="6"/>
      <c r="X326" s="6"/>
      <c r="Y326" s="6"/>
      <c r="Z326" s="6"/>
    </row>
    <row r="327" spans="1:26" ht="18" customHeight="1" x14ac:dyDescent="0.3">
      <c r="A327" s="152"/>
      <c r="B327" s="128"/>
      <c r="C327" s="152"/>
      <c r="D327" s="128"/>
      <c r="E327" s="144" t="str">
        <f>IF(D327="","",IFERROR(INDEX('12 P6 activities'!$B$7:$B$206,MATCH(D327,'12 P6 activities'!$A$7:$A$206,0)),"⚠ not in P6 list"))</f>
        <v/>
      </c>
      <c r="F327" s="144" t="str">
        <f>IF(D327="","",IFERROR(INDEX('12 P6 activities'!$C$7:$C$206,MATCH(D327,'12 P6 activities'!$A$7:$A$206,0)),"⚠ not in P6 list"))</f>
        <v/>
      </c>
      <c r="G327" s="124"/>
      <c r="H327" s="152"/>
      <c r="I327" s="153" t="str">
        <f>IF(H327&lt;&gt;"Y","",IF(D327="","Pick the affected P6 activity first",IF(COUNTIFS('11 Notice calendar'!$A$7:$A$46,A327,'11 Notice calendar'!$I$7:$I$46,D327)&gt;0,"In the Notice calendar","Log it in the Notice calendar today")))</f>
        <v/>
      </c>
      <c r="J327" s="146"/>
      <c r="K327" s="146"/>
      <c r="L327" s="6"/>
      <c r="M327" s="6"/>
      <c r="N327" s="6"/>
      <c r="O327" s="6"/>
      <c r="P327" s="6"/>
      <c r="Q327" s="6"/>
      <c r="R327" s="6"/>
      <c r="S327" s="6"/>
      <c r="T327" s="6"/>
      <c r="U327" s="6"/>
      <c r="V327" s="6"/>
      <c r="W327" s="6"/>
      <c r="X327" s="6"/>
      <c r="Y327" s="6"/>
      <c r="Z327" s="6"/>
    </row>
    <row r="328" spans="1:26" ht="18" customHeight="1" x14ac:dyDescent="0.3">
      <c r="A328" s="152"/>
      <c r="B328" s="128"/>
      <c r="C328" s="152"/>
      <c r="D328" s="128"/>
      <c r="E328" s="144" t="str">
        <f>IF(D328="","",IFERROR(INDEX('12 P6 activities'!$B$7:$B$206,MATCH(D328,'12 P6 activities'!$A$7:$A$206,0)),"⚠ not in P6 list"))</f>
        <v/>
      </c>
      <c r="F328" s="144" t="str">
        <f>IF(D328="","",IFERROR(INDEX('12 P6 activities'!$C$7:$C$206,MATCH(D328,'12 P6 activities'!$A$7:$A$206,0)),"⚠ not in P6 list"))</f>
        <v/>
      </c>
      <c r="G328" s="124"/>
      <c r="H328" s="152"/>
      <c r="I328" s="153" t="str">
        <f>IF(H328&lt;&gt;"Y","",IF(D328="","Pick the affected P6 activity first",IF(COUNTIFS('11 Notice calendar'!$A$7:$A$46,A328,'11 Notice calendar'!$I$7:$I$46,D328)&gt;0,"In the Notice calendar","Log it in the Notice calendar today")))</f>
        <v/>
      </c>
      <c r="J328" s="146"/>
      <c r="K328" s="146"/>
      <c r="L328" s="6"/>
      <c r="M328" s="6"/>
      <c r="N328" s="6"/>
      <c r="O328" s="6"/>
      <c r="P328" s="6"/>
      <c r="Q328" s="6"/>
      <c r="R328" s="6"/>
      <c r="S328" s="6"/>
      <c r="T328" s="6"/>
      <c r="U328" s="6"/>
      <c r="V328" s="6"/>
      <c r="W328" s="6"/>
      <c r="X328" s="6"/>
      <c r="Y328" s="6"/>
      <c r="Z328" s="6"/>
    </row>
    <row r="329" spans="1:26" ht="18" customHeight="1" x14ac:dyDescent="0.3">
      <c r="A329" s="152"/>
      <c r="B329" s="128"/>
      <c r="C329" s="152"/>
      <c r="D329" s="128"/>
      <c r="E329" s="144" t="str">
        <f>IF(D329="","",IFERROR(INDEX('12 P6 activities'!$B$7:$B$206,MATCH(D329,'12 P6 activities'!$A$7:$A$206,0)),"⚠ not in P6 list"))</f>
        <v/>
      </c>
      <c r="F329" s="144" t="str">
        <f>IF(D329="","",IFERROR(INDEX('12 P6 activities'!$C$7:$C$206,MATCH(D329,'12 P6 activities'!$A$7:$A$206,0)),"⚠ not in P6 list"))</f>
        <v/>
      </c>
      <c r="G329" s="124"/>
      <c r="H329" s="152"/>
      <c r="I329" s="153" t="str">
        <f>IF(H329&lt;&gt;"Y","",IF(D329="","Pick the affected P6 activity first",IF(COUNTIFS('11 Notice calendar'!$A$7:$A$46,A329,'11 Notice calendar'!$I$7:$I$46,D329)&gt;0,"In the Notice calendar","Log it in the Notice calendar today")))</f>
        <v/>
      </c>
      <c r="J329" s="146"/>
      <c r="K329" s="146"/>
      <c r="L329" s="6"/>
      <c r="M329" s="6"/>
      <c r="N329" s="6"/>
      <c r="O329" s="6"/>
      <c r="P329" s="6"/>
      <c r="Q329" s="6"/>
      <c r="R329" s="6"/>
      <c r="S329" s="6"/>
      <c r="T329" s="6"/>
      <c r="U329" s="6"/>
      <c r="V329" s="6"/>
      <c r="W329" s="6"/>
      <c r="X329" s="6"/>
      <c r="Y329" s="6"/>
      <c r="Z329" s="6"/>
    </row>
    <row r="330" spans="1:26" ht="18" customHeight="1" x14ac:dyDescent="0.3">
      <c r="A330" s="152"/>
      <c r="B330" s="128"/>
      <c r="C330" s="152"/>
      <c r="D330" s="128"/>
      <c r="E330" s="144" t="str">
        <f>IF(D330="","",IFERROR(INDEX('12 P6 activities'!$B$7:$B$206,MATCH(D330,'12 P6 activities'!$A$7:$A$206,0)),"⚠ not in P6 list"))</f>
        <v/>
      </c>
      <c r="F330" s="144" t="str">
        <f>IF(D330="","",IFERROR(INDEX('12 P6 activities'!$C$7:$C$206,MATCH(D330,'12 P6 activities'!$A$7:$A$206,0)),"⚠ not in P6 list"))</f>
        <v/>
      </c>
      <c r="G330" s="124"/>
      <c r="H330" s="152"/>
      <c r="I330" s="153" t="str">
        <f>IF(H330&lt;&gt;"Y","",IF(D330="","Pick the affected P6 activity first",IF(COUNTIFS('11 Notice calendar'!$A$7:$A$46,A330,'11 Notice calendar'!$I$7:$I$46,D330)&gt;0,"In the Notice calendar","Log it in the Notice calendar today")))</f>
        <v/>
      </c>
      <c r="J330" s="146"/>
      <c r="K330" s="146"/>
      <c r="L330" s="6"/>
      <c r="M330" s="6"/>
      <c r="N330" s="6"/>
      <c r="O330" s="6"/>
      <c r="P330" s="6"/>
      <c r="Q330" s="6"/>
      <c r="R330" s="6"/>
      <c r="S330" s="6"/>
      <c r="T330" s="6"/>
      <c r="U330" s="6"/>
      <c r="V330" s="6"/>
      <c r="W330" s="6"/>
      <c r="X330" s="6"/>
      <c r="Y330" s="6"/>
      <c r="Z330" s="6"/>
    </row>
    <row r="331" spans="1:26" ht="18" customHeight="1" x14ac:dyDescent="0.3">
      <c r="A331" s="152"/>
      <c r="B331" s="128"/>
      <c r="C331" s="152"/>
      <c r="D331" s="128"/>
      <c r="E331" s="144" t="str">
        <f>IF(D331="","",IFERROR(INDEX('12 P6 activities'!$B$7:$B$206,MATCH(D331,'12 P6 activities'!$A$7:$A$206,0)),"⚠ not in P6 list"))</f>
        <v/>
      </c>
      <c r="F331" s="144" t="str">
        <f>IF(D331="","",IFERROR(INDEX('12 P6 activities'!$C$7:$C$206,MATCH(D331,'12 P6 activities'!$A$7:$A$206,0)),"⚠ not in P6 list"))</f>
        <v/>
      </c>
      <c r="G331" s="124"/>
      <c r="H331" s="152"/>
      <c r="I331" s="153" t="str">
        <f>IF(H331&lt;&gt;"Y","",IF(D331="","Pick the affected P6 activity first",IF(COUNTIFS('11 Notice calendar'!$A$7:$A$46,A331,'11 Notice calendar'!$I$7:$I$46,D331)&gt;0,"In the Notice calendar","Log it in the Notice calendar today")))</f>
        <v/>
      </c>
      <c r="J331" s="146"/>
      <c r="K331" s="146"/>
      <c r="L331" s="6"/>
      <c r="M331" s="6"/>
      <c r="N331" s="6"/>
      <c r="O331" s="6"/>
      <c r="P331" s="6"/>
      <c r="Q331" s="6"/>
      <c r="R331" s="6"/>
      <c r="S331" s="6"/>
      <c r="T331" s="6"/>
      <c r="U331" s="6"/>
      <c r="V331" s="6"/>
      <c r="W331" s="6"/>
      <c r="X331" s="6"/>
      <c r="Y331" s="6"/>
      <c r="Z331" s="6"/>
    </row>
    <row r="332" spans="1:26" ht="18" customHeight="1" x14ac:dyDescent="0.3">
      <c r="A332" s="152"/>
      <c r="B332" s="128"/>
      <c r="C332" s="152"/>
      <c r="D332" s="128"/>
      <c r="E332" s="144" t="str">
        <f>IF(D332="","",IFERROR(INDEX('12 P6 activities'!$B$7:$B$206,MATCH(D332,'12 P6 activities'!$A$7:$A$206,0)),"⚠ not in P6 list"))</f>
        <v/>
      </c>
      <c r="F332" s="144" t="str">
        <f>IF(D332="","",IFERROR(INDEX('12 P6 activities'!$C$7:$C$206,MATCH(D332,'12 P6 activities'!$A$7:$A$206,0)),"⚠ not in P6 list"))</f>
        <v/>
      </c>
      <c r="G332" s="124"/>
      <c r="H332" s="152"/>
      <c r="I332" s="153" t="str">
        <f>IF(H332&lt;&gt;"Y","",IF(D332="","Pick the affected P6 activity first",IF(COUNTIFS('11 Notice calendar'!$A$7:$A$46,A332,'11 Notice calendar'!$I$7:$I$46,D332)&gt;0,"In the Notice calendar","Log it in the Notice calendar today")))</f>
        <v/>
      </c>
      <c r="J332" s="146"/>
      <c r="K332" s="146"/>
      <c r="L332" s="6"/>
      <c r="M332" s="6"/>
      <c r="N332" s="6"/>
      <c r="O332" s="6"/>
      <c r="P332" s="6"/>
      <c r="Q332" s="6"/>
      <c r="R332" s="6"/>
      <c r="S332" s="6"/>
      <c r="T332" s="6"/>
      <c r="U332" s="6"/>
      <c r="V332" s="6"/>
      <c r="W332" s="6"/>
      <c r="X332" s="6"/>
      <c r="Y332" s="6"/>
      <c r="Z332" s="6"/>
    </row>
    <row r="333" spans="1:26" ht="18" customHeight="1" x14ac:dyDescent="0.3">
      <c r="A333" s="152"/>
      <c r="B333" s="128"/>
      <c r="C333" s="152"/>
      <c r="D333" s="128"/>
      <c r="E333" s="144" t="str">
        <f>IF(D333="","",IFERROR(INDEX('12 P6 activities'!$B$7:$B$206,MATCH(D333,'12 P6 activities'!$A$7:$A$206,0)),"⚠ not in P6 list"))</f>
        <v/>
      </c>
      <c r="F333" s="144" t="str">
        <f>IF(D333="","",IFERROR(INDEX('12 P6 activities'!$C$7:$C$206,MATCH(D333,'12 P6 activities'!$A$7:$A$206,0)),"⚠ not in P6 list"))</f>
        <v/>
      </c>
      <c r="G333" s="124"/>
      <c r="H333" s="152"/>
      <c r="I333" s="153" t="str">
        <f>IF(H333&lt;&gt;"Y","",IF(D333="","Pick the affected P6 activity first",IF(COUNTIFS('11 Notice calendar'!$A$7:$A$46,A333,'11 Notice calendar'!$I$7:$I$46,D333)&gt;0,"In the Notice calendar","Log it in the Notice calendar today")))</f>
        <v/>
      </c>
      <c r="J333" s="146"/>
      <c r="K333" s="146"/>
      <c r="L333" s="6"/>
      <c r="M333" s="6"/>
      <c r="N333" s="6"/>
      <c r="O333" s="6"/>
      <c r="P333" s="6"/>
      <c r="Q333" s="6"/>
      <c r="R333" s="6"/>
      <c r="S333" s="6"/>
      <c r="T333" s="6"/>
      <c r="U333" s="6"/>
      <c r="V333" s="6"/>
      <c r="W333" s="6"/>
      <c r="X333" s="6"/>
      <c r="Y333" s="6"/>
      <c r="Z333" s="6"/>
    </row>
    <row r="334" spans="1:26" ht="18" customHeight="1" x14ac:dyDescent="0.3">
      <c r="A334" s="152"/>
      <c r="B334" s="128"/>
      <c r="C334" s="152"/>
      <c r="D334" s="128"/>
      <c r="E334" s="144" t="str">
        <f>IF(D334="","",IFERROR(INDEX('12 P6 activities'!$B$7:$B$206,MATCH(D334,'12 P6 activities'!$A$7:$A$206,0)),"⚠ not in P6 list"))</f>
        <v/>
      </c>
      <c r="F334" s="144" t="str">
        <f>IF(D334="","",IFERROR(INDEX('12 P6 activities'!$C$7:$C$206,MATCH(D334,'12 P6 activities'!$A$7:$A$206,0)),"⚠ not in P6 list"))</f>
        <v/>
      </c>
      <c r="G334" s="124"/>
      <c r="H334" s="152"/>
      <c r="I334" s="153" t="str">
        <f>IF(H334&lt;&gt;"Y","",IF(D334="","Pick the affected P6 activity first",IF(COUNTIFS('11 Notice calendar'!$A$7:$A$46,A334,'11 Notice calendar'!$I$7:$I$46,D334)&gt;0,"In the Notice calendar","Log it in the Notice calendar today")))</f>
        <v/>
      </c>
      <c r="J334" s="146"/>
      <c r="K334" s="146"/>
      <c r="L334" s="6"/>
      <c r="M334" s="6"/>
      <c r="N334" s="6"/>
      <c r="O334" s="6"/>
      <c r="P334" s="6"/>
      <c r="Q334" s="6"/>
      <c r="R334" s="6"/>
      <c r="S334" s="6"/>
      <c r="T334" s="6"/>
      <c r="U334" s="6"/>
      <c r="V334" s="6"/>
      <c r="W334" s="6"/>
      <c r="X334" s="6"/>
      <c r="Y334" s="6"/>
      <c r="Z334" s="6"/>
    </row>
    <row r="335" spans="1:26" ht="18" customHeight="1" x14ac:dyDescent="0.3">
      <c r="A335" s="152"/>
      <c r="B335" s="128"/>
      <c r="C335" s="152"/>
      <c r="D335" s="128"/>
      <c r="E335" s="144" t="str">
        <f>IF(D335="","",IFERROR(INDEX('12 P6 activities'!$B$7:$B$206,MATCH(D335,'12 P6 activities'!$A$7:$A$206,0)),"⚠ not in P6 list"))</f>
        <v/>
      </c>
      <c r="F335" s="144" t="str">
        <f>IF(D335="","",IFERROR(INDEX('12 P6 activities'!$C$7:$C$206,MATCH(D335,'12 P6 activities'!$A$7:$A$206,0)),"⚠ not in P6 list"))</f>
        <v/>
      </c>
      <c r="G335" s="124"/>
      <c r="H335" s="152"/>
      <c r="I335" s="153" t="str">
        <f>IF(H335&lt;&gt;"Y","",IF(D335="","Pick the affected P6 activity first",IF(COUNTIFS('11 Notice calendar'!$A$7:$A$46,A335,'11 Notice calendar'!$I$7:$I$46,D335)&gt;0,"In the Notice calendar","Log it in the Notice calendar today")))</f>
        <v/>
      </c>
      <c r="J335" s="146"/>
      <c r="K335" s="146"/>
      <c r="L335" s="6"/>
      <c r="M335" s="6"/>
      <c r="N335" s="6"/>
      <c r="O335" s="6"/>
      <c r="P335" s="6"/>
      <c r="Q335" s="6"/>
      <c r="R335" s="6"/>
      <c r="S335" s="6"/>
      <c r="T335" s="6"/>
      <c r="U335" s="6"/>
      <c r="V335" s="6"/>
      <c r="W335" s="6"/>
      <c r="X335" s="6"/>
      <c r="Y335" s="6"/>
      <c r="Z335" s="6"/>
    </row>
    <row r="336" spans="1:26" ht="18" customHeight="1" x14ac:dyDescent="0.3">
      <c r="A336" s="152"/>
      <c r="B336" s="128"/>
      <c r="C336" s="152"/>
      <c r="D336" s="128"/>
      <c r="E336" s="144" t="str">
        <f>IF(D336="","",IFERROR(INDEX('12 P6 activities'!$B$7:$B$206,MATCH(D336,'12 P6 activities'!$A$7:$A$206,0)),"⚠ not in P6 list"))</f>
        <v/>
      </c>
      <c r="F336" s="144" t="str">
        <f>IF(D336="","",IFERROR(INDEX('12 P6 activities'!$C$7:$C$206,MATCH(D336,'12 P6 activities'!$A$7:$A$206,0)),"⚠ not in P6 list"))</f>
        <v/>
      </c>
      <c r="G336" s="124"/>
      <c r="H336" s="152"/>
      <c r="I336" s="153" t="str">
        <f>IF(H336&lt;&gt;"Y","",IF(D336="","Pick the affected P6 activity first",IF(COUNTIFS('11 Notice calendar'!$A$7:$A$46,A336,'11 Notice calendar'!$I$7:$I$46,D336)&gt;0,"In the Notice calendar","Log it in the Notice calendar today")))</f>
        <v/>
      </c>
      <c r="J336" s="146"/>
      <c r="K336" s="146"/>
      <c r="L336" s="6"/>
      <c r="M336" s="6"/>
      <c r="N336" s="6"/>
      <c r="O336" s="6"/>
      <c r="P336" s="6"/>
      <c r="Q336" s="6"/>
      <c r="R336" s="6"/>
      <c r="S336" s="6"/>
      <c r="T336" s="6"/>
      <c r="U336" s="6"/>
      <c r="V336" s="6"/>
      <c r="W336" s="6"/>
      <c r="X336" s="6"/>
      <c r="Y336" s="6"/>
      <c r="Z336" s="6"/>
    </row>
    <row r="337" spans="1:26" ht="18" customHeight="1" x14ac:dyDescent="0.3">
      <c r="A337" s="152"/>
      <c r="B337" s="128"/>
      <c r="C337" s="152"/>
      <c r="D337" s="128"/>
      <c r="E337" s="144" t="str">
        <f>IF(D337="","",IFERROR(INDEX('12 P6 activities'!$B$7:$B$206,MATCH(D337,'12 P6 activities'!$A$7:$A$206,0)),"⚠ not in P6 list"))</f>
        <v/>
      </c>
      <c r="F337" s="144" t="str">
        <f>IF(D337="","",IFERROR(INDEX('12 P6 activities'!$C$7:$C$206,MATCH(D337,'12 P6 activities'!$A$7:$A$206,0)),"⚠ not in P6 list"))</f>
        <v/>
      </c>
      <c r="G337" s="124"/>
      <c r="H337" s="152"/>
      <c r="I337" s="153" t="str">
        <f>IF(H337&lt;&gt;"Y","",IF(D337="","Pick the affected P6 activity first",IF(COUNTIFS('11 Notice calendar'!$A$7:$A$46,A337,'11 Notice calendar'!$I$7:$I$46,D337)&gt;0,"In the Notice calendar","Log it in the Notice calendar today")))</f>
        <v/>
      </c>
      <c r="J337" s="146"/>
      <c r="K337" s="146"/>
      <c r="L337" s="6"/>
      <c r="M337" s="6"/>
      <c r="N337" s="6"/>
      <c r="O337" s="6"/>
      <c r="P337" s="6"/>
      <c r="Q337" s="6"/>
      <c r="R337" s="6"/>
      <c r="S337" s="6"/>
      <c r="T337" s="6"/>
      <c r="U337" s="6"/>
      <c r="V337" s="6"/>
      <c r="W337" s="6"/>
      <c r="X337" s="6"/>
      <c r="Y337" s="6"/>
      <c r="Z337" s="6"/>
    </row>
    <row r="338" spans="1:26" ht="18" customHeight="1" x14ac:dyDescent="0.3">
      <c r="A338" s="152"/>
      <c r="B338" s="128"/>
      <c r="C338" s="152"/>
      <c r="D338" s="128"/>
      <c r="E338" s="144" t="str">
        <f>IF(D338="","",IFERROR(INDEX('12 P6 activities'!$B$7:$B$206,MATCH(D338,'12 P6 activities'!$A$7:$A$206,0)),"⚠ not in P6 list"))</f>
        <v/>
      </c>
      <c r="F338" s="144" t="str">
        <f>IF(D338="","",IFERROR(INDEX('12 P6 activities'!$C$7:$C$206,MATCH(D338,'12 P6 activities'!$A$7:$A$206,0)),"⚠ not in P6 list"))</f>
        <v/>
      </c>
      <c r="G338" s="124"/>
      <c r="H338" s="152"/>
      <c r="I338" s="153" t="str">
        <f>IF(H338&lt;&gt;"Y","",IF(D338="","Pick the affected P6 activity first",IF(COUNTIFS('11 Notice calendar'!$A$7:$A$46,A338,'11 Notice calendar'!$I$7:$I$46,D338)&gt;0,"In the Notice calendar","Log it in the Notice calendar today")))</f>
        <v/>
      </c>
      <c r="J338" s="146"/>
      <c r="K338" s="146"/>
      <c r="L338" s="6"/>
      <c r="M338" s="6"/>
      <c r="N338" s="6"/>
      <c r="O338" s="6"/>
      <c r="P338" s="6"/>
      <c r="Q338" s="6"/>
      <c r="R338" s="6"/>
      <c r="S338" s="6"/>
      <c r="T338" s="6"/>
      <c r="U338" s="6"/>
      <c r="V338" s="6"/>
      <c r="W338" s="6"/>
      <c r="X338" s="6"/>
      <c r="Y338" s="6"/>
      <c r="Z338" s="6"/>
    </row>
    <row r="339" spans="1:26" ht="18" customHeight="1" x14ac:dyDescent="0.3">
      <c r="A339" s="152"/>
      <c r="B339" s="128"/>
      <c r="C339" s="152"/>
      <c r="D339" s="128"/>
      <c r="E339" s="144" t="str">
        <f>IF(D339="","",IFERROR(INDEX('12 P6 activities'!$B$7:$B$206,MATCH(D339,'12 P6 activities'!$A$7:$A$206,0)),"⚠ not in P6 list"))</f>
        <v/>
      </c>
      <c r="F339" s="144" t="str">
        <f>IF(D339="","",IFERROR(INDEX('12 P6 activities'!$C$7:$C$206,MATCH(D339,'12 P6 activities'!$A$7:$A$206,0)),"⚠ not in P6 list"))</f>
        <v/>
      </c>
      <c r="G339" s="124"/>
      <c r="H339" s="152"/>
      <c r="I339" s="153" t="str">
        <f>IF(H339&lt;&gt;"Y","",IF(D339="","Pick the affected P6 activity first",IF(COUNTIFS('11 Notice calendar'!$A$7:$A$46,A339,'11 Notice calendar'!$I$7:$I$46,D339)&gt;0,"In the Notice calendar","Log it in the Notice calendar today")))</f>
        <v/>
      </c>
      <c r="J339" s="146"/>
      <c r="K339" s="146"/>
      <c r="L339" s="6"/>
      <c r="M339" s="6"/>
      <c r="N339" s="6"/>
      <c r="O339" s="6"/>
      <c r="P339" s="6"/>
      <c r="Q339" s="6"/>
      <c r="R339" s="6"/>
      <c r="S339" s="6"/>
      <c r="T339" s="6"/>
      <c r="U339" s="6"/>
      <c r="V339" s="6"/>
      <c r="W339" s="6"/>
      <c r="X339" s="6"/>
      <c r="Y339" s="6"/>
      <c r="Z339" s="6"/>
    </row>
    <row r="340" spans="1:26" ht="18" customHeight="1" x14ac:dyDescent="0.3">
      <c r="A340" s="152"/>
      <c r="B340" s="128"/>
      <c r="C340" s="152"/>
      <c r="D340" s="128"/>
      <c r="E340" s="144" t="str">
        <f>IF(D340="","",IFERROR(INDEX('12 P6 activities'!$B$7:$B$206,MATCH(D340,'12 P6 activities'!$A$7:$A$206,0)),"⚠ not in P6 list"))</f>
        <v/>
      </c>
      <c r="F340" s="144" t="str">
        <f>IF(D340="","",IFERROR(INDEX('12 P6 activities'!$C$7:$C$206,MATCH(D340,'12 P6 activities'!$A$7:$A$206,0)),"⚠ not in P6 list"))</f>
        <v/>
      </c>
      <c r="G340" s="124"/>
      <c r="H340" s="152"/>
      <c r="I340" s="153" t="str">
        <f>IF(H340&lt;&gt;"Y","",IF(D340="","Pick the affected P6 activity first",IF(COUNTIFS('11 Notice calendar'!$A$7:$A$46,A340,'11 Notice calendar'!$I$7:$I$46,D340)&gt;0,"In the Notice calendar","Log it in the Notice calendar today")))</f>
        <v/>
      </c>
      <c r="J340" s="146"/>
      <c r="K340" s="146"/>
      <c r="L340" s="6"/>
      <c r="M340" s="6"/>
      <c r="N340" s="6"/>
      <c r="O340" s="6"/>
      <c r="P340" s="6"/>
      <c r="Q340" s="6"/>
      <c r="R340" s="6"/>
      <c r="S340" s="6"/>
      <c r="T340" s="6"/>
      <c r="U340" s="6"/>
      <c r="V340" s="6"/>
      <c r="W340" s="6"/>
      <c r="X340" s="6"/>
      <c r="Y340" s="6"/>
      <c r="Z340" s="6"/>
    </row>
    <row r="341" spans="1:26" ht="18" customHeight="1" x14ac:dyDescent="0.3">
      <c r="A341" s="152"/>
      <c r="B341" s="128"/>
      <c r="C341" s="152"/>
      <c r="D341" s="128"/>
      <c r="E341" s="144" t="str">
        <f>IF(D341="","",IFERROR(INDEX('12 P6 activities'!$B$7:$B$206,MATCH(D341,'12 P6 activities'!$A$7:$A$206,0)),"⚠ not in P6 list"))</f>
        <v/>
      </c>
      <c r="F341" s="144" t="str">
        <f>IF(D341="","",IFERROR(INDEX('12 P6 activities'!$C$7:$C$206,MATCH(D341,'12 P6 activities'!$A$7:$A$206,0)),"⚠ not in P6 list"))</f>
        <v/>
      </c>
      <c r="G341" s="124"/>
      <c r="H341" s="152"/>
      <c r="I341" s="153" t="str">
        <f>IF(H341&lt;&gt;"Y","",IF(D341="","Pick the affected P6 activity first",IF(COUNTIFS('11 Notice calendar'!$A$7:$A$46,A341,'11 Notice calendar'!$I$7:$I$46,D341)&gt;0,"In the Notice calendar","Log it in the Notice calendar today")))</f>
        <v/>
      </c>
      <c r="J341" s="146"/>
      <c r="K341" s="146"/>
      <c r="L341" s="6"/>
      <c r="M341" s="6"/>
      <c r="N341" s="6"/>
      <c r="O341" s="6"/>
      <c r="P341" s="6"/>
      <c r="Q341" s="6"/>
      <c r="R341" s="6"/>
      <c r="S341" s="6"/>
      <c r="T341" s="6"/>
      <c r="U341" s="6"/>
      <c r="V341" s="6"/>
      <c r="W341" s="6"/>
      <c r="X341" s="6"/>
      <c r="Y341" s="6"/>
      <c r="Z341" s="6"/>
    </row>
    <row r="342" spans="1:26" ht="18" customHeight="1" x14ac:dyDescent="0.3">
      <c r="A342" s="152"/>
      <c r="B342" s="128"/>
      <c r="C342" s="152"/>
      <c r="D342" s="128"/>
      <c r="E342" s="144" t="str">
        <f>IF(D342="","",IFERROR(INDEX('12 P6 activities'!$B$7:$B$206,MATCH(D342,'12 P6 activities'!$A$7:$A$206,0)),"⚠ not in P6 list"))</f>
        <v/>
      </c>
      <c r="F342" s="144" t="str">
        <f>IF(D342="","",IFERROR(INDEX('12 P6 activities'!$C$7:$C$206,MATCH(D342,'12 P6 activities'!$A$7:$A$206,0)),"⚠ not in P6 list"))</f>
        <v/>
      </c>
      <c r="G342" s="124"/>
      <c r="H342" s="152"/>
      <c r="I342" s="153" t="str">
        <f>IF(H342&lt;&gt;"Y","",IF(D342="","Pick the affected P6 activity first",IF(COUNTIFS('11 Notice calendar'!$A$7:$A$46,A342,'11 Notice calendar'!$I$7:$I$46,D342)&gt;0,"In the Notice calendar","Log it in the Notice calendar today")))</f>
        <v/>
      </c>
      <c r="J342" s="146"/>
      <c r="K342" s="146"/>
      <c r="L342" s="6"/>
      <c r="M342" s="6"/>
      <c r="N342" s="6"/>
      <c r="O342" s="6"/>
      <c r="P342" s="6"/>
      <c r="Q342" s="6"/>
      <c r="R342" s="6"/>
      <c r="S342" s="6"/>
      <c r="T342" s="6"/>
      <c r="U342" s="6"/>
      <c r="V342" s="6"/>
      <c r="W342" s="6"/>
      <c r="X342" s="6"/>
      <c r="Y342" s="6"/>
      <c r="Z342" s="6"/>
    </row>
    <row r="343" spans="1:26" ht="18" customHeight="1" x14ac:dyDescent="0.3">
      <c r="A343" s="152"/>
      <c r="B343" s="128"/>
      <c r="C343" s="152"/>
      <c r="D343" s="128"/>
      <c r="E343" s="144" t="str">
        <f>IF(D343="","",IFERROR(INDEX('12 P6 activities'!$B$7:$B$206,MATCH(D343,'12 P6 activities'!$A$7:$A$206,0)),"⚠ not in P6 list"))</f>
        <v/>
      </c>
      <c r="F343" s="144" t="str">
        <f>IF(D343="","",IFERROR(INDEX('12 P6 activities'!$C$7:$C$206,MATCH(D343,'12 P6 activities'!$A$7:$A$206,0)),"⚠ not in P6 list"))</f>
        <v/>
      </c>
      <c r="G343" s="124"/>
      <c r="H343" s="152"/>
      <c r="I343" s="153" t="str">
        <f>IF(H343&lt;&gt;"Y","",IF(D343="","Pick the affected P6 activity first",IF(COUNTIFS('11 Notice calendar'!$A$7:$A$46,A343,'11 Notice calendar'!$I$7:$I$46,D343)&gt;0,"In the Notice calendar","Log it in the Notice calendar today")))</f>
        <v/>
      </c>
      <c r="J343" s="146"/>
      <c r="K343" s="146"/>
      <c r="L343" s="6"/>
      <c r="M343" s="6"/>
      <c r="N343" s="6"/>
      <c r="O343" s="6"/>
      <c r="P343" s="6"/>
      <c r="Q343" s="6"/>
      <c r="R343" s="6"/>
      <c r="S343" s="6"/>
      <c r="T343" s="6"/>
      <c r="U343" s="6"/>
      <c r="V343" s="6"/>
      <c r="W343" s="6"/>
      <c r="X343" s="6"/>
      <c r="Y343" s="6"/>
      <c r="Z343" s="6"/>
    </row>
    <row r="344" spans="1:26" ht="18" customHeight="1" x14ac:dyDescent="0.3">
      <c r="A344" s="152"/>
      <c r="B344" s="128"/>
      <c r="C344" s="152"/>
      <c r="D344" s="128"/>
      <c r="E344" s="144" t="str">
        <f>IF(D344="","",IFERROR(INDEX('12 P6 activities'!$B$7:$B$206,MATCH(D344,'12 P6 activities'!$A$7:$A$206,0)),"⚠ not in P6 list"))</f>
        <v/>
      </c>
      <c r="F344" s="144" t="str">
        <f>IF(D344="","",IFERROR(INDEX('12 P6 activities'!$C$7:$C$206,MATCH(D344,'12 P6 activities'!$A$7:$A$206,0)),"⚠ not in P6 list"))</f>
        <v/>
      </c>
      <c r="G344" s="124"/>
      <c r="H344" s="152"/>
      <c r="I344" s="153" t="str">
        <f>IF(H344&lt;&gt;"Y","",IF(D344="","Pick the affected P6 activity first",IF(COUNTIFS('11 Notice calendar'!$A$7:$A$46,A344,'11 Notice calendar'!$I$7:$I$46,D344)&gt;0,"In the Notice calendar","Log it in the Notice calendar today")))</f>
        <v/>
      </c>
      <c r="J344" s="146"/>
      <c r="K344" s="146"/>
      <c r="L344" s="6"/>
      <c r="M344" s="6"/>
      <c r="N344" s="6"/>
      <c r="O344" s="6"/>
      <c r="P344" s="6"/>
      <c r="Q344" s="6"/>
      <c r="R344" s="6"/>
      <c r="S344" s="6"/>
      <c r="T344" s="6"/>
      <c r="U344" s="6"/>
      <c r="V344" s="6"/>
      <c r="W344" s="6"/>
      <c r="X344" s="6"/>
      <c r="Y344" s="6"/>
      <c r="Z344" s="6"/>
    </row>
    <row r="345" spans="1:26" ht="18" customHeight="1" x14ac:dyDescent="0.3">
      <c r="A345" s="152"/>
      <c r="B345" s="128"/>
      <c r="C345" s="152"/>
      <c r="D345" s="128"/>
      <c r="E345" s="144" t="str">
        <f>IF(D345="","",IFERROR(INDEX('12 P6 activities'!$B$7:$B$206,MATCH(D345,'12 P6 activities'!$A$7:$A$206,0)),"⚠ not in P6 list"))</f>
        <v/>
      </c>
      <c r="F345" s="144" t="str">
        <f>IF(D345="","",IFERROR(INDEX('12 P6 activities'!$C$7:$C$206,MATCH(D345,'12 P6 activities'!$A$7:$A$206,0)),"⚠ not in P6 list"))</f>
        <v/>
      </c>
      <c r="G345" s="124"/>
      <c r="H345" s="152"/>
      <c r="I345" s="153" t="str">
        <f>IF(H345&lt;&gt;"Y","",IF(D345="","Pick the affected P6 activity first",IF(COUNTIFS('11 Notice calendar'!$A$7:$A$46,A345,'11 Notice calendar'!$I$7:$I$46,D345)&gt;0,"In the Notice calendar","Log it in the Notice calendar today")))</f>
        <v/>
      </c>
      <c r="J345" s="146"/>
      <c r="K345" s="146"/>
      <c r="L345" s="6"/>
      <c r="M345" s="6"/>
      <c r="N345" s="6"/>
      <c r="O345" s="6"/>
      <c r="P345" s="6"/>
      <c r="Q345" s="6"/>
      <c r="R345" s="6"/>
      <c r="S345" s="6"/>
      <c r="T345" s="6"/>
      <c r="U345" s="6"/>
      <c r="V345" s="6"/>
      <c r="W345" s="6"/>
      <c r="X345" s="6"/>
      <c r="Y345" s="6"/>
      <c r="Z345" s="6"/>
    </row>
    <row r="346" spans="1:26" ht="18" customHeight="1" x14ac:dyDescent="0.3">
      <c r="A346" s="152"/>
      <c r="B346" s="128"/>
      <c r="C346" s="152"/>
      <c r="D346" s="128"/>
      <c r="E346" s="144" t="str">
        <f>IF(D346="","",IFERROR(INDEX('12 P6 activities'!$B$7:$B$206,MATCH(D346,'12 P6 activities'!$A$7:$A$206,0)),"⚠ not in P6 list"))</f>
        <v/>
      </c>
      <c r="F346" s="144" t="str">
        <f>IF(D346="","",IFERROR(INDEX('12 P6 activities'!$C$7:$C$206,MATCH(D346,'12 P6 activities'!$A$7:$A$206,0)),"⚠ not in P6 list"))</f>
        <v/>
      </c>
      <c r="G346" s="124"/>
      <c r="H346" s="152"/>
      <c r="I346" s="153" t="str">
        <f>IF(H346&lt;&gt;"Y","",IF(D346="","Pick the affected P6 activity first",IF(COUNTIFS('11 Notice calendar'!$A$7:$A$46,A346,'11 Notice calendar'!$I$7:$I$46,D346)&gt;0,"In the Notice calendar","Log it in the Notice calendar today")))</f>
        <v/>
      </c>
      <c r="J346" s="146"/>
      <c r="K346" s="146"/>
      <c r="L346" s="6"/>
      <c r="M346" s="6"/>
      <c r="N346" s="6"/>
      <c r="O346" s="6"/>
      <c r="P346" s="6"/>
      <c r="Q346" s="6"/>
      <c r="R346" s="6"/>
      <c r="S346" s="6"/>
      <c r="T346" s="6"/>
      <c r="U346" s="6"/>
      <c r="V346" s="6"/>
      <c r="W346" s="6"/>
      <c r="X346" s="6"/>
      <c r="Y346" s="6"/>
      <c r="Z346" s="6"/>
    </row>
    <row r="347" spans="1:26" ht="18" customHeight="1" x14ac:dyDescent="0.3">
      <c r="A347" s="152"/>
      <c r="B347" s="128"/>
      <c r="C347" s="152"/>
      <c r="D347" s="128"/>
      <c r="E347" s="144" t="str">
        <f>IF(D347="","",IFERROR(INDEX('12 P6 activities'!$B$7:$B$206,MATCH(D347,'12 P6 activities'!$A$7:$A$206,0)),"⚠ not in P6 list"))</f>
        <v/>
      </c>
      <c r="F347" s="144" t="str">
        <f>IF(D347="","",IFERROR(INDEX('12 P6 activities'!$C$7:$C$206,MATCH(D347,'12 P6 activities'!$A$7:$A$206,0)),"⚠ not in P6 list"))</f>
        <v/>
      </c>
      <c r="G347" s="124"/>
      <c r="H347" s="152"/>
      <c r="I347" s="153" t="str">
        <f>IF(H347&lt;&gt;"Y","",IF(D347="","Pick the affected P6 activity first",IF(COUNTIFS('11 Notice calendar'!$A$7:$A$46,A347,'11 Notice calendar'!$I$7:$I$46,D347)&gt;0,"In the Notice calendar","Log it in the Notice calendar today")))</f>
        <v/>
      </c>
      <c r="J347" s="146"/>
      <c r="K347" s="146"/>
      <c r="L347" s="6"/>
      <c r="M347" s="6"/>
      <c r="N347" s="6"/>
      <c r="O347" s="6"/>
      <c r="P347" s="6"/>
      <c r="Q347" s="6"/>
      <c r="R347" s="6"/>
      <c r="S347" s="6"/>
      <c r="T347" s="6"/>
      <c r="U347" s="6"/>
      <c r="V347" s="6"/>
      <c r="W347" s="6"/>
      <c r="X347" s="6"/>
      <c r="Y347" s="6"/>
      <c r="Z347" s="6"/>
    </row>
    <row r="348" spans="1:26" ht="18" customHeight="1" x14ac:dyDescent="0.3">
      <c r="A348" s="152"/>
      <c r="B348" s="128"/>
      <c r="C348" s="152"/>
      <c r="D348" s="128"/>
      <c r="E348" s="144" t="str">
        <f>IF(D348="","",IFERROR(INDEX('12 P6 activities'!$B$7:$B$206,MATCH(D348,'12 P6 activities'!$A$7:$A$206,0)),"⚠ not in P6 list"))</f>
        <v/>
      </c>
      <c r="F348" s="144" t="str">
        <f>IF(D348="","",IFERROR(INDEX('12 P6 activities'!$C$7:$C$206,MATCH(D348,'12 P6 activities'!$A$7:$A$206,0)),"⚠ not in P6 list"))</f>
        <v/>
      </c>
      <c r="G348" s="124"/>
      <c r="H348" s="152"/>
      <c r="I348" s="153" t="str">
        <f>IF(H348&lt;&gt;"Y","",IF(D348="","Pick the affected P6 activity first",IF(COUNTIFS('11 Notice calendar'!$A$7:$A$46,A348,'11 Notice calendar'!$I$7:$I$46,D348)&gt;0,"In the Notice calendar","Log it in the Notice calendar today")))</f>
        <v/>
      </c>
      <c r="J348" s="146"/>
      <c r="K348" s="146"/>
      <c r="L348" s="6"/>
      <c r="M348" s="6"/>
      <c r="N348" s="6"/>
      <c r="O348" s="6"/>
      <c r="P348" s="6"/>
      <c r="Q348" s="6"/>
      <c r="R348" s="6"/>
      <c r="S348" s="6"/>
      <c r="T348" s="6"/>
      <c r="U348" s="6"/>
      <c r="V348" s="6"/>
      <c r="W348" s="6"/>
      <c r="X348" s="6"/>
      <c r="Y348" s="6"/>
      <c r="Z348" s="6"/>
    </row>
    <row r="349" spans="1:26" ht="18" customHeight="1" x14ac:dyDescent="0.3">
      <c r="A349" s="152"/>
      <c r="B349" s="128"/>
      <c r="C349" s="152"/>
      <c r="D349" s="128"/>
      <c r="E349" s="144" t="str">
        <f>IF(D349="","",IFERROR(INDEX('12 P6 activities'!$B$7:$B$206,MATCH(D349,'12 P6 activities'!$A$7:$A$206,0)),"⚠ not in P6 list"))</f>
        <v/>
      </c>
      <c r="F349" s="144" t="str">
        <f>IF(D349="","",IFERROR(INDEX('12 P6 activities'!$C$7:$C$206,MATCH(D349,'12 P6 activities'!$A$7:$A$206,0)),"⚠ not in P6 list"))</f>
        <v/>
      </c>
      <c r="G349" s="124"/>
      <c r="H349" s="152"/>
      <c r="I349" s="153" t="str">
        <f>IF(H349&lt;&gt;"Y","",IF(D349="","Pick the affected P6 activity first",IF(COUNTIFS('11 Notice calendar'!$A$7:$A$46,A349,'11 Notice calendar'!$I$7:$I$46,D349)&gt;0,"In the Notice calendar","Log it in the Notice calendar today")))</f>
        <v/>
      </c>
      <c r="J349" s="146"/>
      <c r="K349" s="146"/>
      <c r="L349" s="6"/>
      <c r="M349" s="6"/>
      <c r="N349" s="6"/>
      <c r="O349" s="6"/>
      <c r="P349" s="6"/>
      <c r="Q349" s="6"/>
      <c r="R349" s="6"/>
      <c r="S349" s="6"/>
      <c r="T349" s="6"/>
      <c r="U349" s="6"/>
      <c r="V349" s="6"/>
      <c r="W349" s="6"/>
      <c r="X349" s="6"/>
      <c r="Y349" s="6"/>
      <c r="Z349" s="6"/>
    </row>
    <row r="350" spans="1:26" ht="18" customHeight="1" x14ac:dyDescent="0.3">
      <c r="A350" s="152"/>
      <c r="B350" s="128"/>
      <c r="C350" s="152"/>
      <c r="D350" s="128"/>
      <c r="E350" s="144" t="str">
        <f>IF(D350="","",IFERROR(INDEX('12 P6 activities'!$B$7:$B$206,MATCH(D350,'12 P6 activities'!$A$7:$A$206,0)),"⚠ not in P6 list"))</f>
        <v/>
      </c>
      <c r="F350" s="144" t="str">
        <f>IF(D350="","",IFERROR(INDEX('12 P6 activities'!$C$7:$C$206,MATCH(D350,'12 P6 activities'!$A$7:$A$206,0)),"⚠ not in P6 list"))</f>
        <v/>
      </c>
      <c r="G350" s="124"/>
      <c r="H350" s="152"/>
      <c r="I350" s="153" t="str">
        <f>IF(H350&lt;&gt;"Y","",IF(D350="","Pick the affected P6 activity first",IF(COUNTIFS('11 Notice calendar'!$A$7:$A$46,A350,'11 Notice calendar'!$I$7:$I$46,D350)&gt;0,"In the Notice calendar","Log it in the Notice calendar today")))</f>
        <v/>
      </c>
      <c r="J350" s="146"/>
      <c r="K350" s="146"/>
      <c r="L350" s="6"/>
      <c r="M350" s="6"/>
      <c r="N350" s="6"/>
      <c r="O350" s="6"/>
      <c r="P350" s="6"/>
      <c r="Q350" s="6"/>
      <c r="R350" s="6"/>
      <c r="S350" s="6"/>
      <c r="T350" s="6"/>
      <c r="U350" s="6"/>
      <c r="V350" s="6"/>
      <c r="W350" s="6"/>
      <c r="X350" s="6"/>
      <c r="Y350" s="6"/>
      <c r="Z350" s="6"/>
    </row>
    <row r="351" spans="1:26" ht="18" customHeight="1" x14ac:dyDescent="0.3">
      <c r="A351" s="152"/>
      <c r="B351" s="128"/>
      <c r="C351" s="152"/>
      <c r="D351" s="128"/>
      <c r="E351" s="144" t="str">
        <f>IF(D351="","",IFERROR(INDEX('12 P6 activities'!$B$7:$B$206,MATCH(D351,'12 P6 activities'!$A$7:$A$206,0)),"⚠ not in P6 list"))</f>
        <v/>
      </c>
      <c r="F351" s="144" t="str">
        <f>IF(D351="","",IFERROR(INDEX('12 P6 activities'!$C$7:$C$206,MATCH(D351,'12 P6 activities'!$A$7:$A$206,0)),"⚠ not in P6 list"))</f>
        <v/>
      </c>
      <c r="G351" s="124"/>
      <c r="H351" s="152"/>
      <c r="I351" s="153" t="str">
        <f>IF(H351&lt;&gt;"Y","",IF(D351="","Pick the affected P6 activity first",IF(COUNTIFS('11 Notice calendar'!$A$7:$A$46,A351,'11 Notice calendar'!$I$7:$I$46,D351)&gt;0,"In the Notice calendar","Log it in the Notice calendar today")))</f>
        <v/>
      </c>
      <c r="J351" s="146"/>
      <c r="K351" s="146"/>
      <c r="L351" s="6"/>
      <c r="M351" s="6"/>
      <c r="N351" s="6"/>
      <c r="O351" s="6"/>
      <c r="P351" s="6"/>
      <c r="Q351" s="6"/>
      <c r="R351" s="6"/>
      <c r="S351" s="6"/>
      <c r="T351" s="6"/>
      <c r="U351" s="6"/>
      <c r="V351" s="6"/>
      <c r="W351" s="6"/>
      <c r="X351" s="6"/>
      <c r="Y351" s="6"/>
      <c r="Z351" s="6"/>
    </row>
    <row r="352" spans="1:26" ht="18" customHeight="1" x14ac:dyDescent="0.3">
      <c r="A352" s="152"/>
      <c r="B352" s="128"/>
      <c r="C352" s="152"/>
      <c r="D352" s="128"/>
      <c r="E352" s="144" t="str">
        <f>IF(D352="","",IFERROR(INDEX('12 P6 activities'!$B$7:$B$206,MATCH(D352,'12 P6 activities'!$A$7:$A$206,0)),"⚠ not in P6 list"))</f>
        <v/>
      </c>
      <c r="F352" s="144" t="str">
        <f>IF(D352="","",IFERROR(INDEX('12 P6 activities'!$C$7:$C$206,MATCH(D352,'12 P6 activities'!$A$7:$A$206,0)),"⚠ not in P6 list"))</f>
        <v/>
      </c>
      <c r="G352" s="124"/>
      <c r="H352" s="152"/>
      <c r="I352" s="153" t="str">
        <f>IF(H352&lt;&gt;"Y","",IF(D352="","Pick the affected P6 activity first",IF(COUNTIFS('11 Notice calendar'!$A$7:$A$46,A352,'11 Notice calendar'!$I$7:$I$46,D352)&gt;0,"In the Notice calendar","Log it in the Notice calendar today")))</f>
        <v/>
      </c>
      <c r="J352" s="146"/>
      <c r="K352" s="146"/>
      <c r="L352" s="6"/>
      <c r="M352" s="6"/>
      <c r="N352" s="6"/>
      <c r="O352" s="6"/>
      <c r="P352" s="6"/>
      <c r="Q352" s="6"/>
      <c r="R352" s="6"/>
      <c r="S352" s="6"/>
      <c r="T352" s="6"/>
      <c r="U352" s="6"/>
      <c r="V352" s="6"/>
      <c r="W352" s="6"/>
      <c r="X352" s="6"/>
      <c r="Y352" s="6"/>
      <c r="Z352" s="6"/>
    </row>
    <row r="353" spans="1:26" ht="18" customHeight="1" x14ac:dyDescent="0.3">
      <c r="A353" s="152"/>
      <c r="B353" s="128"/>
      <c r="C353" s="152"/>
      <c r="D353" s="128"/>
      <c r="E353" s="144" t="str">
        <f>IF(D353="","",IFERROR(INDEX('12 P6 activities'!$B$7:$B$206,MATCH(D353,'12 P6 activities'!$A$7:$A$206,0)),"⚠ not in P6 list"))</f>
        <v/>
      </c>
      <c r="F353" s="144" t="str">
        <f>IF(D353="","",IFERROR(INDEX('12 P6 activities'!$C$7:$C$206,MATCH(D353,'12 P6 activities'!$A$7:$A$206,0)),"⚠ not in P6 list"))</f>
        <v/>
      </c>
      <c r="G353" s="124"/>
      <c r="H353" s="152"/>
      <c r="I353" s="153" t="str">
        <f>IF(H353&lt;&gt;"Y","",IF(D353="","Pick the affected P6 activity first",IF(COUNTIFS('11 Notice calendar'!$A$7:$A$46,A353,'11 Notice calendar'!$I$7:$I$46,D353)&gt;0,"In the Notice calendar","Log it in the Notice calendar today")))</f>
        <v/>
      </c>
      <c r="J353" s="146"/>
      <c r="K353" s="146"/>
      <c r="L353" s="6"/>
      <c r="M353" s="6"/>
      <c r="N353" s="6"/>
      <c r="O353" s="6"/>
      <c r="P353" s="6"/>
      <c r="Q353" s="6"/>
      <c r="R353" s="6"/>
      <c r="S353" s="6"/>
      <c r="T353" s="6"/>
      <c r="U353" s="6"/>
      <c r="V353" s="6"/>
      <c r="W353" s="6"/>
      <c r="X353" s="6"/>
      <c r="Y353" s="6"/>
      <c r="Z353" s="6"/>
    </row>
    <row r="354" spans="1:26" ht="18" customHeight="1" x14ac:dyDescent="0.3">
      <c r="A354" s="152"/>
      <c r="B354" s="128"/>
      <c r="C354" s="152"/>
      <c r="D354" s="128"/>
      <c r="E354" s="144" t="str">
        <f>IF(D354="","",IFERROR(INDEX('12 P6 activities'!$B$7:$B$206,MATCH(D354,'12 P6 activities'!$A$7:$A$206,0)),"⚠ not in P6 list"))</f>
        <v/>
      </c>
      <c r="F354" s="144" t="str">
        <f>IF(D354="","",IFERROR(INDEX('12 P6 activities'!$C$7:$C$206,MATCH(D354,'12 P6 activities'!$A$7:$A$206,0)),"⚠ not in P6 list"))</f>
        <v/>
      </c>
      <c r="G354" s="124"/>
      <c r="H354" s="152"/>
      <c r="I354" s="153" t="str">
        <f>IF(H354&lt;&gt;"Y","",IF(D354="","Pick the affected P6 activity first",IF(COUNTIFS('11 Notice calendar'!$A$7:$A$46,A354,'11 Notice calendar'!$I$7:$I$46,D354)&gt;0,"In the Notice calendar","Log it in the Notice calendar today")))</f>
        <v/>
      </c>
      <c r="J354" s="146"/>
      <c r="K354" s="146"/>
      <c r="L354" s="6"/>
      <c r="M354" s="6"/>
      <c r="N354" s="6"/>
      <c r="O354" s="6"/>
      <c r="P354" s="6"/>
      <c r="Q354" s="6"/>
      <c r="R354" s="6"/>
      <c r="S354" s="6"/>
      <c r="T354" s="6"/>
      <c r="U354" s="6"/>
      <c r="V354" s="6"/>
      <c r="W354" s="6"/>
      <c r="X354" s="6"/>
      <c r="Y354" s="6"/>
      <c r="Z354" s="6"/>
    </row>
    <row r="355" spans="1:26" ht="18" customHeight="1" x14ac:dyDescent="0.3">
      <c r="A355" s="152"/>
      <c r="B355" s="128"/>
      <c r="C355" s="152"/>
      <c r="D355" s="128"/>
      <c r="E355" s="144" t="str">
        <f>IF(D355="","",IFERROR(INDEX('12 P6 activities'!$B$7:$B$206,MATCH(D355,'12 P6 activities'!$A$7:$A$206,0)),"⚠ not in P6 list"))</f>
        <v/>
      </c>
      <c r="F355" s="144" t="str">
        <f>IF(D355="","",IFERROR(INDEX('12 P6 activities'!$C$7:$C$206,MATCH(D355,'12 P6 activities'!$A$7:$A$206,0)),"⚠ not in P6 list"))</f>
        <v/>
      </c>
      <c r="G355" s="124"/>
      <c r="H355" s="152"/>
      <c r="I355" s="153" t="str">
        <f>IF(H355&lt;&gt;"Y","",IF(D355="","Pick the affected P6 activity first",IF(COUNTIFS('11 Notice calendar'!$A$7:$A$46,A355,'11 Notice calendar'!$I$7:$I$46,D355)&gt;0,"In the Notice calendar","Log it in the Notice calendar today")))</f>
        <v/>
      </c>
      <c r="J355" s="146"/>
      <c r="K355" s="146"/>
      <c r="L355" s="6"/>
      <c r="M355" s="6"/>
      <c r="N355" s="6"/>
      <c r="O355" s="6"/>
      <c r="P355" s="6"/>
      <c r="Q355" s="6"/>
      <c r="R355" s="6"/>
      <c r="S355" s="6"/>
      <c r="T355" s="6"/>
      <c r="U355" s="6"/>
      <c r="V355" s="6"/>
      <c r="W355" s="6"/>
      <c r="X355" s="6"/>
      <c r="Y355" s="6"/>
      <c r="Z355" s="6"/>
    </row>
    <row r="356" spans="1:26" ht="18" customHeight="1" x14ac:dyDescent="0.3">
      <c r="A356" s="152"/>
      <c r="B356" s="128"/>
      <c r="C356" s="152"/>
      <c r="D356" s="128"/>
      <c r="E356" s="144" t="str">
        <f>IF(D356="","",IFERROR(INDEX('12 P6 activities'!$B$7:$B$206,MATCH(D356,'12 P6 activities'!$A$7:$A$206,0)),"⚠ not in P6 list"))</f>
        <v/>
      </c>
      <c r="F356" s="144" t="str">
        <f>IF(D356="","",IFERROR(INDEX('12 P6 activities'!$C$7:$C$206,MATCH(D356,'12 P6 activities'!$A$7:$A$206,0)),"⚠ not in P6 list"))</f>
        <v/>
      </c>
      <c r="G356" s="124"/>
      <c r="H356" s="152"/>
      <c r="I356" s="153" t="str">
        <f>IF(H356&lt;&gt;"Y","",IF(D356="","Pick the affected P6 activity first",IF(COUNTIFS('11 Notice calendar'!$A$7:$A$46,A356,'11 Notice calendar'!$I$7:$I$46,D356)&gt;0,"In the Notice calendar","Log it in the Notice calendar today")))</f>
        <v/>
      </c>
      <c r="J356" s="146"/>
      <c r="K356" s="146"/>
      <c r="L356" s="6"/>
      <c r="M356" s="6"/>
      <c r="N356" s="6"/>
      <c r="O356" s="6"/>
      <c r="P356" s="6"/>
      <c r="Q356" s="6"/>
      <c r="R356" s="6"/>
      <c r="S356" s="6"/>
      <c r="T356" s="6"/>
      <c r="U356" s="6"/>
      <c r="V356" s="6"/>
      <c r="W356" s="6"/>
      <c r="X356" s="6"/>
      <c r="Y356" s="6"/>
      <c r="Z356" s="6"/>
    </row>
    <row r="357" spans="1:26" ht="18" customHeight="1" x14ac:dyDescent="0.3">
      <c r="A357" s="152"/>
      <c r="B357" s="128"/>
      <c r="C357" s="152"/>
      <c r="D357" s="128"/>
      <c r="E357" s="144" t="str">
        <f>IF(D357="","",IFERROR(INDEX('12 P6 activities'!$B$7:$B$206,MATCH(D357,'12 P6 activities'!$A$7:$A$206,0)),"⚠ not in P6 list"))</f>
        <v/>
      </c>
      <c r="F357" s="144" t="str">
        <f>IF(D357="","",IFERROR(INDEX('12 P6 activities'!$C$7:$C$206,MATCH(D357,'12 P6 activities'!$A$7:$A$206,0)),"⚠ not in P6 list"))</f>
        <v/>
      </c>
      <c r="G357" s="124"/>
      <c r="H357" s="152"/>
      <c r="I357" s="153" t="str">
        <f>IF(H357&lt;&gt;"Y","",IF(D357="","Pick the affected P6 activity first",IF(COUNTIFS('11 Notice calendar'!$A$7:$A$46,A357,'11 Notice calendar'!$I$7:$I$46,D357)&gt;0,"In the Notice calendar","Log it in the Notice calendar today")))</f>
        <v/>
      </c>
      <c r="J357" s="146"/>
      <c r="K357" s="146"/>
      <c r="L357" s="6"/>
      <c r="M357" s="6"/>
      <c r="N357" s="6"/>
      <c r="O357" s="6"/>
      <c r="P357" s="6"/>
      <c r="Q357" s="6"/>
      <c r="R357" s="6"/>
      <c r="S357" s="6"/>
      <c r="T357" s="6"/>
      <c r="U357" s="6"/>
      <c r="V357" s="6"/>
      <c r="W357" s="6"/>
      <c r="X357" s="6"/>
      <c r="Y357" s="6"/>
      <c r="Z357" s="6"/>
    </row>
    <row r="358" spans="1:26" ht="18" customHeight="1" x14ac:dyDescent="0.3">
      <c r="A358" s="152"/>
      <c r="B358" s="128"/>
      <c r="C358" s="152"/>
      <c r="D358" s="128"/>
      <c r="E358" s="144" t="str">
        <f>IF(D358="","",IFERROR(INDEX('12 P6 activities'!$B$7:$B$206,MATCH(D358,'12 P6 activities'!$A$7:$A$206,0)),"⚠ not in P6 list"))</f>
        <v/>
      </c>
      <c r="F358" s="144" t="str">
        <f>IF(D358="","",IFERROR(INDEX('12 P6 activities'!$C$7:$C$206,MATCH(D358,'12 P6 activities'!$A$7:$A$206,0)),"⚠ not in P6 list"))</f>
        <v/>
      </c>
      <c r="G358" s="124"/>
      <c r="H358" s="152"/>
      <c r="I358" s="153" t="str">
        <f>IF(H358&lt;&gt;"Y","",IF(D358="","Pick the affected P6 activity first",IF(COUNTIFS('11 Notice calendar'!$A$7:$A$46,A358,'11 Notice calendar'!$I$7:$I$46,D358)&gt;0,"In the Notice calendar","Log it in the Notice calendar today")))</f>
        <v/>
      </c>
      <c r="J358" s="146"/>
      <c r="K358" s="146"/>
      <c r="L358" s="6"/>
      <c r="M358" s="6"/>
      <c r="N358" s="6"/>
      <c r="O358" s="6"/>
      <c r="P358" s="6"/>
      <c r="Q358" s="6"/>
      <c r="R358" s="6"/>
      <c r="S358" s="6"/>
      <c r="T358" s="6"/>
      <c r="U358" s="6"/>
      <c r="V358" s="6"/>
      <c r="W358" s="6"/>
      <c r="X358" s="6"/>
      <c r="Y358" s="6"/>
      <c r="Z358" s="6"/>
    </row>
    <row r="359" spans="1:26" ht="18" customHeight="1" x14ac:dyDescent="0.3">
      <c r="A359" s="152"/>
      <c r="B359" s="128"/>
      <c r="C359" s="152"/>
      <c r="D359" s="128"/>
      <c r="E359" s="144" t="str">
        <f>IF(D359="","",IFERROR(INDEX('12 P6 activities'!$B$7:$B$206,MATCH(D359,'12 P6 activities'!$A$7:$A$206,0)),"⚠ not in P6 list"))</f>
        <v/>
      </c>
      <c r="F359" s="144" t="str">
        <f>IF(D359="","",IFERROR(INDEX('12 P6 activities'!$C$7:$C$206,MATCH(D359,'12 P6 activities'!$A$7:$A$206,0)),"⚠ not in P6 list"))</f>
        <v/>
      </c>
      <c r="G359" s="124"/>
      <c r="H359" s="152"/>
      <c r="I359" s="153" t="str">
        <f>IF(H359&lt;&gt;"Y","",IF(D359="","Pick the affected P6 activity first",IF(COUNTIFS('11 Notice calendar'!$A$7:$A$46,A359,'11 Notice calendar'!$I$7:$I$46,D359)&gt;0,"In the Notice calendar","Log it in the Notice calendar today")))</f>
        <v/>
      </c>
      <c r="J359" s="146"/>
      <c r="K359" s="146"/>
      <c r="L359" s="6"/>
      <c r="M359" s="6"/>
      <c r="N359" s="6"/>
      <c r="O359" s="6"/>
      <c r="P359" s="6"/>
      <c r="Q359" s="6"/>
      <c r="R359" s="6"/>
      <c r="S359" s="6"/>
      <c r="T359" s="6"/>
      <c r="U359" s="6"/>
      <c r="V359" s="6"/>
      <c r="W359" s="6"/>
      <c r="X359" s="6"/>
      <c r="Y359" s="6"/>
      <c r="Z359" s="6"/>
    </row>
    <row r="360" spans="1:26" ht="18" customHeight="1" x14ac:dyDescent="0.3">
      <c r="A360" s="152"/>
      <c r="B360" s="128"/>
      <c r="C360" s="152"/>
      <c r="D360" s="128"/>
      <c r="E360" s="144" t="str">
        <f>IF(D360="","",IFERROR(INDEX('12 P6 activities'!$B$7:$B$206,MATCH(D360,'12 P6 activities'!$A$7:$A$206,0)),"⚠ not in P6 list"))</f>
        <v/>
      </c>
      <c r="F360" s="144" t="str">
        <f>IF(D360="","",IFERROR(INDEX('12 P6 activities'!$C$7:$C$206,MATCH(D360,'12 P6 activities'!$A$7:$A$206,0)),"⚠ not in P6 list"))</f>
        <v/>
      </c>
      <c r="G360" s="124"/>
      <c r="H360" s="152"/>
      <c r="I360" s="153" t="str">
        <f>IF(H360&lt;&gt;"Y","",IF(D360="","Pick the affected P6 activity first",IF(COUNTIFS('11 Notice calendar'!$A$7:$A$46,A360,'11 Notice calendar'!$I$7:$I$46,D360)&gt;0,"In the Notice calendar","Log it in the Notice calendar today")))</f>
        <v/>
      </c>
      <c r="J360" s="146"/>
      <c r="K360" s="146"/>
      <c r="L360" s="6"/>
      <c r="M360" s="6"/>
      <c r="N360" s="6"/>
      <c r="O360" s="6"/>
      <c r="P360" s="6"/>
      <c r="Q360" s="6"/>
      <c r="R360" s="6"/>
      <c r="S360" s="6"/>
      <c r="T360" s="6"/>
      <c r="U360" s="6"/>
      <c r="V360" s="6"/>
      <c r="W360" s="6"/>
      <c r="X360" s="6"/>
      <c r="Y360" s="6"/>
      <c r="Z360" s="6"/>
    </row>
    <row r="361" spans="1:26" ht="18" customHeight="1" x14ac:dyDescent="0.3">
      <c r="A361" s="152"/>
      <c r="B361" s="128"/>
      <c r="C361" s="152"/>
      <c r="D361" s="128"/>
      <c r="E361" s="144" t="str">
        <f>IF(D361="","",IFERROR(INDEX('12 P6 activities'!$B$7:$B$206,MATCH(D361,'12 P6 activities'!$A$7:$A$206,0)),"⚠ not in P6 list"))</f>
        <v/>
      </c>
      <c r="F361" s="144" t="str">
        <f>IF(D361="","",IFERROR(INDEX('12 P6 activities'!$C$7:$C$206,MATCH(D361,'12 P6 activities'!$A$7:$A$206,0)),"⚠ not in P6 list"))</f>
        <v/>
      </c>
      <c r="G361" s="124"/>
      <c r="H361" s="152"/>
      <c r="I361" s="153" t="str">
        <f>IF(H361&lt;&gt;"Y","",IF(D361="","Pick the affected P6 activity first",IF(COUNTIFS('11 Notice calendar'!$A$7:$A$46,A361,'11 Notice calendar'!$I$7:$I$46,D361)&gt;0,"In the Notice calendar","Log it in the Notice calendar today")))</f>
        <v/>
      </c>
      <c r="J361" s="146"/>
      <c r="K361" s="146"/>
      <c r="L361" s="6"/>
      <c r="M361" s="6"/>
      <c r="N361" s="6"/>
      <c r="O361" s="6"/>
      <c r="P361" s="6"/>
      <c r="Q361" s="6"/>
      <c r="R361" s="6"/>
      <c r="S361" s="6"/>
      <c r="T361" s="6"/>
      <c r="U361" s="6"/>
      <c r="V361" s="6"/>
      <c r="W361" s="6"/>
      <c r="X361" s="6"/>
      <c r="Y361" s="6"/>
      <c r="Z361" s="6"/>
    </row>
    <row r="362" spans="1:26" ht="18" customHeight="1" x14ac:dyDescent="0.3">
      <c r="A362" s="152"/>
      <c r="B362" s="128"/>
      <c r="C362" s="152"/>
      <c r="D362" s="128"/>
      <c r="E362" s="144" t="str">
        <f>IF(D362="","",IFERROR(INDEX('12 P6 activities'!$B$7:$B$206,MATCH(D362,'12 P6 activities'!$A$7:$A$206,0)),"⚠ not in P6 list"))</f>
        <v/>
      </c>
      <c r="F362" s="144" t="str">
        <f>IF(D362="","",IFERROR(INDEX('12 P6 activities'!$C$7:$C$206,MATCH(D362,'12 P6 activities'!$A$7:$A$206,0)),"⚠ not in P6 list"))</f>
        <v/>
      </c>
      <c r="G362" s="124"/>
      <c r="H362" s="152"/>
      <c r="I362" s="153" t="str">
        <f>IF(H362&lt;&gt;"Y","",IF(D362="","Pick the affected P6 activity first",IF(COUNTIFS('11 Notice calendar'!$A$7:$A$46,A362,'11 Notice calendar'!$I$7:$I$46,D362)&gt;0,"In the Notice calendar","Log it in the Notice calendar today")))</f>
        <v/>
      </c>
      <c r="J362" s="146"/>
      <c r="K362" s="146"/>
      <c r="L362" s="6"/>
      <c r="M362" s="6"/>
      <c r="N362" s="6"/>
      <c r="O362" s="6"/>
      <c r="P362" s="6"/>
      <c r="Q362" s="6"/>
      <c r="R362" s="6"/>
      <c r="S362" s="6"/>
      <c r="T362" s="6"/>
      <c r="U362" s="6"/>
      <c r="V362" s="6"/>
      <c r="W362" s="6"/>
      <c r="X362" s="6"/>
      <c r="Y362" s="6"/>
      <c r="Z362" s="6"/>
    </row>
    <row r="363" spans="1:26" ht="18" customHeight="1" x14ac:dyDescent="0.3">
      <c r="A363" s="152"/>
      <c r="B363" s="128"/>
      <c r="C363" s="152"/>
      <c r="D363" s="128"/>
      <c r="E363" s="144" t="str">
        <f>IF(D363="","",IFERROR(INDEX('12 P6 activities'!$B$7:$B$206,MATCH(D363,'12 P6 activities'!$A$7:$A$206,0)),"⚠ not in P6 list"))</f>
        <v/>
      </c>
      <c r="F363" s="144" t="str">
        <f>IF(D363="","",IFERROR(INDEX('12 P6 activities'!$C$7:$C$206,MATCH(D363,'12 P6 activities'!$A$7:$A$206,0)),"⚠ not in P6 list"))</f>
        <v/>
      </c>
      <c r="G363" s="124"/>
      <c r="H363" s="152"/>
      <c r="I363" s="153" t="str">
        <f>IF(H363&lt;&gt;"Y","",IF(D363="","Pick the affected P6 activity first",IF(COUNTIFS('11 Notice calendar'!$A$7:$A$46,A363,'11 Notice calendar'!$I$7:$I$46,D363)&gt;0,"In the Notice calendar","Log it in the Notice calendar today")))</f>
        <v/>
      </c>
      <c r="J363" s="146"/>
      <c r="K363" s="146"/>
      <c r="L363" s="6"/>
      <c r="M363" s="6"/>
      <c r="N363" s="6"/>
      <c r="O363" s="6"/>
      <c r="P363" s="6"/>
      <c r="Q363" s="6"/>
      <c r="R363" s="6"/>
      <c r="S363" s="6"/>
      <c r="T363" s="6"/>
      <c r="U363" s="6"/>
      <c r="V363" s="6"/>
      <c r="W363" s="6"/>
      <c r="X363" s="6"/>
      <c r="Y363" s="6"/>
      <c r="Z363" s="6"/>
    </row>
    <row r="364" spans="1:26" ht="18" customHeight="1" x14ac:dyDescent="0.3">
      <c r="A364" s="152"/>
      <c r="B364" s="128"/>
      <c r="C364" s="152"/>
      <c r="D364" s="128"/>
      <c r="E364" s="144" t="str">
        <f>IF(D364="","",IFERROR(INDEX('12 P6 activities'!$B$7:$B$206,MATCH(D364,'12 P6 activities'!$A$7:$A$206,0)),"⚠ not in P6 list"))</f>
        <v/>
      </c>
      <c r="F364" s="144" t="str">
        <f>IF(D364="","",IFERROR(INDEX('12 P6 activities'!$C$7:$C$206,MATCH(D364,'12 P6 activities'!$A$7:$A$206,0)),"⚠ not in P6 list"))</f>
        <v/>
      </c>
      <c r="G364" s="124"/>
      <c r="H364" s="152"/>
      <c r="I364" s="153" t="str">
        <f>IF(H364&lt;&gt;"Y","",IF(D364="","Pick the affected P6 activity first",IF(COUNTIFS('11 Notice calendar'!$A$7:$A$46,A364,'11 Notice calendar'!$I$7:$I$46,D364)&gt;0,"In the Notice calendar","Log it in the Notice calendar today")))</f>
        <v/>
      </c>
      <c r="J364" s="146"/>
      <c r="K364" s="146"/>
      <c r="L364" s="6"/>
      <c r="M364" s="6"/>
      <c r="N364" s="6"/>
      <c r="O364" s="6"/>
      <c r="P364" s="6"/>
      <c r="Q364" s="6"/>
      <c r="R364" s="6"/>
      <c r="S364" s="6"/>
      <c r="T364" s="6"/>
      <c r="U364" s="6"/>
      <c r="V364" s="6"/>
      <c r="W364" s="6"/>
      <c r="X364" s="6"/>
      <c r="Y364" s="6"/>
      <c r="Z364" s="6"/>
    </row>
    <row r="365" spans="1:26" ht="18" customHeight="1" x14ac:dyDescent="0.3">
      <c r="A365" s="152"/>
      <c r="B365" s="128"/>
      <c r="C365" s="152"/>
      <c r="D365" s="128"/>
      <c r="E365" s="144" t="str">
        <f>IF(D365="","",IFERROR(INDEX('12 P6 activities'!$B$7:$B$206,MATCH(D365,'12 P6 activities'!$A$7:$A$206,0)),"⚠ not in P6 list"))</f>
        <v/>
      </c>
      <c r="F365" s="144" t="str">
        <f>IF(D365="","",IFERROR(INDEX('12 P6 activities'!$C$7:$C$206,MATCH(D365,'12 P6 activities'!$A$7:$A$206,0)),"⚠ not in P6 list"))</f>
        <v/>
      </c>
      <c r="G365" s="124"/>
      <c r="H365" s="152"/>
      <c r="I365" s="153" t="str">
        <f>IF(H365&lt;&gt;"Y","",IF(D365="","Pick the affected P6 activity first",IF(COUNTIFS('11 Notice calendar'!$A$7:$A$46,A365,'11 Notice calendar'!$I$7:$I$46,D365)&gt;0,"In the Notice calendar","Log it in the Notice calendar today")))</f>
        <v/>
      </c>
      <c r="J365" s="146"/>
      <c r="K365" s="146"/>
      <c r="L365" s="6"/>
      <c r="M365" s="6"/>
      <c r="N365" s="6"/>
      <c r="O365" s="6"/>
      <c r="P365" s="6"/>
      <c r="Q365" s="6"/>
      <c r="R365" s="6"/>
      <c r="S365" s="6"/>
      <c r="T365" s="6"/>
      <c r="U365" s="6"/>
      <c r="V365" s="6"/>
      <c r="W365" s="6"/>
      <c r="X365" s="6"/>
      <c r="Y365" s="6"/>
      <c r="Z365" s="6"/>
    </row>
    <row r="366" spans="1:26" ht="18" customHeight="1" x14ac:dyDescent="0.3">
      <c r="A366" s="152"/>
      <c r="B366" s="128"/>
      <c r="C366" s="152"/>
      <c r="D366" s="128"/>
      <c r="E366" s="144" t="str">
        <f>IF(D366="","",IFERROR(INDEX('12 P6 activities'!$B$7:$B$206,MATCH(D366,'12 P6 activities'!$A$7:$A$206,0)),"⚠ not in P6 list"))</f>
        <v/>
      </c>
      <c r="F366" s="144" t="str">
        <f>IF(D366="","",IFERROR(INDEX('12 P6 activities'!$C$7:$C$206,MATCH(D366,'12 P6 activities'!$A$7:$A$206,0)),"⚠ not in P6 list"))</f>
        <v/>
      </c>
      <c r="G366" s="124"/>
      <c r="H366" s="152"/>
      <c r="I366" s="153" t="str">
        <f>IF(H366&lt;&gt;"Y","",IF(D366="","Pick the affected P6 activity first",IF(COUNTIFS('11 Notice calendar'!$A$7:$A$46,A366,'11 Notice calendar'!$I$7:$I$46,D366)&gt;0,"In the Notice calendar","Log it in the Notice calendar today")))</f>
        <v/>
      </c>
      <c r="J366" s="146"/>
      <c r="K366" s="146"/>
      <c r="L366" s="6"/>
      <c r="M366" s="6"/>
      <c r="N366" s="6"/>
      <c r="O366" s="6"/>
      <c r="P366" s="6"/>
      <c r="Q366" s="6"/>
      <c r="R366" s="6"/>
      <c r="S366" s="6"/>
      <c r="T366" s="6"/>
      <c r="U366" s="6"/>
      <c r="V366" s="6"/>
      <c r="W366" s="6"/>
      <c r="X366" s="6"/>
      <c r="Y366" s="6"/>
      <c r="Z366" s="6"/>
    </row>
    <row r="367" spans="1:26" ht="18" customHeight="1" x14ac:dyDescent="0.3">
      <c r="A367" s="152"/>
      <c r="B367" s="128"/>
      <c r="C367" s="152"/>
      <c r="D367" s="128"/>
      <c r="E367" s="144" t="str">
        <f>IF(D367="","",IFERROR(INDEX('12 P6 activities'!$B$7:$B$206,MATCH(D367,'12 P6 activities'!$A$7:$A$206,0)),"⚠ not in P6 list"))</f>
        <v/>
      </c>
      <c r="F367" s="144" t="str">
        <f>IF(D367="","",IFERROR(INDEX('12 P6 activities'!$C$7:$C$206,MATCH(D367,'12 P6 activities'!$A$7:$A$206,0)),"⚠ not in P6 list"))</f>
        <v/>
      </c>
      <c r="G367" s="124"/>
      <c r="H367" s="152"/>
      <c r="I367" s="153" t="str">
        <f>IF(H367&lt;&gt;"Y","",IF(D367="","Pick the affected P6 activity first",IF(COUNTIFS('11 Notice calendar'!$A$7:$A$46,A367,'11 Notice calendar'!$I$7:$I$46,D367)&gt;0,"In the Notice calendar","Log it in the Notice calendar today")))</f>
        <v/>
      </c>
      <c r="J367" s="146"/>
      <c r="K367" s="146"/>
      <c r="L367" s="6"/>
      <c r="M367" s="6"/>
      <c r="N367" s="6"/>
      <c r="O367" s="6"/>
      <c r="P367" s="6"/>
      <c r="Q367" s="6"/>
      <c r="R367" s="6"/>
      <c r="S367" s="6"/>
      <c r="T367" s="6"/>
      <c r="U367" s="6"/>
      <c r="V367" s="6"/>
      <c r="W367" s="6"/>
      <c r="X367" s="6"/>
      <c r="Y367" s="6"/>
      <c r="Z367" s="6"/>
    </row>
    <row r="368" spans="1:26" ht="18" customHeight="1" x14ac:dyDescent="0.3">
      <c r="A368" s="152"/>
      <c r="B368" s="128"/>
      <c r="C368" s="152"/>
      <c r="D368" s="128"/>
      <c r="E368" s="144" t="str">
        <f>IF(D368="","",IFERROR(INDEX('12 P6 activities'!$B$7:$B$206,MATCH(D368,'12 P6 activities'!$A$7:$A$206,0)),"⚠ not in P6 list"))</f>
        <v/>
      </c>
      <c r="F368" s="144" t="str">
        <f>IF(D368="","",IFERROR(INDEX('12 P6 activities'!$C$7:$C$206,MATCH(D368,'12 P6 activities'!$A$7:$A$206,0)),"⚠ not in P6 list"))</f>
        <v/>
      </c>
      <c r="G368" s="124"/>
      <c r="H368" s="152"/>
      <c r="I368" s="153" t="str">
        <f>IF(H368&lt;&gt;"Y","",IF(D368="","Pick the affected P6 activity first",IF(COUNTIFS('11 Notice calendar'!$A$7:$A$46,A368,'11 Notice calendar'!$I$7:$I$46,D368)&gt;0,"In the Notice calendar","Log it in the Notice calendar today")))</f>
        <v/>
      </c>
      <c r="J368" s="146"/>
      <c r="K368" s="146"/>
      <c r="L368" s="6"/>
      <c r="M368" s="6"/>
      <c r="N368" s="6"/>
      <c r="O368" s="6"/>
      <c r="P368" s="6"/>
      <c r="Q368" s="6"/>
      <c r="R368" s="6"/>
      <c r="S368" s="6"/>
      <c r="T368" s="6"/>
      <c r="U368" s="6"/>
      <c r="V368" s="6"/>
      <c r="W368" s="6"/>
      <c r="X368" s="6"/>
      <c r="Y368" s="6"/>
      <c r="Z368" s="6"/>
    </row>
    <row r="369" spans="1:26" ht="18" customHeight="1" x14ac:dyDescent="0.3">
      <c r="A369" s="152"/>
      <c r="B369" s="128"/>
      <c r="C369" s="152"/>
      <c r="D369" s="128"/>
      <c r="E369" s="144" t="str">
        <f>IF(D369="","",IFERROR(INDEX('12 P6 activities'!$B$7:$B$206,MATCH(D369,'12 P6 activities'!$A$7:$A$206,0)),"⚠ not in P6 list"))</f>
        <v/>
      </c>
      <c r="F369" s="144" t="str">
        <f>IF(D369="","",IFERROR(INDEX('12 P6 activities'!$C$7:$C$206,MATCH(D369,'12 P6 activities'!$A$7:$A$206,0)),"⚠ not in P6 list"))</f>
        <v/>
      </c>
      <c r="G369" s="124"/>
      <c r="H369" s="152"/>
      <c r="I369" s="153" t="str">
        <f>IF(H369&lt;&gt;"Y","",IF(D369="","Pick the affected P6 activity first",IF(COUNTIFS('11 Notice calendar'!$A$7:$A$46,A369,'11 Notice calendar'!$I$7:$I$46,D369)&gt;0,"In the Notice calendar","Log it in the Notice calendar today")))</f>
        <v/>
      </c>
      <c r="J369" s="146"/>
      <c r="K369" s="146"/>
      <c r="L369" s="6"/>
      <c r="M369" s="6"/>
      <c r="N369" s="6"/>
      <c r="O369" s="6"/>
      <c r="P369" s="6"/>
      <c r="Q369" s="6"/>
      <c r="R369" s="6"/>
      <c r="S369" s="6"/>
      <c r="T369" s="6"/>
      <c r="U369" s="6"/>
      <c r="V369" s="6"/>
      <c r="W369" s="6"/>
      <c r="X369" s="6"/>
      <c r="Y369" s="6"/>
      <c r="Z369" s="6"/>
    </row>
    <row r="370" spans="1:26" ht="18" customHeight="1" x14ac:dyDescent="0.3">
      <c r="A370" s="152"/>
      <c r="B370" s="128"/>
      <c r="C370" s="152"/>
      <c r="D370" s="128"/>
      <c r="E370" s="144" t="str">
        <f>IF(D370="","",IFERROR(INDEX('12 P6 activities'!$B$7:$B$206,MATCH(D370,'12 P6 activities'!$A$7:$A$206,0)),"⚠ not in P6 list"))</f>
        <v/>
      </c>
      <c r="F370" s="144" t="str">
        <f>IF(D370="","",IFERROR(INDEX('12 P6 activities'!$C$7:$C$206,MATCH(D370,'12 P6 activities'!$A$7:$A$206,0)),"⚠ not in P6 list"))</f>
        <v/>
      </c>
      <c r="G370" s="124"/>
      <c r="H370" s="152"/>
      <c r="I370" s="153" t="str">
        <f>IF(H370&lt;&gt;"Y","",IF(D370="","Pick the affected P6 activity first",IF(COUNTIFS('11 Notice calendar'!$A$7:$A$46,A370,'11 Notice calendar'!$I$7:$I$46,D370)&gt;0,"In the Notice calendar","Log it in the Notice calendar today")))</f>
        <v/>
      </c>
      <c r="J370" s="146"/>
      <c r="K370" s="146"/>
      <c r="L370" s="6"/>
      <c r="M370" s="6"/>
      <c r="N370" s="6"/>
      <c r="O370" s="6"/>
      <c r="P370" s="6"/>
      <c r="Q370" s="6"/>
      <c r="R370" s="6"/>
      <c r="S370" s="6"/>
      <c r="T370" s="6"/>
      <c r="U370" s="6"/>
      <c r="V370" s="6"/>
      <c r="W370" s="6"/>
      <c r="X370" s="6"/>
      <c r="Y370" s="6"/>
      <c r="Z370" s="6"/>
    </row>
    <row r="371" spans="1:26" ht="18" customHeight="1" x14ac:dyDescent="0.3">
      <c r="A371" s="152"/>
      <c r="B371" s="128"/>
      <c r="C371" s="152"/>
      <c r="D371" s="128"/>
      <c r="E371" s="144" t="str">
        <f>IF(D371="","",IFERROR(INDEX('12 P6 activities'!$B$7:$B$206,MATCH(D371,'12 P6 activities'!$A$7:$A$206,0)),"⚠ not in P6 list"))</f>
        <v/>
      </c>
      <c r="F371" s="144" t="str">
        <f>IF(D371="","",IFERROR(INDEX('12 P6 activities'!$C$7:$C$206,MATCH(D371,'12 P6 activities'!$A$7:$A$206,0)),"⚠ not in P6 list"))</f>
        <v/>
      </c>
      <c r="G371" s="124"/>
      <c r="H371" s="152"/>
      <c r="I371" s="153" t="str">
        <f>IF(H371&lt;&gt;"Y","",IF(D371="","Pick the affected P6 activity first",IF(COUNTIFS('11 Notice calendar'!$A$7:$A$46,A371,'11 Notice calendar'!$I$7:$I$46,D371)&gt;0,"In the Notice calendar","Log it in the Notice calendar today")))</f>
        <v/>
      </c>
      <c r="J371" s="146"/>
      <c r="K371" s="146"/>
      <c r="L371" s="6"/>
      <c r="M371" s="6"/>
      <c r="N371" s="6"/>
      <c r="O371" s="6"/>
      <c r="P371" s="6"/>
      <c r="Q371" s="6"/>
      <c r="R371" s="6"/>
      <c r="S371" s="6"/>
      <c r="T371" s="6"/>
      <c r="U371" s="6"/>
      <c r="V371" s="6"/>
      <c r="W371" s="6"/>
      <c r="X371" s="6"/>
      <c r="Y371" s="6"/>
      <c r="Z371" s="6"/>
    </row>
    <row r="372" spans="1:26" ht="18" customHeight="1" x14ac:dyDescent="0.3">
      <c r="A372" s="152"/>
      <c r="B372" s="128"/>
      <c r="C372" s="152"/>
      <c r="D372" s="128"/>
      <c r="E372" s="144" t="str">
        <f>IF(D372="","",IFERROR(INDEX('12 P6 activities'!$B$7:$B$206,MATCH(D372,'12 P6 activities'!$A$7:$A$206,0)),"⚠ not in P6 list"))</f>
        <v/>
      </c>
      <c r="F372" s="144" t="str">
        <f>IF(D372="","",IFERROR(INDEX('12 P6 activities'!$C$7:$C$206,MATCH(D372,'12 P6 activities'!$A$7:$A$206,0)),"⚠ not in P6 list"))</f>
        <v/>
      </c>
      <c r="G372" s="124"/>
      <c r="H372" s="152"/>
      <c r="I372" s="153" t="str">
        <f>IF(H372&lt;&gt;"Y","",IF(D372="","Pick the affected P6 activity first",IF(COUNTIFS('11 Notice calendar'!$A$7:$A$46,A372,'11 Notice calendar'!$I$7:$I$46,D372)&gt;0,"In the Notice calendar","Log it in the Notice calendar today")))</f>
        <v/>
      </c>
      <c r="J372" s="146"/>
      <c r="K372" s="146"/>
      <c r="L372" s="6"/>
      <c r="M372" s="6"/>
      <c r="N372" s="6"/>
      <c r="O372" s="6"/>
      <c r="P372" s="6"/>
      <c r="Q372" s="6"/>
      <c r="R372" s="6"/>
      <c r="S372" s="6"/>
      <c r="T372" s="6"/>
      <c r="U372" s="6"/>
      <c r="V372" s="6"/>
      <c r="W372" s="6"/>
      <c r="X372" s="6"/>
      <c r="Y372" s="6"/>
      <c r="Z372" s="6"/>
    </row>
    <row r="373" spans="1:26" ht="18" customHeight="1" x14ac:dyDescent="0.3">
      <c r="A373" s="152"/>
      <c r="B373" s="128"/>
      <c r="C373" s="152"/>
      <c r="D373" s="128"/>
      <c r="E373" s="144" t="str">
        <f>IF(D373="","",IFERROR(INDEX('12 P6 activities'!$B$7:$B$206,MATCH(D373,'12 P6 activities'!$A$7:$A$206,0)),"⚠ not in P6 list"))</f>
        <v/>
      </c>
      <c r="F373" s="144" t="str">
        <f>IF(D373="","",IFERROR(INDEX('12 P6 activities'!$C$7:$C$206,MATCH(D373,'12 P6 activities'!$A$7:$A$206,0)),"⚠ not in P6 list"))</f>
        <v/>
      </c>
      <c r="G373" s="124"/>
      <c r="H373" s="152"/>
      <c r="I373" s="153" t="str">
        <f>IF(H373&lt;&gt;"Y","",IF(D373="","Pick the affected P6 activity first",IF(COUNTIFS('11 Notice calendar'!$A$7:$A$46,A373,'11 Notice calendar'!$I$7:$I$46,D373)&gt;0,"In the Notice calendar","Log it in the Notice calendar today")))</f>
        <v/>
      </c>
      <c r="J373" s="146"/>
      <c r="K373" s="146"/>
      <c r="L373" s="6"/>
      <c r="M373" s="6"/>
      <c r="N373" s="6"/>
      <c r="O373" s="6"/>
      <c r="P373" s="6"/>
      <c r="Q373" s="6"/>
      <c r="R373" s="6"/>
      <c r="S373" s="6"/>
      <c r="T373" s="6"/>
      <c r="U373" s="6"/>
      <c r="V373" s="6"/>
      <c r="W373" s="6"/>
      <c r="X373" s="6"/>
      <c r="Y373" s="6"/>
      <c r="Z373" s="6"/>
    </row>
    <row r="374" spans="1:26" ht="18" customHeight="1" x14ac:dyDescent="0.3">
      <c r="A374" s="152"/>
      <c r="B374" s="128"/>
      <c r="C374" s="152"/>
      <c r="D374" s="128"/>
      <c r="E374" s="144" t="str">
        <f>IF(D374="","",IFERROR(INDEX('12 P6 activities'!$B$7:$B$206,MATCH(D374,'12 P6 activities'!$A$7:$A$206,0)),"⚠ not in P6 list"))</f>
        <v/>
      </c>
      <c r="F374" s="144" t="str">
        <f>IF(D374="","",IFERROR(INDEX('12 P6 activities'!$C$7:$C$206,MATCH(D374,'12 P6 activities'!$A$7:$A$206,0)),"⚠ not in P6 list"))</f>
        <v/>
      </c>
      <c r="G374" s="124"/>
      <c r="H374" s="152"/>
      <c r="I374" s="153" t="str">
        <f>IF(H374&lt;&gt;"Y","",IF(D374="","Pick the affected P6 activity first",IF(COUNTIFS('11 Notice calendar'!$A$7:$A$46,A374,'11 Notice calendar'!$I$7:$I$46,D374)&gt;0,"In the Notice calendar","Log it in the Notice calendar today")))</f>
        <v/>
      </c>
      <c r="J374" s="146"/>
      <c r="K374" s="146"/>
      <c r="L374" s="6"/>
      <c r="M374" s="6"/>
      <c r="N374" s="6"/>
      <c r="O374" s="6"/>
      <c r="P374" s="6"/>
      <c r="Q374" s="6"/>
      <c r="R374" s="6"/>
      <c r="S374" s="6"/>
      <c r="T374" s="6"/>
      <c r="U374" s="6"/>
      <c r="V374" s="6"/>
      <c r="W374" s="6"/>
      <c r="X374" s="6"/>
      <c r="Y374" s="6"/>
      <c r="Z374" s="6"/>
    </row>
    <row r="375" spans="1:26" ht="18" customHeight="1" x14ac:dyDescent="0.3">
      <c r="A375" s="152"/>
      <c r="B375" s="128"/>
      <c r="C375" s="152"/>
      <c r="D375" s="128"/>
      <c r="E375" s="144" t="str">
        <f>IF(D375="","",IFERROR(INDEX('12 P6 activities'!$B$7:$B$206,MATCH(D375,'12 P6 activities'!$A$7:$A$206,0)),"⚠ not in P6 list"))</f>
        <v/>
      </c>
      <c r="F375" s="144" t="str">
        <f>IF(D375="","",IFERROR(INDEX('12 P6 activities'!$C$7:$C$206,MATCH(D375,'12 P6 activities'!$A$7:$A$206,0)),"⚠ not in P6 list"))</f>
        <v/>
      </c>
      <c r="G375" s="124"/>
      <c r="H375" s="152"/>
      <c r="I375" s="153" t="str">
        <f>IF(H375&lt;&gt;"Y","",IF(D375="","Pick the affected P6 activity first",IF(COUNTIFS('11 Notice calendar'!$A$7:$A$46,A375,'11 Notice calendar'!$I$7:$I$46,D375)&gt;0,"In the Notice calendar","Log it in the Notice calendar today")))</f>
        <v/>
      </c>
      <c r="J375" s="146"/>
      <c r="K375" s="146"/>
      <c r="L375" s="6"/>
      <c r="M375" s="6"/>
      <c r="N375" s="6"/>
      <c r="O375" s="6"/>
      <c r="P375" s="6"/>
      <c r="Q375" s="6"/>
      <c r="R375" s="6"/>
      <c r="S375" s="6"/>
      <c r="T375" s="6"/>
      <c r="U375" s="6"/>
      <c r="V375" s="6"/>
      <c r="W375" s="6"/>
      <c r="X375" s="6"/>
      <c r="Y375" s="6"/>
      <c r="Z375" s="6"/>
    </row>
    <row r="376" spans="1:26" ht="18" customHeight="1" x14ac:dyDescent="0.3">
      <c r="A376" s="152"/>
      <c r="B376" s="128"/>
      <c r="C376" s="152"/>
      <c r="D376" s="128"/>
      <c r="E376" s="144" t="str">
        <f>IF(D376="","",IFERROR(INDEX('12 P6 activities'!$B$7:$B$206,MATCH(D376,'12 P6 activities'!$A$7:$A$206,0)),"⚠ not in P6 list"))</f>
        <v/>
      </c>
      <c r="F376" s="144" t="str">
        <f>IF(D376="","",IFERROR(INDEX('12 P6 activities'!$C$7:$C$206,MATCH(D376,'12 P6 activities'!$A$7:$A$206,0)),"⚠ not in P6 list"))</f>
        <v/>
      </c>
      <c r="G376" s="124"/>
      <c r="H376" s="152"/>
      <c r="I376" s="153" t="str">
        <f>IF(H376&lt;&gt;"Y","",IF(D376="","Pick the affected P6 activity first",IF(COUNTIFS('11 Notice calendar'!$A$7:$A$46,A376,'11 Notice calendar'!$I$7:$I$46,D376)&gt;0,"In the Notice calendar","Log it in the Notice calendar today")))</f>
        <v/>
      </c>
      <c r="J376" s="146"/>
      <c r="K376" s="146"/>
      <c r="L376" s="6"/>
      <c r="M376" s="6"/>
      <c r="N376" s="6"/>
      <c r="O376" s="6"/>
      <c r="P376" s="6"/>
      <c r="Q376" s="6"/>
      <c r="R376" s="6"/>
      <c r="S376" s="6"/>
      <c r="T376" s="6"/>
      <c r="U376" s="6"/>
      <c r="V376" s="6"/>
      <c r="W376" s="6"/>
      <c r="X376" s="6"/>
      <c r="Y376" s="6"/>
      <c r="Z376" s="6"/>
    </row>
    <row r="377" spans="1:26" ht="18" customHeight="1" x14ac:dyDescent="0.3">
      <c r="A377" s="152"/>
      <c r="B377" s="128"/>
      <c r="C377" s="152"/>
      <c r="D377" s="128"/>
      <c r="E377" s="144" t="str">
        <f>IF(D377="","",IFERROR(INDEX('12 P6 activities'!$B$7:$B$206,MATCH(D377,'12 P6 activities'!$A$7:$A$206,0)),"⚠ not in P6 list"))</f>
        <v/>
      </c>
      <c r="F377" s="144" t="str">
        <f>IF(D377="","",IFERROR(INDEX('12 P6 activities'!$C$7:$C$206,MATCH(D377,'12 P6 activities'!$A$7:$A$206,0)),"⚠ not in P6 list"))</f>
        <v/>
      </c>
      <c r="G377" s="124"/>
      <c r="H377" s="152"/>
      <c r="I377" s="153" t="str">
        <f>IF(H377&lt;&gt;"Y","",IF(D377="","Pick the affected P6 activity first",IF(COUNTIFS('11 Notice calendar'!$A$7:$A$46,A377,'11 Notice calendar'!$I$7:$I$46,D377)&gt;0,"In the Notice calendar","Log it in the Notice calendar today")))</f>
        <v/>
      </c>
      <c r="J377" s="146"/>
      <c r="K377" s="146"/>
      <c r="L377" s="6"/>
      <c r="M377" s="6"/>
      <c r="N377" s="6"/>
      <c r="O377" s="6"/>
      <c r="P377" s="6"/>
      <c r="Q377" s="6"/>
      <c r="R377" s="6"/>
      <c r="S377" s="6"/>
      <c r="T377" s="6"/>
      <c r="U377" s="6"/>
      <c r="V377" s="6"/>
      <c r="W377" s="6"/>
      <c r="X377" s="6"/>
      <c r="Y377" s="6"/>
      <c r="Z377" s="6"/>
    </row>
    <row r="378" spans="1:26" ht="18" customHeight="1" x14ac:dyDescent="0.3">
      <c r="A378" s="152"/>
      <c r="B378" s="128"/>
      <c r="C378" s="152"/>
      <c r="D378" s="128"/>
      <c r="E378" s="144" t="str">
        <f>IF(D378="","",IFERROR(INDEX('12 P6 activities'!$B$7:$B$206,MATCH(D378,'12 P6 activities'!$A$7:$A$206,0)),"⚠ not in P6 list"))</f>
        <v/>
      </c>
      <c r="F378" s="144" t="str">
        <f>IF(D378="","",IFERROR(INDEX('12 P6 activities'!$C$7:$C$206,MATCH(D378,'12 P6 activities'!$A$7:$A$206,0)),"⚠ not in P6 list"))</f>
        <v/>
      </c>
      <c r="G378" s="124"/>
      <c r="H378" s="152"/>
      <c r="I378" s="153" t="str">
        <f>IF(H378&lt;&gt;"Y","",IF(D378="","Pick the affected P6 activity first",IF(COUNTIFS('11 Notice calendar'!$A$7:$A$46,A378,'11 Notice calendar'!$I$7:$I$46,D378)&gt;0,"In the Notice calendar","Log it in the Notice calendar today")))</f>
        <v/>
      </c>
      <c r="J378" s="146"/>
      <c r="K378" s="146"/>
      <c r="L378" s="6"/>
      <c r="M378" s="6"/>
      <c r="N378" s="6"/>
      <c r="O378" s="6"/>
      <c r="P378" s="6"/>
      <c r="Q378" s="6"/>
      <c r="R378" s="6"/>
      <c r="S378" s="6"/>
      <c r="T378" s="6"/>
      <c r="U378" s="6"/>
      <c r="V378" s="6"/>
      <c r="W378" s="6"/>
      <c r="X378" s="6"/>
      <c r="Y378" s="6"/>
      <c r="Z378" s="6"/>
    </row>
    <row r="379" spans="1:26" ht="18" customHeight="1" x14ac:dyDescent="0.3">
      <c r="A379" s="152"/>
      <c r="B379" s="128"/>
      <c r="C379" s="152"/>
      <c r="D379" s="128"/>
      <c r="E379" s="144" t="str">
        <f>IF(D379="","",IFERROR(INDEX('12 P6 activities'!$B$7:$B$206,MATCH(D379,'12 P6 activities'!$A$7:$A$206,0)),"⚠ not in P6 list"))</f>
        <v/>
      </c>
      <c r="F379" s="144" t="str">
        <f>IF(D379="","",IFERROR(INDEX('12 P6 activities'!$C$7:$C$206,MATCH(D379,'12 P6 activities'!$A$7:$A$206,0)),"⚠ not in P6 list"))</f>
        <v/>
      </c>
      <c r="G379" s="124"/>
      <c r="H379" s="152"/>
      <c r="I379" s="153" t="str">
        <f>IF(H379&lt;&gt;"Y","",IF(D379="","Pick the affected P6 activity first",IF(COUNTIFS('11 Notice calendar'!$A$7:$A$46,A379,'11 Notice calendar'!$I$7:$I$46,D379)&gt;0,"In the Notice calendar","Log it in the Notice calendar today")))</f>
        <v/>
      </c>
      <c r="J379" s="146"/>
      <c r="K379" s="146"/>
      <c r="L379" s="6"/>
      <c r="M379" s="6"/>
      <c r="N379" s="6"/>
      <c r="O379" s="6"/>
      <c r="P379" s="6"/>
      <c r="Q379" s="6"/>
      <c r="R379" s="6"/>
      <c r="S379" s="6"/>
      <c r="T379" s="6"/>
      <c r="U379" s="6"/>
      <c r="V379" s="6"/>
      <c r="W379" s="6"/>
      <c r="X379" s="6"/>
      <c r="Y379" s="6"/>
      <c r="Z379" s="6"/>
    </row>
    <row r="380" spans="1:26" ht="18" customHeight="1" x14ac:dyDescent="0.3">
      <c r="A380" s="152"/>
      <c r="B380" s="128"/>
      <c r="C380" s="152"/>
      <c r="D380" s="128"/>
      <c r="E380" s="144" t="str">
        <f>IF(D380="","",IFERROR(INDEX('12 P6 activities'!$B$7:$B$206,MATCH(D380,'12 P6 activities'!$A$7:$A$206,0)),"⚠ not in P6 list"))</f>
        <v/>
      </c>
      <c r="F380" s="144" t="str">
        <f>IF(D380="","",IFERROR(INDEX('12 P6 activities'!$C$7:$C$206,MATCH(D380,'12 P6 activities'!$A$7:$A$206,0)),"⚠ not in P6 list"))</f>
        <v/>
      </c>
      <c r="G380" s="124"/>
      <c r="H380" s="152"/>
      <c r="I380" s="153" t="str">
        <f>IF(H380&lt;&gt;"Y","",IF(D380="","Pick the affected P6 activity first",IF(COUNTIFS('11 Notice calendar'!$A$7:$A$46,A380,'11 Notice calendar'!$I$7:$I$46,D380)&gt;0,"In the Notice calendar","Log it in the Notice calendar today")))</f>
        <v/>
      </c>
      <c r="J380" s="146"/>
      <c r="K380" s="146"/>
      <c r="L380" s="6"/>
      <c r="M380" s="6"/>
      <c r="N380" s="6"/>
      <c r="O380" s="6"/>
      <c r="P380" s="6"/>
      <c r="Q380" s="6"/>
      <c r="R380" s="6"/>
      <c r="S380" s="6"/>
      <c r="T380" s="6"/>
      <c r="U380" s="6"/>
      <c r="V380" s="6"/>
      <c r="W380" s="6"/>
      <c r="X380" s="6"/>
      <c r="Y380" s="6"/>
      <c r="Z380" s="6"/>
    </row>
    <row r="381" spans="1:26" ht="18" customHeight="1" x14ac:dyDescent="0.3">
      <c r="A381" s="152"/>
      <c r="B381" s="128"/>
      <c r="C381" s="152"/>
      <c r="D381" s="128"/>
      <c r="E381" s="144" t="str">
        <f>IF(D381="","",IFERROR(INDEX('12 P6 activities'!$B$7:$B$206,MATCH(D381,'12 P6 activities'!$A$7:$A$206,0)),"⚠ not in P6 list"))</f>
        <v/>
      </c>
      <c r="F381" s="144" t="str">
        <f>IF(D381="","",IFERROR(INDEX('12 P6 activities'!$C$7:$C$206,MATCH(D381,'12 P6 activities'!$A$7:$A$206,0)),"⚠ not in P6 list"))</f>
        <v/>
      </c>
      <c r="G381" s="124"/>
      <c r="H381" s="152"/>
      <c r="I381" s="153" t="str">
        <f>IF(H381&lt;&gt;"Y","",IF(D381="","Pick the affected P6 activity first",IF(COUNTIFS('11 Notice calendar'!$A$7:$A$46,A381,'11 Notice calendar'!$I$7:$I$46,D381)&gt;0,"In the Notice calendar","Log it in the Notice calendar today")))</f>
        <v/>
      </c>
      <c r="J381" s="146"/>
      <c r="K381" s="146"/>
      <c r="L381" s="6"/>
      <c r="M381" s="6"/>
      <c r="N381" s="6"/>
      <c r="O381" s="6"/>
      <c r="P381" s="6"/>
      <c r="Q381" s="6"/>
      <c r="R381" s="6"/>
      <c r="S381" s="6"/>
      <c r="T381" s="6"/>
      <c r="U381" s="6"/>
      <c r="V381" s="6"/>
      <c r="W381" s="6"/>
      <c r="X381" s="6"/>
      <c r="Y381" s="6"/>
      <c r="Z381" s="6"/>
    </row>
    <row r="382" spans="1:26" ht="18" customHeight="1" x14ac:dyDescent="0.3">
      <c r="A382" s="152"/>
      <c r="B382" s="128"/>
      <c r="C382" s="152"/>
      <c r="D382" s="128"/>
      <c r="E382" s="144" t="str">
        <f>IF(D382="","",IFERROR(INDEX('12 P6 activities'!$B$7:$B$206,MATCH(D382,'12 P6 activities'!$A$7:$A$206,0)),"⚠ not in P6 list"))</f>
        <v/>
      </c>
      <c r="F382" s="144" t="str">
        <f>IF(D382="","",IFERROR(INDEX('12 P6 activities'!$C$7:$C$206,MATCH(D382,'12 P6 activities'!$A$7:$A$206,0)),"⚠ not in P6 list"))</f>
        <v/>
      </c>
      <c r="G382" s="124"/>
      <c r="H382" s="152"/>
      <c r="I382" s="153" t="str">
        <f>IF(H382&lt;&gt;"Y","",IF(D382="","Pick the affected P6 activity first",IF(COUNTIFS('11 Notice calendar'!$A$7:$A$46,A382,'11 Notice calendar'!$I$7:$I$46,D382)&gt;0,"In the Notice calendar","Log it in the Notice calendar today")))</f>
        <v/>
      </c>
      <c r="J382" s="146"/>
      <c r="K382" s="146"/>
      <c r="L382" s="6"/>
      <c r="M382" s="6"/>
      <c r="N382" s="6"/>
      <c r="O382" s="6"/>
      <c r="P382" s="6"/>
      <c r="Q382" s="6"/>
      <c r="R382" s="6"/>
      <c r="S382" s="6"/>
      <c r="T382" s="6"/>
      <c r="U382" s="6"/>
      <c r="V382" s="6"/>
      <c r="W382" s="6"/>
      <c r="X382" s="6"/>
      <c r="Y382" s="6"/>
      <c r="Z382" s="6"/>
    </row>
    <row r="383" spans="1:26" ht="18" customHeight="1" x14ac:dyDescent="0.3">
      <c r="A383" s="152"/>
      <c r="B383" s="128"/>
      <c r="C383" s="152"/>
      <c r="D383" s="128"/>
      <c r="E383" s="144" t="str">
        <f>IF(D383="","",IFERROR(INDEX('12 P6 activities'!$B$7:$B$206,MATCH(D383,'12 P6 activities'!$A$7:$A$206,0)),"⚠ not in P6 list"))</f>
        <v/>
      </c>
      <c r="F383" s="144" t="str">
        <f>IF(D383="","",IFERROR(INDEX('12 P6 activities'!$C$7:$C$206,MATCH(D383,'12 P6 activities'!$A$7:$A$206,0)),"⚠ not in P6 list"))</f>
        <v/>
      </c>
      <c r="G383" s="124"/>
      <c r="H383" s="152"/>
      <c r="I383" s="153" t="str">
        <f>IF(H383&lt;&gt;"Y","",IF(D383="","Pick the affected P6 activity first",IF(COUNTIFS('11 Notice calendar'!$A$7:$A$46,A383,'11 Notice calendar'!$I$7:$I$46,D383)&gt;0,"In the Notice calendar","Log it in the Notice calendar today")))</f>
        <v/>
      </c>
      <c r="J383" s="146"/>
      <c r="K383" s="146"/>
      <c r="L383" s="6"/>
      <c r="M383" s="6"/>
      <c r="N383" s="6"/>
      <c r="O383" s="6"/>
      <c r="P383" s="6"/>
      <c r="Q383" s="6"/>
      <c r="R383" s="6"/>
      <c r="S383" s="6"/>
      <c r="T383" s="6"/>
      <c r="U383" s="6"/>
      <c r="V383" s="6"/>
      <c r="W383" s="6"/>
      <c r="X383" s="6"/>
      <c r="Y383" s="6"/>
      <c r="Z383" s="6"/>
    </row>
    <row r="384" spans="1:26" ht="18" customHeight="1" x14ac:dyDescent="0.3">
      <c r="A384" s="152"/>
      <c r="B384" s="128"/>
      <c r="C384" s="152"/>
      <c r="D384" s="128"/>
      <c r="E384" s="144" t="str">
        <f>IF(D384="","",IFERROR(INDEX('12 P6 activities'!$B$7:$B$206,MATCH(D384,'12 P6 activities'!$A$7:$A$206,0)),"⚠ not in P6 list"))</f>
        <v/>
      </c>
      <c r="F384" s="144" t="str">
        <f>IF(D384="","",IFERROR(INDEX('12 P6 activities'!$C$7:$C$206,MATCH(D384,'12 P6 activities'!$A$7:$A$206,0)),"⚠ not in P6 list"))</f>
        <v/>
      </c>
      <c r="G384" s="124"/>
      <c r="H384" s="152"/>
      <c r="I384" s="153" t="str">
        <f>IF(H384&lt;&gt;"Y","",IF(D384="","Pick the affected P6 activity first",IF(COUNTIFS('11 Notice calendar'!$A$7:$A$46,A384,'11 Notice calendar'!$I$7:$I$46,D384)&gt;0,"In the Notice calendar","Log it in the Notice calendar today")))</f>
        <v/>
      </c>
      <c r="J384" s="146"/>
      <c r="K384" s="146"/>
      <c r="L384" s="6"/>
      <c r="M384" s="6"/>
      <c r="N384" s="6"/>
      <c r="O384" s="6"/>
      <c r="P384" s="6"/>
      <c r="Q384" s="6"/>
      <c r="R384" s="6"/>
      <c r="S384" s="6"/>
      <c r="T384" s="6"/>
      <c r="U384" s="6"/>
      <c r="V384" s="6"/>
      <c r="W384" s="6"/>
      <c r="X384" s="6"/>
      <c r="Y384" s="6"/>
      <c r="Z384" s="6"/>
    </row>
    <row r="385" spans="1:26" ht="18" customHeight="1" x14ac:dyDescent="0.3">
      <c r="A385" s="152"/>
      <c r="B385" s="128"/>
      <c r="C385" s="152"/>
      <c r="D385" s="128"/>
      <c r="E385" s="144" t="str">
        <f>IF(D385="","",IFERROR(INDEX('12 P6 activities'!$B$7:$B$206,MATCH(D385,'12 P6 activities'!$A$7:$A$206,0)),"⚠ not in P6 list"))</f>
        <v/>
      </c>
      <c r="F385" s="144" t="str">
        <f>IF(D385="","",IFERROR(INDEX('12 P6 activities'!$C$7:$C$206,MATCH(D385,'12 P6 activities'!$A$7:$A$206,0)),"⚠ not in P6 list"))</f>
        <v/>
      </c>
      <c r="G385" s="124"/>
      <c r="H385" s="152"/>
      <c r="I385" s="153" t="str">
        <f>IF(H385&lt;&gt;"Y","",IF(D385="","Pick the affected P6 activity first",IF(COUNTIFS('11 Notice calendar'!$A$7:$A$46,A385,'11 Notice calendar'!$I$7:$I$46,D385)&gt;0,"In the Notice calendar","Log it in the Notice calendar today")))</f>
        <v/>
      </c>
      <c r="J385" s="146"/>
      <c r="K385" s="146"/>
      <c r="L385" s="6"/>
      <c r="M385" s="6"/>
      <c r="N385" s="6"/>
      <c r="O385" s="6"/>
      <c r="P385" s="6"/>
      <c r="Q385" s="6"/>
      <c r="R385" s="6"/>
      <c r="S385" s="6"/>
      <c r="T385" s="6"/>
      <c r="U385" s="6"/>
      <c r="V385" s="6"/>
      <c r="W385" s="6"/>
      <c r="X385" s="6"/>
      <c r="Y385" s="6"/>
      <c r="Z385" s="6"/>
    </row>
    <row r="386" spans="1:26" ht="18" customHeight="1" x14ac:dyDescent="0.3">
      <c r="A386" s="152"/>
      <c r="B386" s="128"/>
      <c r="C386" s="152"/>
      <c r="D386" s="128"/>
      <c r="E386" s="144" t="str">
        <f>IF(D386="","",IFERROR(INDEX('12 P6 activities'!$B$7:$B$206,MATCH(D386,'12 P6 activities'!$A$7:$A$206,0)),"⚠ not in P6 list"))</f>
        <v/>
      </c>
      <c r="F386" s="144" t="str">
        <f>IF(D386="","",IFERROR(INDEX('12 P6 activities'!$C$7:$C$206,MATCH(D386,'12 P6 activities'!$A$7:$A$206,0)),"⚠ not in P6 list"))</f>
        <v/>
      </c>
      <c r="G386" s="124"/>
      <c r="H386" s="152"/>
      <c r="I386" s="153" t="str">
        <f>IF(H386&lt;&gt;"Y","",IF(D386="","Pick the affected P6 activity first",IF(COUNTIFS('11 Notice calendar'!$A$7:$A$46,A386,'11 Notice calendar'!$I$7:$I$46,D386)&gt;0,"In the Notice calendar","Log it in the Notice calendar today")))</f>
        <v/>
      </c>
      <c r="J386" s="146"/>
      <c r="K386" s="146"/>
      <c r="L386" s="6"/>
      <c r="M386" s="6"/>
      <c r="N386" s="6"/>
      <c r="O386" s="6"/>
      <c r="P386" s="6"/>
      <c r="Q386" s="6"/>
      <c r="R386" s="6"/>
      <c r="S386" s="6"/>
      <c r="T386" s="6"/>
      <c r="U386" s="6"/>
      <c r="V386" s="6"/>
      <c r="W386" s="6"/>
      <c r="X386" s="6"/>
      <c r="Y386" s="6"/>
      <c r="Z386" s="6"/>
    </row>
    <row r="387" spans="1:26" ht="18" customHeight="1" x14ac:dyDescent="0.3">
      <c r="A387" s="152"/>
      <c r="B387" s="128"/>
      <c r="C387" s="152"/>
      <c r="D387" s="128"/>
      <c r="E387" s="144" t="str">
        <f>IF(D387="","",IFERROR(INDEX('12 P6 activities'!$B$7:$B$206,MATCH(D387,'12 P6 activities'!$A$7:$A$206,0)),"⚠ not in P6 list"))</f>
        <v/>
      </c>
      <c r="F387" s="144" t="str">
        <f>IF(D387="","",IFERROR(INDEX('12 P6 activities'!$C$7:$C$206,MATCH(D387,'12 P6 activities'!$A$7:$A$206,0)),"⚠ not in P6 list"))</f>
        <v/>
      </c>
      <c r="G387" s="124"/>
      <c r="H387" s="152"/>
      <c r="I387" s="153" t="str">
        <f>IF(H387&lt;&gt;"Y","",IF(D387="","Pick the affected P6 activity first",IF(COUNTIFS('11 Notice calendar'!$A$7:$A$46,A387,'11 Notice calendar'!$I$7:$I$46,D387)&gt;0,"In the Notice calendar","Log it in the Notice calendar today")))</f>
        <v/>
      </c>
      <c r="J387" s="146"/>
      <c r="K387" s="146"/>
      <c r="L387" s="6"/>
      <c r="M387" s="6"/>
      <c r="N387" s="6"/>
      <c r="O387" s="6"/>
      <c r="P387" s="6"/>
      <c r="Q387" s="6"/>
      <c r="R387" s="6"/>
      <c r="S387" s="6"/>
      <c r="T387" s="6"/>
      <c r="U387" s="6"/>
      <c r="V387" s="6"/>
      <c r="W387" s="6"/>
      <c r="X387" s="6"/>
      <c r="Y387" s="6"/>
      <c r="Z387" s="6"/>
    </row>
    <row r="388" spans="1:26" ht="18" customHeight="1" x14ac:dyDescent="0.3">
      <c r="A388" s="152"/>
      <c r="B388" s="128"/>
      <c r="C388" s="152"/>
      <c r="D388" s="128"/>
      <c r="E388" s="144" t="str">
        <f>IF(D388="","",IFERROR(INDEX('12 P6 activities'!$B$7:$B$206,MATCH(D388,'12 P6 activities'!$A$7:$A$206,0)),"⚠ not in P6 list"))</f>
        <v/>
      </c>
      <c r="F388" s="144" t="str">
        <f>IF(D388="","",IFERROR(INDEX('12 P6 activities'!$C$7:$C$206,MATCH(D388,'12 P6 activities'!$A$7:$A$206,0)),"⚠ not in P6 list"))</f>
        <v/>
      </c>
      <c r="G388" s="124"/>
      <c r="H388" s="152"/>
      <c r="I388" s="153" t="str">
        <f>IF(H388&lt;&gt;"Y","",IF(D388="","Pick the affected P6 activity first",IF(COUNTIFS('11 Notice calendar'!$A$7:$A$46,A388,'11 Notice calendar'!$I$7:$I$46,D388)&gt;0,"In the Notice calendar","Log it in the Notice calendar today")))</f>
        <v/>
      </c>
      <c r="J388" s="146"/>
      <c r="K388" s="146"/>
      <c r="L388" s="6"/>
      <c r="M388" s="6"/>
      <c r="N388" s="6"/>
      <c r="O388" s="6"/>
      <c r="P388" s="6"/>
      <c r="Q388" s="6"/>
      <c r="R388" s="6"/>
      <c r="S388" s="6"/>
      <c r="T388" s="6"/>
      <c r="U388" s="6"/>
      <c r="V388" s="6"/>
      <c r="W388" s="6"/>
      <c r="X388" s="6"/>
      <c r="Y388" s="6"/>
      <c r="Z388" s="6"/>
    </row>
    <row r="389" spans="1:26" ht="18" customHeight="1" x14ac:dyDescent="0.3">
      <c r="A389" s="152"/>
      <c r="B389" s="128"/>
      <c r="C389" s="152"/>
      <c r="D389" s="128"/>
      <c r="E389" s="144" t="str">
        <f>IF(D389="","",IFERROR(INDEX('12 P6 activities'!$B$7:$B$206,MATCH(D389,'12 P6 activities'!$A$7:$A$206,0)),"⚠ not in P6 list"))</f>
        <v/>
      </c>
      <c r="F389" s="144" t="str">
        <f>IF(D389="","",IFERROR(INDEX('12 P6 activities'!$C$7:$C$206,MATCH(D389,'12 P6 activities'!$A$7:$A$206,0)),"⚠ not in P6 list"))</f>
        <v/>
      </c>
      <c r="G389" s="124"/>
      <c r="H389" s="152"/>
      <c r="I389" s="153" t="str">
        <f>IF(H389&lt;&gt;"Y","",IF(D389="","Pick the affected P6 activity first",IF(COUNTIFS('11 Notice calendar'!$A$7:$A$46,A389,'11 Notice calendar'!$I$7:$I$46,D389)&gt;0,"In the Notice calendar","Log it in the Notice calendar today")))</f>
        <v/>
      </c>
      <c r="J389" s="146"/>
      <c r="K389" s="146"/>
      <c r="L389" s="6"/>
      <c r="M389" s="6"/>
      <c r="N389" s="6"/>
      <c r="O389" s="6"/>
      <c r="P389" s="6"/>
      <c r="Q389" s="6"/>
      <c r="R389" s="6"/>
      <c r="S389" s="6"/>
      <c r="T389" s="6"/>
      <c r="U389" s="6"/>
      <c r="V389" s="6"/>
      <c r="W389" s="6"/>
      <c r="X389" s="6"/>
      <c r="Y389" s="6"/>
      <c r="Z389" s="6"/>
    </row>
    <row r="390" spans="1:26" ht="18" customHeight="1" x14ac:dyDescent="0.3">
      <c r="A390" s="152"/>
      <c r="B390" s="128"/>
      <c r="C390" s="152"/>
      <c r="D390" s="128"/>
      <c r="E390" s="144" t="str">
        <f>IF(D390="","",IFERROR(INDEX('12 P6 activities'!$B$7:$B$206,MATCH(D390,'12 P6 activities'!$A$7:$A$206,0)),"⚠ not in P6 list"))</f>
        <v/>
      </c>
      <c r="F390" s="144" t="str">
        <f>IF(D390="","",IFERROR(INDEX('12 P6 activities'!$C$7:$C$206,MATCH(D390,'12 P6 activities'!$A$7:$A$206,0)),"⚠ not in P6 list"))</f>
        <v/>
      </c>
      <c r="G390" s="124"/>
      <c r="H390" s="152"/>
      <c r="I390" s="153" t="str">
        <f>IF(H390&lt;&gt;"Y","",IF(D390="","Pick the affected P6 activity first",IF(COUNTIFS('11 Notice calendar'!$A$7:$A$46,A390,'11 Notice calendar'!$I$7:$I$46,D390)&gt;0,"In the Notice calendar","Log it in the Notice calendar today")))</f>
        <v/>
      </c>
      <c r="J390" s="146"/>
      <c r="K390" s="146"/>
      <c r="L390" s="6"/>
      <c r="M390" s="6"/>
      <c r="N390" s="6"/>
      <c r="O390" s="6"/>
      <c r="P390" s="6"/>
      <c r="Q390" s="6"/>
      <c r="R390" s="6"/>
      <c r="S390" s="6"/>
      <c r="T390" s="6"/>
      <c r="U390" s="6"/>
      <c r="V390" s="6"/>
      <c r="W390" s="6"/>
      <c r="X390" s="6"/>
      <c r="Y390" s="6"/>
      <c r="Z390" s="6"/>
    </row>
    <row r="391" spans="1:26" ht="18" customHeight="1" x14ac:dyDescent="0.3">
      <c r="A391" s="152"/>
      <c r="B391" s="128"/>
      <c r="C391" s="152"/>
      <c r="D391" s="128"/>
      <c r="E391" s="144" t="str">
        <f>IF(D391="","",IFERROR(INDEX('12 P6 activities'!$B$7:$B$206,MATCH(D391,'12 P6 activities'!$A$7:$A$206,0)),"⚠ not in P6 list"))</f>
        <v/>
      </c>
      <c r="F391" s="144" t="str">
        <f>IF(D391="","",IFERROR(INDEX('12 P6 activities'!$C$7:$C$206,MATCH(D391,'12 P6 activities'!$A$7:$A$206,0)),"⚠ not in P6 list"))</f>
        <v/>
      </c>
      <c r="G391" s="124"/>
      <c r="H391" s="152"/>
      <c r="I391" s="153" t="str">
        <f>IF(H391&lt;&gt;"Y","",IF(D391="","Pick the affected P6 activity first",IF(COUNTIFS('11 Notice calendar'!$A$7:$A$46,A391,'11 Notice calendar'!$I$7:$I$46,D391)&gt;0,"In the Notice calendar","Log it in the Notice calendar today")))</f>
        <v/>
      </c>
      <c r="J391" s="146"/>
      <c r="K391" s="146"/>
      <c r="L391" s="6"/>
      <c r="M391" s="6"/>
      <c r="N391" s="6"/>
      <c r="O391" s="6"/>
      <c r="P391" s="6"/>
      <c r="Q391" s="6"/>
      <c r="R391" s="6"/>
      <c r="S391" s="6"/>
      <c r="T391" s="6"/>
      <c r="U391" s="6"/>
      <c r="V391" s="6"/>
      <c r="W391" s="6"/>
      <c r="X391" s="6"/>
      <c r="Y391" s="6"/>
      <c r="Z391" s="6"/>
    </row>
    <row r="392" spans="1:26" ht="18" customHeight="1" x14ac:dyDescent="0.3">
      <c r="A392" s="152"/>
      <c r="B392" s="128"/>
      <c r="C392" s="152"/>
      <c r="D392" s="128"/>
      <c r="E392" s="144" t="str">
        <f>IF(D392="","",IFERROR(INDEX('12 P6 activities'!$B$7:$B$206,MATCH(D392,'12 P6 activities'!$A$7:$A$206,0)),"⚠ not in P6 list"))</f>
        <v/>
      </c>
      <c r="F392" s="144" t="str">
        <f>IF(D392="","",IFERROR(INDEX('12 P6 activities'!$C$7:$C$206,MATCH(D392,'12 P6 activities'!$A$7:$A$206,0)),"⚠ not in P6 list"))</f>
        <v/>
      </c>
      <c r="G392" s="124"/>
      <c r="H392" s="152"/>
      <c r="I392" s="153" t="str">
        <f>IF(H392&lt;&gt;"Y","",IF(D392="","Pick the affected P6 activity first",IF(COUNTIFS('11 Notice calendar'!$A$7:$A$46,A392,'11 Notice calendar'!$I$7:$I$46,D392)&gt;0,"In the Notice calendar","Log it in the Notice calendar today")))</f>
        <v/>
      </c>
      <c r="J392" s="146"/>
      <c r="K392" s="146"/>
      <c r="L392" s="6"/>
      <c r="M392" s="6"/>
      <c r="N392" s="6"/>
      <c r="O392" s="6"/>
      <c r="P392" s="6"/>
      <c r="Q392" s="6"/>
      <c r="R392" s="6"/>
      <c r="S392" s="6"/>
      <c r="T392" s="6"/>
      <c r="U392" s="6"/>
      <c r="V392" s="6"/>
      <c r="W392" s="6"/>
      <c r="X392" s="6"/>
      <c r="Y392" s="6"/>
      <c r="Z392" s="6"/>
    </row>
    <row r="393" spans="1:26" ht="18" customHeight="1" x14ac:dyDescent="0.3">
      <c r="A393" s="152"/>
      <c r="B393" s="128"/>
      <c r="C393" s="152"/>
      <c r="D393" s="128"/>
      <c r="E393" s="144" t="str">
        <f>IF(D393="","",IFERROR(INDEX('12 P6 activities'!$B$7:$B$206,MATCH(D393,'12 P6 activities'!$A$7:$A$206,0)),"⚠ not in P6 list"))</f>
        <v/>
      </c>
      <c r="F393" s="144" t="str">
        <f>IF(D393="","",IFERROR(INDEX('12 P6 activities'!$C$7:$C$206,MATCH(D393,'12 P6 activities'!$A$7:$A$206,0)),"⚠ not in P6 list"))</f>
        <v/>
      </c>
      <c r="G393" s="124"/>
      <c r="H393" s="152"/>
      <c r="I393" s="153" t="str">
        <f>IF(H393&lt;&gt;"Y","",IF(D393="","Pick the affected P6 activity first",IF(COUNTIFS('11 Notice calendar'!$A$7:$A$46,A393,'11 Notice calendar'!$I$7:$I$46,D393)&gt;0,"In the Notice calendar","Log it in the Notice calendar today")))</f>
        <v/>
      </c>
      <c r="J393" s="146"/>
      <c r="K393" s="146"/>
      <c r="L393" s="6"/>
      <c r="M393" s="6"/>
      <c r="N393" s="6"/>
      <c r="O393" s="6"/>
      <c r="P393" s="6"/>
      <c r="Q393" s="6"/>
      <c r="R393" s="6"/>
      <c r="S393" s="6"/>
      <c r="T393" s="6"/>
      <c r="U393" s="6"/>
      <c r="V393" s="6"/>
      <c r="W393" s="6"/>
      <c r="X393" s="6"/>
      <c r="Y393" s="6"/>
      <c r="Z393" s="6"/>
    </row>
    <row r="394" spans="1:26" ht="18" customHeight="1" x14ac:dyDescent="0.3">
      <c r="A394" s="152"/>
      <c r="B394" s="128"/>
      <c r="C394" s="152"/>
      <c r="D394" s="128"/>
      <c r="E394" s="144" t="str">
        <f>IF(D394="","",IFERROR(INDEX('12 P6 activities'!$B$7:$B$206,MATCH(D394,'12 P6 activities'!$A$7:$A$206,0)),"⚠ not in P6 list"))</f>
        <v/>
      </c>
      <c r="F394" s="144" t="str">
        <f>IF(D394="","",IFERROR(INDEX('12 P6 activities'!$C$7:$C$206,MATCH(D394,'12 P6 activities'!$A$7:$A$206,0)),"⚠ not in P6 list"))</f>
        <v/>
      </c>
      <c r="G394" s="124"/>
      <c r="H394" s="152"/>
      <c r="I394" s="153" t="str">
        <f>IF(H394&lt;&gt;"Y","",IF(D394="","Pick the affected P6 activity first",IF(COUNTIFS('11 Notice calendar'!$A$7:$A$46,A394,'11 Notice calendar'!$I$7:$I$46,D394)&gt;0,"In the Notice calendar","Log it in the Notice calendar today")))</f>
        <v/>
      </c>
      <c r="J394" s="146"/>
      <c r="K394" s="146"/>
      <c r="L394" s="6"/>
      <c r="M394" s="6"/>
      <c r="N394" s="6"/>
      <c r="O394" s="6"/>
      <c r="P394" s="6"/>
      <c r="Q394" s="6"/>
      <c r="R394" s="6"/>
      <c r="S394" s="6"/>
      <c r="T394" s="6"/>
      <c r="U394" s="6"/>
      <c r="V394" s="6"/>
      <c r="W394" s="6"/>
      <c r="X394" s="6"/>
      <c r="Y394" s="6"/>
      <c r="Z394" s="6"/>
    </row>
    <row r="395" spans="1:26" ht="18" customHeight="1" x14ac:dyDescent="0.3">
      <c r="A395" s="152"/>
      <c r="B395" s="128"/>
      <c r="C395" s="152"/>
      <c r="D395" s="128"/>
      <c r="E395" s="144" t="str">
        <f>IF(D395="","",IFERROR(INDEX('12 P6 activities'!$B$7:$B$206,MATCH(D395,'12 P6 activities'!$A$7:$A$206,0)),"⚠ not in P6 list"))</f>
        <v/>
      </c>
      <c r="F395" s="144" t="str">
        <f>IF(D395="","",IFERROR(INDEX('12 P6 activities'!$C$7:$C$206,MATCH(D395,'12 P6 activities'!$A$7:$A$206,0)),"⚠ not in P6 list"))</f>
        <v/>
      </c>
      <c r="G395" s="124"/>
      <c r="H395" s="152"/>
      <c r="I395" s="153" t="str">
        <f>IF(H395&lt;&gt;"Y","",IF(D395="","Pick the affected P6 activity first",IF(COUNTIFS('11 Notice calendar'!$A$7:$A$46,A395,'11 Notice calendar'!$I$7:$I$46,D395)&gt;0,"In the Notice calendar","Log it in the Notice calendar today")))</f>
        <v/>
      </c>
      <c r="J395" s="146"/>
      <c r="K395" s="146"/>
      <c r="L395" s="6"/>
      <c r="M395" s="6"/>
      <c r="N395" s="6"/>
      <c r="O395" s="6"/>
      <c r="P395" s="6"/>
      <c r="Q395" s="6"/>
      <c r="R395" s="6"/>
      <c r="S395" s="6"/>
      <c r="T395" s="6"/>
      <c r="U395" s="6"/>
      <c r="V395" s="6"/>
      <c r="W395" s="6"/>
      <c r="X395" s="6"/>
      <c r="Y395" s="6"/>
      <c r="Z395" s="6"/>
    </row>
    <row r="396" spans="1:26" ht="18" customHeight="1" x14ac:dyDescent="0.3">
      <c r="A396" s="152"/>
      <c r="B396" s="128"/>
      <c r="C396" s="152"/>
      <c r="D396" s="128"/>
      <c r="E396" s="144" t="str">
        <f>IF(D396="","",IFERROR(INDEX('12 P6 activities'!$B$7:$B$206,MATCH(D396,'12 P6 activities'!$A$7:$A$206,0)),"⚠ not in P6 list"))</f>
        <v/>
      </c>
      <c r="F396" s="144" t="str">
        <f>IF(D396="","",IFERROR(INDEX('12 P6 activities'!$C$7:$C$206,MATCH(D396,'12 P6 activities'!$A$7:$A$206,0)),"⚠ not in P6 list"))</f>
        <v/>
      </c>
      <c r="G396" s="124"/>
      <c r="H396" s="152"/>
      <c r="I396" s="153" t="str">
        <f>IF(H396&lt;&gt;"Y","",IF(D396="","Pick the affected P6 activity first",IF(COUNTIFS('11 Notice calendar'!$A$7:$A$46,A396,'11 Notice calendar'!$I$7:$I$46,D396)&gt;0,"In the Notice calendar","Log it in the Notice calendar today")))</f>
        <v/>
      </c>
      <c r="J396" s="146"/>
      <c r="K396" s="146"/>
      <c r="L396" s="6"/>
      <c r="M396" s="6"/>
      <c r="N396" s="6"/>
      <c r="O396" s="6"/>
      <c r="P396" s="6"/>
      <c r="Q396" s="6"/>
      <c r="R396" s="6"/>
      <c r="S396" s="6"/>
      <c r="T396" s="6"/>
      <c r="U396" s="6"/>
      <c r="V396" s="6"/>
      <c r="W396" s="6"/>
      <c r="X396" s="6"/>
      <c r="Y396" s="6"/>
      <c r="Z396" s="6"/>
    </row>
    <row r="397" spans="1:26" ht="18" customHeight="1" x14ac:dyDescent="0.3">
      <c r="A397" s="152"/>
      <c r="B397" s="128"/>
      <c r="C397" s="152"/>
      <c r="D397" s="128"/>
      <c r="E397" s="144" t="str">
        <f>IF(D397="","",IFERROR(INDEX('12 P6 activities'!$B$7:$B$206,MATCH(D397,'12 P6 activities'!$A$7:$A$206,0)),"⚠ not in P6 list"))</f>
        <v/>
      </c>
      <c r="F397" s="144" t="str">
        <f>IF(D397="","",IFERROR(INDEX('12 P6 activities'!$C$7:$C$206,MATCH(D397,'12 P6 activities'!$A$7:$A$206,0)),"⚠ not in P6 list"))</f>
        <v/>
      </c>
      <c r="G397" s="124"/>
      <c r="H397" s="152"/>
      <c r="I397" s="153" t="str">
        <f>IF(H397&lt;&gt;"Y","",IF(D397="","Pick the affected P6 activity first",IF(COUNTIFS('11 Notice calendar'!$A$7:$A$46,A397,'11 Notice calendar'!$I$7:$I$46,D397)&gt;0,"In the Notice calendar","Log it in the Notice calendar today")))</f>
        <v/>
      </c>
      <c r="J397" s="146"/>
      <c r="K397" s="146"/>
      <c r="L397" s="6"/>
      <c r="M397" s="6"/>
      <c r="N397" s="6"/>
      <c r="O397" s="6"/>
      <c r="P397" s="6"/>
      <c r="Q397" s="6"/>
      <c r="R397" s="6"/>
      <c r="S397" s="6"/>
      <c r="T397" s="6"/>
      <c r="U397" s="6"/>
      <c r="V397" s="6"/>
      <c r="W397" s="6"/>
      <c r="X397" s="6"/>
      <c r="Y397" s="6"/>
      <c r="Z397" s="6"/>
    </row>
    <row r="398" spans="1:26" ht="18" customHeight="1" x14ac:dyDescent="0.3">
      <c r="A398" s="152"/>
      <c r="B398" s="128"/>
      <c r="C398" s="152"/>
      <c r="D398" s="128"/>
      <c r="E398" s="144" t="str">
        <f>IF(D398="","",IFERROR(INDEX('12 P6 activities'!$B$7:$B$206,MATCH(D398,'12 P6 activities'!$A$7:$A$206,0)),"⚠ not in P6 list"))</f>
        <v/>
      </c>
      <c r="F398" s="144" t="str">
        <f>IF(D398="","",IFERROR(INDEX('12 P6 activities'!$C$7:$C$206,MATCH(D398,'12 P6 activities'!$A$7:$A$206,0)),"⚠ not in P6 list"))</f>
        <v/>
      </c>
      <c r="G398" s="124"/>
      <c r="H398" s="152"/>
      <c r="I398" s="153" t="str">
        <f>IF(H398&lt;&gt;"Y","",IF(D398="","Pick the affected P6 activity first",IF(COUNTIFS('11 Notice calendar'!$A$7:$A$46,A398,'11 Notice calendar'!$I$7:$I$46,D398)&gt;0,"In the Notice calendar","Log it in the Notice calendar today")))</f>
        <v/>
      </c>
      <c r="J398" s="146"/>
      <c r="K398" s="146"/>
      <c r="L398" s="6"/>
      <c r="M398" s="6"/>
      <c r="N398" s="6"/>
      <c r="O398" s="6"/>
      <c r="P398" s="6"/>
      <c r="Q398" s="6"/>
      <c r="R398" s="6"/>
      <c r="S398" s="6"/>
      <c r="T398" s="6"/>
      <c r="U398" s="6"/>
      <c r="V398" s="6"/>
      <c r="W398" s="6"/>
      <c r="X398" s="6"/>
      <c r="Y398" s="6"/>
      <c r="Z398" s="6"/>
    </row>
    <row r="399" spans="1:26" ht="18" customHeight="1" x14ac:dyDescent="0.3">
      <c r="A399" s="152"/>
      <c r="B399" s="128"/>
      <c r="C399" s="152"/>
      <c r="D399" s="128"/>
      <c r="E399" s="144" t="str">
        <f>IF(D399="","",IFERROR(INDEX('12 P6 activities'!$B$7:$B$206,MATCH(D399,'12 P6 activities'!$A$7:$A$206,0)),"⚠ not in P6 list"))</f>
        <v/>
      </c>
      <c r="F399" s="144" t="str">
        <f>IF(D399="","",IFERROR(INDEX('12 P6 activities'!$C$7:$C$206,MATCH(D399,'12 P6 activities'!$A$7:$A$206,0)),"⚠ not in P6 list"))</f>
        <v/>
      </c>
      <c r="G399" s="124"/>
      <c r="H399" s="152"/>
      <c r="I399" s="153" t="str">
        <f>IF(H399&lt;&gt;"Y","",IF(D399="","Pick the affected P6 activity first",IF(COUNTIFS('11 Notice calendar'!$A$7:$A$46,A399,'11 Notice calendar'!$I$7:$I$46,D399)&gt;0,"In the Notice calendar","Log it in the Notice calendar today")))</f>
        <v/>
      </c>
      <c r="J399" s="146"/>
      <c r="K399" s="146"/>
      <c r="L399" s="6"/>
      <c r="M399" s="6"/>
      <c r="N399" s="6"/>
      <c r="O399" s="6"/>
      <c r="P399" s="6"/>
      <c r="Q399" s="6"/>
      <c r="R399" s="6"/>
      <c r="S399" s="6"/>
      <c r="T399" s="6"/>
      <c r="U399" s="6"/>
      <c r="V399" s="6"/>
      <c r="W399" s="6"/>
      <c r="X399" s="6"/>
      <c r="Y399" s="6"/>
      <c r="Z399" s="6"/>
    </row>
    <row r="400" spans="1:26" ht="18" customHeight="1" x14ac:dyDescent="0.3">
      <c r="A400" s="152"/>
      <c r="B400" s="128"/>
      <c r="C400" s="152"/>
      <c r="D400" s="128"/>
      <c r="E400" s="144" t="str">
        <f>IF(D400="","",IFERROR(INDEX('12 P6 activities'!$B$7:$B$206,MATCH(D400,'12 P6 activities'!$A$7:$A$206,0)),"⚠ not in P6 list"))</f>
        <v/>
      </c>
      <c r="F400" s="144" t="str">
        <f>IF(D400="","",IFERROR(INDEX('12 P6 activities'!$C$7:$C$206,MATCH(D400,'12 P6 activities'!$A$7:$A$206,0)),"⚠ not in P6 list"))</f>
        <v/>
      </c>
      <c r="G400" s="124"/>
      <c r="H400" s="152"/>
      <c r="I400" s="153" t="str">
        <f>IF(H400&lt;&gt;"Y","",IF(D400="","Pick the affected P6 activity first",IF(COUNTIFS('11 Notice calendar'!$A$7:$A$46,A400,'11 Notice calendar'!$I$7:$I$46,D400)&gt;0,"In the Notice calendar","Log it in the Notice calendar today")))</f>
        <v/>
      </c>
      <c r="J400" s="146"/>
      <c r="K400" s="146"/>
      <c r="L400" s="6"/>
      <c r="M400" s="6"/>
      <c r="N400" s="6"/>
      <c r="O400" s="6"/>
      <c r="P400" s="6"/>
      <c r="Q400" s="6"/>
      <c r="R400" s="6"/>
      <c r="S400" s="6"/>
      <c r="T400" s="6"/>
      <c r="U400" s="6"/>
      <c r="V400" s="6"/>
      <c r="W400" s="6"/>
      <c r="X400" s="6"/>
      <c r="Y400" s="6"/>
      <c r="Z400" s="6"/>
    </row>
    <row r="401" spans="1:26" ht="18" customHeight="1" x14ac:dyDescent="0.3">
      <c r="A401" s="152"/>
      <c r="B401" s="128"/>
      <c r="C401" s="152"/>
      <c r="D401" s="128"/>
      <c r="E401" s="144" t="str">
        <f>IF(D401="","",IFERROR(INDEX('12 P6 activities'!$B$7:$B$206,MATCH(D401,'12 P6 activities'!$A$7:$A$206,0)),"⚠ not in P6 list"))</f>
        <v/>
      </c>
      <c r="F401" s="144" t="str">
        <f>IF(D401="","",IFERROR(INDEX('12 P6 activities'!$C$7:$C$206,MATCH(D401,'12 P6 activities'!$A$7:$A$206,0)),"⚠ not in P6 list"))</f>
        <v/>
      </c>
      <c r="G401" s="124"/>
      <c r="H401" s="152"/>
      <c r="I401" s="153" t="str">
        <f>IF(H401&lt;&gt;"Y","",IF(D401="","Pick the affected P6 activity first",IF(COUNTIFS('11 Notice calendar'!$A$7:$A$46,A401,'11 Notice calendar'!$I$7:$I$46,D401)&gt;0,"In the Notice calendar","Log it in the Notice calendar today")))</f>
        <v/>
      </c>
      <c r="J401" s="146"/>
      <c r="K401" s="146"/>
      <c r="L401" s="6"/>
      <c r="M401" s="6"/>
      <c r="N401" s="6"/>
      <c r="O401" s="6"/>
      <c r="P401" s="6"/>
      <c r="Q401" s="6"/>
      <c r="R401" s="6"/>
      <c r="S401" s="6"/>
      <c r="T401" s="6"/>
      <c r="U401" s="6"/>
      <c r="V401" s="6"/>
      <c r="W401" s="6"/>
      <c r="X401" s="6"/>
      <c r="Y401" s="6"/>
      <c r="Z401" s="6"/>
    </row>
    <row r="402" spans="1:26" ht="18" customHeight="1" x14ac:dyDescent="0.3">
      <c r="A402" s="152"/>
      <c r="B402" s="128"/>
      <c r="C402" s="152"/>
      <c r="D402" s="128"/>
      <c r="E402" s="144" t="str">
        <f>IF(D402="","",IFERROR(INDEX('12 P6 activities'!$B$7:$B$206,MATCH(D402,'12 P6 activities'!$A$7:$A$206,0)),"⚠ not in P6 list"))</f>
        <v/>
      </c>
      <c r="F402" s="144" t="str">
        <f>IF(D402="","",IFERROR(INDEX('12 P6 activities'!$C$7:$C$206,MATCH(D402,'12 P6 activities'!$A$7:$A$206,0)),"⚠ not in P6 list"))</f>
        <v/>
      </c>
      <c r="G402" s="124"/>
      <c r="H402" s="152"/>
      <c r="I402" s="153" t="str">
        <f>IF(H402&lt;&gt;"Y","",IF(D402="","Pick the affected P6 activity first",IF(COUNTIFS('11 Notice calendar'!$A$7:$A$46,A402,'11 Notice calendar'!$I$7:$I$46,D402)&gt;0,"In the Notice calendar","Log it in the Notice calendar today")))</f>
        <v/>
      </c>
      <c r="J402" s="146"/>
      <c r="K402" s="146"/>
      <c r="L402" s="6"/>
      <c r="M402" s="6"/>
      <c r="N402" s="6"/>
      <c r="O402" s="6"/>
      <c r="P402" s="6"/>
      <c r="Q402" s="6"/>
      <c r="R402" s="6"/>
      <c r="S402" s="6"/>
      <c r="T402" s="6"/>
      <c r="U402" s="6"/>
      <c r="V402" s="6"/>
      <c r="W402" s="6"/>
      <c r="X402" s="6"/>
      <c r="Y402" s="6"/>
      <c r="Z402" s="6"/>
    </row>
    <row r="403" spans="1:26" ht="18" customHeight="1" x14ac:dyDescent="0.3">
      <c r="A403" s="152"/>
      <c r="B403" s="128"/>
      <c r="C403" s="152"/>
      <c r="D403" s="128"/>
      <c r="E403" s="144" t="str">
        <f>IF(D403="","",IFERROR(INDEX('12 P6 activities'!$B$7:$B$206,MATCH(D403,'12 P6 activities'!$A$7:$A$206,0)),"⚠ not in P6 list"))</f>
        <v/>
      </c>
      <c r="F403" s="144" t="str">
        <f>IF(D403="","",IFERROR(INDEX('12 P6 activities'!$C$7:$C$206,MATCH(D403,'12 P6 activities'!$A$7:$A$206,0)),"⚠ not in P6 list"))</f>
        <v/>
      </c>
      <c r="G403" s="124"/>
      <c r="H403" s="152"/>
      <c r="I403" s="153" t="str">
        <f>IF(H403&lt;&gt;"Y","",IF(D403="","Pick the affected P6 activity first",IF(COUNTIFS('11 Notice calendar'!$A$7:$A$46,A403,'11 Notice calendar'!$I$7:$I$46,D403)&gt;0,"In the Notice calendar","Log it in the Notice calendar today")))</f>
        <v/>
      </c>
      <c r="J403" s="146"/>
      <c r="K403" s="146"/>
      <c r="L403" s="6"/>
      <c r="M403" s="6"/>
      <c r="N403" s="6"/>
      <c r="O403" s="6"/>
      <c r="P403" s="6"/>
      <c r="Q403" s="6"/>
      <c r="R403" s="6"/>
      <c r="S403" s="6"/>
      <c r="T403" s="6"/>
      <c r="U403" s="6"/>
      <c r="V403" s="6"/>
      <c r="W403" s="6"/>
      <c r="X403" s="6"/>
      <c r="Y403" s="6"/>
      <c r="Z403" s="6"/>
    </row>
    <row r="404" spans="1:26" ht="18" customHeight="1" x14ac:dyDescent="0.3">
      <c r="A404" s="152"/>
      <c r="B404" s="128"/>
      <c r="C404" s="152"/>
      <c r="D404" s="128"/>
      <c r="E404" s="144" t="str">
        <f>IF(D404="","",IFERROR(INDEX('12 P6 activities'!$B$7:$B$206,MATCH(D404,'12 P6 activities'!$A$7:$A$206,0)),"⚠ not in P6 list"))</f>
        <v/>
      </c>
      <c r="F404" s="144" t="str">
        <f>IF(D404="","",IFERROR(INDEX('12 P6 activities'!$C$7:$C$206,MATCH(D404,'12 P6 activities'!$A$7:$A$206,0)),"⚠ not in P6 list"))</f>
        <v/>
      </c>
      <c r="G404" s="124"/>
      <c r="H404" s="152"/>
      <c r="I404" s="153" t="str">
        <f>IF(H404&lt;&gt;"Y","",IF(D404="","Pick the affected P6 activity first",IF(COUNTIFS('11 Notice calendar'!$A$7:$A$46,A404,'11 Notice calendar'!$I$7:$I$46,D404)&gt;0,"In the Notice calendar","Log it in the Notice calendar today")))</f>
        <v/>
      </c>
      <c r="J404" s="146"/>
      <c r="K404" s="146"/>
      <c r="L404" s="6"/>
      <c r="M404" s="6"/>
      <c r="N404" s="6"/>
      <c r="O404" s="6"/>
      <c r="P404" s="6"/>
      <c r="Q404" s="6"/>
      <c r="R404" s="6"/>
      <c r="S404" s="6"/>
      <c r="T404" s="6"/>
      <c r="U404" s="6"/>
      <c r="V404" s="6"/>
      <c r="W404" s="6"/>
      <c r="X404" s="6"/>
      <c r="Y404" s="6"/>
      <c r="Z404" s="6"/>
    </row>
    <row r="405" spans="1:26" ht="18" customHeight="1" x14ac:dyDescent="0.3">
      <c r="A405" s="152"/>
      <c r="B405" s="128"/>
      <c r="C405" s="152"/>
      <c r="D405" s="128"/>
      <c r="E405" s="144" t="str">
        <f>IF(D405="","",IFERROR(INDEX('12 P6 activities'!$B$7:$B$206,MATCH(D405,'12 P6 activities'!$A$7:$A$206,0)),"⚠ not in P6 list"))</f>
        <v/>
      </c>
      <c r="F405" s="144" t="str">
        <f>IF(D405="","",IFERROR(INDEX('12 P6 activities'!$C$7:$C$206,MATCH(D405,'12 P6 activities'!$A$7:$A$206,0)),"⚠ not in P6 list"))</f>
        <v/>
      </c>
      <c r="G405" s="124"/>
      <c r="H405" s="152"/>
      <c r="I405" s="153" t="str">
        <f>IF(H405&lt;&gt;"Y","",IF(D405="","Pick the affected P6 activity first",IF(COUNTIFS('11 Notice calendar'!$A$7:$A$46,A405,'11 Notice calendar'!$I$7:$I$46,D405)&gt;0,"In the Notice calendar","Log it in the Notice calendar today")))</f>
        <v/>
      </c>
      <c r="J405" s="146"/>
      <c r="K405" s="146"/>
      <c r="L405" s="6"/>
      <c r="M405" s="6"/>
      <c r="N405" s="6"/>
      <c r="O405" s="6"/>
      <c r="P405" s="6"/>
      <c r="Q405" s="6"/>
      <c r="R405" s="6"/>
      <c r="S405" s="6"/>
      <c r="T405" s="6"/>
      <c r="U405" s="6"/>
      <c r="V405" s="6"/>
      <c r="W405" s="6"/>
      <c r="X405" s="6"/>
      <c r="Y405" s="6"/>
      <c r="Z405" s="6"/>
    </row>
    <row r="406" spans="1:26" ht="18" customHeight="1" x14ac:dyDescent="0.3">
      <c r="A406" s="152"/>
      <c r="B406" s="128"/>
      <c r="C406" s="152"/>
      <c r="D406" s="128"/>
      <c r="E406" s="144" t="str">
        <f>IF(D406="","",IFERROR(INDEX('12 P6 activities'!$B$7:$B$206,MATCH(D406,'12 P6 activities'!$A$7:$A$206,0)),"⚠ not in P6 list"))</f>
        <v/>
      </c>
      <c r="F406" s="144" t="str">
        <f>IF(D406="","",IFERROR(INDEX('12 P6 activities'!$C$7:$C$206,MATCH(D406,'12 P6 activities'!$A$7:$A$206,0)),"⚠ not in P6 list"))</f>
        <v/>
      </c>
      <c r="G406" s="124"/>
      <c r="H406" s="152"/>
      <c r="I406" s="153" t="str">
        <f>IF(H406&lt;&gt;"Y","",IF(D406="","Pick the affected P6 activity first",IF(COUNTIFS('11 Notice calendar'!$A$7:$A$46,A406,'11 Notice calendar'!$I$7:$I$46,D406)&gt;0,"In the Notice calendar","Log it in the Notice calendar today")))</f>
        <v/>
      </c>
      <c r="J406" s="146"/>
      <c r="K406" s="146"/>
      <c r="L406" s="6"/>
      <c r="M406" s="6"/>
      <c r="N406" s="6"/>
      <c r="O406" s="6"/>
      <c r="P406" s="6"/>
      <c r="Q406" s="6"/>
      <c r="R406" s="6"/>
      <c r="S406" s="6"/>
      <c r="T406" s="6"/>
      <c r="U406" s="6"/>
      <c r="V406" s="6"/>
      <c r="W406" s="6"/>
      <c r="X406" s="6"/>
      <c r="Y406" s="6"/>
      <c r="Z406" s="6"/>
    </row>
    <row r="407" spans="1:26" ht="18" customHeight="1" x14ac:dyDescent="0.3">
      <c r="A407" s="152"/>
      <c r="B407" s="128"/>
      <c r="C407" s="152"/>
      <c r="D407" s="128"/>
      <c r="E407" s="144" t="str">
        <f>IF(D407="","",IFERROR(INDEX('12 P6 activities'!$B$7:$B$206,MATCH(D407,'12 P6 activities'!$A$7:$A$206,0)),"⚠ not in P6 list"))</f>
        <v/>
      </c>
      <c r="F407" s="144" t="str">
        <f>IF(D407="","",IFERROR(INDEX('12 P6 activities'!$C$7:$C$206,MATCH(D407,'12 P6 activities'!$A$7:$A$206,0)),"⚠ not in P6 list"))</f>
        <v/>
      </c>
      <c r="G407" s="124"/>
      <c r="H407" s="152"/>
      <c r="I407" s="153" t="str">
        <f>IF(H407&lt;&gt;"Y","",IF(D407="","Pick the affected P6 activity first",IF(COUNTIFS('11 Notice calendar'!$A$7:$A$46,A407,'11 Notice calendar'!$I$7:$I$46,D407)&gt;0,"In the Notice calendar","Log it in the Notice calendar today")))</f>
        <v/>
      </c>
      <c r="J407" s="146"/>
      <c r="K407" s="146"/>
      <c r="L407" s="6"/>
      <c r="M407" s="6"/>
      <c r="N407" s="6"/>
      <c r="O407" s="6"/>
      <c r="P407" s="6"/>
      <c r="Q407" s="6"/>
      <c r="R407" s="6"/>
      <c r="S407" s="6"/>
      <c r="T407" s="6"/>
      <c r="U407" s="6"/>
      <c r="V407" s="6"/>
      <c r="W407" s="6"/>
      <c r="X407" s="6"/>
      <c r="Y407" s="6"/>
      <c r="Z407" s="6"/>
    </row>
    <row r="408" spans="1:26" ht="18" customHeight="1" x14ac:dyDescent="0.3">
      <c r="A408" s="152"/>
      <c r="B408" s="128"/>
      <c r="C408" s="152"/>
      <c r="D408" s="128"/>
      <c r="E408" s="144" t="str">
        <f>IF(D408="","",IFERROR(INDEX('12 P6 activities'!$B$7:$B$206,MATCH(D408,'12 P6 activities'!$A$7:$A$206,0)),"⚠ not in P6 list"))</f>
        <v/>
      </c>
      <c r="F408" s="144" t="str">
        <f>IF(D408="","",IFERROR(INDEX('12 P6 activities'!$C$7:$C$206,MATCH(D408,'12 P6 activities'!$A$7:$A$206,0)),"⚠ not in P6 list"))</f>
        <v/>
      </c>
      <c r="G408" s="124"/>
      <c r="H408" s="152"/>
      <c r="I408" s="153" t="str">
        <f>IF(H408&lt;&gt;"Y","",IF(D408="","Pick the affected P6 activity first",IF(COUNTIFS('11 Notice calendar'!$A$7:$A$46,A408,'11 Notice calendar'!$I$7:$I$46,D408)&gt;0,"In the Notice calendar","Log it in the Notice calendar today")))</f>
        <v/>
      </c>
      <c r="J408" s="146"/>
      <c r="K408" s="146"/>
      <c r="L408" s="6"/>
      <c r="M408" s="6"/>
      <c r="N408" s="6"/>
      <c r="O408" s="6"/>
      <c r="P408" s="6"/>
      <c r="Q408" s="6"/>
      <c r="R408" s="6"/>
      <c r="S408" s="6"/>
      <c r="T408" s="6"/>
      <c r="U408" s="6"/>
      <c r="V408" s="6"/>
      <c r="W408" s="6"/>
      <c r="X408" s="6"/>
      <c r="Y408" s="6"/>
      <c r="Z408" s="6"/>
    </row>
    <row r="409" spans="1:26" ht="18" customHeight="1" x14ac:dyDescent="0.3">
      <c r="A409" s="152"/>
      <c r="B409" s="128"/>
      <c r="C409" s="152"/>
      <c r="D409" s="128"/>
      <c r="E409" s="144" t="str">
        <f>IF(D409="","",IFERROR(INDEX('12 P6 activities'!$B$7:$B$206,MATCH(D409,'12 P6 activities'!$A$7:$A$206,0)),"⚠ not in P6 list"))</f>
        <v/>
      </c>
      <c r="F409" s="144" t="str">
        <f>IF(D409="","",IFERROR(INDEX('12 P6 activities'!$C$7:$C$206,MATCH(D409,'12 P6 activities'!$A$7:$A$206,0)),"⚠ not in P6 list"))</f>
        <v/>
      </c>
      <c r="G409" s="124"/>
      <c r="H409" s="152"/>
      <c r="I409" s="153" t="str">
        <f>IF(H409&lt;&gt;"Y","",IF(D409="","Pick the affected P6 activity first",IF(COUNTIFS('11 Notice calendar'!$A$7:$A$46,A409,'11 Notice calendar'!$I$7:$I$46,D409)&gt;0,"In the Notice calendar","Log it in the Notice calendar today")))</f>
        <v/>
      </c>
      <c r="J409" s="146"/>
      <c r="K409" s="146"/>
      <c r="L409" s="6"/>
      <c r="M409" s="6"/>
      <c r="N409" s="6"/>
      <c r="O409" s="6"/>
      <c r="P409" s="6"/>
      <c r="Q409" s="6"/>
      <c r="R409" s="6"/>
      <c r="S409" s="6"/>
      <c r="T409" s="6"/>
      <c r="U409" s="6"/>
      <c r="V409" s="6"/>
      <c r="W409" s="6"/>
      <c r="X409" s="6"/>
      <c r="Y409" s="6"/>
      <c r="Z409" s="6"/>
    </row>
    <row r="410" spans="1:26" ht="18" customHeight="1" x14ac:dyDescent="0.3">
      <c r="A410" s="152"/>
      <c r="B410" s="128"/>
      <c r="C410" s="152"/>
      <c r="D410" s="128"/>
      <c r="E410" s="144" t="str">
        <f>IF(D410="","",IFERROR(INDEX('12 P6 activities'!$B$7:$B$206,MATCH(D410,'12 P6 activities'!$A$7:$A$206,0)),"⚠ not in P6 list"))</f>
        <v/>
      </c>
      <c r="F410" s="144" t="str">
        <f>IF(D410="","",IFERROR(INDEX('12 P6 activities'!$C$7:$C$206,MATCH(D410,'12 P6 activities'!$A$7:$A$206,0)),"⚠ not in P6 list"))</f>
        <v/>
      </c>
      <c r="G410" s="124"/>
      <c r="H410" s="152"/>
      <c r="I410" s="153" t="str">
        <f>IF(H410&lt;&gt;"Y","",IF(D410="","Pick the affected P6 activity first",IF(COUNTIFS('11 Notice calendar'!$A$7:$A$46,A410,'11 Notice calendar'!$I$7:$I$46,D410)&gt;0,"In the Notice calendar","Log it in the Notice calendar today")))</f>
        <v/>
      </c>
      <c r="J410" s="146"/>
      <c r="K410" s="146"/>
      <c r="L410" s="6"/>
      <c r="M410" s="6"/>
      <c r="N410" s="6"/>
      <c r="O410" s="6"/>
      <c r="P410" s="6"/>
      <c r="Q410" s="6"/>
      <c r="R410" s="6"/>
      <c r="S410" s="6"/>
      <c r="T410" s="6"/>
      <c r="U410" s="6"/>
      <c r="V410" s="6"/>
      <c r="W410" s="6"/>
      <c r="X410" s="6"/>
      <c r="Y410" s="6"/>
      <c r="Z410" s="6"/>
    </row>
    <row r="411" spans="1:26" ht="18" customHeight="1" x14ac:dyDescent="0.3">
      <c r="A411" s="152"/>
      <c r="B411" s="128"/>
      <c r="C411" s="152"/>
      <c r="D411" s="128"/>
      <c r="E411" s="144" t="str">
        <f>IF(D411="","",IFERROR(INDEX('12 P6 activities'!$B$7:$B$206,MATCH(D411,'12 P6 activities'!$A$7:$A$206,0)),"⚠ not in P6 list"))</f>
        <v/>
      </c>
      <c r="F411" s="144" t="str">
        <f>IF(D411="","",IFERROR(INDEX('12 P6 activities'!$C$7:$C$206,MATCH(D411,'12 P6 activities'!$A$7:$A$206,0)),"⚠ not in P6 list"))</f>
        <v/>
      </c>
      <c r="G411" s="124"/>
      <c r="H411" s="152"/>
      <c r="I411" s="153" t="str">
        <f>IF(H411&lt;&gt;"Y","",IF(D411="","Pick the affected P6 activity first",IF(COUNTIFS('11 Notice calendar'!$A$7:$A$46,A411,'11 Notice calendar'!$I$7:$I$46,D411)&gt;0,"In the Notice calendar","Log it in the Notice calendar today")))</f>
        <v/>
      </c>
      <c r="J411" s="146"/>
      <c r="K411" s="146"/>
      <c r="L411" s="6"/>
      <c r="M411" s="6"/>
      <c r="N411" s="6"/>
      <c r="O411" s="6"/>
      <c r="P411" s="6"/>
      <c r="Q411" s="6"/>
      <c r="R411" s="6"/>
      <c r="S411" s="6"/>
      <c r="T411" s="6"/>
      <c r="U411" s="6"/>
      <c r="V411" s="6"/>
      <c r="W411" s="6"/>
      <c r="X411" s="6"/>
      <c r="Y411" s="6"/>
      <c r="Z411" s="6"/>
    </row>
    <row r="412" spans="1:26" ht="18" customHeight="1" x14ac:dyDescent="0.3">
      <c r="A412" s="152"/>
      <c r="B412" s="128"/>
      <c r="C412" s="152"/>
      <c r="D412" s="128"/>
      <c r="E412" s="144" t="str">
        <f>IF(D412="","",IFERROR(INDEX('12 P6 activities'!$B$7:$B$206,MATCH(D412,'12 P6 activities'!$A$7:$A$206,0)),"⚠ not in P6 list"))</f>
        <v/>
      </c>
      <c r="F412" s="144" t="str">
        <f>IF(D412="","",IFERROR(INDEX('12 P6 activities'!$C$7:$C$206,MATCH(D412,'12 P6 activities'!$A$7:$A$206,0)),"⚠ not in P6 list"))</f>
        <v/>
      </c>
      <c r="G412" s="124"/>
      <c r="H412" s="152"/>
      <c r="I412" s="153" t="str">
        <f>IF(H412&lt;&gt;"Y","",IF(D412="","Pick the affected P6 activity first",IF(COUNTIFS('11 Notice calendar'!$A$7:$A$46,A412,'11 Notice calendar'!$I$7:$I$46,D412)&gt;0,"In the Notice calendar","Log it in the Notice calendar today")))</f>
        <v/>
      </c>
      <c r="J412" s="146"/>
      <c r="K412" s="146"/>
      <c r="L412" s="6"/>
      <c r="M412" s="6"/>
      <c r="N412" s="6"/>
      <c r="O412" s="6"/>
      <c r="P412" s="6"/>
      <c r="Q412" s="6"/>
      <c r="R412" s="6"/>
      <c r="S412" s="6"/>
      <c r="T412" s="6"/>
      <c r="U412" s="6"/>
      <c r="V412" s="6"/>
      <c r="W412" s="6"/>
      <c r="X412" s="6"/>
      <c r="Y412" s="6"/>
      <c r="Z412" s="6"/>
    </row>
    <row r="413" spans="1:26" ht="18" customHeight="1" x14ac:dyDescent="0.3">
      <c r="A413" s="152"/>
      <c r="B413" s="128"/>
      <c r="C413" s="152"/>
      <c r="D413" s="128"/>
      <c r="E413" s="144" t="str">
        <f>IF(D413="","",IFERROR(INDEX('12 P6 activities'!$B$7:$B$206,MATCH(D413,'12 P6 activities'!$A$7:$A$206,0)),"⚠ not in P6 list"))</f>
        <v/>
      </c>
      <c r="F413" s="144" t="str">
        <f>IF(D413="","",IFERROR(INDEX('12 P6 activities'!$C$7:$C$206,MATCH(D413,'12 P6 activities'!$A$7:$A$206,0)),"⚠ not in P6 list"))</f>
        <v/>
      </c>
      <c r="G413" s="124"/>
      <c r="H413" s="152"/>
      <c r="I413" s="153" t="str">
        <f>IF(H413&lt;&gt;"Y","",IF(D413="","Pick the affected P6 activity first",IF(COUNTIFS('11 Notice calendar'!$A$7:$A$46,A413,'11 Notice calendar'!$I$7:$I$46,D413)&gt;0,"In the Notice calendar","Log it in the Notice calendar today")))</f>
        <v/>
      </c>
      <c r="J413" s="146"/>
      <c r="K413" s="146"/>
      <c r="L413" s="6"/>
      <c r="M413" s="6"/>
      <c r="N413" s="6"/>
      <c r="O413" s="6"/>
      <c r="P413" s="6"/>
      <c r="Q413" s="6"/>
      <c r="R413" s="6"/>
      <c r="S413" s="6"/>
      <c r="T413" s="6"/>
      <c r="U413" s="6"/>
      <c r="V413" s="6"/>
      <c r="W413" s="6"/>
      <c r="X413" s="6"/>
      <c r="Y413" s="6"/>
      <c r="Z413" s="6"/>
    </row>
    <row r="414" spans="1:26" ht="18" customHeight="1" x14ac:dyDescent="0.3">
      <c r="A414" s="152"/>
      <c r="B414" s="128"/>
      <c r="C414" s="152"/>
      <c r="D414" s="128"/>
      <c r="E414" s="144" t="str">
        <f>IF(D414="","",IFERROR(INDEX('12 P6 activities'!$B$7:$B$206,MATCH(D414,'12 P6 activities'!$A$7:$A$206,0)),"⚠ not in P6 list"))</f>
        <v/>
      </c>
      <c r="F414" s="144" t="str">
        <f>IF(D414="","",IFERROR(INDEX('12 P6 activities'!$C$7:$C$206,MATCH(D414,'12 P6 activities'!$A$7:$A$206,0)),"⚠ not in P6 list"))</f>
        <v/>
      </c>
      <c r="G414" s="124"/>
      <c r="H414" s="152"/>
      <c r="I414" s="153" t="str">
        <f>IF(H414&lt;&gt;"Y","",IF(D414="","Pick the affected P6 activity first",IF(COUNTIFS('11 Notice calendar'!$A$7:$A$46,A414,'11 Notice calendar'!$I$7:$I$46,D414)&gt;0,"In the Notice calendar","Log it in the Notice calendar today")))</f>
        <v/>
      </c>
      <c r="J414" s="146"/>
      <c r="K414" s="146"/>
      <c r="L414" s="6"/>
      <c r="M414" s="6"/>
      <c r="N414" s="6"/>
      <c r="O414" s="6"/>
      <c r="P414" s="6"/>
      <c r="Q414" s="6"/>
      <c r="R414" s="6"/>
      <c r="S414" s="6"/>
      <c r="T414" s="6"/>
      <c r="U414" s="6"/>
      <c r="V414" s="6"/>
      <c r="W414" s="6"/>
      <c r="X414" s="6"/>
      <c r="Y414" s="6"/>
      <c r="Z414" s="6"/>
    </row>
    <row r="415" spans="1:26" ht="18" customHeight="1" x14ac:dyDescent="0.3">
      <c r="A415" s="152"/>
      <c r="B415" s="128"/>
      <c r="C415" s="152"/>
      <c r="D415" s="128"/>
      <c r="E415" s="144" t="str">
        <f>IF(D415="","",IFERROR(INDEX('12 P6 activities'!$B$7:$B$206,MATCH(D415,'12 P6 activities'!$A$7:$A$206,0)),"⚠ not in P6 list"))</f>
        <v/>
      </c>
      <c r="F415" s="144" t="str">
        <f>IF(D415="","",IFERROR(INDEX('12 P6 activities'!$C$7:$C$206,MATCH(D415,'12 P6 activities'!$A$7:$A$206,0)),"⚠ not in P6 list"))</f>
        <v/>
      </c>
      <c r="G415" s="124"/>
      <c r="H415" s="152"/>
      <c r="I415" s="153" t="str">
        <f>IF(H415&lt;&gt;"Y","",IF(D415="","Pick the affected P6 activity first",IF(COUNTIFS('11 Notice calendar'!$A$7:$A$46,A415,'11 Notice calendar'!$I$7:$I$46,D415)&gt;0,"In the Notice calendar","Log it in the Notice calendar today")))</f>
        <v/>
      </c>
      <c r="J415" s="146"/>
      <c r="K415" s="146"/>
      <c r="L415" s="6"/>
      <c r="M415" s="6"/>
      <c r="N415" s="6"/>
      <c r="O415" s="6"/>
      <c r="P415" s="6"/>
      <c r="Q415" s="6"/>
      <c r="R415" s="6"/>
      <c r="S415" s="6"/>
      <c r="T415" s="6"/>
      <c r="U415" s="6"/>
      <c r="V415" s="6"/>
      <c r="W415" s="6"/>
      <c r="X415" s="6"/>
      <c r="Y415" s="6"/>
      <c r="Z415" s="6"/>
    </row>
    <row r="416" spans="1:26" ht="18" customHeight="1" x14ac:dyDescent="0.3">
      <c r="A416" s="152"/>
      <c r="B416" s="128"/>
      <c r="C416" s="152"/>
      <c r="D416" s="128"/>
      <c r="E416" s="144" t="str">
        <f>IF(D416="","",IFERROR(INDEX('12 P6 activities'!$B$7:$B$206,MATCH(D416,'12 P6 activities'!$A$7:$A$206,0)),"⚠ not in P6 list"))</f>
        <v/>
      </c>
      <c r="F416" s="144" t="str">
        <f>IF(D416="","",IFERROR(INDEX('12 P6 activities'!$C$7:$C$206,MATCH(D416,'12 P6 activities'!$A$7:$A$206,0)),"⚠ not in P6 list"))</f>
        <v/>
      </c>
      <c r="G416" s="124"/>
      <c r="H416" s="152"/>
      <c r="I416" s="153" t="str">
        <f>IF(H416&lt;&gt;"Y","",IF(D416="","Pick the affected P6 activity first",IF(COUNTIFS('11 Notice calendar'!$A$7:$A$46,A416,'11 Notice calendar'!$I$7:$I$46,D416)&gt;0,"In the Notice calendar","Log it in the Notice calendar today")))</f>
        <v/>
      </c>
      <c r="J416" s="146"/>
      <c r="K416" s="146"/>
      <c r="L416" s="6"/>
      <c r="M416" s="6"/>
      <c r="N416" s="6"/>
      <c r="O416" s="6"/>
      <c r="P416" s="6"/>
      <c r="Q416" s="6"/>
      <c r="R416" s="6"/>
      <c r="S416" s="6"/>
      <c r="T416" s="6"/>
      <c r="U416" s="6"/>
      <c r="V416" s="6"/>
      <c r="W416" s="6"/>
      <c r="X416" s="6"/>
      <c r="Y416" s="6"/>
      <c r="Z416" s="6"/>
    </row>
    <row r="417" spans="1:26" ht="18" customHeight="1" x14ac:dyDescent="0.3">
      <c r="A417" s="152"/>
      <c r="B417" s="128"/>
      <c r="C417" s="152"/>
      <c r="D417" s="128"/>
      <c r="E417" s="144" t="str">
        <f>IF(D417="","",IFERROR(INDEX('12 P6 activities'!$B$7:$B$206,MATCH(D417,'12 P6 activities'!$A$7:$A$206,0)),"⚠ not in P6 list"))</f>
        <v/>
      </c>
      <c r="F417" s="144" t="str">
        <f>IF(D417="","",IFERROR(INDEX('12 P6 activities'!$C$7:$C$206,MATCH(D417,'12 P6 activities'!$A$7:$A$206,0)),"⚠ not in P6 list"))</f>
        <v/>
      </c>
      <c r="G417" s="124"/>
      <c r="H417" s="152"/>
      <c r="I417" s="153" t="str">
        <f>IF(H417&lt;&gt;"Y","",IF(D417="","Pick the affected P6 activity first",IF(COUNTIFS('11 Notice calendar'!$A$7:$A$46,A417,'11 Notice calendar'!$I$7:$I$46,D417)&gt;0,"In the Notice calendar","Log it in the Notice calendar today")))</f>
        <v/>
      </c>
      <c r="J417" s="146"/>
      <c r="K417" s="146"/>
      <c r="L417" s="6"/>
      <c r="M417" s="6"/>
      <c r="N417" s="6"/>
      <c r="O417" s="6"/>
      <c r="P417" s="6"/>
      <c r="Q417" s="6"/>
      <c r="R417" s="6"/>
      <c r="S417" s="6"/>
      <c r="T417" s="6"/>
      <c r="U417" s="6"/>
      <c r="V417" s="6"/>
      <c r="W417" s="6"/>
      <c r="X417" s="6"/>
      <c r="Y417" s="6"/>
      <c r="Z417" s="6"/>
    </row>
    <row r="418" spans="1:26" ht="18" customHeight="1" x14ac:dyDescent="0.3">
      <c r="A418" s="152"/>
      <c r="B418" s="128"/>
      <c r="C418" s="152"/>
      <c r="D418" s="128"/>
      <c r="E418" s="144" t="str">
        <f>IF(D418="","",IFERROR(INDEX('12 P6 activities'!$B$7:$B$206,MATCH(D418,'12 P6 activities'!$A$7:$A$206,0)),"⚠ not in P6 list"))</f>
        <v/>
      </c>
      <c r="F418" s="144" t="str">
        <f>IF(D418="","",IFERROR(INDEX('12 P6 activities'!$C$7:$C$206,MATCH(D418,'12 P6 activities'!$A$7:$A$206,0)),"⚠ not in P6 list"))</f>
        <v/>
      </c>
      <c r="G418" s="124"/>
      <c r="H418" s="152"/>
      <c r="I418" s="153" t="str">
        <f>IF(H418&lt;&gt;"Y","",IF(D418="","Pick the affected P6 activity first",IF(COUNTIFS('11 Notice calendar'!$A$7:$A$46,A418,'11 Notice calendar'!$I$7:$I$46,D418)&gt;0,"In the Notice calendar","Log it in the Notice calendar today")))</f>
        <v/>
      </c>
      <c r="J418" s="146"/>
      <c r="K418" s="146"/>
      <c r="L418" s="6"/>
      <c r="M418" s="6"/>
      <c r="N418" s="6"/>
      <c r="O418" s="6"/>
      <c r="P418" s="6"/>
      <c r="Q418" s="6"/>
      <c r="R418" s="6"/>
      <c r="S418" s="6"/>
      <c r="T418" s="6"/>
      <c r="U418" s="6"/>
      <c r="V418" s="6"/>
      <c r="W418" s="6"/>
      <c r="X418" s="6"/>
      <c r="Y418" s="6"/>
      <c r="Z418" s="6"/>
    </row>
    <row r="419" spans="1:26" ht="18" customHeight="1" x14ac:dyDescent="0.3">
      <c r="A419" s="152"/>
      <c r="B419" s="128"/>
      <c r="C419" s="152"/>
      <c r="D419" s="128"/>
      <c r="E419" s="144" t="str">
        <f>IF(D419="","",IFERROR(INDEX('12 P6 activities'!$B$7:$B$206,MATCH(D419,'12 P6 activities'!$A$7:$A$206,0)),"⚠ not in P6 list"))</f>
        <v/>
      </c>
      <c r="F419" s="144" t="str">
        <f>IF(D419="","",IFERROR(INDEX('12 P6 activities'!$C$7:$C$206,MATCH(D419,'12 P6 activities'!$A$7:$A$206,0)),"⚠ not in P6 list"))</f>
        <v/>
      </c>
      <c r="G419" s="124"/>
      <c r="H419" s="152"/>
      <c r="I419" s="153" t="str">
        <f>IF(H419&lt;&gt;"Y","",IF(D419="","Pick the affected P6 activity first",IF(COUNTIFS('11 Notice calendar'!$A$7:$A$46,A419,'11 Notice calendar'!$I$7:$I$46,D419)&gt;0,"In the Notice calendar","Log it in the Notice calendar today")))</f>
        <v/>
      </c>
      <c r="J419" s="146"/>
      <c r="K419" s="146"/>
      <c r="L419" s="6"/>
      <c r="M419" s="6"/>
      <c r="N419" s="6"/>
      <c r="O419" s="6"/>
      <c r="P419" s="6"/>
      <c r="Q419" s="6"/>
      <c r="R419" s="6"/>
      <c r="S419" s="6"/>
      <c r="T419" s="6"/>
      <c r="U419" s="6"/>
      <c r="V419" s="6"/>
      <c r="W419" s="6"/>
      <c r="X419" s="6"/>
      <c r="Y419" s="6"/>
      <c r="Z419" s="6"/>
    </row>
    <row r="420" spans="1:26" ht="18" customHeight="1" x14ac:dyDescent="0.3">
      <c r="A420" s="152"/>
      <c r="B420" s="128"/>
      <c r="C420" s="152"/>
      <c r="D420" s="128"/>
      <c r="E420" s="144" t="str">
        <f>IF(D420="","",IFERROR(INDEX('12 P6 activities'!$B$7:$B$206,MATCH(D420,'12 P6 activities'!$A$7:$A$206,0)),"⚠ not in P6 list"))</f>
        <v/>
      </c>
      <c r="F420" s="144" t="str">
        <f>IF(D420="","",IFERROR(INDEX('12 P6 activities'!$C$7:$C$206,MATCH(D420,'12 P6 activities'!$A$7:$A$206,0)),"⚠ not in P6 list"))</f>
        <v/>
      </c>
      <c r="G420" s="124"/>
      <c r="H420" s="152"/>
      <c r="I420" s="153" t="str">
        <f>IF(H420&lt;&gt;"Y","",IF(D420="","Pick the affected P6 activity first",IF(COUNTIFS('11 Notice calendar'!$A$7:$A$46,A420,'11 Notice calendar'!$I$7:$I$46,D420)&gt;0,"In the Notice calendar","Log it in the Notice calendar today")))</f>
        <v/>
      </c>
      <c r="J420" s="146"/>
      <c r="K420" s="146"/>
      <c r="L420" s="6"/>
      <c r="M420" s="6"/>
      <c r="N420" s="6"/>
      <c r="O420" s="6"/>
      <c r="P420" s="6"/>
      <c r="Q420" s="6"/>
      <c r="R420" s="6"/>
      <c r="S420" s="6"/>
      <c r="T420" s="6"/>
      <c r="U420" s="6"/>
      <c r="V420" s="6"/>
      <c r="W420" s="6"/>
      <c r="X420" s="6"/>
      <c r="Y420" s="6"/>
      <c r="Z420" s="6"/>
    </row>
    <row r="421" spans="1:26" ht="18" customHeight="1" x14ac:dyDescent="0.3">
      <c r="A421" s="152"/>
      <c r="B421" s="128"/>
      <c r="C421" s="152"/>
      <c r="D421" s="128"/>
      <c r="E421" s="144" t="str">
        <f>IF(D421="","",IFERROR(INDEX('12 P6 activities'!$B$7:$B$206,MATCH(D421,'12 P6 activities'!$A$7:$A$206,0)),"⚠ not in P6 list"))</f>
        <v/>
      </c>
      <c r="F421" s="144" t="str">
        <f>IF(D421="","",IFERROR(INDEX('12 P6 activities'!$C$7:$C$206,MATCH(D421,'12 P6 activities'!$A$7:$A$206,0)),"⚠ not in P6 list"))</f>
        <v/>
      </c>
      <c r="G421" s="124"/>
      <c r="H421" s="152"/>
      <c r="I421" s="153" t="str">
        <f>IF(H421&lt;&gt;"Y","",IF(D421="","Pick the affected P6 activity first",IF(COUNTIFS('11 Notice calendar'!$A$7:$A$46,A421,'11 Notice calendar'!$I$7:$I$46,D421)&gt;0,"In the Notice calendar","Log it in the Notice calendar today")))</f>
        <v/>
      </c>
      <c r="J421" s="146"/>
      <c r="K421" s="146"/>
      <c r="L421" s="6"/>
      <c r="M421" s="6"/>
      <c r="N421" s="6"/>
      <c r="O421" s="6"/>
      <c r="P421" s="6"/>
      <c r="Q421" s="6"/>
      <c r="R421" s="6"/>
      <c r="S421" s="6"/>
      <c r="T421" s="6"/>
      <c r="U421" s="6"/>
      <c r="V421" s="6"/>
      <c r="W421" s="6"/>
      <c r="X421" s="6"/>
      <c r="Y421" s="6"/>
      <c r="Z421" s="6"/>
    </row>
    <row r="422" spans="1:26" ht="18" customHeight="1" x14ac:dyDescent="0.3">
      <c r="A422" s="152"/>
      <c r="B422" s="128"/>
      <c r="C422" s="152"/>
      <c r="D422" s="128"/>
      <c r="E422" s="144" t="str">
        <f>IF(D422="","",IFERROR(INDEX('12 P6 activities'!$B$7:$B$206,MATCH(D422,'12 P6 activities'!$A$7:$A$206,0)),"⚠ not in P6 list"))</f>
        <v/>
      </c>
      <c r="F422" s="144" t="str">
        <f>IF(D422="","",IFERROR(INDEX('12 P6 activities'!$C$7:$C$206,MATCH(D422,'12 P6 activities'!$A$7:$A$206,0)),"⚠ not in P6 list"))</f>
        <v/>
      </c>
      <c r="G422" s="124"/>
      <c r="H422" s="152"/>
      <c r="I422" s="153" t="str">
        <f>IF(H422&lt;&gt;"Y","",IF(D422="","Pick the affected P6 activity first",IF(COUNTIFS('11 Notice calendar'!$A$7:$A$46,A422,'11 Notice calendar'!$I$7:$I$46,D422)&gt;0,"In the Notice calendar","Log it in the Notice calendar today")))</f>
        <v/>
      </c>
      <c r="J422" s="146"/>
      <c r="K422" s="146"/>
      <c r="L422" s="6"/>
      <c r="M422" s="6"/>
      <c r="N422" s="6"/>
      <c r="O422" s="6"/>
      <c r="P422" s="6"/>
      <c r="Q422" s="6"/>
      <c r="R422" s="6"/>
      <c r="S422" s="6"/>
      <c r="T422" s="6"/>
      <c r="U422" s="6"/>
      <c r="V422" s="6"/>
      <c r="W422" s="6"/>
      <c r="X422" s="6"/>
      <c r="Y422" s="6"/>
      <c r="Z422" s="6"/>
    </row>
    <row r="423" spans="1:26" ht="18" customHeight="1" x14ac:dyDescent="0.3">
      <c r="A423" s="152"/>
      <c r="B423" s="128"/>
      <c r="C423" s="152"/>
      <c r="D423" s="128"/>
      <c r="E423" s="144" t="str">
        <f>IF(D423="","",IFERROR(INDEX('12 P6 activities'!$B$7:$B$206,MATCH(D423,'12 P6 activities'!$A$7:$A$206,0)),"⚠ not in P6 list"))</f>
        <v/>
      </c>
      <c r="F423" s="144" t="str">
        <f>IF(D423="","",IFERROR(INDEX('12 P6 activities'!$C$7:$C$206,MATCH(D423,'12 P6 activities'!$A$7:$A$206,0)),"⚠ not in P6 list"))</f>
        <v/>
      </c>
      <c r="G423" s="124"/>
      <c r="H423" s="152"/>
      <c r="I423" s="153" t="str">
        <f>IF(H423&lt;&gt;"Y","",IF(D423="","Pick the affected P6 activity first",IF(COUNTIFS('11 Notice calendar'!$A$7:$A$46,A423,'11 Notice calendar'!$I$7:$I$46,D423)&gt;0,"In the Notice calendar","Log it in the Notice calendar today")))</f>
        <v/>
      </c>
      <c r="J423" s="146"/>
      <c r="K423" s="146"/>
      <c r="L423" s="6"/>
      <c r="M423" s="6"/>
      <c r="N423" s="6"/>
      <c r="O423" s="6"/>
      <c r="P423" s="6"/>
      <c r="Q423" s="6"/>
      <c r="R423" s="6"/>
      <c r="S423" s="6"/>
      <c r="T423" s="6"/>
      <c r="U423" s="6"/>
      <c r="V423" s="6"/>
      <c r="W423" s="6"/>
      <c r="X423" s="6"/>
      <c r="Y423" s="6"/>
      <c r="Z423" s="6"/>
    </row>
    <row r="424" spans="1:26" ht="18" customHeight="1" x14ac:dyDescent="0.3">
      <c r="A424" s="152"/>
      <c r="B424" s="128"/>
      <c r="C424" s="152"/>
      <c r="D424" s="128"/>
      <c r="E424" s="144" t="str">
        <f>IF(D424="","",IFERROR(INDEX('12 P6 activities'!$B$7:$B$206,MATCH(D424,'12 P6 activities'!$A$7:$A$206,0)),"⚠ not in P6 list"))</f>
        <v/>
      </c>
      <c r="F424" s="144" t="str">
        <f>IF(D424="","",IFERROR(INDEX('12 P6 activities'!$C$7:$C$206,MATCH(D424,'12 P6 activities'!$A$7:$A$206,0)),"⚠ not in P6 list"))</f>
        <v/>
      </c>
      <c r="G424" s="124"/>
      <c r="H424" s="152"/>
      <c r="I424" s="153" t="str">
        <f>IF(H424&lt;&gt;"Y","",IF(D424="","Pick the affected P6 activity first",IF(COUNTIFS('11 Notice calendar'!$A$7:$A$46,A424,'11 Notice calendar'!$I$7:$I$46,D424)&gt;0,"In the Notice calendar","Log it in the Notice calendar today")))</f>
        <v/>
      </c>
      <c r="J424" s="146"/>
      <c r="K424" s="146"/>
      <c r="L424" s="6"/>
      <c r="M424" s="6"/>
      <c r="N424" s="6"/>
      <c r="O424" s="6"/>
      <c r="P424" s="6"/>
      <c r="Q424" s="6"/>
      <c r="R424" s="6"/>
      <c r="S424" s="6"/>
      <c r="T424" s="6"/>
      <c r="U424" s="6"/>
      <c r="V424" s="6"/>
      <c r="W424" s="6"/>
      <c r="X424" s="6"/>
      <c r="Y424" s="6"/>
      <c r="Z424" s="6"/>
    </row>
    <row r="425" spans="1:26" ht="18" customHeight="1" x14ac:dyDescent="0.3">
      <c r="A425" s="152"/>
      <c r="B425" s="128"/>
      <c r="C425" s="152"/>
      <c r="D425" s="128"/>
      <c r="E425" s="144" t="str">
        <f>IF(D425="","",IFERROR(INDEX('12 P6 activities'!$B$7:$B$206,MATCH(D425,'12 P6 activities'!$A$7:$A$206,0)),"⚠ not in P6 list"))</f>
        <v/>
      </c>
      <c r="F425" s="144" t="str">
        <f>IF(D425="","",IFERROR(INDEX('12 P6 activities'!$C$7:$C$206,MATCH(D425,'12 P6 activities'!$A$7:$A$206,0)),"⚠ not in P6 list"))</f>
        <v/>
      </c>
      <c r="G425" s="124"/>
      <c r="H425" s="152"/>
      <c r="I425" s="153" t="str">
        <f>IF(H425&lt;&gt;"Y","",IF(D425="","Pick the affected P6 activity first",IF(COUNTIFS('11 Notice calendar'!$A$7:$A$46,A425,'11 Notice calendar'!$I$7:$I$46,D425)&gt;0,"In the Notice calendar","Log it in the Notice calendar today")))</f>
        <v/>
      </c>
      <c r="J425" s="146"/>
      <c r="K425" s="146"/>
      <c r="L425" s="6"/>
      <c r="M425" s="6"/>
      <c r="N425" s="6"/>
      <c r="O425" s="6"/>
      <c r="P425" s="6"/>
      <c r="Q425" s="6"/>
      <c r="R425" s="6"/>
      <c r="S425" s="6"/>
      <c r="T425" s="6"/>
      <c r="U425" s="6"/>
      <c r="V425" s="6"/>
      <c r="W425" s="6"/>
      <c r="X425" s="6"/>
      <c r="Y425" s="6"/>
      <c r="Z425" s="6"/>
    </row>
    <row r="426" spans="1:26" ht="18" customHeight="1" x14ac:dyDescent="0.3">
      <c r="A426" s="152"/>
      <c r="B426" s="128"/>
      <c r="C426" s="152"/>
      <c r="D426" s="128"/>
      <c r="E426" s="144" t="str">
        <f>IF(D426="","",IFERROR(INDEX('12 P6 activities'!$B$7:$B$206,MATCH(D426,'12 P6 activities'!$A$7:$A$206,0)),"⚠ not in P6 list"))</f>
        <v/>
      </c>
      <c r="F426" s="144" t="str">
        <f>IF(D426="","",IFERROR(INDEX('12 P6 activities'!$C$7:$C$206,MATCH(D426,'12 P6 activities'!$A$7:$A$206,0)),"⚠ not in P6 list"))</f>
        <v/>
      </c>
      <c r="G426" s="124"/>
      <c r="H426" s="152"/>
      <c r="I426" s="153" t="str">
        <f>IF(H426&lt;&gt;"Y","",IF(D426="","Pick the affected P6 activity first",IF(COUNTIFS('11 Notice calendar'!$A$7:$A$46,A426,'11 Notice calendar'!$I$7:$I$46,D426)&gt;0,"In the Notice calendar","Log it in the Notice calendar today")))</f>
        <v/>
      </c>
      <c r="J426" s="146"/>
      <c r="K426" s="146"/>
      <c r="L426" s="6"/>
      <c r="M426" s="6"/>
      <c r="N426" s="6"/>
      <c r="O426" s="6"/>
      <c r="P426" s="6"/>
      <c r="Q426" s="6"/>
      <c r="R426" s="6"/>
      <c r="S426" s="6"/>
      <c r="T426" s="6"/>
      <c r="U426" s="6"/>
      <c r="V426" s="6"/>
      <c r="W426" s="6"/>
      <c r="X426" s="6"/>
      <c r="Y426" s="6"/>
      <c r="Z426" s="6"/>
    </row>
    <row r="427" spans="1:26" ht="18" customHeight="1" x14ac:dyDescent="0.3">
      <c r="A427" s="152"/>
      <c r="B427" s="128"/>
      <c r="C427" s="152"/>
      <c r="D427" s="128"/>
      <c r="E427" s="144" t="str">
        <f>IF(D427="","",IFERROR(INDEX('12 P6 activities'!$B$7:$B$206,MATCH(D427,'12 P6 activities'!$A$7:$A$206,0)),"⚠ not in P6 list"))</f>
        <v/>
      </c>
      <c r="F427" s="144" t="str">
        <f>IF(D427="","",IFERROR(INDEX('12 P6 activities'!$C$7:$C$206,MATCH(D427,'12 P6 activities'!$A$7:$A$206,0)),"⚠ not in P6 list"))</f>
        <v/>
      </c>
      <c r="G427" s="124"/>
      <c r="H427" s="152"/>
      <c r="I427" s="153" t="str">
        <f>IF(H427&lt;&gt;"Y","",IF(D427="","Pick the affected P6 activity first",IF(COUNTIFS('11 Notice calendar'!$A$7:$A$46,A427,'11 Notice calendar'!$I$7:$I$46,D427)&gt;0,"In the Notice calendar","Log it in the Notice calendar today")))</f>
        <v/>
      </c>
      <c r="J427" s="146"/>
      <c r="K427" s="146"/>
      <c r="L427" s="6"/>
      <c r="M427" s="6"/>
      <c r="N427" s="6"/>
      <c r="O427" s="6"/>
      <c r="P427" s="6"/>
      <c r="Q427" s="6"/>
      <c r="R427" s="6"/>
      <c r="S427" s="6"/>
      <c r="T427" s="6"/>
      <c r="U427" s="6"/>
      <c r="V427" s="6"/>
      <c r="W427" s="6"/>
      <c r="X427" s="6"/>
      <c r="Y427" s="6"/>
      <c r="Z427" s="6"/>
    </row>
    <row r="428" spans="1:26" ht="18" customHeight="1" x14ac:dyDescent="0.3">
      <c r="A428" s="152"/>
      <c r="B428" s="128"/>
      <c r="C428" s="152"/>
      <c r="D428" s="128"/>
      <c r="E428" s="144" t="str">
        <f>IF(D428="","",IFERROR(INDEX('12 P6 activities'!$B$7:$B$206,MATCH(D428,'12 P6 activities'!$A$7:$A$206,0)),"⚠ not in P6 list"))</f>
        <v/>
      </c>
      <c r="F428" s="144" t="str">
        <f>IF(D428="","",IFERROR(INDEX('12 P6 activities'!$C$7:$C$206,MATCH(D428,'12 P6 activities'!$A$7:$A$206,0)),"⚠ not in P6 list"))</f>
        <v/>
      </c>
      <c r="G428" s="124"/>
      <c r="H428" s="152"/>
      <c r="I428" s="153" t="str">
        <f>IF(H428&lt;&gt;"Y","",IF(D428="","Pick the affected P6 activity first",IF(COUNTIFS('11 Notice calendar'!$A$7:$A$46,A428,'11 Notice calendar'!$I$7:$I$46,D428)&gt;0,"In the Notice calendar","Log it in the Notice calendar today")))</f>
        <v/>
      </c>
      <c r="J428" s="146"/>
      <c r="K428" s="146"/>
      <c r="L428" s="6"/>
      <c r="M428" s="6"/>
      <c r="N428" s="6"/>
      <c r="O428" s="6"/>
      <c r="P428" s="6"/>
      <c r="Q428" s="6"/>
      <c r="R428" s="6"/>
      <c r="S428" s="6"/>
      <c r="T428" s="6"/>
      <c r="U428" s="6"/>
      <c r="V428" s="6"/>
      <c r="W428" s="6"/>
      <c r="X428" s="6"/>
      <c r="Y428" s="6"/>
      <c r="Z428" s="6"/>
    </row>
    <row r="429" spans="1:26" ht="18" customHeight="1" x14ac:dyDescent="0.3">
      <c r="A429" s="152"/>
      <c r="B429" s="128"/>
      <c r="C429" s="152"/>
      <c r="D429" s="128"/>
      <c r="E429" s="144" t="str">
        <f>IF(D429="","",IFERROR(INDEX('12 P6 activities'!$B$7:$B$206,MATCH(D429,'12 P6 activities'!$A$7:$A$206,0)),"⚠ not in P6 list"))</f>
        <v/>
      </c>
      <c r="F429" s="144" t="str">
        <f>IF(D429="","",IFERROR(INDEX('12 P6 activities'!$C$7:$C$206,MATCH(D429,'12 P6 activities'!$A$7:$A$206,0)),"⚠ not in P6 list"))</f>
        <v/>
      </c>
      <c r="G429" s="124"/>
      <c r="H429" s="152"/>
      <c r="I429" s="153" t="str">
        <f>IF(H429&lt;&gt;"Y","",IF(D429="","Pick the affected P6 activity first",IF(COUNTIFS('11 Notice calendar'!$A$7:$A$46,A429,'11 Notice calendar'!$I$7:$I$46,D429)&gt;0,"In the Notice calendar","Log it in the Notice calendar today")))</f>
        <v/>
      </c>
      <c r="J429" s="146"/>
      <c r="K429" s="146"/>
      <c r="L429" s="6"/>
      <c r="M429" s="6"/>
      <c r="N429" s="6"/>
      <c r="O429" s="6"/>
      <c r="P429" s="6"/>
      <c r="Q429" s="6"/>
      <c r="R429" s="6"/>
      <c r="S429" s="6"/>
      <c r="T429" s="6"/>
      <c r="U429" s="6"/>
      <c r="V429" s="6"/>
      <c r="W429" s="6"/>
      <c r="X429" s="6"/>
      <c r="Y429" s="6"/>
      <c r="Z429" s="6"/>
    </row>
    <row r="430" spans="1:26" ht="18" customHeight="1" x14ac:dyDescent="0.3">
      <c r="A430" s="152"/>
      <c r="B430" s="128"/>
      <c r="C430" s="152"/>
      <c r="D430" s="128"/>
      <c r="E430" s="144" t="str">
        <f>IF(D430="","",IFERROR(INDEX('12 P6 activities'!$B$7:$B$206,MATCH(D430,'12 P6 activities'!$A$7:$A$206,0)),"⚠ not in P6 list"))</f>
        <v/>
      </c>
      <c r="F430" s="144" t="str">
        <f>IF(D430="","",IFERROR(INDEX('12 P6 activities'!$C$7:$C$206,MATCH(D430,'12 P6 activities'!$A$7:$A$206,0)),"⚠ not in P6 list"))</f>
        <v/>
      </c>
      <c r="G430" s="124"/>
      <c r="H430" s="152"/>
      <c r="I430" s="153" t="str">
        <f>IF(H430&lt;&gt;"Y","",IF(D430="","Pick the affected P6 activity first",IF(COUNTIFS('11 Notice calendar'!$A$7:$A$46,A430,'11 Notice calendar'!$I$7:$I$46,D430)&gt;0,"In the Notice calendar","Log it in the Notice calendar today")))</f>
        <v/>
      </c>
      <c r="J430" s="146"/>
      <c r="K430" s="146"/>
      <c r="L430" s="6"/>
      <c r="M430" s="6"/>
      <c r="N430" s="6"/>
      <c r="O430" s="6"/>
      <c r="P430" s="6"/>
      <c r="Q430" s="6"/>
      <c r="R430" s="6"/>
      <c r="S430" s="6"/>
      <c r="T430" s="6"/>
      <c r="U430" s="6"/>
      <c r="V430" s="6"/>
      <c r="W430" s="6"/>
      <c r="X430" s="6"/>
      <c r="Y430" s="6"/>
      <c r="Z430" s="6"/>
    </row>
    <row r="431" spans="1:26" ht="18" customHeight="1" x14ac:dyDescent="0.3">
      <c r="A431" s="152"/>
      <c r="B431" s="128"/>
      <c r="C431" s="152"/>
      <c r="D431" s="128"/>
      <c r="E431" s="144" t="str">
        <f>IF(D431="","",IFERROR(INDEX('12 P6 activities'!$B$7:$B$206,MATCH(D431,'12 P6 activities'!$A$7:$A$206,0)),"⚠ not in P6 list"))</f>
        <v/>
      </c>
      <c r="F431" s="144" t="str">
        <f>IF(D431="","",IFERROR(INDEX('12 P6 activities'!$C$7:$C$206,MATCH(D431,'12 P6 activities'!$A$7:$A$206,0)),"⚠ not in P6 list"))</f>
        <v/>
      </c>
      <c r="G431" s="124"/>
      <c r="H431" s="152"/>
      <c r="I431" s="153" t="str">
        <f>IF(H431&lt;&gt;"Y","",IF(D431="","Pick the affected P6 activity first",IF(COUNTIFS('11 Notice calendar'!$A$7:$A$46,A431,'11 Notice calendar'!$I$7:$I$46,D431)&gt;0,"In the Notice calendar","Log it in the Notice calendar today")))</f>
        <v/>
      </c>
      <c r="J431" s="146"/>
      <c r="K431" s="146"/>
      <c r="L431" s="6"/>
      <c r="M431" s="6"/>
      <c r="N431" s="6"/>
      <c r="O431" s="6"/>
      <c r="P431" s="6"/>
      <c r="Q431" s="6"/>
      <c r="R431" s="6"/>
      <c r="S431" s="6"/>
      <c r="T431" s="6"/>
      <c r="U431" s="6"/>
      <c r="V431" s="6"/>
      <c r="W431" s="6"/>
      <c r="X431" s="6"/>
      <c r="Y431" s="6"/>
      <c r="Z431" s="6"/>
    </row>
    <row r="432" spans="1:26" ht="18" customHeight="1" x14ac:dyDescent="0.3">
      <c r="A432" s="152"/>
      <c r="B432" s="128"/>
      <c r="C432" s="152"/>
      <c r="D432" s="128"/>
      <c r="E432" s="144" t="str">
        <f>IF(D432="","",IFERROR(INDEX('12 P6 activities'!$B$7:$B$206,MATCH(D432,'12 P6 activities'!$A$7:$A$206,0)),"⚠ not in P6 list"))</f>
        <v/>
      </c>
      <c r="F432" s="144" t="str">
        <f>IF(D432="","",IFERROR(INDEX('12 P6 activities'!$C$7:$C$206,MATCH(D432,'12 P6 activities'!$A$7:$A$206,0)),"⚠ not in P6 list"))</f>
        <v/>
      </c>
      <c r="G432" s="124"/>
      <c r="H432" s="152"/>
      <c r="I432" s="153" t="str">
        <f>IF(H432&lt;&gt;"Y","",IF(D432="","Pick the affected P6 activity first",IF(COUNTIFS('11 Notice calendar'!$A$7:$A$46,A432,'11 Notice calendar'!$I$7:$I$46,D432)&gt;0,"In the Notice calendar","Log it in the Notice calendar today")))</f>
        <v/>
      </c>
      <c r="J432" s="146"/>
      <c r="K432" s="146"/>
      <c r="L432" s="6"/>
      <c r="M432" s="6"/>
      <c r="N432" s="6"/>
      <c r="O432" s="6"/>
      <c r="P432" s="6"/>
      <c r="Q432" s="6"/>
      <c r="R432" s="6"/>
      <c r="S432" s="6"/>
      <c r="T432" s="6"/>
      <c r="U432" s="6"/>
      <c r="V432" s="6"/>
      <c r="W432" s="6"/>
      <c r="X432" s="6"/>
      <c r="Y432" s="6"/>
      <c r="Z432" s="6"/>
    </row>
    <row r="433" spans="1:26" ht="18" customHeight="1" x14ac:dyDescent="0.3">
      <c r="A433" s="152"/>
      <c r="B433" s="128"/>
      <c r="C433" s="152"/>
      <c r="D433" s="128"/>
      <c r="E433" s="144" t="str">
        <f>IF(D433="","",IFERROR(INDEX('12 P6 activities'!$B$7:$B$206,MATCH(D433,'12 P6 activities'!$A$7:$A$206,0)),"⚠ not in P6 list"))</f>
        <v/>
      </c>
      <c r="F433" s="144" t="str">
        <f>IF(D433="","",IFERROR(INDEX('12 P6 activities'!$C$7:$C$206,MATCH(D433,'12 P6 activities'!$A$7:$A$206,0)),"⚠ not in P6 list"))</f>
        <v/>
      </c>
      <c r="G433" s="124"/>
      <c r="H433" s="152"/>
      <c r="I433" s="153" t="str">
        <f>IF(H433&lt;&gt;"Y","",IF(D433="","Pick the affected P6 activity first",IF(COUNTIFS('11 Notice calendar'!$A$7:$A$46,A433,'11 Notice calendar'!$I$7:$I$46,D433)&gt;0,"In the Notice calendar","Log it in the Notice calendar today")))</f>
        <v/>
      </c>
      <c r="J433" s="146"/>
      <c r="K433" s="146"/>
      <c r="L433" s="6"/>
      <c r="M433" s="6"/>
      <c r="N433" s="6"/>
      <c r="O433" s="6"/>
      <c r="P433" s="6"/>
      <c r="Q433" s="6"/>
      <c r="R433" s="6"/>
      <c r="S433" s="6"/>
      <c r="T433" s="6"/>
      <c r="U433" s="6"/>
      <c r="V433" s="6"/>
      <c r="W433" s="6"/>
      <c r="X433" s="6"/>
      <c r="Y433" s="6"/>
      <c r="Z433" s="6"/>
    </row>
    <row r="434" spans="1:26" ht="18" customHeight="1" x14ac:dyDescent="0.3">
      <c r="A434" s="152"/>
      <c r="B434" s="128"/>
      <c r="C434" s="152"/>
      <c r="D434" s="128"/>
      <c r="E434" s="144" t="str">
        <f>IF(D434="","",IFERROR(INDEX('12 P6 activities'!$B$7:$B$206,MATCH(D434,'12 P6 activities'!$A$7:$A$206,0)),"⚠ not in P6 list"))</f>
        <v/>
      </c>
      <c r="F434" s="144" t="str">
        <f>IF(D434="","",IFERROR(INDEX('12 P6 activities'!$C$7:$C$206,MATCH(D434,'12 P6 activities'!$A$7:$A$206,0)),"⚠ not in P6 list"))</f>
        <v/>
      </c>
      <c r="G434" s="124"/>
      <c r="H434" s="152"/>
      <c r="I434" s="153" t="str">
        <f>IF(H434&lt;&gt;"Y","",IF(D434="","Pick the affected P6 activity first",IF(COUNTIFS('11 Notice calendar'!$A$7:$A$46,A434,'11 Notice calendar'!$I$7:$I$46,D434)&gt;0,"In the Notice calendar","Log it in the Notice calendar today")))</f>
        <v/>
      </c>
      <c r="J434" s="146"/>
      <c r="K434" s="146"/>
      <c r="L434" s="6"/>
      <c r="M434" s="6"/>
      <c r="N434" s="6"/>
      <c r="O434" s="6"/>
      <c r="P434" s="6"/>
      <c r="Q434" s="6"/>
      <c r="R434" s="6"/>
      <c r="S434" s="6"/>
      <c r="T434" s="6"/>
      <c r="U434" s="6"/>
      <c r="V434" s="6"/>
      <c r="W434" s="6"/>
      <c r="X434" s="6"/>
      <c r="Y434" s="6"/>
      <c r="Z434" s="6"/>
    </row>
    <row r="435" spans="1:26" ht="18" customHeight="1" x14ac:dyDescent="0.3">
      <c r="A435" s="152"/>
      <c r="B435" s="128"/>
      <c r="C435" s="152"/>
      <c r="D435" s="128"/>
      <c r="E435" s="144" t="str">
        <f>IF(D435="","",IFERROR(INDEX('12 P6 activities'!$B$7:$B$206,MATCH(D435,'12 P6 activities'!$A$7:$A$206,0)),"⚠ not in P6 list"))</f>
        <v/>
      </c>
      <c r="F435" s="144" t="str">
        <f>IF(D435="","",IFERROR(INDEX('12 P6 activities'!$C$7:$C$206,MATCH(D435,'12 P6 activities'!$A$7:$A$206,0)),"⚠ not in P6 list"))</f>
        <v/>
      </c>
      <c r="G435" s="124"/>
      <c r="H435" s="152"/>
      <c r="I435" s="153" t="str">
        <f>IF(H435&lt;&gt;"Y","",IF(D435="","Pick the affected P6 activity first",IF(COUNTIFS('11 Notice calendar'!$A$7:$A$46,A435,'11 Notice calendar'!$I$7:$I$46,D435)&gt;0,"In the Notice calendar","Log it in the Notice calendar today")))</f>
        <v/>
      </c>
      <c r="J435" s="146"/>
      <c r="K435" s="146"/>
      <c r="L435" s="6"/>
      <c r="M435" s="6"/>
      <c r="N435" s="6"/>
      <c r="O435" s="6"/>
      <c r="P435" s="6"/>
      <c r="Q435" s="6"/>
      <c r="R435" s="6"/>
      <c r="S435" s="6"/>
      <c r="T435" s="6"/>
      <c r="U435" s="6"/>
      <c r="V435" s="6"/>
      <c r="W435" s="6"/>
      <c r="X435" s="6"/>
      <c r="Y435" s="6"/>
      <c r="Z435" s="6"/>
    </row>
    <row r="436" spans="1:26" ht="18" customHeight="1" x14ac:dyDescent="0.3">
      <c r="A436" s="152"/>
      <c r="B436" s="128"/>
      <c r="C436" s="152"/>
      <c r="D436" s="128"/>
      <c r="E436" s="144" t="str">
        <f>IF(D436="","",IFERROR(INDEX('12 P6 activities'!$B$7:$B$206,MATCH(D436,'12 P6 activities'!$A$7:$A$206,0)),"⚠ not in P6 list"))</f>
        <v/>
      </c>
      <c r="F436" s="144" t="str">
        <f>IF(D436="","",IFERROR(INDEX('12 P6 activities'!$C$7:$C$206,MATCH(D436,'12 P6 activities'!$A$7:$A$206,0)),"⚠ not in P6 list"))</f>
        <v/>
      </c>
      <c r="G436" s="124"/>
      <c r="H436" s="152"/>
      <c r="I436" s="153" t="str">
        <f>IF(H436&lt;&gt;"Y","",IF(D436="","Pick the affected P6 activity first",IF(COUNTIFS('11 Notice calendar'!$A$7:$A$46,A436,'11 Notice calendar'!$I$7:$I$46,D436)&gt;0,"In the Notice calendar","Log it in the Notice calendar today")))</f>
        <v/>
      </c>
      <c r="J436" s="146"/>
      <c r="K436" s="146"/>
      <c r="L436" s="6"/>
      <c r="M436" s="6"/>
      <c r="N436" s="6"/>
      <c r="O436" s="6"/>
      <c r="P436" s="6"/>
      <c r="Q436" s="6"/>
      <c r="R436" s="6"/>
      <c r="S436" s="6"/>
      <c r="T436" s="6"/>
      <c r="U436" s="6"/>
      <c r="V436" s="6"/>
      <c r="W436" s="6"/>
      <c r="X436" s="6"/>
      <c r="Y436" s="6"/>
      <c r="Z436" s="6"/>
    </row>
    <row r="437" spans="1:26" ht="18" customHeight="1" x14ac:dyDescent="0.3">
      <c r="A437" s="152"/>
      <c r="B437" s="128"/>
      <c r="C437" s="152"/>
      <c r="D437" s="128"/>
      <c r="E437" s="144" t="str">
        <f>IF(D437="","",IFERROR(INDEX('12 P6 activities'!$B$7:$B$206,MATCH(D437,'12 P6 activities'!$A$7:$A$206,0)),"⚠ not in P6 list"))</f>
        <v/>
      </c>
      <c r="F437" s="144" t="str">
        <f>IF(D437="","",IFERROR(INDEX('12 P6 activities'!$C$7:$C$206,MATCH(D437,'12 P6 activities'!$A$7:$A$206,0)),"⚠ not in P6 list"))</f>
        <v/>
      </c>
      <c r="G437" s="124"/>
      <c r="H437" s="152"/>
      <c r="I437" s="153" t="str">
        <f>IF(H437&lt;&gt;"Y","",IF(D437="","Pick the affected P6 activity first",IF(COUNTIFS('11 Notice calendar'!$A$7:$A$46,A437,'11 Notice calendar'!$I$7:$I$46,D437)&gt;0,"In the Notice calendar","Log it in the Notice calendar today")))</f>
        <v/>
      </c>
      <c r="J437" s="146"/>
      <c r="K437" s="146"/>
      <c r="L437" s="6"/>
      <c r="M437" s="6"/>
      <c r="N437" s="6"/>
      <c r="O437" s="6"/>
      <c r="P437" s="6"/>
      <c r="Q437" s="6"/>
      <c r="R437" s="6"/>
      <c r="S437" s="6"/>
      <c r="T437" s="6"/>
      <c r="U437" s="6"/>
      <c r="V437" s="6"/>
      <c r="W437" s="6"/>
      <c r="X437" s="6"/>
      <c r="Y437" s="6"/>
      <c r="Z437" s="6"/>
    </row>
    <row r="438" spans="1:26" ht="18" customHeight="1" x14ac:dyDescent="0.3">
      <c r="A438" s="152"/>
      <c r="B438" s="128"/>
      <c r="C438" s="152"/>
      <c r="D438" s="128"/>
      <c r="E438" s="144" t="str">
        <f>IF(D438="","",IFERROR(INDEX('12 P6 activities'!$B$7:$B$206,MATCH(D438,'12 P6 activities'!$A$7:$A$206,0)),"⚠ not in P6 list"))</f>
        <v/>
      </c>
      <c r="F438" s="144" t="str">
        <f>IF(D438="","",IFERROR(INDEX('12 P6 activities'!$C$7:$C$206,MATCH(D438,'12 P6 activities'!$A$7:$A$206,0)),"⚠ not in P6 list"))</f>
        <v/>
      </c>
      <c r="G438" s="124"/>
      <c r="H438" s="152"/>
      <c r="I438" s="153" t="str">
        <f>IF(H438&lt;&gt;"Y","",IF(D438="","Pick the affected P6 activity first",IF(COUNTIFS('11 Notice calendar'!$A$7:$A$46,A438,'11 Notice calendar'!$I$7:$I$46,D438)&gt;0,"In the Notice calendar","Log it in the Notice calendar today")))</f>
        <v/>
      </c>
      <c r="J438" s="146"/>
      <c r="K438" s="146"/>
      <c r="L438" s="6"/>
      <c r="M438" s="6"/>
      <c r="N438" s="6"/>
      <c r="O438" s="6"/>
      <c r="P438" s="6"/>
      <c r="Q438" s="6"/>
      <c r="R438" s="6"/>
      <c r="S438" s="6"/>
      <c r="T438" s="6"/>
      <c r="U438" s="6"/>
      <c r="V438" s="6"/>
      <c r="W438" s="6"/>
      <c r="X438" s="6"/>
      <c r="Y438" s="6"/>
      <c r="Z438" s="6"/>
    </row>
    <row r="439" spans="1:26" ht="18" customHeight="1" x14ac:dyDescent="0.3">
      <c r="A439" s="152"/>
      <c r="B439" s="128"/>
      <c r="C439" s="152"/>
      <c r="D439" s="128"/>
      <c r="E439" s="144" t="str">
        <f>IF(D439="","",IFERROR(INDEX('12 P6 activities'!$B$7:$B$206,MATCH(D439,'12 P6 activities'!$A$7:$A$206,0)),"⚠ not in P6 list"))</f>
        <v/>
      </c>
      <c r="F439" s="144" t="str">
        <f>IF(D439="","",IFERROR(INDEX('12 P6 activities'!$C$7:$C$206,MATCH(D439,'12 P6 activities'!$A$7:$A$206,0)),"⚠ not in P6 list"))</f>
        <v/>
      </c>
      <c r="G439" s="124"/>
      <c r="H439" s="152"/>
      <c r="I439" s="153" t="str">
        <f>IF(H439&lt;&gt;"Y","",IF(D439="","Pick the affected P6 activity first",IF(COUNTIFS('11 Notice calendar'!$A$7:$A$46,A439,'11 Notice calendar'!$I$7:$I$46,D439)&gt;0,"In the Notice calendar","Log it in the Notice calendar today")))</f>
        <v/>
      </c>
      <c r="J439" s="146"/>
      <c r="K439" s="146"/>
      <c r="L439" s="6"/>
      <c r="M439" s="6"/>
      <c r="N439" s="6"/>
      <c r="O439" s="6"/>
      <c r="P439" s="6"/>
      <c r="Q439" s="6"/>
      <c r="R439" s="6"/>
      <c r="S439" s="6"/>
      <c r="T439" s="6"/>
      <c r="U439" s="6"/>
      <c r="V439" s="6"/>
      <c r="W439" s="6"/>
      <c r="X439" s="6"/>
      <c r="Y439" s="6"/>
      <c r="Z439" s="6"/>
    </row>
    <row r="440" spans="1:26" ht="18" customHeight="1" x14ac:dyDescent="0.3">
      <c r="A440" s="152"/>
      <c r="B440" s="128"/>
      <c r="C440" s="152"/>
      <c r="D440" s="128"/>
      <c r="E440" s="144" t="str">
        <f>IF(D440="","",IFERROR(INDEX('12 P6 activities'!$B$7:$B$206,MATCH(D440,'12 P6 activities'!$A$7:$A$206,0)),"⚠ not in P6 list"))</f>
        <v/>
      </c>
      <c r="F440" s="144" t="str">
        <f>IF(D440="","",IFERROR(INDEX('12 P6 activities'!$C$7:$C$206,MATCH(D440,'12 P6 activities'!$A$7:$A$206,0)),"⚠ not in P6 list"))</f>
        <v/>
      </c>
      <c r="G440" s="124"/>
      <c r="H440" s="152"/>
      <c r="I440" s="153" t="str">
        <f>IF(H440&lt;&gt;"Y","",IF(D440="","Pick the affected P6 activity first",IF(COUNTIFS('11 Notice calendar'!$A$7:$A$46,A440,'11 Notice calendar'!$I$7:$I$46,D440)&gt;0,"In the Notice calendar","Log it in the Notice calendar today")))</f>
        <v/>
      </c>
      <c r="J440" s="146"/>
      <c r="K440" s="146"/>
      <c r="L440" s="6"/>
      <c r="M440" s="6"/>
      <c r="N440" s="6"/>
      <c r="O440" s="6"/>
      <c r="P440" s="6"/>
      <c r="Q440" s="6"/>
      <c r="R440" s="6"/>
      <c r="S440" s="6"/>
      <c r="T440" s="6"/>
      <c r="U440" s="6"/>
      <c r="V440" s="6"/>
      <c r="W440" s="6"/>
      <c r="X440" s="6"/>
      <c r="Y440" s="6"/>
      <c r="Z440" s="6"/>
    </row>
    <row r="441" spans="1:26" ht="18" customHeight="1" x14ac:dyDescent="0.3">
      <c r="A441" s="152"/>
      <c r="B441" s="128"/>
      <c r="C441" s="152"/>
      <c r="D441" s="128"/>
      <c r="E441" s="144" t="str">
        <f>IF(D441="","",IFERROR(INDEX('12 P6 activities'!$B$7:$B$206,MATCH(D441,'12 P6 activities'!$A$7:$A$206,0)),"⚠ not in P6 list"))</f>
        <v/>
      </c>
      <c r="F441" s="144" t="str">
        <f>IF(D441="","",IFERROR(INDEX('12 P6 activities'!$C$7:$C$206,MATCH(D441,'12 P6 activities'!$A$7:$A$206,0)),"⚠ not in P6 list"))</f>
        <v/>
      </c>
      <c r="G441" s="124"/>
      <c r="H441" s="152"/>
      <c r="I441" s="153" t="str">
        <f>IF(H441&lt;&gt;"Y","",IF(D441="","Pick the affected P6 activity first",IF(COUNTIFS('11 Notice calendar'!$A$7:$A$46,A441,'11 Notice calendar'!$I$7:$I$46,D441)&gt;0,"In the Notice calendar","Log it in the Notice calendar today")))</f>
        <v/>
      </c>
      <c r="J441" s="146"/>
      <c r="K441" s="146"/>
      <c r="L441" s="6"/>
      <c r="M441" s="6"/>
      <c r="N441" s="6"/>
      <c r="O441" s="6"/>
      <c r="P441" s="6"/>
      <c r="Q441" s="6"/>
      <c r="R441" s="6"/>
      <c r="S441" s="6"/>
      <c r="T441" s="6"/>
      <c r="U441" s="6"/>
      <c r="V441" s="6"/>
      <c r="W441" s="6"/>
      <c r="X441" s="6"/>
      <c r="Y441" s="6"/>
      <c r="Z441" s="6"/>
    </row>
    <row r="442" spans="1:26" ht="18" customHeight="1" x14ac:dyDescent="0.3">
      <c r="A442" s="152"/>
      <c r="B442" s="128"/>
      <c r="C442" s="152"/>
      <c r="D442" s="128"/>
      <c r="E442" s="144" t="str">
        <f>IF(D442="","",IFERROR(INDEX('12 P6 activities'!$B$7:$B$206,MATCH(D442,'12 P6 activities'!$A$7:$A$206,0)),"⚠ not in P6 list"))</f>
        <v/>
      </c>
      <c r="F442" s="144" t="str">
        <f>IF(D442="","",IFERROR(INDEX('12 P6 activities'!$C$7:$C$206,MATCH(D442,'12 P6 activities'!$A$7:$A$206,0)),"⚠ not in P6 list"))</f>
        <v/>
      </c>
      <c r="G442" s="124"/>
      <c r="H442" s="152"/>
      <c r="I442" s="153" t="str">
        <f>IF(H442&lt;&gt;"Y","",IF(D442="","Pick the affected P6 activity first",IF(COUNTIFS('11 Notice calendar'!$A$7:$A$46,A442,'11 Notice calendar'!$I$7:$I$46,D442)&gt;0,"In the Notice calendar","Log it in the Notice calendar today")))</f>
        <v/>
      </c>
      <c r="J442" s="146"/>
      <c r="K442" s="146"/>
      <c r="L442" s="6"/>
      <c r="M442" s="6"/>
      <c r="N442" s="6"/>
      <c r="O442" s="6"/>
      <c r="P442" s="6"/>
      <c r="Q442" s="6"/>
      <c r="R442" s="6"/>
      <c r="S442" s="6"/>
      <c r="T442" s="6"/>
      <c r="U442" s="6"/>
      <c r="V442" s="6"/>
      <c r="W442" s="6"/>
      <c r="X442" s="6"/>
      <c r="Y442" s="6"/>
      <c r="Z442" s="6"/>
    </row>
    <row r="443" spans="1:26" ht="18" customHeight="1" x14ac:dyDescent="0.3">
      <c r="A443" s="152"/>
      <c r="B443" s="128"/>
      <c r="C443" s="152"/>
      <c r="D443" s="128"/>
      <c r="E443" s="144" t="str">
        <f>IF(D443="","",IFERROR(INDEX('12 P6 activities'!$B$7:$B$206,MATCH(D443,'12 P6 activities'!$A$7:$A$206,0)),"⚠ not in P6 list"))</f>
        <v/>
      </c>
      <c r="F443" s="144" t="str">
        <f>IF(D443="","",IFERROR(INDEX('12 P6 activities'!$C$7:$C$206,MATCH(D443,'12 P6 activities'!$A$7:$A$206,0)),"⚠ not in P6 list"))</f>
        <v/>
      </c>
      <c r="G443" s="124"/>
      <c r="H443" s="152"/>
      <c r="I443" s="153" t="str">
        <f>IF(H443&lt;&gt;"Y","",IF(D443="","Pick the affected P6 activity first",IF(COUNTIFS('11 Notice calendar'!$A$7:$A$46,A443,'11 Notice calendar'!$I$7:$I$46,D443)&gt;0,"In the Notice calendar","Log it in the Notice calendar today")))</f>
        <v/>
      </c>
      <c r="J443" s="146"/>
      <c r="K443" s="146"/>
      <c r="L443" s="6"/>
      <c r="M443" s="6"/>
      <c r="N443" s="6"/>
      <c r="O443" s="6"/>
      <c r="P443" s="6"/>
      <c r="Q443" s="6"/>
      <c r="R443" s="6"/>
      <c r="S443" s="6"/>
      <c r="T443" s="6"/>
      <c r="U443" s="6"/>
      <c r="V443" s="6"/>
      <c r="W443" s="6"/>
      <c r="X443" s="6"/>
      <c r="Y443" s="6"/>
      <c r="Z443" s="6"/>
    </row>
    <row r="444" spans="1:26" ht="18" customHeight="1" x14ac:dyDescent="0.3">
      <c r="A444" s="152"/>
      <c r="B444" s="128"/>
      <c r="C444" s="152"/>
      <c r="D444" s="128"/>
      <c r="E444" s="144" t="str">
        <f>IF(D444="","",IFERROR(INDEX('12 P6 activities'!$B$7:$B$206,MATCH(D444,'12 P6 activities'!$A$7:$A$206,0)),"⚠ not in P6 list"))</f>
        <v/>
      </c>
      <c r="F444" s="144" t="str">
        <f>IF(D444="","",IFERROR(INDEX('12 P6 activities'!$C$7:$C$206,MATCH(D444,'12 P6 activities'!$A$7:$A$206,0)),"⚠ not in P6 list"))</f>
        <v/>
      </c>
      <c r="G444" s="124"/>
      <c r="H444" s="152"/>
      <c r="I444" s="153" t="str">
        <f>IF(H444&lt;&gt;"Y","",IF(D444="","Pick the affected P6 activity first",IF(COUNTIFS('11 Notice calendar'!$A$7:$A$46,A444,'11 Notice calendar'!$I$7:$I$46,D444)&gt;0,"In the Notice calendar","Log it in the Notice calendar today")))</f>
        <v/>
      </c>
      <c r="J444" s="146"/>
      <c r="K444" s="146"/>
      <c r="L444" s="6"/>
      <c r="M444" s="6"/>
      <c r="N444" s="6"/>
      <c r="O444" s="6"/>
      <c r="P444" s="6"/>
      <c r="Q444" s="6"/>
      <c r="R444" s="6"/>
      <c r="S444" s="6"/>
      <c r="T444" s="6"/>
      <c r="U444" s="6"/>
      <c r="V444" s="6"/>
      <c r="W444" s="6"/>
      <c r="X444" s="6"/>
      <c r="Y444" s="6"/>
      <c r="Z444" s="6"/>
    </row>
    <row r="445" spans="1:26" ht="18" customHeight="1" x14ac:dyDescent="0.3">
      <c r="A445" s="152"/>
      <c r="B445" s="128"/>
      <c r="C445" s="152"/>
      <c r="D445" s="128"/>
      <c r="E445" s="144" t="str">
        <f>IF(D445="","",IFERROR(INDEX('12 P6 activities'!$B$7:$B$206,MATCH(D445,'12 P6 activities'!$A$7:$A$206,0)),"⚠ not in P6 list"))</f>
        <v/>
      </c>
      <c r="F445" s="144" t="str">
        <f>IF(D445="","",IFERROR(INDEX('12 P6 activities'!$C$7:$C$206,MATCH(D445,'12 P6 activities'!$A$7:$A$206,0)),"⚠ not in P6 list"))</f>
        <v/>
      </c>
      <c r="G445" s="124"/>
      <c r="H445" s="152"/>
      <c r="I445" s="153" t="str">
        <f>IF(H445&lt;&gt;"Y","",IF(D445="","Pick the affected P6 activity first",IF(COUNTIFS('11 Notice calendar'!$A$7:$A$46,A445,'11 Notice calendar'!$I$7:$I$46,D445)&gt;0,"In the Notice calendar","Log it in the Notice calendar today")))</f>
        <v/>
      </c>
      <c r="J445" s="146"/>
      <c r="K445" s="146"/>
      <c r="L445" s="6"/>
      <c r="M445" s="6"/>
      <c r="N445" s="6"/>
      <c r="O445" s="6"/>
      <c r="P445" s="6"/>
      <c r="Q445" s="6"/>
      <c r="R445" s="6"/>
      <c r="S445" s="6"/>
      <c r="T445" s="6"/>
      <c r="U445" s="6"/>
      <c r="V445" s="6"/>
      <c r="W445" s="6"/>
      <c r="X445" s="6"/>
      <c r="Y445" s="6"/>
      <c r="Z445" s="6"/>
    </row>
    <row r="446" spans="1:26" ht="18" customHeight="1" x14ac:dyDescent="0.3">
      <c r="A446" s="152"/>
      <c r="B446" s="128"/>
      <c r="C446" s="152"/>
      <c r="D446" s="128"/>
      <c r="E446" s="144" t="str">
        <f>IF(D446="","",IFERROR(INDEX('12 P6 activities'!$B$7:$B$206,MATCH(D446,'12 P6 activities'!$A$7:$A$206,0)),"⚠ not in P6 list"))</f>
        <v/>
      </c>
      <c r="F446" s="144" t="str">
        <f>IF(D446="","",IFERROR(INDEX('12 P6 activities'!$C$7:$C$206,MATCH(D446,'12 P6 activities'!$A$7:$A$206,0)),"⚠ not in P6 list"))</f>
        <v/>
      </c>
      <c r="G446" s="124"/>
      <c r="H446" s="152"/>
      <c r="I446" s="153" t="str">
        <f>IF(H446&lt;&gt;"Y","",IF(D446="","Pick the affected P6 activity first",IF(COUNTIFS('11 Notice calendar'!$A$7:$A$46,A446,'11 Notice calendar'!$I$7:$I$46,D446)&gt;0,"In the Notice calendar","Log it in the Notice calendar today")))</f>
        <v/>
      </c>
      <c r="J446" s="146"/>
      <c r="K446" s="146"/>
      <c r="L446" s="6"/>
      <c r="M446" s="6"/>
      <c r="N446" s="6"/>
      <c r="O446" s="6"/>
      <c r="P446" s="6"/>
      <c r="Q446" s="6"/>
      <c r="R446" s="6"/>
      <c r="S446" s="6"/>
      <c r="T446" s="6"/>
      <c r="U446" s="6"/>
      <c r="V446" s="6"/>
      <c r="W446" s="6"/>
      <c r="X446" s="6"/>
      <c r="Y446" s="6"/>
      <c r="Z446" s="6"/>
    </row>
    <row r="447" spans="1:26" ht="18" customHeight="1" x14ac:dyDescent="0.3">
      <c r="A447" s="152"/>
      <c r="B447" s="128"/>
      <c r="C447" s="152"/>
      <c r="D447" s="128"/>
      <c r="E447" s="144" t="str">
        <f>IF(D447="","",IFERROR(INDEX('12 P6 activities'!$B$7:$B$206,MATCH(D447,'12 P6 activities'!$A$7:$A$206,0)),"⚠ not in P6 list"))</f>
        <v/>
      </c>
      <c r="F447" s="144" t="str">
        <f>IF(D447="","",IFERROR(INDEX('12 P6 activities'!$C$7:$C$206,MATCH(D447,'12 P6 activities'!$A$7:$A$206,0)),"⚠ not in P6 list"))</f>
        <v/>
      </c>
      <c r="G447" s="124"/>
      <c r="H447" s="152"/>
      <c r="I447" s="153" t="str">
        <f>IF(H447&lt;&gt;"Y","",IF(D447="","Pick the affected P6 activity first",IF(COUNTIFS('11 Notice calendar'!$A$7:$A$46,A447,'11 Notice calendar'!$I$7:$I$46,D447)&gt;0,"In the Notice calendar","Log it in the Notice calendar today")))</f>
        <v/>
      </c>
      <c r="J447" s="146"/>
      <c r="K447" s="146"/>
      <c r="L447" s="6"/>
      <c r="M447" s="6"/>
      <c r="N447" s="6"/>
      <c r="O447" s="6"/>
      <c r="P447" s="6"/>
      <c r="Q447" s="6"/>
      <c r="R447" s="6"/>
      <c r="S447" s="6"/>
      <c r="T447" s="6"/>
      <c r="U447" s="6"/>
      <c r="V447" s="6"/>
      <c r="W447" s="6"/>
      <c r="X447" s="6"/>
      <c r="Y447" s="6"/>
      <c r="Z447" s="6"/>
    </row>
    <row r="448" spans="1:26" ht="18" customHeight="1" x14ac:dyDescent="0.3">
      <c r="A448" s="152"/>
      <c r="B448" s="128"/>
      <c r="C448" s="152"/>
      <c r="D448" s="128"/>
      <c r="E448" s="144" t="str">
        <f>IF(D448="","",IFERROR(INDEX('12 P6 activities'!$B$7:$B$206,MATCH(D448,'12 P6 activities'!$A$7:$A$206,0)),"⚠ not in P6 list"))</f>
        <v/>
      </c>
      <c r="F448" s="144" t="str">
        <f>IF(D448="","",IFERROR(INDEX('12 P6 activities'!$C$7:$C$206,MATCH(D448,'12 P6 activities'!$A$7:$A$206,0)),"⚠ not in P6 list"))</f>
        <v/>
      </c>
      <c r="G448" s="124"/>
      <c r="H448" s="152"/>
      <c r="I448" s="153" t="str">
        <f>IF(H448&lt;&gt;"Y","",IF(D448="","Pick the affected P6 activity first",IF(COUNTIFS('11 Notice calendar'!$A$7:$A$46,A448,'11 Notice calendar'!$I$7:$I$46,D448)&gt;0,"In the Notice calendar","Log it in the Notice calendar today")))</f>
        <v/>
      </c>
      <c r="J448" s="146"/>
      <c r="K448" s="146"/>
      <c r="L448" s="6"/>
      <c r="M448" s="6"/>
      <c r="N448" s="6"/>
      <c r="O448" s="6"/>
      <c r="P448" s="6"/>
      <c r="Q448" s="6"/>
      <c r="R448" s="6"/>
      <c r="S448" s="6"/>
      <c r="T448" s="6"/>
      <c r="U448" s="6"/>
      <c r="V448" s="6"/>
      <c r="W448" s="6"/>
      <c r="X448" s="6"/>
      <c r="Y448" s="6"/>
      <c r="Z448" s="6"/>
    </row>
    <row r="449" spans="1:26" ht="18" customHeight="1" x14ac:dyDescent="0.3">
      <c r="A449" s="152"/>
      <c r="B449" s="128"/>
      <c r="C449" s="152"/>
      <c r="D449" s="128"/>
      <c r="E449" s="144" t="str">
        <f>IF(D449="","",IFERROR(INDEX('12 P6 activities'!$B$7:$B$206,MATCH(D449,'12 P6 activities'!$A$7:$A$206,0)),"⚠ not in P6 list"))</f>
        <v/>
      </c>
      <c r="F449" s="144" t="str">
        <f>IF(D449="","",IFERROR(INDEX('12 P6 activities'!$C$7:$C$206,MATCH(D449,'12 P6 activities'!$A$7:$A$206,0)),"⚠ not in P6 list"))</f>
        <v/>
      </c>
      <c r="G449" s="124"/>
      <c r="H449" s="152"/>
      <c r="I449" s="153" t="str">
        <f>IF(H449&lt;&gt;"Y","",IF(D449="","Pick the affected P6 activity first",IF(COUNTIFS('11 Notice calendar'!$A$7:$A$46,A449,'11 Notice calendar'!$I$7:$I$46,D449)&gt;0,"In the Notice calendar","Log it in the Notice calendar today")))</f>
        <v/>
      </c>
      <c r="J449" s="146"/>
      <c r="K449" s="146"/>
      <c r="L449" s="6"/>
      <c r="M449" s="6"/>
      <c r="N449" s="6"/>
      <c r="O449" s="6"/>
      <c r="P449" s="6"/>
      <c r="Q449" s="6"/>
      <c r="R449" s="6"/>
      <c r="S449" s="6"/>
      <c r="T449" s="6"/>
      <c r="U449" s="6"/>
      <c r="V449" s="6"/>
      <c r="W449" s="6"/>
      <c r="X449" s="6"/>
      <c r="Y449" s="6"/>
      <c r="Z449" s="6"/>
    </row>
    <row r="450" spans="1:26" ht="18" customHeight="1" x14ac:dyDescent="0.3">
      <c r="A450" s="152"/>
      <c r="B450" s="128"/>
      <c r="C450" s="152"/>
      <c r="D450" s="128"/>
      <c r="E450" s="144" t="str">
        <f>IF(D450="","",IFERROR(INDEX('12 P6 activities'!$B$7:$B$206,MATCH(D450,'12 P6 activities'!$A$7:$A$206,0)),"⚠ not in P6 list"))</f>
        <v/>
      </c>
      <c r="F450" s="144" t="str">
        <f>IF(D450="","",IFERROR(INDEX('12 P6 activities'!$C$7:$C$206,MATCH(D450,'12 P6 activities'!$A$7:$A$206,0)),"⚠ not in P6 list"))</f>
        <v/>
      </c>
      <c r="G450" s="124"/>
      <c r="H450" s="152"/>
      <c r="I450" s="153" t="str">
        <f>IF(H450&lt;&gt;"Y","",IF(D450="","Pick the affected P6 activity first",IF(COUNTIFS('11 Notice calendar'!$A$7:$A$46,A450,'11 Notice calendar'!$I$7:$I$46,D450)&gt;0,"In the Notice calendar","Log it in the Notice calendar today")))</f>
        <v/>
      </c>
      <c r="J450" s="146"/>
      <c r="K450" s="146"/>
      <c r="L450" s="6"/>
      <c r="M450" s="6"/>
      <c r="N450" s="6"/>
      <c r="O450" s="6"/>
      <c r="P450" s="6"/>
      <c r="Q450" s="6"/>
      <c r="R450" s="6"/>
      <c r="S450" s="6"/>
      <c r="T450" s="6"/>
      <c r="U450" s="6"/>
      <c r="V450" s="6"/>
      <c r="W450" s="6"/>
      <c r="X450" s="6"/>
      <c r="Y450" s="6"/>
      <c r="Z450" s="6"/>
    </row>
    <row r="451" spans="1:26" ht="18" customHeight="1" x14ac:dyDescent="0.3">
      <c r="A451" s="152"/>
      <c r="B451" s="128"/>
      <c r="C451" s="152"/>
      <c r="D451" s="128"/>
      <c r="E451" s="144" t="str">
        <f>IF(D451="","",IFERROR(INDEX('12 P6 activities'!$B$7:$B$206,MATCH(D451,'12 P6 activities'!$A$7:$A$206,0)),"⚠ not in P6 list"))</f>
        <v/>
      </c>
      <c r="F451" s="144" t="str">
        <f>IF(D451="","",IFERROR(INDEX('12 P6 activities'!$C$7:$C$206,MATCH(D451,'12 P6 activities'!$A$7:$A$206,0)),"⚠ not in P6 list"))</f>
        <v/>
      </c>
      <c r="G451" s="124"/>
      <c r="H451" s="152"/>
      <c r="I451" s="153" t="str">
        <f>IF(H451&lt;&gt;"Y","",IF(D451="","Pick the affected P6 activity first",IF(COUNTIFS('11 Notice calendar'!$A$7:$A$46,A451,'11 Notice calendar'!$I$7:$I$46,D451)&gt;0,"In the Notice calendar","Log it in the Notice calendar today")))</f>
        <v/>
      </c>
      <c r="J451" s="146"/>
      <c r="K451" s="146"/>
      <c r="L451" s="6"/>
      <c r="M451" s="6"/>
      <c r="N451" s="6"/>
      <c r="O451" s="6"/>
      <c r="P451" s="6"/>
      <c r="Q451" s="6"/>
      <c r="R451" s="6"/>
      <c r="S451" s="6"/>
      <c r="T451" s="6"/>
      <c r="U451" s="6"/>
      <c r="V451" s="6"/>
      <c r="W451" s="6"/>
      <c r="X451" s="6"/>
      <c r="Y451" s="6"/>
      <c r="Z451" s="6"/>
    </row>
    <row r="452" spans="1:26" ht="18" customHeight="1" x14ac:dyDescent="0.3">
      <c r="A452" s="152"/>
      <c r="B452" s="128"/>
      <c r="C452" s="152"/>
      <c r="D452" s="128"/>
      <c r="E452" s="144" t="str">
        <f>IF(D452="","",IFERROR(INDEX('12 P6 activities'!$B$7:$B$206,MATCH(D452,'12 P6 activities'!$A$7:$A$206,0)),"⚠ not in P6 list"))</f>
        <v/>
      </c>
      <c r="F452" s="144" t="str">
        <f>IF(D452="","",IFERROR(INDEX('12 P6 activities'!$C$7:$C$206,MATCH(D452,'12 P6 activities'!$A$7:$A$206,0)),"⚠ not in P6 list"))</f>
        <v/>
      </c>
      <c r="G452" s="124"/>
      <c r="H452" s="152"/>
      <c r="I452" s="153" t="str">
        <f>IF(H452&lt;&gt;"Y","",IF(D452="","Pick the affected P6 activity first",IF(COUNTIFS('11 Notice calendar'!$A$7:$A$46,A452,'11 Notice calendar'!$I$7:$I$46,D452)&gt;0,"In the Notice calendar","Log it in the Notice calendar today")))</f>
        <v/>
      </c>
      <c r="J452" s="146"/>
      <c r="K452" s="146"/>
      <c r="L452" s="6"/>
      <c r="M452" s="6"/>
      <c r="N452" s="6"/>
      <c r="O452" s="6"/>
      <c r="P452" s="6"/>
      <c r="Q452" s="6"/>
      <c r="R452" s="6"/>
      <c r="S452" s="6"/>
      <c r="T452" s="6"/>
      <c r="U452" s="6"/>
      <c r="V452" s="6"/>
      <c r="W452" s="6"/>
      <c r="X452" s="6"/>
      <c r="Y452" s="6"/>
      <c r="Z452" s="6"/>
    </row>
    <row r="453" spans="1:26" ht="18" customHeight="1" x14ac:dyDescent="0.3">
      <c r="A453" s="152"/>
      <c r="B453" s="128"/>
      <c r="C453" s="152"/>
      <c r="D453" s="128"/>
      <c r="E453" s="144" t="str">
        <f>IF(D453="","",IFERROR(INDEX('12 P6 activities'!$B$7:$B$206,MATCH(D453,'12 P6 activities'!$A$7:$A$206,0)),"⚠ not in P6 list"))</f>
        <v/>
      </c>
      <c r="F453" s="144" t="str">
        <f>IF(D453="","",IFERROR(INDEX('12 P6 activities'!$C$7:$C$206,MATCH(D453,'12 P6 activities'!$A$7:$A$206,0)),"⚠ not in P6 list"))</f>
        <v/>
      </c>
      <c r="G453" s="124"/>
      <c r="H453" s="152"/>
      <c r="I453" s="153" t="str">
        <f>IF(H453&lt;&gt;"Y","",IF(D453="","Pick the affected P6 activity first",IF(COUNTIFS('11 Notice calendar'!$A$7:$A$46,A453,'11 Notice calendar'!$I$7:$I$46,D453)&gt;0,"In the Notice calendar","Log it in the Notice calendar today")))</f>
        <v/>
      </c>
      <c r="J453" s="146"/>
      <c r="K453" s="146"/>
      <c r="L453" s="6"/>
      <c r="M453" s="6"/>
      <c r="N453" s="6"/>
      <c r="O453" s="6"/>
      <c r="P453" s="6"/>
      <c r="Q453" s="6"/>
      <c r="R453" s="6"/>
      <c r="S453" s="6"/>
      <c r="T453" s="6"/>
      <c r="U453" s="6"/>
      <c r="V453" s="6"/>
      <c r="W453" s="6"/>
      <c r="X453" s="6"/>
      <c r="Y453" s="6"/>
      <c r="Z453" s="6"/>
    </row>
    <row r="454" spans="1:26" ht="18" customHeight="1" x14ac:dyDescent="0.3">
      <c r="A454" s="152"/>
      <c r="B454" s="128"/>
      <c r="C454" s="152"/>
      <c r="D454" s="128"/>
      <c r="E454" s="144" t="str">
        <f>IF(D454="","",IFERROR(INDEX('12 P6 activities'!$B$7:$B$206,MATCH(D454,'12 P6 activities'!$A$7:$A$206,0)),"⚠ not in P6 list"))</f>
        <v/>
      </c>
      <c r="F454" s="144" t="str">
        <f>IF(D454="","",IFERROR(INDEX('12 P6 activities'!$C$7:$C$206,MATCH(D454,'12 P6 activities'!$A$7:$A$206,0)),"⚠ not in P6 list"))</f>
        <v/>
      </c>
      <c r="G454" s="124"/>
      <c r="H454" s="152"/>
      <c r="I454" s="153" t="str">
        <f>IF(H454&lt;&gt;"Y","",IF(D454="","Pick the affected P6 activity first",IF(COUNTIFS('11 Notice calendar'!$A$7:$A$46,A454,'11 Notice calendar'!$I$7:$I$46,D454)&gt;0,"In the Notice calendar","Log it in the Notice calendar today")))</f>
        <v/>
      </c>
      <c r="J454" s="146"/>
      <c r="K454" s="146"/>
      <c r="L454" s="6"/>
      <c r="M454" s="6"/>
      <c r="N454" s="6"/>
      <c r="O454" s="6"/>
      <c r="P454" s="6"/>
      <c r="Q454" s="6"/>
      <c r="R454" s="6"/>
      <c r="S454" s="6"/>
      <c r="T454" s="6"/>
      <c r="U454" s="6"/>
      <c r="V454" s="6"/>
      <c r="W454" s="6"/>
      <c r="X454" s="6"/>
      <c r="Y454" s="6"/>
      <c r="Z454" s="6"/>
    </row>
    <row r="455" spans="1:26" ht="18" customHeight="1" x14ac:dyDescent="0.3">
      <c r="A455" s="152"/>
      <c r="B455" s="128"/>
      <c r="C455" s="152"/>
      <c r="D455" s="128"/>
      <c r="E455" s="144" t="str">
        <f>IF(D455="","",IFERROR(INDEX('12 P6 activities'!$B$7:$B$206,MATCH(D455,'12 P6 activities'!$A$7:$A$206,0)),"⚠ not in P6 list"))</f>
        <v/>
      </c>
      <c r="F455" s="144" t="str">
        <f>IF(D455="","",IFERROR(INDEX('12 P6 activities'!$C$7:$C$206,MATCH(D455,'12 P6 activities'!$A$7:$A$206,0)),"⚠ not in P6 list"))</f>
        <v/>
      </c>
      <c r="G455" s="124"/>
      <c r="H455" s="152"/>
      <c r="I455" s="153" t="str">
        <f>IF(H455&lt;&gt;"Y","",IF(D455="","Pick the affected P6 activity first",IF(COUNTIFS('11 Notice calendar'!$A$7:$A$46,A455,'11 Notice calendar'!$I$7:$I$46,D455)&gt;0,"In the Notice calendar","Log it in the Notice calendar today")))</f>
        <v/>
      </c>
      <c r="J455" s="146"/>
      <c r="K455" s="146"/>
      <c r="L455" s="6"/>
      <c r="M455" s="6"/>
      <c r="N455" s="6"/>
      <c r="O455" s="6"/>
      <c r="P455" s="6"/>
      <c r="Q455" s="6"/>
      <c r="R455" s="6"/>
      <c r="S455" s="6"/>
      <c r="T455" s="6"/>
      <c r="U455" s="6"/>
      <c r="V455" s="6"/>
      <c r="W455" s="6"/>
      <c r="X455" s="6"/>
      <c r="Y455" s="6"/>
      <c r="Z455" s="6"/>
    </row>
    <row r="456" spans="1:26" ht="18" customHeight="1" x14ac:dyDescent="0.3">
      <c r="A456" s="152"/>
      <c r="B456" s="128"/>
      <c r="C456" s="152"/>
      <c r="D456" s="128"/>
      <c r="E456" s="144" t="str">
        <f>IF(D456="","",IFERROR(INDEX('12 P6 activities'!$B$7:$B$206,MATCH(D456,'12 P6 activities'!$A$7:$A$206,0)),"⚠ not in P6 list"))</f>
        <v/>
      </c>
      <c r="F456" s="144" t="str">
        <f>IF(D456="","",IFERROR(INDEX('12 P6 activities'!$C$7:$C$206,MATCH(D456,'12 P6 activities'!$A$7:$A$206,0)),"⚠ not in P6 list"))</f>
        <v/>
      </c>
      <c r="G456" s="124"/>
      <c r="H456" s="152"/>
      <c r="I456" s="153" t="str">
        <f>IF(H456&lt;&gt;"Y","",IF(D456="","Pick the affected P6 activity first",IF(COUNTIFS('11 Notice calendar'!$A$7:$A$46,A456,'11 Notice calendar'!$I$7:$I$46,D456)&gt;0,"In the Notice calendar","Log it in the Notice calendar today")))</f>
        <v/>
      </c>
      <c r="J456" s="146"/>
      <c r="K456" s="146"/>
      <c r="L456" s="6"/>
      <c r="M456" s="6"/>
      <c r="N456" s="6"/>
      <c r="O456" s="6"/>
      <c r="P456" s="6"/>
      <c r="Q456" s="6"/>
      <c r="R456" s="6"/>
      <c r="S456" s="6"/>
      <c r="T456" s="6"/>
      <c r="U456" s="6"/>
      <c r="V456" s="6"/>
      <c r="W456" s="6"/>
      <c r="X456" s="6"/>
      <c r="Y456" s="6"/>
      <c r="Z456" s="6"/>
    </row>
    <row r="457" spans="1:26" ht="18" customHeight="1" x14ac:dyDescent="0.3">
      <c r="A457" s="152"/>
      <c r="B457" s="128"/>
      <c r="C457" s="152"/>
      <c r="D457" s="128"/>
      <c r="E457" s="144" t="str">
        <f>IF(D457="","",IFERROR(INDEX('12 P6 activities'!$B$7:$B$206,MATCH(D457,'12 P6 activities'!$A$7:$A$206,0)),"⚠ not in P6 list"))</f>
        <v/>
      </c>
      <c r="F457" s="144" t="str">
        <f>IF(D457="","",IFERROR(INDEX('12 P6 activities'!$C$7:$C$206,MATCH(D457,'12 P6 activities'!$A$7:$A$206,0)),"⚠ not in P6 list"))</f>
        <v/>
      </c>
      <c r="G457" s="124"/>
      <c r="H457" s="152"/>
      <c r="I457" s="153" t="str">
        <f>IF(H457&lt;&gt;"Y","",IF(D457="","Pick the affected P6 activity first",IF(COUNTIFS('11 Notice calendar'!$A$7:$A$46,A457,'11 Notice calendar'!$I$7:$I$46,D457)&gt;0,"In the Notice calendar","Log it in the Notice calendar today")))</f>
        <v/>
      </c>
      <c r="J457" s="146"/>
      <c r="K457" s="146"/>
      <c r="L457" s="6"/>
      <c r="M457" s="6"/>
      <c r="N457" s="6"/>
      <c r="O457" s="6"/>
      <c r="P457" s="6"/>
      <c r="Q457" s="6"/>
      <c r="R457" s="6"/>
      <c r="S457" s="6"/>
      <c r="T457" s="6"/>
      <c r="U457" s="6"/>
      <c r="V457" s="6"/>
      <c r="W457" s="6"/>
      <c r="X457" s="6"/>
      <c r="Y457" s="6"/>
      <c r="Z457" s="6"/>
    </row>
    <row r="458" spans="1:26" ht="18" customHeight="1" x14ac:dyDescent="0.3">
      <c r="A458" s="152"/>
      <c r="B458" s="128"/>
      <c r="C458" s="152"/>
      <c r="D458" s="128"/>
      <c r="E458" s="144" t="str">
        <f>IF(D458="","",IFERROR(INDEX('12 P6 activities'!$B$7:$B$206,MATCH(D458,'12 P6 activities'!$A$7:$A$206,0)),"⚠ not in P6 list"))</f>
        <v/>
      </c>
      <c r="F458" s="144" t="str">
        <f>IF(D458="","",IFERROR(INDEX('12 P6 activities'!$C$7:$C$206,MATCH(D458,'12 P6 activities'!$A$7:$A$206,0)),"⚠ not in P6 list"))</f>
        <v/>
      </c>
      <c r="G458" s="124"/>
      <c r="H458" s="152"/>
      <c r="I458" s="153" t="str">
        <f>IF(H458&lt;&gt;"Y","",IF(D458="","Pick the affected P6 activity first",IF(COUNTIFS('11 Notice calendar'!$A$7:$A$46,A458,'11 Notice calendar'!$I$7:$I$46,D458)&gt;0,"In the Notice calendar","Log it in the Notice calendar today")))</f>
        <v/>
      </c>
      <c r="J458" s="146"/>
      <c r="K458" s="146"/>
      <c r="L458" s="6"/>
      <c r="M458" s="6"/>
      <c r="N458" s="6"/>
      <c r="O458" s="6"/>
      <c r="P458" s="6"/>
      <c r="Q458" s="6"/>
      <c r="R458" s="6"/>
      <c r="S458" s="6"/>
      <c r="T458" s="6"/>
      <c r="U458" s="6"/>
      <c r="V458" s="6"/>
      <c r="W458" s="6"/>
      <c r="X458" s="6"/>
      <c r="Y458" s="6"/>
      <c r="Z458" s="6"/>
    </row>
    <row r="459" spans="1:26" ht="18" customHeight="1" x14ac:dyDescent="0.3">
      <c r="A459" s="152"/>
      <c r="B459" s="128"/>
      <c r="C459" s="152"/>
      <c r="D459" s="128"/>
      <c r="E459" s="144" t="str">
        <f>IF(D459="","",IFERROR(INDEX('12 P6 activities'!$B$7:$B$206,MATCH(D459,'12 P6 activities'!$A$7:$A$206,0)),"⚠ not in P6 list"))</f>
        <v/>
      </c>
      <c r="F459" s="144" t="str">
        <f>IF(D459="","",IFERROR(INDEX('12 P6 activities'!$C$7:$C$206,MATCH(D459,'12 P6 activities'!$A$7:$A$206,0)),"⚠ not in P6 list"))</f>
        <v/>
      </c>
      <c r="G459" s="124"/>
      <c r="H459" s="152"/>
      <c r="I459" s="153" t="str">
        <f>IF(H459&lt;&gt;"Y","",IF(D459="","Pick the affected P6 activity first",IF(COUNTIFS('11 Notice calendar'!$A$7:$A$46,A459,'11 Notice calendar'!$I$7:$I$46,D459)&gt;0,"In the Notice calendar","Log it in the Notice calendar today")))</f>
        <v/>
      </c>
      <c r="J459" s="146"/>
      <c r="K459" s="146"/>
      <c r="L459" s="6"/>
      <c r="M459" s="6"/>
      <c r="N459" s="6"/>
      <c r="O459" s="6"/>
      <c r="P459" s="6"/>
      <c r="Q459" s="6"/>
      <c r="R459" s="6"/>
      <c r="S459" s="6"/>
      <c r="T459" s="6"/>
      <c r="U459" s="6"/>
      <c r="V459" s="6"/>
      <c r="W459" s="6"/>
      <c r="X459" s="6"/>
      <c r="Y459" s="6"/>
      <c r="Z459" s="6"/>
    </row>
    <row r="460" spans="1:26" ht="18" customHeight="1" x14ac:dyDescent="0.3">
      <c r="A460" s="152"/>
      <c r="B460" s="128"/>
      <c r="C460" s="152"/>
      <c r="D460" s="128"/>
      <c r="E460" s="144" t="str">
        <f>IF(D460="","",IFERROR(INDEX('12 P6 activities'!$B$7:$B$206,MATCH(D460,'12 P6 activities'!$A$7:$A$206,0)),"⚠ not in P6 list"))</f>
        <v/>
      </c>
      <c r="F460" s="144" t="str">
        <f>IF(D460="","",IFERROR(INDEX('12 P6 activities'!$C$7:$C$206,MATCH(D460,'12 P6 activities'!$A$7:$A$206,0)),"⚠ not in P6 list"))</f>
        <v/>
      </c>
      <c r="G460" s="124"/>
      <c r="H460" s="152"/>
      <c r="I460" s="153" t="str">
        <f>IF(H460&lt;&gt;"Y","",IF(D460="","Pick the affected P6 activity first",IF(COUNTIFS('11 Notice calendar'!$A$7:$A$46,A460,'11 Notice calendar'!$I$7:$I$46,D460)&gt;0,"In the Notice calendar","Log it in the Notice calendar today")))</f>
        <v/>
      </c>
      <c r="J460" s="146"/>
      <c r="K460" s="146"/>
      <c r="L460" s="6"/>
      <c r="M460" s="6"/>
      <c r="N460" s="6"/>
      <c r="O460" s="6"/>
      <c r="P460" s="6"/>
      <c r="Q460" s="6"/>
      <c r="R460" s="6"/>
      <c r="S460" s="6"/>
      <c r="T460" s="6"/>
      <c r="U460" s="6"/>
      <c r="V460" s="6"/>
      <c r="W460" s="6"/>
      <c r="X460" s="6"/>
      <c r="Y460" s="6"/>
      <c r="Z460" s="6"/>
    </row>
    <row r="461" spans="1:26" ht="18" customHeight="1" x14ac:dyDescent="0.3">
      <c r="A461" s="152"/>
      <c r="B461" s="128"/>
      <c r="C461" s="152"/>
      <c r="D461" s="128"/>
      <c r="E461" s="144" t="str">
        <f>IF(D461="","",IFERROR(INDEX('12 P6 activities'!$B$7:$B$206,MATCH(D461,'12 P6 activities'!$A$7:$A$206,0)),"⚠ not in P6 list"))</f>
        <v/>
      </c>
      <c r="F461" s="144" t="str">
        <f>IF(D461="","",IFERROR(INDEX('12 P6 activities'!$C$7:$C$206,MATCH(D461,'12 P6 activities'!$A$7:$A$206,0)),"⚠ not in P6 list"))</f>
        <v/>
      </c>
      <c r="G461" s="124"/>
      <c r="H461" s="152"/>
      <c r="I461" s="153" t="str">
        <f>IF(H461&lt;&gt;"Y","",IF(D461="","Pick the affected P6 activity first",IF(COUNTIFS('11 Notice calendar'!$A$7:$A$46,A461,'11 Notice calendar'!$I$7:$I$46,D461)&gt;0,"In the Notice calendar","Log it in the Notice calendar today")))</f>
        <v/>
      </c>
      <c r="J461" s="146"/>
      <c r="K461" s="146"/>
      <c r="L461" s="6"/>
      <c r="M461" s="6"/>
      <c r="N461" s="6"/>
      <c r="O461" s="6"/>
      <c r="P461" s="6"/>
      <c r="Q461" s="6"/>
      <c r="R461" s="6"/>
      <c r="S461" s="6"/>
      <c r="T461" s="6"/>
      <c r="U461" s="6"/>
      <c r="V461" s="6"/>
      <c r="W461" s="6"/>
      <c r="X461" s="6"/>
      <c r="Y461" s="6"/>
      <c r="Z461" s="6"/>
    </row>
    <row r="462" spans="1:26" ht="18" customHeight="1" x14ac:dyDescent="0.3">
      <c r="A462" s="152"/>
      <c r="B462" s="128"/>
      <c r="C462" s="152"/>
      <c r="D462" s="128"/>
      <c r="E462" s="144" t="str">
        <f>IF(D462="","",IFERROR(INDEX('12 P6 activities'!$B$7:$B$206,MATCH(D462,'12 P6 activities'!$A$7:$A$206,0)),"⚠ not in P6 list"))</f>
        <v/>
      </c>
      <c r="F462" s="144" t="str">
        <f>IF(D462="","",IFERROR(INDEX('12 P6 activities'!$C$7:$C$206,MATCH(D462,'12 P6 activities'!$A$7:$A$206,0)),"⚠ not in P6 list"))</f>
        <v/>
      </c>
      <c r="G462" s="124"/>
      <c r="H462" s="152"/>
      <c r="I462" s="153" t="str">
        <f>IF(H462&lt;&gt;"Y","",IF(D462="","Pick the affected P6 activity first",IF(COUNTIFS('11 Notice calendar'!$A$7:$A$46,A462,'11 Notice calendar'!$I$7:$I$46,D462)&gt;0,"In the Notice calendar","Log it in the Notice calendar today")))</f>
        <v/>
      </c>
      <c r="J462" s="146"/>
      <c r="K462" s="146"/>
      <c r="L462" s="6"/>
      <c r="M462" s="6"/>
      <c r="N462" s="6"/>
      <c r="O462" s="6"/>
      <c r="P462" s="6"/>
      <c r="Q462" s="6"/>
      <c r="R462" s="6"/>
      <c r="S462" s="6"/>
      <c r="T462" s="6"/>
      <c r="U462" s="6"/>
      <c r="V462" s="6"/>
      <c r="W462" s="6"/>
      <c r="X462" s="6"/>
      <c r="Y462" s="6"/>
      <c r="Z462" s="6"/>
    </row>
    <row r="463" spans="1:26" ht="18" customHeight="1" x14ac:dyDescent="0.3">
      <c r="A463" s="152"/>
      <c r="B463" s="128"/>
      <c r="C463" s="152"/>
      <c r="D463" s="128"/>
      <c r="E463" s="144" t="str">
        <f>IF(D463="","",IFERROR(INDEX('12 P6 activities'!$B$7:$B$206,MATCH(D463,'12 P6 activities'!$A$7:$A$206,0)),"⚠ not in P6 list"))</f>
        <v/>
      </c>
      <c r="F463" s="144" t="str">
        <f>IF(D463="","",IFERROR(INDEX('12 P6 activities'!$C$7:$C$206,MATCH(D463,'12 P6 activities'!$A$7:$A$206,0)),"⚠ not in P6 list"))</f>
        <v/>
      </c>
      <c r="G463" s="124"/>
      <c r="H463" s="152"/>
      <c r="I463" s="153" t="str">
        <f>IF(H463&lt;&gt;"Y","",IF(D463="","Pick the affected P6 activity first",IF(COUNTIFS('11 Notice calendar'!$A$7:$A$46,A463,'11 Notice calendar'!$I$7:$I$46,D463)&gt;0,"In the Notice calendar","Log it in the Notice calendar today")))</f>
        <v/>
      </c>
      <c r="J463" s="146"/>
      <c r="K463" s="146"/>
      <c r="L463" s="6"/>
      <c r="M463" s="6"/>
      <c r="N463" s="6"/>
      <c r="O463" s="6"/>
      <c r="P463" s="6"/>
      <c r="Q463" s="6"/>
      <c r="R463" s="6"/>
      <c r="S463" s="6"/>
      <c r="T463" s="6"/>
      <c r="U463" s="6"/>
      <c r="V463" s="6"/>
      <c r="W463" s="6"/>
      <c r="X463" s="6"/>
      <c r="Y463" s="6"/>
      <c r="Z463" s="6"/>
    </row>
    <row r="464" spans="1:26" ht="18" customHeight="1" x14ac:dyDescent="0.3">
      <c r="A464" s="152"/>
      <c r="B464" s="128"/>
      <c r="C464" s="152"/>
      <c r="D464" s="128"/>
      <c r="E464" s="144" t="str">
        <f>IF(D464="","",IFERROR(INDEX('12 P6 activities'!$B$7:$B$206,MATCH(D464,'12 P6 activities'!$A$7:$A$206,0)),"⚠ not in P6 list"))</f>
        <v/>
      </c>
      <c r="F464" s="144" t="str">
        <f>IF(D464="","",IFERROR(INDEX('12 P6 activities'!$C$7:$C$206,MATCH(D464,'12 P6 activities'!$A$7:$A$206,0)),"⚠ not in P6 list"))</f>
        <v/>
      </c>
      <c r="G464" s="124"/>
      <c r="H464" s="152"/>
      <c r="I464" s="153" t="str">
        <f>IF(H464&lt;&gt;"Y","",IF(D464="","Pick the affected P6 activity first",IF(COUNTIFS('11 Notice calendar'!$A$7:$A$46,A464,'11 Notice calendar'!$I$7:$I$46,D464)&gt;0,"In the Notice calendar","Log it in the Notice calendar today")))</f>
        <v/>
      </c>
      <c r="J464" s="146"/>
      <c r="K464" s="146"/>
      <c r="L464" s="6"/>
      <c r="M464" s="6"/>
      <c r="N464" s="6"/>
      <c r="O464" s="6"/>
      <c r="P464" s="6"/>
      <c r="Q464" s="6"/>
      <c r="R464" s="6"/>
      <c r="S464" s="6"/>
      <c r="T464" s="6"/>
      <c r="U464" s="6"/>
      <c r="V464" s="6"/>
      <c r="W464" s="6"/>
      <c r="X464" s="6"/>
      <c r="Y464" s="6"/>
      <c r="Z464" s="6"/>
    </row>
    <row r="465" spans="1:26" ht="18" customHeight="1" x14ac:dyDescent="0.3">
      <c r="A465" s="152"/>
      <c r="B465" s="128"/>
      <c r="C465" s="152"/>
      <c r="D465" s="128"/>
      <c r="E465" s="144" t="str">
        <f>IF(D465="","",IFERROR(INDEX('12 P6 activities'!$B$7:$B$206,MATCH(D465,'12 P6 activities'!$A$7:$A$206,0)),"⚠ not in P6 list"))</f>
        <v/>
      </c>
      <c r="F465" s="144" t="str">
        <f>IF(D465="","",IFERROR(INDEX('12 P6 activities'!$C$7:$C$206,MATCH(D465,'12 P6 activities'!$A$7:$A$206,0)),"⚠ not in P6 list"))</f>
        <v/>
      </c>
      <c r="G465" s="124"/>
      <c r="H465" s="152"/>
      <c r="I465" s="153" t="str">
        <f>IF(H465&lt;&gt;"Y","",IF(D465="","Pick the affected P6 activity first",IF(COUNTIFS('11 Notice calendar'!$A$7:$A$46,A465,'11 Notice calendar'!$I$7:$I$46,D465)&gt;0,"In the Notice calendar","Log it in the Notice calendar today")))</f>
        <v/>
      </c>
      <c r="J465" s="146"/>
      <c r="K465" s="146"/>
      <c r="L465" s="6"/>
      <c r="M465" s="6"/>
      <c r="N465" s="6"/>
      <c r="O465" s="6"/>
      <c r="P465" s="6"/>
      <c r="Q465" s="6"/>
      <c r="R465" s="6"/>
      <c r="S465" s="6"/>
      <c r="T465" s="6"/>
      <c r="U465" s="6"/>
      <c r="V465" s="6"/>
      <c r="W465" s="6"/>
      <c r="X465" s="6"/>
      <c r="Y465" s="6"/>
      <c r="Z465" s="6"/>
    </row>
    <row r="466" spans="1:26" ht="18" customHeight="1" x14ac:dyDescent="0.3">
      <c r="A466" s="152"/>
      <c r="B466" s="128"/>
      <c r="C466" s="152"/>
      <c r="D466" s="128"/>
      <c r="E466" s="144" t="str">
        <f>IF(D466="","",IFERROR(INDEX('12 P6 activities'!$B$7:$B$206,MATCH(D466,'12 P6 activities'!$A$7:$A$206,0)),"⚠ not in P6 list"))</f>
        <v/>
      </c>
      <c r="F466" s="144" t="str">
        <f>IF(D466="","",IFERROR(INDEX('12 P6 activities'!$C$7:$C$206,MATCH(D466,'12 P6 activities'!$A$7:$A$206,0)),"⚠ not in P6 list"))</f>
        <v/>
      </c>
      <c r="G466" s="124"/>
      <c r="H466" s="152"/>
      <c r="I466" s="153" t="str">
        <f>IF(H466&lt;&gt;"Y","",IF(D466="","Pick the affected P6 activity first",IF(COUNTIFS('11 Notice calendar'!$A$7:$A$46,A466,'11 Notice calendar'!$I$7:$I$46,D466)&gt;0,"In the Notice calendar","Log it in the Notice calendar today")))</f>
        <v/>
      </c>
      <c r="J466" s="146"/>
      <c r="K466" s="146"/>
      <c r="L466" s="6"/>
      <c r="M466" s="6"/>
      <c r="N466" s="6"/>
      <c r="O466" s="6"/>
      <c r="P466" s="6"/>
      <c r="Q466" s="6"/>
      <c r="R466" s="6"/>
      <c r="S466" s="6"/>
      <c r="T466" s="6"/>
      <c r="U466" s="6"/>
      <c r="V466" s="6"/>
      <c r="W466" s="6"/>
      <c r="X466" s="6"/>
      <c r="Y466" s="6"/>
      <c r="Z466" s="6"/>
    </row>
    <row r="467" spans="1:26" ht="18" customHeight="1" x14ac:dyDescent="0.3">
      <c r="A467" s="152"/>
      <c r="B467" s="128"/>
      <c r="C467" s="152"/>
      <c r="D467" s="128"/>
      <c r="E467" s="144" t="str">
        <f>IF(D467="","",IFERROR(INDEX('12 P6 activities'!$B$7:$B$206,MATCH(D467,'12 P6 activities'!$A$7:$A$206,0)),"⚠ not in P6 list"))</f>
        <v/>
      </c>
      <c r="F467" s="144" t="str">
        <f>IF(D467="","",IFERROR(INDEX('12 P6 activities'!$C$7:$C$206,MATCH(D467,'12 P6 activities'!$A$7:$A$206,0)),"⚠ not in P6 list"))</f>
        <v/>
      </c>
      <c r="G467" s="124"/>
      <c r="H467" s="152"/>
      <c r="I467" s="153" t="str">
        <f>IF(H467&lt;&gt;"Y","",IF(D467="","Pick the affected P6 activity first",IF(COUNTIFS('11 Notice calendar'!$A$7:$A$46,A467,'11 Notice calendar'!$I$7:$I$46,D467)&gt;0,"In the Notice calendar","Log it in the Notice calendar today")))</f>
        <v/>
      </c>
      <c r="J467" s="146"/>
      <c r="K467" s="146"/>
      <c r="L467" s="6"/>
      <c r="M467" s="6"/>
      <c r="N467" s="6"/>
      <c r="O467" s="6"/>
      <c r="P467" s="6"/>
      <c r="Q467" s="6"/>
      <c r="R467" s="6"/>
      <c r="S467" s="6"/>
      <c r="T467" s="6"/>
      <c r="U467" s="6"/>
      <c r="V467" s="6"/>
      <c r="W467" s="6"/>
      <c r="X467" s="6"/>
      <c r="Y467" s="6"/>
      <c r="Z467" s="6"/>
    </row>
    <row r="468" spans="1:26" ht="18" customHeight="1" x14ac:dyDescent="0.3">
      <c r="A468" s="152"/>
      <c r="B468" s="128"/>
      <c r="C468" s="152"/>
      <c r="D468" s="128"/>
      <c r="E468" s="144" t="str">
        <f>IF(D468="","",IFERROR(INDEX('12 P6 activities'!$B$7:$B$206,MATCH(D468,'12 P6 activities'!$A$7:$A$206,0)),"⚠ not in P6 list"))</f>
        <v/>
      </c>
      <c r="F468" s="144" t="str">
        <f>IF(D468="","",IFERROR(INDEX('12 P6 activities'!$C$7:$C$206,MATCH(D468,'12 P6 activities'!$A$7:$A$206,0)),"⚠ not in P6 list"))</f>
        <v/>
      </c>
      <c r="G468" s="124"/>
      <c r="H468" s="152"/>
      <c r="I468" s="153" t="str">
        <f>IF(H468&lt;&gt;"Y","",IF(D468="","Pick the affected P6 activity first",IF(COUNTIFS('11 Notice calendar'!$A$7:$A$46,A468,'11 Notice calendar'!$I$7:$I$46,D468)&gt;0,"In the Notice calendar","Log it in the Notice calendar today")))</f>
        <v/>
      </c>
      <c r="J468" s="146"/>
      <c r="K468" s="146"/>
      <c r="L468" s="6"/>
      <c r="M468" s="6"/>
      <c r="N468" s="6"/>
      <c r="O468" s="6"/>
      <c r="P468" s="6"/>
      <c r="Q468" s="6"/>
      <c r="R468" s="6"/>
      <c r="S468" s="6"/>
      <c r="T468" s="6"/>
      <c r="U468" s="6"/>
      <c r="V468" s="6"/>
      <c r="W468" s="6"/>
      <c r="X468" s="6"/>
      <c r="Y468" s="6"/>
      <c r="Z468" s="6"/>
    </row>
    <row r="469" spans="1:26" ht="18" customHeight="1" x14ac:dyDescent="0.3">
      <c r="A469" s="152"/>
      <c r="B469" s="128"/>
      <c r="C469" s="152"/>
      <c r="D469" s="128"/>
      <c r="E469" s="144" t="str">
        <f>IF(D469="","",IFERROR(INDEX('12 P6 activities'!$B$7:$B$206,MATCH(D469,'12 P6 activities'!$A$7:$A$206,0)),"⚠ not in P6 list"))</f>
        <v/>
      </c>
      <c r="F469" s="144" t="str">
        <f>IF(D469="","",IFERROR(INDEX('12 P6 activities'!$C$7:$C$206,MATCH(D469,'12 P6 activities'!$A$7:$A$206,0)),"⚠ not in P6 list"))</f>
        <v/>
      </c>
      <c r="G469" s="124"/>
      <c r="H469" s="152"/>
      <c r="I469" s="153" t="str">
        <f>IF(H469&lt;&gt;"Y","",IF(D469="","Pick the affected P6 activity first",IF(COUNTIFS('11 Notice calendar'!$A$7:$A$46,A469,'11 Notice calendar'!$I$7:$I$46,D469)&gt;0,"In the Notice calendar","Log it in the Notice calendar today")))</f>
        <v/>
      </c>
      <c r="J469" s="146"/>
      <c r="K469" s="146"/>
      <c r="L469" s="6"/>
      <c r="M469" s="6"/>
      <c r="N469" s="6"/>
      <c r="O469" s="6"/>
      <c r="P469" s="6"/>
      <c r="Q469" s="6"/>
      <c r="R469" s="6"/>
      <c r="S469" s="6"/>
      <c r="T469" s="6"/>
      <c r="U469" s="6"/>
      <c r="V469" s="6"/>
      <c r="W469" s="6"/>
      <c r="X469" s="6"/>
      <c r="Y469" s="6"/>
      <c r="Z469" s="6"/>
    </row>
    <row r="470" spans="1:26" ht="18" customHeight="1" x14ac:dyDescent="0.3">
      <c r="A470" s="152"/>
      <c r="B470" s="128"/>
      <c r="C470" s="152"/>
      <c r="D470" s="128"/>
      <c r="E470" s="144" t="str">
        <f>IF(D470="","",IFERROR(INDEX('12 P6 activities'!$B$7:$B$206,MATCH(D470,'12 P6 activities'!$A$7:$A$206,0)),"⚠ not in P6 list"))</f>
        <v/>
      </c>
      <c r="F470" s="144" t="str">
        <f>IF(D470="","",IFERROR(INDEX('12 P6 activities'!$C$7:$C$206,MATCH(D470,'12 P6 activities'!$A$7:$A$206,0)),"⚠ not in P6 list"))</f>
        <v/>
      </c>
      <c r="G470" s="124"/>
      <c r="H470" s="152"/>
      <c r="I470" s="153" t="str">
        <f>IF(H470&lt;&gt;"Y","",IF(D470="","Pick the affected P6 activity first",IF(COUNTIFS('11 Notice calendar'!$A$7:$A$46,A470,'11 Notice calendar'!$I$7:$I$46,D470)&gt;0,"In the Notice calendar","Log it in the Notice calendar today")))</f>
        <v/>
      </c>
      <c r="J470" s="146"/>
      <c r="K470" s="146"/>
      <c r="L470" s="6"/>
      <c r="M470" s="6"/>
      <c r="N470" s="6"/>
      <c r="O470" s="6"/>
      <c r="P470" s="6"/>
      <c r="Q470" s="6"/>
      <c r="R470" s="6"/>
      <c r="S470" s="6"/>
      <c r="T470" s="6"/>
      <c r="U470" s="6"/>
      <c r="V470" s="6"/>
      <c r="W470" s="6"/>
      <c r="X470" s="6"/>
      <c r="Y470" s="6"/>
      <c r="Z470" s="6"/>
    </row>
    <row r="471" spans="1:26" ht="18" customHeight="1" x14ac:dyDescent="0.3">
      <c r="A471" s="152"/>
      <c r="B471" s="128"/>
      <c r="C471" s="152"/>
      <c r="D471" s="128"/>
      <c r="E471" s="144" t="str">
        <f>IF(D471="","",IFERROR(INDEX('12 P6 activities'!$B$7:$B$206,MATCH(D471,'12 P6 activities'!$A$7:$A$206,0)),"⚠ not in P6 list"))</f>
        <v/>
      </c>
      <c r="F471" s="144" t="str">
        <f>IF(D471="","",IFERROR(INDEX('12 P6 activities'!$C$7:$C$206,MATCH(D471,'12 P6 activities'!$A$7:$A$206,0)),"⚠ not in P6 list"))</f>
        <v/>
      </c>
      <c r="G471" s="124"/>
      <c r="H471" s="152"/>
      <c r="I471" s="153" t="str">
        <f>IF(H471&lt;&gt;"Y","",IF(D471="","Pick the affected P6 activity first",IF(COUNTIFS('11 Notice calendar'!$A$7:$A$46,A471,'11 Notice calendar'!$I$7:$I$46,D471)&gt;0,"In the Notice calendar","Log it in the Notice calendar today")))</f>
        <v/>
      </c>
      <c r="J471" s="146"/>
      <c r="K471" s="146"/>
      <c r="L471" s="6"/>
      <c r="M471" s="6"/>
      <c r="N471" s="6"/>
      <c r="O471" s="6"/>
      <c r="P471" s="6"/>
      <c r="Q471" s="6"/>
      <c r="R471" s="6"/>
      <c r="S471" s="6"/>
      <c r="T471" s="6"/>
      <c r="U471" s="6"/>
      <c r="V471" s="6"/>
      <c r="W471" s="6"/>
      <c r="X471" s="6"/>
      <c r="Y471" s="6"/>
      <c r="Z471" s="6"/>
    </row>
    <row r="472" spans="1:26" ht="18" customHeight="1" x14ac:dyDescent="0.3">
      <c r="A472" s="152"/>
      <c r="B472" s="128"/>
      <c r="C472" s="152"/>
      <c r="D472" s="128"/>
      <c r="E472" s="144" t="str">
        <f>IF(D472="","",IFERROR(INDEX('12 P6 activities'!$B$7:$B$206,MATCH(D472,'12 P6 activities'!$A$7:$A$206,0)),"⚠ not in P6 list"))</f>
        <v/>
      </c>
      <c r="F472" s="144" t="str">
        <f>IF(D472="","",IFERROR(INDEX('12 P6 activities'!$C$7:$C$206,MATCH(D472,'12 P6 activities'!$A$7:$A$206,0)),"⚠ not in P6 list"))</f>
        <v/>
      </c>
      <c r="G472" s="124"/>
      <c r="H472" s="152"/>
      <c r="I472" s="153" t="str">
        <f>IF(H472&lt;&gt;"Y","",IF(D472="","Pick the affected P6 activity first",IF(COUNTIFS('11 Notice calendar'!$A$7:$A$46,A472,'11 Notice calendar'!$I$7:$I$46,D472)&gt;0,"In the Notice calendar","Log it in the Notice calendar today")))</f>
        <v/>
      </c>
      <c r="J472" s="146"/>
      <c r="K472" s="146"/>
      <c r="L472" s="6"/>
      <c r="M472" s="6"/>
      <c r="N472" s="6"/>
      <c r="O472" s="6"/>
      <c r="P472" s="6"/>
      <c r="Q472" s="6"/>
      <c r="R472" s="6"/>
      <c r="S472" s="6"/>
      <c r="T472" s="6"/>
      <c r="U472" s="6"/>
      <c r="V472" s="6"/>
      <c r="W472" s="6"/>
      <c r="X472" s="6"/>
      <c r="Y472" s="6"/>
      <c r="Z472" s="6"/>
    </row>
    <row r="473" spans="1:26" ht="18" customHeight="1" x14ac:dyDescent="0.3">
      <c r="A473" s="152"/>
      <c r="B473" s="128"/>
      <c r="C473" s="152"/>
      <c r="D473" s="128"/>
      <c r="E473" s="144" t="str">
        <f>IF(D473="","",IFERROR(INDEX('12 P6 activities'!$B$7:$B$206,MATCH(D473,'12 P6 activities'!$A$7:$A$206,0)),"⚠ not in P6 list"))</f>
        <v/>
      </c>
      <c r="F473" s="144" t="str">
        <f>IF(D473="","",IFERROR(INDEX('12 P6 activities'!$C$7:$C$206,MATCH(D473,'12 P6 activities'!$A$7:$A$206,0)),"⚠ not in P6 list"))</f>
        <v/>
      </c>
      <c r="G473" s="124"/>
      <c r="H473" s="152"/>
      <c r="I473" s="153" t="str">
        <f>IF(H473&lt;&gt;"Y","",IF(D473="","Pick the affected P6 activity first",IF(COUNTIFS('11 Notice calendar'!$A$7:$A$46,A473,'11 Notice calendar'!$I$7:$I$46,D473)&gt;0,"In the Notice calendar","Log it in the Notice calendar today")))</f>
        <v/>
      </c>
      <c r="J473" s="146"/>
      <c r="K473" s="146"/>
      <c r="L473" s="6"/>
      <c r="M473" s="6"/>
      <c r="N473" s="6"/>
      <c r="O473" s="6"/>
      <c r="P473" s="6"/>
      <c r="Q473" s="6"/>
      <c r="R473" s="6"/>
      <c r="S473" s="6"/>
      <c r="T473" s="6"/>
      <c r="U473" s="6"/>
      <c r="V473" s="6"/>
      <c r="W473" s="6"/>
      <c r="X473" s="6"/>
      <c r="Y473" s="6"/>
      <c r="Z473" s="6"/>
    </row>
    <row r="474" spans="1:26" ht="18" customHeight="1" x14ac:dyDescent="0.3">
      <c r="A474" s="152"/>
      <c r="B474" s="128"/>
      <c r="C474" s="152"/>
      <c r="D474" s="128"/>
      <c r="E474" s="144" t="str">
        <f>IF(D474="","",IFERROR(INDEX('12 P6 activities'!$B$7:$B$206,MATCH(D474,'12 P6 activities'!$A$7:$A$206,0)),"⚠ not in P6 list"))</f>
        <v/>
      </c>
      <c r="F474" s="144" t="str">
        <f>IF(D474="","",IFERROR(INDEX('12 P6 activities'!$C$7:$C$206,MATCH(D474,'12 P6 activities'!$A$7:$A$206,0)),"⚠ not in P6 list"))</f>
        <v/>
      </c>
      <c r="G474" s="124"/>
      <c r="H474" s="152"/>
      <c r="I474" s="153" t="str">
        <f>IF(H474&lt;&gt;"Y","",IF(D474="","Pick the affected P6 activity first",IF(COUNTIFS('11 Notice calendar'!$A$7:$A$46,A474,'11 Notice calendar'!$I$7:$I$46,D474)&gt;0,"In the Notice calendar","Log it in the Notice calendar today")))</f>
        <v/>
      </c>
      <c r="J474" s="146"/>
      <c r="K474" s="146"/>
      <c r="L474" s="6"/>
      <c r="M474" s="6"/>
      <c r="N474" s="6"/>
      <c r="O474" s="6"/>
      <c r="P474" s="6"/>
      <c r="Q474" s="6"/>
      <c r="R474" s="6"/>
      <c r="S474" s="6"/>
      <c r="T474" s="6"/>
      <c r="U474" s="6"/>
      <c r="V474" s="6"/>
      <c r="W474" s="6"/>
      <c r="X474" s="6"/>
      <c r="Y474" s="6"/>
      <c r="Z474" s="6"/>
    </row>
    <row r="475" spans="1:26" ht="18" customHeight="1" x14ac:dyDescent="0.3">
      <c r="A475" s="152"/>
      <c r="B475" s="128"/>
      <c r="C475" s="152"/>
      <c r="D475" s="128"/>
      <c r="E475" s="144" t="str">
        <f>IF(D475="","",IFERROR(INDEX('12 P6 activities'!$B$7:$B$206,MATCH(D475,'12 P6 activities'!$A$7:$A$206,0)),"⚠ not in P6 list"))</f>
        <v/>
      </c>
      <c r="F475" s="144" t="str">
        <f>IF(D475="","",IFERROR(INDEX('12 P6 activities'!$C$7:$C$206,MATCH(D475,'12 P6 activities'!$A$7:$A$206,0)),"⚠ not in P6 list"))</f>
        <v/>
      </c>
      <c r="G475" s="124"/>
      <c r="H475" s="152"/>
      <c r="I475" s="153" t="str">
        <f>IF(H475&lt;&gt;"Y","",IF(D475="","Pick the affected P6 activity first",IF(COUNTIFS('11 Notice calendar'!$A$7:$A$46,A475,'11 Notice calendar'!$I$7:$I$46,D475)&gt;0,"In the Notice calendar","Log it in the Notice calendar today")))</f>
        <v/>
      </c>
      <c r="J475" s="146"/>
      <c r="K475" s="146"/>
      <c r="L475" s="6"/>
      <c r="M475" s="6"/>
      <c r="N475" s="6"/>
      <c r="O475" s="6"/>
      <c r="P475" s="6"/>
      <c r="Q475" s="6"/>
      <c r="R475" s="6"/>
      <c r="S475" s="6"/>
      <c r="T475" s="6"/>
      <c r="U475" s="6"/>
      <c r="V475" s="6"/>
      <c r="W475" s="6"/>
      <c r="X475" s="6"/>
      <c r="Y475" s="6"/>
      <c r="Z475" s="6"/>
    </row>
    <row r="476" spans="1:26" ht="18" customHeight="1" x14ac:dyDescent="0.3">
      <c r="A476" s="152"/>
      <c r="B476" s="128"/>
      <c r="C476" s="152"/>
      <c r="D476" s="128"/>
      <c r="E476" s="144" t="str">
        <f>IF(D476="","",IFERROR(INDEX('12 P6 activities'!$B$7:$B$206,MATCH(D476,'12 P6 activities'!$A$7:$A$206,0)),"⚠ not in P6 list"))</f>
        <v/>
      </c>
      <c r="F476" s="144" t="str">
        <f>IF(D476="","",IFERROR(INDEX('12 P6 activities'!$C$7:$C$206,MATCH(D476,'12 P6 activities'!$A$7:$A$206,0)),"⚠ not in P6 list"))</f>
        <v/>
      </c>
      <c r="G476" s="124"/>
      <c r="H476" s="152"/>
      <c r="I476" s="153" t="str">
        <f>IF(H476&lt;&gt;"Y","",IF(D476="","Pick the affected P6 activity first",IF(COUNTIFS('11 Notice calendar'!$A$7:$A$46,A476,'11 Notice calendar'!$I$7:$I$46,D476)&gt;0,"In the Notice calendar","Log it in the Notice calendar today")))</f>
        <v/>
      </c>
      <c r="J476" s="146"/>
      <c r="K476" s="146"/>
      <c r="L476" s="6"/>
      <c r="M476" s="6"/>
      <c r="N476" s="6"/>
      <c r="O476" s="6"/>
      <c r="P476" s="6"/>
      <c r="Q476" s="6"/>
      <c r="R476" s="6"/>
      <c r="S476" s="6"/>
      <c r="T476" s="6"/>
      <c r="U476" s="6"/>
      <c r="V476" s="6"/>
      <c r="W476" s="6"/>
      <c r="X476" s="6"/>
      <c r="Y476" s="6"/>
      <c r="Z476" s="6"/>
    </row>
    <row r="477" spans="1:26" ht="18" customHeight="1" x14ac:dyDescent="0.3">
      <c r="A477" s="152"/>
      <c r="B477" s="128"/>
      <c r="C477" s="152"/>
      <c r="D477" s="128"/>
      <c r="E477" s="144" t="str">
        <f>IF(D477="","",IFERROR(INDEX('12 P6 activities'!$B$7:$B$206,MATCH(D477,'12 P6 activities'!$A$7:$A$206,0)),"⚠ not in P6 list"))</f>
        <v/>
      </c>
      <c r="F477" s="144" t="str">
        <f>IF(D477="","",IFERROR(INDEX('12 P6 activities'!$C$7:$C$206,MATCH(D477,'12 P6 activities'!$A$7:$A$206,0)),"⚠ not in P6 list"))</f>
        <v/>
      </c>
      <c r="G477" s="124"/>
      <c r="H477" s="152"/>
      <c r="I477" s="153" t="str">
        <f>IF(H477&lt;&gt;"Y","",IF(D477="","Pick the affected P6 activity first",IF(COUNTIFS('11 Notice calendar'!$A$7:$A$46,A477,'11 Notice calendar'!$I$7:$I$46,D477)&gt;0,"In the Notice calendar","Log it in the Notice calendar today")))</f>
        <v/>
      </c>
      <c r="J477" s="146"/>
      <c r="K477" s="146"/>
      <c r="L477" s="6"/>
      <c r="M477" s="6"/>
      <c r="N477" s="6"/>
      <c r="O477" s="6"/>
      <c r="P477" s="6"/>
      <c r="Q477" s="6"/>
      <c r="R477" s="6"/>
      <c r="S477" s="6"/>
      <c r="T477" s="6"/>
      <c r="U477" s="6"/>
      <c r="V477" s="6"/>
      <c r="W477" s="6"/>
      <c r="X477" s="6"/>
      <c r="Y477" s="6"/>
      <c r="Z477" s="6"/>
    </row>
    <row r="478" spans="1:26" ht="18" customHeight="1" x14ac:dyDescent="0.3">
      <c r="A478" s="152"/>
      <c r="B478" s="128"/>
      <c r="C478" s="152"/>
      <c r="D478" s="128"/>
      <c r="E478" s="144" t="str">
        <f>IF(D478="","",IFERROR(INDEX('12 P6 activities'!$B$7:$B$206,MATCH(D478,'12 P6 activities'!$A$7:$A$206,0)),"⚠ not in P6 list"))</f>
        <v/>
      </c>
      <c r="F478" s="144" t="str">
        <f>IF(D478="","",IFERROR(INDEX('12 P6 activities'!$C$7:$C$206,MATCH(D478,'12 P6 activities'!$A$7:$A$206,0)),"⚠ not in P6 list"))</f>
        <v/>
      </c>
      <c r="G478" s="124"/>
      <c r="H478" s="152"/>
      <c r="I478" s="153" t="str">
        <f>IF(H478&lt;&gt;"Y","",IF(D478="","Pick the affected P6 activity first",IF(COUNTIFS('11 Notice calendar'!$A$7:$A$46,A478,'11 Notice calendar'!$I$7:$I$46,D478)&gt;0,"In the Notice calendar","Log it in the Notice calendar today")))</f>
        <v/>
      </c>
      <c r="J478" s="146"/>
      <c r="K478" s="146"/>
      <c r="L478" s="6"/>
      <c r="M478" s="6"/>
      <c r="N478" s="6"/>
      <c r="O478" s="6"/>
      <c r="P478" s="6"/>
      <c r="Q478" s="6"/>
      <c r="R478" s="6"/>
      <c r="S478" s="6"/>
      <c r="T478" s="6"/>
      <c r="U478" s="6"/>
      <c r="V478" s="6"/>
      <c r="W478" s="6"/>
      <c r="X478" s="6"/>
      <c r="Y478" s="6"/>
      <c r="Z478" s="6"/>
    </row>
    <row r="479" spans="1:26" ht="18" customHeight="1" x14ac:dyDescent="0.3">
      <c r="A479" s="152"/>
      <c r="B479" s="128"/>
      <c r="C479" s="152"/>
      <c r="D479" s="128"/>
      <c r="E479" s="144" t="str">
        <f>IF(D479="","",IFERROR(INDEX('12 P6 activities'!$B$7:$B$206,MATCH(D479,'12 P6 activities'!$A$7:$A$206,0)),"⚠ not in P6 list"))</f>
        <v/>
      </c>
      <c r="F479" s="144" t="str">
        <f>IF(D479="","",IFERROR(INDEX('12 P6 activities'!$C$7:$C$206,MATCH(D479,'12 P6 activities'!$A$7:$A$206,0)),"⚠ not in P6 list"))</f>
        <v/>
      </c>
      <c r="G479" s="124"/>
      <c r="H479" s="152"/>
      <c r="I479" s="153" t="str">
        <f>IF(H479&lt;&gt;"Y","",IF(D479="","Pick the affected P6 activity first",IF(COUNTIFS('11 Notice calendar'!$A$7:$A$46,A479,'11 Notice calendar'!$I$7:$I$46,D479)&gt;0,"In the Notice calendar","Log it in the Notice calendar today")))</f>
        <v/>
      </c>
      <c r="J479" s="146"/>
      <c r="K479" s="146"/>
      <c r="L479" s="6"/>
      <c r="M479" s="6"/>
      <c r="N479" s="6"/>
      <c r="O479" s="6"/>
      <c r="P479" s="6"/>
      <c r="Q479" s="6"/>
      <c r="R479" s="6"/>
      <c r="S479" s="6"/>
      <c r="T479" s="6"/>
      <c r="U479" s="6"/>
      <c r="V479" s="6"/>
      <c r="W479" s="6"/>
      <c r="X479" s="6"/>
      <c r="Y479" s="6"/>
      <c r="Z479" s="6"/>
    </row>
    <row r="480" spans="1:26" ht="18" customHeight="1" x14ac:dyDescent="0.3">
      <c r="A480" s="152"/>
      <c r="B480" s="128"/>
      <c r="C480" s="152"/>
      <c r="D480" s="128"/>
      <c r="E480" s="144" t="str">
        <f>IF(D480="","",IFERROR(INDEX('12 P6 activities'!$B$7:$B$206,MATCH(D480,'12 P6 activities'!$A$7:$A$206,0)),"⚠ not in P6 list"))</f>
        <v/>
      </c>
      <c r="F480" s="144" t="str">
        <f>IF(D480="","",IFERROR(INDEX('12 P6 activities'!$C$7:$C$206,MATCH(D480,'12 P6 activities'!$A$7:$A$206,0)),"⚠ not in P6 list"))</f>
        <v/>
      </c>
      <c r="G480" s="124"/>
      <c r="H480" s="152"/>
      <c r="I480" s="153" t="str">
        <f>IF(H480&lt;&gt;"Y","",IF(D480="","Pick the affected P6 activity first",IF(COUNTIFS('11 Notice calendar'!$A$7:$A$46,A480,'11 Notice calendar'!$I$7:$I$46,D480)&gt;0,"In the Notice calendar","Log it in the Notice calendar today")))</f>
        <v/>
      </c>
      <c r="J480" s="146"/>
      <c r="K480" s="146"/>
      <c r="L480" s="6"/>
      <c r="M480" s="6"/>
      <c r="N480" s="6"/>
      <c r="O480" s="6"/>
      <c r="P480" s="6"/>
      <c r="Q480" s="6"/>
      <c r="R480" s="6"/>
      <c r="S480" s="6"/>
      <c r="T480" s="6"/>
      <c r="U480" s="6"/>
      <c r="V480" s="6"/>
      <c r="W480" s="6"/>
      <c r="X480" s="6"/>
      <c r="Y480" s="6"/>
      <c r="Z480" s="6"/>
    </row>
    <row r="481" spans="1:26" ht="18" customHeight="1" x14ac:dyDescent="0.3">
      <c r="A481" s="152"/>
      <c r="B481" s="128"/>
      <c r="C481" s="152"/>
      <c r="D481" s="128"/>
      <c r="E481" s="144" t="str">
        <f>IF(D481="","",IFERROR(INDEX('12 P6 activities'!$B$7:$B$206,MATCH(D481,'12 P6 activities'!$A$7:$A$206,0)),"⚠ not in P6 list"))</f>
        <v/>
      </c>
      <c r="F481" s="144" t="str">
        <f>IF(D481="","",IFERROR(INDEX('12 P6 activities'!$C$7:$C$206,MATCH(D481,'12 P6 activities'!$A$7:$A$206,0)),"⚠ not in P6 list"))</f>
        <v/>
      </c>
      <c r="G481" s="124"/>
      <c r="H481" s="152"/>
      <c r="I481" s="153" t="str">
        <f>IF(H481&lt;&gt;"Y","",IF(D481="","Pick the affected P6 activity first",IF(COUNTIFS('11 Notice calendar'!$A$7:$A$46,A481,'11 Notice calendar'!$I$7:$I$46,D481)&gt;0,"In the Notice calendar","Log it in the Notice calendar today")))</f>
        <v/>
      </c>
      <c r="J481" s="146"/>
      <c r="K481" s="146"/>
      <c r="L481" s="6"/>
      <c r="M481" s="6"/>
      <c r="N481" s="6"/>
      <c r="O481" s="6"/>
      <c r="P481" s="6"/>
      <c r="Q481" s="6"/>
      <c r="R481" s="6"/>
      <c r="S481" s="6"/>
      <c r="T481" s="6"/>
      <c r="U481" s="6"/>
      <c r="V481" s="6"/>
      <c r="W481" s="6"/>
      <c r="X481" s="6"/>
      <c r="Y481" s="6"/>
      <c r="Z481" s="6"/>
    </row>
    <row r="482" spans="1:26" ht="18" customHeight="1" x14ac:dyDescent="0.3">
      <c r="A482" s="152"/>
      <c r="B482" s="128"/>
      <c r="C482" s="152"/>
      <c r="D482" s="128"/>
      <c r="E482" s="144" t="str">
        <f>IF(D482="","",IFERROR(INDEX('12 P6 activities'!$B$7:$B$206,MATCH(D482,'12 P6 activities'!$A$7:$A$206,0)),"⚠ not in P6 list"))</f>
        <v/>
      </c>
      <c r="F482" s="144" t="str">
        <f>IF(D482="","",IFERROR(INDEX('12 P6 activities'!$C$7:$C$206,MATCH(D482,'12 P6 activities'!$A$7:$A$206,0)),"⚠ not in P6 list"))</f>
        <v/>
      </c>
      <c r="G482" s="124"/>
      <c r="H482" s="152"/>
      <c r="I482" s="153" t="str">
        <f>IF(H482&lt;&gt;"Y","",IF(D482="","Pick the affected P6 activity first",IF(COUNTIFS('11 Notice calendar'!$A$7:$A$46,A482,'11 Notice calendar'!$I$7:$I$46,D482)&gt;0,"In the Notice calendar","Log it in the Notice calendar today")))</f>
        <v/>
      </c>
      <c r="J482" s="146"/>
      <c r="K482" s="146"/>
      <c r="L482" s="6"/>
      <c r="M482" s="6"/>
      <c r="N482" s="6"/>
      <c r="O482" s="6"/>
      <c r="P482" s="6"/>
      <c r="Q482" s="6"/>
      <c r="R482" s="6"/>
      <c r="S482" s="6"/>
      <c r="T482" s="6"/>
      <c r="U482" s="6"/>
      <c r="V482" s="6"/>
      <c r="W482" s="6"/>
      <c r="X482" s="6"/>
      <c r="Y482" s="6"/>
      <c r="Z482" s="6"/>
    </row>
    <row r="483" spans="1:26" ht="18" customHeight="1" x14ac:dyDescent="0.3">
      <c r="A483" s="152"/>
      <c r="B483" s="128"/>
      <c r="C483" s="152"/>
      <c r="D483" s="128"/>
      <c r="E483" s="144" t="str">
        <f>IF(D483="","",IFERROR(INDEX('12 P6 activities'!$B$7:$B$206,MATCH(D483,'12 P6 activities'!$A$7:$A$206,0)),"⚠ not in P6 list"))</f>
        <v/>
      </c>
      <c r="F483" s="144" t="str">
        <f>IF(D483="","",IFERROR(INDEX('12 P6 activities'!$C$7:$C$206,MATCH(D483,'12 P6 activities'!$A$7:$A$206,0)),"⚠ not in P6 list"))</f>
        <v/>
      </c>
      <c r="G483" s="124"/>
      <c r="H483" s="152"/>
      <c r="I483" s="153" t="str">
        <f>IF(H483&lt;&gt;"Y","",IF(D483="","Pick the affected P6 activity first",IF(COUNTIFS('11 Notice calendar'!$A$7:$A$46,A483,'11 Notice calendar'!$I$7:$I$46,D483)&gt;0,"In the Notice calendar","Log it in the Notice calendar today")))</f>
        <v/>
      </c>
      <c r="J483" s="146"/>
      <c r="K483" s="146"/>
      <c r="L483" s="6"/>
      <c r="M483" s="6"/>
      <c r="N483" s="6"/>
      <c r="O483" s="6"/>
      <c r="P483" s="6"/>
      <c r="Q483" s="6"/>
      <c r="R483" s="6"/>
      <c r="S483" s="6"/>
      <c r="T483" s="6"/>
      <c r="U483" s="6"/>
      <c r="V483" s="6"/>
      <c r="W483" s="6"/>
      <c r="X483" s="6"/>
      <c r="Y483" s="6"/>
      <c r="Z483" s="6"/>
    </row>
    <row r="484" spans="1:26" ht="18" customHeight="1" x14ac:dyDescent="0.3">
      <c r="A484" s="152"/>
      <c r="B484" s="128"/>
      <c r="C484" s="152"/>
      <c r="D484" s="128"/>
      <c r="E484" s="144" t="str">
        <f>IF(D484="","",IFERROR(INDEX('12 P6 activities'!$B$7:$B$206,MATCH(D484,'12 P6 activities'!$A$7:$A$206,0)),"⚠ not in P6 list"))</f>
        <v/>
      </c>
      <c r="F484" s="144" t="str">
        <f>IF(D484="","",IFERROR(INDEX('12 P6 activities'!$C$7:$C$206,MATCH(D484,'12 P6 activities'!$A$7:$A$206,0)),"⚠ not in P6 list"))</f>
        <v/>
      </c>
      <c r="G484" s="124"/>
      <c r="H484" s="152"/>
      <c r="I484" s="153" t="str">
        <f>IF(H484&lt;&gt;"Y","",IF(D484="","Pick the affected P6 activity first",IF(COUNTIFS('11 Notice calendar'!$A$7:$A$46,A484,'11 Notice calendar'!$I$7:$I$46,D484)&gt;0,"In the Notice calendar","Log it in the Notice calendar today")))</f>
        <v/>
      </c>
      <c r="J484" s="146"/>
      <c r="K484" s="146"/>
      <c r="L484" s="6"/>
      <c r="M484" s="6"/>
      <c r="N484" s="6"/>
      <c r="O484" s="6"/>
      <c r="P484" s="6"/>
      <c r="Q484" s="6"/>
      <c r="R484" s="6"/>
      <c r="S484" s="6"/>
      <c r="T484" s="6"/>
      <c r="U484" s="6"/>
      <c r="V484" s="6"/>
      <c r="W484" s="6"/>
      <c r="X484" s="6"/>
      <c r="Y484" s="6"/>
      <c r="Z484" s="6"/>
    </row>
    <row r="485" spans="1:26" ht="18" customHeight="1" x14ac:dyDescent="0.3">
      <c r="A485" s="152"/>
      <c r="B485" s="128"/>
      <c r="C485" s="152"/>
      <c r="D485" s="128"/>
      <c r="E485" s="144" t="str">
        <f>IF(D485="","",IFERROR(INDEX('12 P6 activities'!$B$7:$B$206,MATCH(D485,'12 P6 activities'!$A$7:$A$206,0)),"⚠ not in P6 list"))</f>
        <v/>
      </c>
      <c r="F485" s="144" t="str">
        <f>IF(D485="","",IFERROR(INDEX('12 P6 activities'!$C$7:$C$206,MATCH(D485,'12 P6 activities'!$A$7:$A$206,0)),"⚠ not in P6 list"))</f>
        <v/>
      </c>
      <c r="G485" s="124"/>
      <c r="H485" s="152"/>
      <c r="I485" s="153" t="str">
        <f>IF(H485&lt;&gt;"Y","",IF(D485="","Pick the affected P6 activity first",IF(COUNTIFS('11 Notice calendar'!$A$7:$A$46,A485,'11 Notice calendar'!$I$7:$I$46,D485)&gt;0,"In the Notice calendar","Log it in the Notice calendar today")))</f>
        <v/>
      </c>
      <c r="J485" s="146"/>
      <c r="K485" s="146"/>
      <c r="L485" s="6"/>
      <c r="M485" s="6"/>
      <c r="N485" s="6"/>
      <c r="O485" s="6"/>
      <c r="P485" s="6"/>
      <c r="Q485" s="6"/>
      <c r="R485" s="6"/>
      <c r="S485" s="6"/>
      <c r="T485" s="6"/>
      <c r="U485" s="6"/>
      <c r="V485" s="6"/>
      <c r="W485" s="6"/>
      <c r="X485" s="6"/>
      <c r="Y485" s="6"/>
      <c r="Z485" s="6"/>
    </row>
    <row r="486" spans="1:26" ht="18" customHeight="1" x14ac:dyDescent="0.3">
      <c r="A486" s="152"/>
      <c r="B486" s="128"/>
      <c r="C486" s="152"/>
      <c r="D486" s="128"/>
      <c r="E486" s="144" t="str">
        <f>IF(D486="","",IFERROR(INDEX('12 P6 activities'!$B$7:$B$206,MATCH(D486,'12 P6 activities'!$A$7:$A$206,0)),"⚠ not in P6 list"))</f>
        <v/>
      </c>
      <c r="F486" s="144" t="str">
        <f>IF(D486="","",IFERROR(INDEX('12 P6 activities'!$C$7:$C$206,MATCH(D486,'12 P6 activities'!$A$7:$A$206,0)),"⚠ not in P6 list"))</f>
        <v/>
      </c>
      <c r="G486" s="124"/>
      <c r="H486" s="152"/>
      <c r="I486" s="153" t="str">
        <f>IF(H486&lt;&gt;"Y","",IF(D486="","Pick the affected P6 activity first",IF(COUNTIFS('11 Notice calendar'!$A$7:$A$46,A486,'11 Notice calendar'!$I$7:$I$46,D486)&gt;0,"In the Notice calendar","Log it in the Notice calendar today")))</f>
        <v/>
      </c>
      <c r="J486" s="146"/>
      <c r="K486" s="146"/>
      <c r="L486" s="6"/>
      <c r="M486" s="6"/>
      <c r="N486" s="6"/>
      <c r="O486" s="6"/>
      <c r="P486" s="6"/>
      <c r="Q486" s="6"/>
      <c r="R486" s="6"/>
      <c r="S486" s="6"/>
      <c r="T486" s="6"/>
      <c r="U486" s="6"/>
      <c r="V486" s="6"/>
      <c r="W486" s="6"/>
      <c r="X486" s="6"/>
      <c r="Y486" s="6"/>
      <c r="Z486" s="6"/>
    </row>
    <row r="487" spans="1:26" ht="18" customHeight="1" x14ac:dyDescent="0.3">
      <c r="A487" s="152"/>
      <c r="B487" s="128"/>
      <c r="C487" s="152"/>
      <c r="D487" s="128"/>
      <c r="E487" s="144" t="str">
        <f>IF(D487="","",IFERROR(INDEX('12 P6 activities'!$B$7:$B$206,MATCH(D487,'12 P6 activities'!$A$7:$A$206,0)),"⚠ not in P6 list"))</f>
        <v/>
      </c>
      <c r="F487" s="144" t="str">
        <f>IF(D487="","",IFERROR(INDEX('12 P6 activities'!$C$7:$C$206,MATCH(D487,'12 P6 activities'!$A$7:$A$206,0)),"⚠ not in P6 list"))</f>
        <v/>
      </c>
      <c r="G487" s="124"/>
      <c r="H487" s="152"/>
      <c r="I487" s="153" t="str">
        <f>IF(H487&lt;&gt;"Y","",IF(D487="","Pick the affected P6 activity first",IF(COUNTIFS('11 Notice calendar'!$A$7:$A$46,A487,'11 Notice calendar'!$I$7:$I$46,D487)&gt;0,"In the Notice calendar","Log it in the Notice calendar today")))</f>
        <v/>
      </c>
      <c r="J487" s="146"/>
      <c r="K487" s="146"/>
      <c r="L487" s="6"/>
      <c r="M487" s="6"/>
      <c r="N487" s="6"/>
      <c r="O487" s="6"/>
      <c r="P487" s="6"/>
      <c r="Q487" s="6"/>
      <c r="R487" s="6"/>
      <c r="S487" s="6"/>
      <c r="T487" s="6"/>
      <c r="U487" s="6"/>
      <c r="V487" s="6"/>
      <c r="W487" s="6"/>
      <c r="X487" s="6"/>
      <c r="Y487" s="6"/>
      <c r="Z487" s="6"/>
    </row>
    <row r="488" spans="1:26" ht="18" customHeight="1" x14ac:dyDescent="0.3">
      <c r="A488" s="152"/>
      <c r="B488" s="128"/>
      <c r="C488" s="152"/>
      <c r="D488" s="128"/>
      <c r="E488" s="144" t="str">
        <f>IF(D488="","",IFERROR(INDEX('12 P6 activities'!$B$7:$B$206,MATCH(D488,'12 P6 activities'!$A$7:$A$206,0)),"⚠ not in P6 list"))</f>
        <v/>
      </c>
      <c r="F488" s="144" t="str">
        <f>IF(D488="","",IFERROR(INDEX('12 P6 activities'!$C$7:$C$206,MATCH(D488,'12 P6 activities'!$A$7:$A$206,0)),"⚠ not in P6 list"))</f>
        <v/>
      </c>
      <c r="G488" s="124"/>
      <c r="H488" s="152"/>
      <c r="I488" s="153" t="str">
        <f>IF(H488&lt;&gt;"Y","",IF(D488="","Pick the affected P6 activity first",IF(COUNTIFS('11 Notice calendar'!$A$7:$A$46,A488,'11 Notice calendar'!$I$7:$I$46,D488)&gt;0,"In the Notice calendar","Log it in the Notice calendar today")))</f>
        <v/>
      </c>
      <c r="J488" s="146"/>
      <c r="K488" s="146"/>
      <c r="L488" s="6"/>
      <c r="M488" s="6"/>
      <c r="N488" s="6"/>
      <c r="O488" s="6"/>
      <c r="P488" s="6"/>
      <c r="Q488" s="6"/>
      <c r="R488" s="6"/>
      <c r="S488" s="6"/>
      <c r="T488" s="6"/>
      <c r="U488" s="6"/>
      <c r="V488" s="6"/>
      <c r="W488" s="6"/>
      <c r="X488" s="6"/>
      <c r="Y488" s="6"/>
      <c r="Z488" s="6"/>
    </row>
    <row r="489" spans="1:26" ht="18" customHeight="1" x14ac:dyDescent="0.3">
      <c r="A489" s="152"/>
      <c r="B489" s="128"/>
      <c r="C489" s="152"/>
      <c r="D489" s="128"/>
      <c r="E489" s="144" t="str">
        <f>IF(D489="","",IFERROR(INDEX('12 P6 activities'!$B$7:$B$206,MATCH(D489,'12 P6 activities'!$A$7:$A$206,0)),"⚠ not in P6 list"))</f>
        <v/>
      </c>
      <c r="F489" s="144" t="str">
        <f>IF(D489="","",IFERROR(INDEX('12 P6 activities'!$C$7:$C$206,MATCH(D489,'12 P6 activities'!$A$7:$A$206,0)),"⚠ not in P6 list"))</f>
        <v/>
      </c>
      <c r="G489" s="124"/>
      <c r="H489" s="152"/>
      <c r="I489" s="153" t="str">
        <f>IF(H489&lt;&gt;"Y","",IF(D489="","Pick the affected P6 activity first",IF(COUNTIFS('11 Notice calendar'!$A$7:$A$46,A489,'11 Notice calendar'!$I$7:$I$46,D489)&gt;0,"In the Notice calendar","Log it in the Notice calendar today")))</f>
        <v/>
      </c>
      <c r="J489" s="146"/>
      <c r="K489" s="146"/>
      <c r="L489" s="6"/>
      <c r="M489" s="6"/>
      <c r="N489" s="6"/>
      <c r="O489" s="6"/>
      <c r="P489" s="6"/>
      <c r="Q489" s="6"/>
      <c r="R489" s="6"/>
      <c r="S489" s="6"/>
      <c r="T489" s="6"/>
      <c r="U489" s="6"/>
      <c r="V489" s="6"/>
      <c r="W489" s="6"/>
      <c r="X489" s="6"/>
      <c r="Y489" s="6"/>
      <c r="Z489" s="6"/>
    </row>
    <row r="490" spans="1:26" ht="18" customHeight="1" x14ac:dyDescent="0.3">
      <c r="A490" s="152"/>
      <c r="B490" s="128"/>
      <c r="C490" s="152"/>
      <c r="D490" s="128"/>
      <c r="E490" s="144" t="str">
        <f>IF(D490="","",IFERROR(INDEX('12 P6 activities'!$B$7:$B$206,MATCH(D490,'12 P6 activities'!$A$7:$A$206,0)),"⚠ not in P6 list"))</f>
        <v/>
      </c>
      <c r="F490" s="144" t="str">
        <f>IF(D490="","",IFERROR(INDEX('12 P6 activities'!$C$7:$C$206,MATCH(D490,'12 P6 activities'!$A$7:$A$206,0)),"⚠ not in P6 list"))</f>
        <v/>
      </c>
      <c r="G490" s="124"/>
      <c r="H490" s="152"/>
      <c r="I490" s="153" t="str">
        <f>IF(H490&lt;&gt;"Y","",IF(D490="","Pick the affected P6 activity first",IF(COUNTIFS('11 Notice calendar'!$A$7:$A$46,A490,'11 Notice calendar'!$I$7:$I$46,D490)&gt;0,"In the Notice calendar","Log it in the Notice calendar today")))</f>
        <v/>
      </c>
      <c r="J490" s="146"/>
      <c r="K490" s="146"/>
      <c r="L490" s="6"/>
      <c r="M490" s="6"/>
      <c r="N490" s="6"/>
      <c r="O490" s="6"/>
      <c r="P490" s="6"/>
      <c r="Q490" s="6"/>
      <c r="R490" s="6"/>
      <c r="S490" s="6"/>
      <c r="T490" s="6"/>
      <c r="U490" s="6"/>
      <c r="V490" s="6"/>
      <c r="W490" s="6"/>
      <c r="X490" s="6"/>
      <c r="Y490" s="6"/>
      <c r="Z490" s="6"/>
    </row>
    <row r="491" spans="1:26" ht="18" customHeight="1" x14ac:dyDescent="0.3">
      <c r="A491" s="152"/>
      <c r="B491" s="128"/>
      <c r="C491" s="152"/>
      <c r="D491" s="128"/>
      <c r="E491" s="144" t="str">
        <f>IF(D491="","",IFERROR(INDEX('12 P6 activities'!$B$7:$B$206,MATCH(D491,'12 P6 activities'!$A$7:$A$206,0)),"⚠ not in P6 list"))</f>
        <v/>
      </c>
      <c r="F491" s="144" t="str">
        <f>IF(D491="","",IFERROR(INDEX('12 P6 activities'!$C$7:$C$206,MATCH(D491,'12 P6 activities'!$A$7:$A$206,0)),"⚠ not in P6 list"))</f>
        <v/>
      </c>
      <c r="G491" s="124"/>
      <c r="H491" s="152"/>
      <c r="I491" s="153" t="str">
        <f>IF(H491&lt;&gt;"Y","",IF(D491="","Pick the affected P6 activity first",IF(COUNTIFS('11 Notice calendar'!$A$7:$A$46,A491,'11 Notice calendar'!$I$7:$I$46,D491)&gt;0,"In the Notice calendar","Log it in the Notice calendar today")))</f>
        <v/>
      </c>
      <c r="J491" s="146"/>
      <c r="K491" s="146"/>
      <c r="L491" s="6"/>
      <c r="M491" s="6"/>
      <c r="N491" s="6"/>
      <c r="O491" s="6"/>
      <c r="P491" s="6"/>
      <c r="Q491" s="6"/>
      <c r="R491" s="6"/>
      <c r="S491" s="6"/>
      <c r="T491" s="6"/>
      <c r="U491" s="6"/>
      <c r="V491" s="6"/>
      <c r="W491" s="6"/>
      <c r="X491" s="6"/>
      <c r="Y491" s="6"/>
      <c r="Z491" s="6"/>
    </row>
    <row r="492" spans="1:26" ht="18" customHeight="1" x14ac:dyDescent="0.3">
      <c r="A492" s="152"/>
      <c r="B492" s="128"/>
      <c r="C492" s="152"/>
      <c r="D492" s="128"/>
      <c r="E492" s="144" t="str">
        <f>IF(D492="","",IFERROR(INDEX('12 P6 activities'!$B$7:$B$206,MATCH(D492,'12 P6 activities'!$A$7:$A$206,0)),"⚠ not in P6 list"))</f>
        <v/>
      </c>
      <c r="F492" s="144" t="str">
        <f>IF(D492="","",IFERROR(INDEX('12 P6 activities'!$C$7:$C$206,MATCH(D492,'12 P6 activities'!$A$7:$A$206,0)),"⚠ not in P6 list"))</f>
        <v/>
      </c>
      <c r="G492" s="124"/>
      <c r="H492" s="152"/>
      <c r="I492" s="153" t="str">
        <f>IF(H492&lt;&gt;"Y","",IF(D492="","Pick the affected P6 activity first",IF(COUNTIFS('11 Notice calendar'!$A$7:$A$46,A492,'11 Notice calendar'!$I$7:$I$46,D492)&gt;0,"In the Notice calendar","Log it in the Notice calendar today")))</f>
        <v/>
      </c>
      <c r="J492" s="146"/>
      <c r="K492" s="146"/>
      <c r="L492" s="6"/>
      <c r="M492" s="6"/>
      <c r="N492" s="6"/>
      <c r="O492" s="6"/>
      <c r="P492" s="6"/>
      <c r="Q492" s="6"/>
      <c r="R492" s="6"/>
      <c r="S492" s="6"/>
      <c r="T492" s="6"/>
      <c r="U492" s="6"/>
      <c r="V492" s="6"/>
      <c r="W492" s="6"/>
      <c r="X492" s="6"/>
      <c r="Y492" s="6"/>
      <c r="Z492" s="6"/>
    </row>
    <row r="493" spans="1:26" ht="18" customHeight="1" x14ac:dyDescent="0.3">
      <c r="A493" s="152"/>
      <c r="B493" s="128"/>
      <c r="C493" s="152"/>
      <c r="D493" s="128"/>
      <c r="E493" s="144" t="str">
        <f>IF(D493="","",IFERROR(INDEX('12 P6 activities'!$B$7:$B$206,MATCH(D493,'12 P6 activities'!$A$7:$A$206,0)),"⚠ not in P6 list"))</f>
        <v/>
      </c>
      <c r="F493" s="144" t="str">
        <f>IF(D493="","",IFERROR(INDEX('12 P6 activities'!$C$7:$C$206,MATCH(D493,'12 P6 activities'!$A$7:$A$206,0)),"⚠ not in P6 list"))</f>
        <v/>
      </c>
      <c r="G493" s="124"/>
      <c r="H493" s="152"/>
      <c r="I493" s="153" t="str">
        <f>IF(H493&lt;&gt;"Y","",IF(D493="","Pick the affected P6 activity first",IF(COUNTIFS('11 Notice calendar'!$A$7:$A$46,A493,'11 Notice calendar'!$I$7:$I$46,D493)&gt;0,"In the Notice calendar","Log it in the Notice calendar today")))</f>
        <v/>
      </c>
      <c r="J493" s="146"/>
      <c r="K493" s="146"/>
      <c r="L493" s="6"/>
      <c r="M493" s="6"/>
      <c r="N493" s="6"/>
      <c r="O493" s="6"/>
      <c r="P493" s="6"/>
      <c r="Q493" s="6"/>
      <c r="R493" s="6"/>
      <c r="S493" s="6"/>
      <c r="T493" s="6"/>
      <c r="U493" s="6"/>
      <c r="V493" s="6"/>
      <c r="W493" s="6"/>
      <c r="X493" s="6"/>
      <c r="Y493" s="6"/>
      <c r="Z493" s="6"/>
    </row>
    <row r="494" spans="1:26" ht="18" customHeight="1" x14ac:dyDescent="0.3">
      <c r="A494" s="152"/>
      <c r="B494" s="128"/>
      <c r="C494" s="152"/>
      <c r="D494" s="128"/>
      <c r="E494" s="144" t="str">
        <f>IF(D494="","",IFERROR(INDEX('12 P6 activities'!$B$7:$B$206,MATCH(D494,'12 P6 activities'!$A$7:$A$206,0)),"⚠ not in P6 list"))</f>
        <v/>
      </c>
      <c r="F494" s="144" t="str">
        <f>IF(D494="","",IFERROR(INDEX('12 P6 activities'!$C$7:$C$206,MATCH(D494,'12 P6 activities'!$A$7:$A$206,0)),"⚠ not in P6 list"))</f>
        <v/>
      </c>
      <c r="G494" s="124"/>
      <c r="H494" s="152"/>
      <c r="I494" s="153" t="str">
        <f>IF(H494&lt;&gt;"Y","",IF(D494="","Pick the affected P6 activity first",IF(COUNTIFS('11 Notice calendar'!$A$7:$A$46,A494,'11 Notice calendar'!$I$7:$I$46,D494)&gt;0,"In the Notice calendar","Log it in the Notice calendar today")))</f>
        <v/>
      </c>
      <c r="J494" s="146"/>
      <c r="K494" s="146"/>
      <c r="L494" s="6"/>
      <c r="M494" s="6"/>
      <c r="N494" s="6"/>
      <c r="O494" s="6"/>
      <c r="P494" s="6"/>
      <c r="Q494" s="6"/>
      <c r="R494" s="6"/>
      <c r="S494" s="6"/>
      <c r="T494" s="6"/>
      <c r="U494" s="6"/>
      <c r="V494" s="6"/>
      <c r="W494" s="6"/>
      <c r="X494" s="6"/>
      <c r="Y494" s="6"/>
      <c r="Z494" s="6"/>
    </row>
    <row r="495" spans="1:26" ht="18" customHeight="1" x14ac:dyDescent="0.3">
      <c r="A495" s="152"/>
      <c r="B495" s="128"/>
      <c r="C495" s="152"/>
      <c r="D495" s="128"/>
      <c r="E495" s="144" t="str">
        <f>IF(D495="","",IFERROR(INDEX('12 P6 activities'!$B$7:$B$206,MATCH(D495,'12 P6 activities'!$A$7:$A$206,0)),"⚠ not in P6 list"))</f>
        <v/>
      </c>
      <c r="F495" s="144" t="str">
        <f>IF(D495="","",IFERROR(INDEX('12 P6 activities'!$C$7:$C$206,MATCH(D495,'12 P6 activities'!$A$7:$A$206,0)),"⚠ not in P6 list"))</f>
        <v/>
      </c>
      <c r="G495" s="124"/>
      <c r="H495" s="152"/>
      <c r="I495" s="153" t="str">
        <f>IF(H495&lt;&gt;"Y","",IF(D495="","Pick the affected P6 activity first",IF(COUNTIFS('11 Notice calendar'!$A$7:$A$46,A495,'11 Notice calendar'!$I$7:$I$46,D495)&gt;0,"In the Notice calendar","Log it in the Notice calendar today")))</f>
        <v/>
      </c>
      <c r="J495" s="146"/>
      <c r="K495" s="146"/>
      <c r="L495" s="6"/>
      <c r="M495" s="6"/>
      <c r="N495" s="6"/>
      <c r="O495" s="6"/>
      <c r="P495" s="6"/>
      <c r="Q495" s="6"/>
      <c r="R495" s="6"/>
      <c r="S495" s="6"/>
      <c r="T495" s="6"/>
      <c r="U495" s="6"/>
      <c r="V495" s="6"/>
      <c r="W495" s="6"/>
      <c r="X495" s="6"/>
      <c r="Y495" s="6"/>
      <c r="Z495" s="6"/>
    </row>
    <row r="496" spans="1:26" ht="18" customHeight="1" x14ac:dyDescent="0.3">
      <c r="A496" s="152"/>
      <c r="B496" s="128"/>
      <c r="C496" s="152"/>
      <c r="D496" s="128"/>
      <c r="E496" s="144" t="str">
        <f>IF(D496="","",IFERROR(INDEX('12 P6 activities'!$B$7:$B$206,MATCH(D496,'12 P6 activities'!$A$7:$A$206,0)),"⚠ not in P6 list"))</f>
        <v/>
      </c>
      <c r="F496" s="144" t="str">
        <f>IF(D496="","",IFERROR(INDEX('12 P6 activities'!$C$7:$C$206,MATCH(D496,'12 P6 activities'!$A$7:$A$206,0)),"⚠ not in P6 list"))</f>
        <v/>
      </c>
      <c r="G496" s="124"/>
      <c r="H496" s="152"/>
      <c r="I496" s="153" t="str">
        <f>IF(H496&lt;&gt;"Y","",IF(D496="","Pick the affected P6 activity first",IF(COUNTIFS('11 Notice calendar'!$A$7:$A$46,A496,'11 Notice calendar'!$I$7:$I$46,D496)&gt;0,"In the Notice calendar","Log it in the Notice calendar today")))</f>
        <v/>
      </c>
      <c r="J496" s="146"/>
      <c r="K496" s="146"/>
      <c r="L496" s="6"/>
      <c r="M496" s="6"/>
      <c r="N496" s="6"/>
      <c r="O496" s="6"/>
      <c r="P496" s="6"/>
      <c r="Q496" s="6"/>
      <c r="R496" s="6"/>
      <c r="S496" s="6"/>
      <c r="T496" s="6"/>
      <c r="U496" s="6"/>
      <c r="V496" s="6"/>
      <c r="W496" s="6"/>
      <c r="X496" s="6"/>
      <c r="Y496" s="6"/>
      <c r="Z496" s="6"/>
    </row>
    <row r="497" spans="1:26" ht="18" customHeight="1" x14ac:dyDescent="0.3">
      <c r="A497" s="152"/>
      <c r="B497" s="128"/>
      <c r="C497" s="152"/>
      <c r="D497" s="128"/>
      <c r="E497" s="144" t="str">
        <f>IF(D497="","",IFERROR(INDEX('12 P6 activities'!$B$7:$B$206,MATCH(D497,'12 P6 activities'!$A$7:$A$206,0)),"⚠ not in P6 list"))</f>
        <v/>
      </c>
      <c r="F497" s="144" t="str">
        <f>IF(D497="","",IFERROR(INDEX('12 P6 activities'!$C$7:$C$206,MATCH(D497,'12 P6 activities'!$A$7:$A$206,0)),"⚠ not in P6 list"))</f>
        <v/>
      </c>
      <c r="G497" s="124"/>
      <c r="H497" s="152"/>
      <c r="I497" s="153" t="str">
        <f>IF(H497&lt;&gt;"Y","",IF(D497="","Pick the affected P6 activity first",IF(COUNTIFS('11 Notice calendar'!$A$7:$A$46,A497,'11 Notice calendar'!$I$7:$I$46,D497)&gt;0,"In the Notice calendar","Log it in the Notice calendar today")))</f>
        <v/>
      </c>
      <c r="J497" s="146"/>
      <c r="K497" s="146"/>
      <c r="L497" s="6"/>
      <c r="M497" s="6"/>
      <c r="N497" s="6"/>
      <c r="O497" s="6"/>
      <c r="P497" s="6"/>
      <c r="Q497" s="6"/>
      <c r="R497" s="6"/>
      <c r="S497" s="6"/>
      <c r="T497" s="6"/>
      <c r="U497" s="6"/>
      <c r="V497" s="6"/>
      <c r="W497" s="6"/>
      <c r="X497" s="6"/>
      <c r="Y497" s="6"/>
      <c r="Z497" s="6"/>
    </row>
    <row r="498" spans="1:26" ht="18" customHeight="1" x14ac:dyDescent="0.3">
      <c r="A498" s="152"/>
      <c r="B498" s="128"/>
      <c r="C498" s="152"/>
      <c r="D498" s="128"/>
      <c r="E498" s="144" t="str">
        <f>IF(D498="","",IFERROR(INDEX('12 P6 activities'!$B$7:$B$206,MATCH(D498,'12 P6 activities'!$A$7:$A$206,0)),"⚠ not in P6 list"))</f>
        <v/>
      </c>
      <c r="F498" s="144" t="str">
        <f>IF(D498="","",IFERROR(INDEX('12 P6 activities'!$C$7:$C$206,MATCH(D498,'12 P6 activities'!$A$7:$A$206,0)),"⚠ not in P6 list"))</f>
        <v/>
      </c>
      <c r="G498" s="124"/>
      <c r="H498" s="152"/>
      <c r="I498" s="153" t="str">
        <f>IF(H498&lt;&gt;"Y","",IF(D498="","Pick the affected P6 activity first",IF(COUNTIFS('11 Notice calendar'!$A$7:$A$46,A498,'11 Notice calendar'!$I$7:$I$46,D498)&gt;0,"In the Notice calendar","Log it in the Notice calendar today")))</f>
        <v/>
      </c>
      <c r="J498" s="146"/>
      <c r="K498" s="146"/>
      <c r="L498" s="6"/>
      <c r="M498" s="6"/>
      <c r="N498" s="6"/>
      <c r="O498" s="6"/>
      <c r="P498" s="6"/>
      <c r="Q498" s="6"/>
      <c r="R498" s="6"/>
      <c r="S498" s="6"/>
      <c r="T498" s="6"/>
      <c r="U498" s="6"/>
      <c r="V498" s="6"/>
      <c r="W498" s="6"/>
      <c r="X498" s="6"/>
      <c r="Y498" s="6"/>
      <c r="Z498" s="6"/>
    </row>
    <row r="499" spans="1:26" ht="18" customHeight="1" x14ac:dyDescent="0.3">
      <c r="A499" s="152"/>
      <c r="B499" s="128"/>
      <c r="C499" s="152"/>
      <c r="D499" s="128"/>
      <c r="E499" s="144" t="str">
        <f>IF(D499="","",IFERROR(INDEX('12 P6 activities'!$B$7:$B$206,MATCH(D499,'12 P6 activities'!$A$7:$A$206,0)),"⚠ not in P6 list"))</f>
        <v/>
      </c>
      <c r="F499" s="144" t="str">
        <f>IF(D499="","",IFERROR(INDEX('12 P6 activities'!$C$7:$C$206,MATCH(D499,'12 P6 activities'!$A$7:$A$206,0)),"⚠ not in P6 list"))</f>
        <v/>
      </c>
      <c r="G499" s="124"/>
      <c r="H499" s="152"/>
      <c r="I499" s="153" t="str">
        <f>IF(H499&lt;&gt;"Y","",IF(D499="","Pick the affected P6 activity first",IF(COUNTIFS('11 Notice calendar'!$A$7:$A$46,A499,'11 Notice calendar'!$I$7:$I$46,D499)&gt;0,"In the Notice calendar","Log it in the Notice calendar today")))</f>
        <v/>
      </c>
      <c r="J499" s="146"/>
      <c r="K499" s="146"/>
      <c r="L499" s="6"/>
      <c r="M499" s="6"/>
      <c r="N499" s="6"/>
      <c r="O499" s="6"/>
      <c r="P499" s="6"/>
      <c r="Q499" s="6"/>
      <c r="R499" s="6"/>
      <c r="S499" s="6"/>
      <c r="T499" s="6"/>
      <c r="U499" s="6"/>
      <c r="V499" s="6"/>
      <c r="W499" s="6"/>
      <c r="X499" s="6"/>
      <c r="Y499" s="6"/>
      <c r="Z499" s="6"/>
    </row>
    <row r="500" spans="1:26" ht="18" customHeight="1" x14ac:dyDescent="0.3">
      <c r="A500" s="152"/>
      <c r="B500" s="128"/>
      <c r="C500" s="152"/>
      <c r="D500" s="128"/>
      <c r="E500" s="144" t="str">
        <f>IF(D500="","",IFERROR(INDEX('12 P6 activities'!$B$7:$B$206,MATCH(D500,'12 P6 activities'!$A$7:$A$206,0)),"⚠ not in P6 list"))</f>
        <v/>
      </c>
      <c r="F500" s="144" t="str">
        <f>IF(D500="","",IFERROR(INDEX('12 P6 activities'!$C$7:$C$206,MATCH(D500,'12 P6 activities'!$A$7:$A$206,0)),"⚠ not in P6 list"))</f>
        <v/>
      </c>
      <c r="G500" s="124"/>
      <c r="H500" s="152"/>
      <c r="I500" s="153" t="str">
        <f>IF(H500&lt;&gt;"Y","",IF(D500="","Pick the affected P6 activity first",IF(COUNTIFS('11 Notice calendar'!$A$7:$A$46,A500,'11 Notice calendar'!$I$7:$I$46,D500)&gt;0,"In the Notice calendar","Log it in the Notice calendar today")))</f>
        <v/>
      </c>
      <c r="J500" s="146"/>
      <c r="K500" s="146"/>
      <c r="L500" s="6"/>
      <c r="M500" s="6"/>
      <c r="N500" s="6"/>
      <c r="O500" s="6"/>
      <c r="P500" s="6"/>
      <c r="Q500" s="6"/>
      <c r="R500" s="6"/>
      <c r="S500" s="6"/>
      <c r="T500" s="6"/>
      <c r="U500" s="6"/>
      <c r="V500" s="6"/>
      <c r="W500" s="6"/>
      <c r="X500" s="6"/>
      <c r="Y500" s="6"/>
      <c r="Z500" s="6"/>
    </row>
    <row r="501" spans="1:26" ht="18" customHeight="1" x14ac:dyDescent="0.3">
      <c r="A501" s="152"/>
      <c r="B501" s="128"/>
      <c r="C501" s="152"/>
      <c r="D501" s="128"/>
      <c r="E501" s="144" t="str">
        <f>IF(D501="","",IFERROR(INDEX('12 P6 activities'!$B$7:$B$206,MATCH(D501,'12 P6 activities'!$A$7:$A$206,0)),"⚠ not in P6 list"))</f>
        <v/>
      </c>
      <c r="F501" s="144" t="str">
        <f>IF(D501="","",IFERROR(INDEX('12 P6 activities'!$C$7:$C$206,MATCH(D501,'12 P6 activities'!$A$7:$A$206,0)),"⚠ not in P6 list"))</f>
        <v/>
      </c>
      <c r="G501" s="124"/>
      <c r="H501" s="152"/>
      <c r="I501" s="153" t="str">
        <f>IF(H501&lt;&gt;"Y","",IF(D501="","Pick the affected P6 activity first",IF(COUNTIFS('11 Notice calendar'!$A$7:$A$46,A501,'11 Notice calendar'!$I$7:$I$46,D501)&gt;0,"In the Notice calendar","Log it in the Notice calendar today")))</f>
        <v/>
      </c>
      <c r="J501" s="146"/>
      <c r="K501" s="146"/>
      <c r="L501" s="6"/>
      <c r="M501" s="6"/>
      <c r="N501" s="6"/>
      <c r="O501" s="6"/>
      <c r="P501" s="6"/>
      <c r="Q501" s="6"/>
      <c r="R501" s="6"/>
      <c r="S501" s="6"/>
      <c r="T501" s="6"/>
      <c r="U501" s="6"/>
      <c r="V501" s="6"/>
      <c r="W501" s="6"/>
      <c r="X501" s="6"/>
      <c r="Y501" s="6"/>
      <c r="Z501" s="6"/>
    </row>
    <row r="502" spans="1:26" ht="18" customHeight="1" x14ac:dyDescent="0.3">
      <c r="A502" s="152"/>
      <c r="B502" s="128"/>
      <c r="C502" s="152"/>
      <c r="D502" s="128"/>
      <c r="E502" s="144" t="str">
        <f>IF(D502="","",IFERROR(INDEX('12 P6 activities'!$B$7:$B$206,MATCH(D502,'12 P6 activities'!$A$7:$A$206,0)),"⚠ not in P6 list"))</f>
        <v/>
      </c>
      <c r="F502" s="144" t="str">
        <f>IF(D502="","",IFERROR(INDEX('12 P6 activities'!$C$7:$C$206,MATCH(D502,'12 P6 activities'!$A$7:$A$206,0)),"⚠ not in P6 list"))</f>
        <v/>
      </c>
      <c r="G502" s="124"/>
      <c r="H502" s="152"/>
      <c r="I502" s="153" t="str">
        <f>IF(H502&lt;&gt;"Y","",IF(D502="","Pick the affected P6 activity first",IF(COUNTIFS('11 Notice calendar'!$A$7:$A$46,A502,'11 Notice calendar'!$I$7:$I$46,D502)&gt;0,"In the Notice calendar","Log it in the Notice calendar today")))</f>
        <v/>
      </c>
      <c r="J502" s="146"/>
      <c r="K502" s="146"/>
      <c r="L502" s="6"/>
      <c r="M502" s="6"/>
      <c r="N502" s="6"/>
      <c r="O502" s="6"/>
      <c r="P502" s="6"/>
      <c r="Q502" s="6"/>
      <c r="R502" s="6"/>
      <c r="S502" s="6"/>
      <c r="T502" s="6"/>
      <c r="U502" s="6"/>
      <c r="V502" s="6"/>
      <c r="W502" s="6"/>
      <c r="X502" s="6"/>
      <c r="Y502" s="6"/>
      <c r="Z502" s="6"/>
    </row>
    <row r="503" spans="1:26" ht="18" customHeight="1" x14ac:dyDescent="0.3">
      <c r="A503" s="152"/>
      <c r="B503" s="128"/>
      <c r="C503" s="152"/>
      <c r="D503" s="128"/>
      <c r="E503" s="144" t="str">
        <f>IF(D503="","",IFERROR(INDEX('12 P6 activities'!$B$7:$B$206,MATCH(D503,'12 P6 activities'!$A$7:$A$206,0)),"⚠ not in P6 list"))</f>
        <v/>
      </c>
      <c r="F503" s="144" t="str">
        <f>IF(D503="","",IFERROR(INDEX('12 P6 activities'!$C$7:$C$206,MATCH(D503,'12 P6 activities'!$A$7:$A$206,0)),"⚠ not in P6 list"))</f>
        <v/>
      </c>
      <c r="G503" s="124"/>
      <c r="H503" s="152"/>
      <c r="I503" s="153" t="str">
        <f>IF(H503&lt;&gt;"Y","",IF(D503="","Pick the affected P6 activity first",IF(COUNTIFS('11 Notice calendar'!$A$7:$A$46,A503,'11 Notice calendar'!$I$7:$I$46,D503)&gt;0,"In the Notice calendar","Log it in the Notice calendar today")))</f>
        <v/>
      </c>
      <c r="J503" s="146"/>
      <c r="K503" s="146"/>
      <c r="L503" s="6"/>
      <c r="M503" s="6"/>
      <c r="N503" s="6"/>
      <c r="O503" s="6"/>
      <c r="P503" s="6"/>
      <c r="Q503" s="6"/>
      <c r="R503" s="6"/>
      <c r="S503" s="6"/>
      <c r="T503" s="6"/>
      <c r="U503" s="6"/>
      <c r="V503" s="6"/>
      <c r="W503" s="6"/>
      <c r="X503" s="6"/>
      <c r="Y503" s="6"/>
      <c r="Z503" s="6"/>
    </row>
    <row r="504" spans="1:26" ht="18" customHeight="1" x14ac:dyDescent="0.3">
      <c r="A504" s="152"/>
      <c r="B504" s="128"/>
      <c r="C504" s="152"/>
      <c r="D504" s="128"/>
      <c r="E504" s="144" t="str">
        <f>IF(D504="","",IFERROR(INDEX('12 P6 activities'!$B$7:$B$206,MATCH(D504,'12 P6 activities'!$A$7:$A$206,0)),"⚠ not in P6 list"))</f>
        <v/>
      </c>
      <c r="F504" s="144" t="str">
        <f>IF(D504="","",IFERROR(INDEX('12 P6 activities'!$C$7:$C$206,MATCH(D504,'12 P6 activities'!$A$7:$A$206,0)),"⚠ not in P6 list"))</f>
        <v/>
      </c>
      <c r="G504" s="124"/>
      <c r="H504" s="152"/>
      <c r="I504" s="153" t="str">
        <f>IF(H504&lt;&gt;"Y","",IF(D504="","Pick the affected P6 activity first",IF(COUNTIFS('11 Notice calendar'!$A$7:$A$46,A504,'11 Notice calendar'!$I$7:$I$46,D504)&gt;0,"In the Notice calendar","Log it in the Notice calendar today")))</f>
        <v/>
      </c>
      <c r="J504" s="146"/>
      <c r="K504" s="146"/>
      <c r="L504" s="6"/>
      <c r="M504" s="6"/>
      <c r="N504" s="6"/>
      <c r="O504" s="6"/>
      <c r="P504" s="6"/>
      <c r="Q504" s="6"/>
      <c r="R504" s="6"/>
      <c r="S504" s="6"/>
      <c r="T504" s="6"/>
      <c r="U504" s="6"/>
      <c r="V504" s="6"/>
      <c r="W504" s="6"/>
      <c r="X504" s="6"/>
      <c r="Y504" s="6"/>
      <c r="Z504" s="6"/>
    </row>
    <row r="505" spans="1:26" ht="18" customHeight="1" x14ac:dyDescent="0.3">
      <c r="A505" s="152"/>
      <c r="B505" s="128"/>
      <c r="C505" s="152"/>
      <c r="D505" s="128"/>
      <c r="E505" s="144" t="str">
        <f>IF(D505="","",IFERROR(INDEX('12 P6 activities'!$B$7:$B$206,MATCH(D505,'12 P6 activities'!$A$7:$A$206,0)),"⚠ not in P6 list"))</f>
        <v/>
      </c>
      <c r="F505" s="144" t="str">
        <f>IF(D505="","",IFERROR(INDEX('12 P6 activities'!$C$7:$C$206,MATCH(D505,'12 P6 activities'!$A$7:$A$206,0)),"⚠ not in P6 list"))</f>
        <v/>
      </c>
      <c r="G505" s="124"/>
      <c r="H505" s="152"/>
      <c r="I505" s="153" t="str">
        <f>IF(H505&lt;&gt;"Y","",IF(D505="","Pick the affected P6 activity first",IF(COUNTIFS('11 Notice calendar'!$A$7:$A$46,A505,'11 Notice calendar'!$I$7:$I$46,D505)&gt;0,"In the Notice calendar","Log it in the Notice calendar today")))</f>
        <v/>
      </c>
      <c r="J505" s="146"/>
      <c r="K505" s="146"/>
      <c r="L505" s="6"/>
      <c r="M505" s="6"/>
      <c r="N505" s="6"/>
      <c r="O505" s="6"/>
      <c r="P505" s="6"/>
      <c r="Q505" s="6"/>
      <c r="R505" s="6"/>
      <c r="S505" s="6"/>
      <c r="T505" s="6"/>
      <c r="U505" s="6"/>
      <c r="V505" s="6"/>
      <c r="W505" s="6"/>
      <c r="X505" s="6"/>
      <c r="Y505" s="6"/>
      <c r="Z505" s="6"/>
    </row>
    <row r="506" spans="1:26" ht="18" customHeight="1" x14ac:dyDescent="0.3">
      <c r="A506" s="152"/>
      <c r="B506" s="128"/>
      <c r="C506" s="152"/>
      <c r="D506" s="128"/>
      <c r="E506" s="144" t="str">
        <f>IF(D506="","",IFERROR(INDEX('12 P6 activities'!$B$7:$B$206,MATCH(D506,'12 P6 activities'!$A$7:$A$206,0)),"⚠ not in P6 list"))</f>
        <v/>
      </c>
      <c r="F506" s="144" t="str">
        <f>IF(D506="","",IFERROR(INDEX('12 P6 activities'!$C$7:$C$206,MATCH(D506,'12 P6 activities'!$A$7:$A$206,0)),"⚠ not in P6 list"))</f>
        <v/>
      </c>
      <c r="G506" s="124"/>
      <c r="H506" s="152"/>
      <c r="I506" s="153" t="str">
        <f>IF(H506&lt;&gt;"Y","",IF(D506="","Pick the affected P6 activity first",IF(COUNTIFS('11 Notice calendar'!$A$7:$A$46,A506,'11 Notice calendar'!$I$7:$I$46,D506)&gt;0,"In the Notice calendar","Log it in the Notice calendar today")))</f>
        <v/>
      </c>
      <c r="J506" s="146"/>
      <c r="K506" s="14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D7:F506">
    <cfRule type="expression" dxfId="18" priority="1">
      <formula>AND($H7="Y",$D7="")</formula>
    </cfRule>
  </conditionalFormatting>
  <conditionalFormatting sqref="E7:E506">
    <cfRule type="containsText" dxfId="17" priority="2" operator="containsText" text="not in P6">
      <formula>NOT(ISERROR(SEARCH("not in P6",E7)))</formula>
    </cfRule>
  </conditionalFormatting>
  <conditionalFormatting sqref="F7:F506">
    <cfRule type="containsText" dxfId="16" priority="3" operator="containsText" text="not in P6">
      <formula>NOT(ISERROR(SEARCH("not in P6",F7)))</formula>
    </cfRule>
  </conditionalFormatting>
  <dataValidations count="4">
    <dataValidation type="date" operator="greaterThan" allowBlank="1" showInputMessage="1" showErrorMessage="1" sqref="A7:A506" xr:uid="{EA37C722-008F-4C1C-A466-1348CBAA6BBC}">
      <formula1>43831</formula1>
    </dataValidation>
    <dataValidation type="list" allowBlank="1" showInputMessage="1" showErrorMessage="1" sqref="B7:B506" xr:uid="{04DAEACB-2726-4D80-A3A3-C65A7A7370DC}">
      <formula1>"Event,Instruction,Delay,Incident,Test result,Visitor"</formula1>
    </dataValidation>
    <dataValidation type="time" allowBlank="1" showInputMessage="1" showErrorMessage="1" sqref="G7:G506" xr:uid="{17F63B5E-D290-476C-8B97-EEE0787E7C87}">
      <formula1>0</formula1>
      <formula2>0.999305555555556</formula2>
    </dataValidation>
    <dataValidation type="list" allowBlank="1" showInputMessage="1" showErrorMessage="1" sqref="H7:H506" xr:uid="{0F091BDF-0FC7-4E78-A4FB-444382A879B2}">
      <formula1>"Y,N"</formula1>
    </dataValidation>
  </dataValidations>
  <printOptions horizontalCentered="1"/>
  <pageMargins left="0.4" right="0.4" top="0.5" bottom="0.5" header="0.5" footer="0.5"/>
  <pageSetup paperSize="9" scale="10" orientation="landscape"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BA2AF64-F3D8-4B58-AC15-6CB4DEA6F30D}">
          <x14:formula1>
            <xm:f>'12 P6 activities'!$A$7:$A$206</xm:f>
          </x14:formula1>
          <xm:sqref>D7:D506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C781-2AA6-4821-B20D-5EDEB30C3157}">
  <sheetPr>
    <tabColor rgb="FF15803D"/>
    <pageSetUpPr fitToPage="1"/>
  </sheetPr>
  <dimension ref="A1:Z1000"/>
  <sheetViews>
    <sheetView showGridLines="0" workbookViewId="0">
      <pane ySplit="6" topLeftCell="A7" activePane="bottomLeft" state="frozen"/>
      <selection pane="bottomLeft" activeCell="H6" sqref="H6"/>
    </sheetView>
  </sheetViews>
  <sheetFormatPr defaultRowHeight="14.4" x14ac:dyDescent="0.3"/>
  <cols>
    <col min="1" max="1" width="15.77734375" customWidth="1"/>
    <col min="2" max="3" width="24.109375" customWidth="1"/>
    <col min="4" max="4" width="13" customWidth="1"/>
    <col min="5" max="5" width="8.33203125" customWidth="1"/>
    <col min="6" max="6" width="17.5546875" customWidth="1"/>
    <col min="7" max="7" width="16.6640625" customWidth="1"/>
    <col min="8" max="8" width="17.5546875" customWidth="1"/>
    <col min="9" max="9" width="33.33203125" customWidth="1"/>
    <col min="10" max="10" width="18.5546875" customWidth="1"/>
    <col min="11" max="11" width="40.77734375" customWidth="1"/>
    <col min="12" max="12" width="14.77734375" customWidth="1"/>
    <col min="13" max="13" width="16.6640625" customWidth="1"/>
    <col min="14" max="14" width="35.21875" customWidth="1"/>
    <col min="15" max="15" width="24.109375" customWidth="1"/>
    <col min="16" max="16" width="13" customWidth="1"/>
    <col min="17" max="17" width="8.33203125" customWidth="1"/>
    <col min="18" max="18" width="14.77734375" customWidth="1"/>
    <col min="19" max="19" width="42.5546875" customWidth="1"/>
  </cols>
  <sheetData>
    <row r="1" spans="1:26" ht="28.05" customHeight="1" x14ac:dyDescent="0.4">
      <c r="A1" s="112" t="s">
        <v>349</v>
      </c>
      <c r="B1" s="6"/>
      <c r="C1" s="6"/>
      <c r="D1" s="6"/>
      <c r="E1" s="6"/>
      <c r="F1" s="6"/>
      <c r="G1" s="6"/>
      <c r="H1" s="113"/>
      <c r="I1" s="113"/>
      <c r="J1" s="113"/>
      <c r="K1" s="176" t="s">
        <v>32</v>
      </c>
      <c r="L1" s="6"/>
      <c r="M1" s="6"/>
      <c r="N1" s="6"/>
      <c r="O1" s="6"/>
      <c r="P1" s="6"/>
      <c r="Q1" s="6"/>
      <c r="R1" s="6"/>
      <c r="S1" s="6"/>
      <c r="T1" s="6"/>
      <c r="U1" s="6"/>
      <c r="V1" s="6"/>
      <c r="W1" s="6"/>
      <c r="X1" s="6"/>
      <c r="Y1" s="6"/>
      <c r="Z1" s="6"/>
    </row>
    <row r="2" spans="1:26" x14ac:dyDescent="0.3">
      <c r="A2" s="114" t="s">
        <v>350</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348</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16"/>
      <c r="B4" s="116"/>
      <c r="C4" s="116"/>
      <c r="D4" s="116"/>
      <c r="E4" s="116"/>
      <c r="F4" s="116"/>
      <c r="G4" s="116"/>
      <c r="H4" s="116"/>
      <c r="I4" s="41"/>
      <c r="J4" s="41"/>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42</v>
      </c>
      <c r="B6" s="141" t="s">
        <v>117</v>
      </c>
      <c r="C6" s="141" t="s">
        <v>118</v>
      </c>
      <c r="D6" s="141" t="s">
        <v>102</v>
      </c>
      <c r="E6" s="141" t="s">
        <v>103</v>
      </c>
      <c r="F6" s="141" t="s">
        <v>119</v>
      </c>
      <c r="G6" s="141" t="s">
        <v>120</v>
      </c>
      <c r="H6" s="141" t="s">
        <v>294</v>
      </c>
      <c r="I6" s="141" t="s">
        <v>405</v>
      </c>
      <c r="J6" s="141" t="s">
        <v>406</v>
      </c>
      <c r="K6" s="141" t="s">
        <v>88</v>
      </c>
      <c r="L6" s="6"/>
      <c r="M6" s="6"/>
      <c r="N6" s="6"/>
      <c r="O6" s="6"/>
      <c r="P6" s="6"/>
      <c r="Q6" s="6"/>
      <c r="R6" s="6"/>
      <c r="S6" s="6"/>
      <c r="T6" s="6"/>
      <c r="U6" s="6"/>
      <c r="V6" s="6"/>
      <c r="W6" s="6"/>
      <c r="X6" s="6"/>
      <c r="Y6" s="6"/>
      <c r="Z6" s="6"/>
    </row>
    <row r="7" spans="1:26" ht="18" customHeight="1" x14ac:dyDescent="0.3">
      <c r="A7" s="152">
        <v>46084</v>
      </c>
      <c r="B7" s="128" t="s">
        <v>121</v>
      </c>
      <c r="C7" s="152" t="s">
        <v>122</v>
      </c>
      <c r="D7" s="154">
        <v>12</v>
      </c>
      <c r="E7" s="154" t="s">
        <v>108</v>
      </c>
      <c r="F7" s="152" t="s">
        <v>123</v>
      </c>
      <c r="G7" s="128" t="s">
        <v>124</v>
      </c>
      <c r="H7" s="128" t="s">
        <v>279</v>
      </c>
      <c r="I7" s="144" t="str">
        <f>IF(H7="","",IFERROR(INDEX('12 P6 activities'!$B$7:$B$206,MATCH(H7,'12 P6 activities'!$A$7:$A$206,0)),"⚠ not in P6 list"))</f>
        <v>Raft reinforcement, bay 1</v>
      </c>
      <c r="J7" s="144" t="str">
        <f>IF(H7="","",IFERROR(INDEX('12 P6 activities'!$C$7:$C$206,MATCH(H7,'12 P6 activities'!$A$7:$A$206,0)),"⚠ not in P6 list"))</f>
        <v>SITE.FND.RAF</v>
      </c>
      <c r="K7" s="128"/>
      <c r="L7" s="6"/>
      <c r="M7" s="6"/>
      <c r="N7" s="6"/>
      <c r="O7" s="6"/>
      <c r="P7" s="6"/>
      <c r="Q7" s="6"/>
      <c r="R7" s="6"/>
      <c r="S7" s="6"/>
      <c r="T7" s="6"/>
      <c r="U7" s="6"/>
      <c r="V7" s="6"/>
      <c r="W7" s="6"/>
      <c r="X7" s="6"/>
      <c r="Y7" s="6"/>
      <c r="Z7" s="6"/>
    </row>
    <row r="8" spans="1:26" ht="18" customHeight="1" x14ac:dyDescent="0.3">
      <c r="A8" s="152">
        <v>46084</v>
      </c>
      <c r="B8" s="128" t="s">
        <v>125</v>
      </c>
      <c r="C8" s="152" t="s">
        <v>126</v>
      </c>
      <c r="D8" s="154">
        <v>20</v>
      </c>
      <c r="E8" s="154" t="s">
        <v>108</v>
      </c>
      <c r="F8" s="152" t="s">
        <v>127</v>
      </c>
      <c r="G8" s="128" t="s">
        <v>124</v>
      </c>
      <c r="H8" s="128" t="s">
        <v>284</v>
      </c>
      <c r="I8" s="144" t="str">
        <f>IF(H8="","",IFERROR(INDEX('12 P6 activities'!$B$7:$B$206,MATCH(H8,'12 P6 activities'!$A$7:$A$206,0)),"⚠ not in P6 list"))</f>
        <v>Blinding, substation slab</v>
      </c>
      <c r="J8" s="144" t="str">
        <f>IF(H8="","",IFERROR(INDEX('12 P6 activities'!$C$7:$C$206,MATCH(H8,'12 P6 activities'!$A$7:$A$206,0)),"⚠ not in P6 list"))</f>
        <v>SITE.SUB.SLB</v>
      </c>
      <c r="K8" s="128"/>
      <c r="L8" s="6"/>
      <c r="M8" s="6"/>
      <c r="N8" s="6"/>
      <c r="O8" s="6"/>
      <c r="P8" s="6"/>
      <c r="Q8" s="6"/>
      <c r="R8" s="6"/>
      <c r="S8" s="6"/>
      <c r="T8" s="6"/>
      <c r="U8" s="6"/>
      <c r="V8" s="6"/>
      <c r="W8" s="6"/>
      <c r="X8" s="6"/>
      <c r="Y8" s="6"/>
      <c r="Z8" s="6"/>
    </row>
    <row r="9" spans="1:26" ht="18" customHeight="1" x14ac:dyDescent="0.3">
      <c r="A9" s="152"/>
      <c r="B9" s="128"/>
      <c r="C9" s="152"/>
      <c r="D9" s="154"/>
      <c r="E9" s="154"/>
      <c r="F9" s="152"/>
      <c r="G9" s="128"/>
      <c r="H9" s="128"/>
      <c r="I9" s="144" t="str">
        <f>IF(H9="","",IFERROR(INDEX('12 P6 activities'!$B$7:$B$206,MATCH(H9,'12 P6 activities'!$A$7:$A$206,0)),"⚠ not in P6 list"))</f>
        <v/>
      </c>
      <c r="J9" s="144" t="str">
        <f>IF(H9="","",IFERROR(INDEX('12 P6 activities'!$C$7:$C$206,MATCH(H9,'12 P6 activities'!$A$7:$A$206,0)),"⚠ not in P6 list"))</f>
        <v/>
      </c>
      <c r="K9" s="128"/>
      <c r="L9" s="6"/>
      <c r="M9" s="6"/>
      <c r="N9" s="6"/>
      <c r="O9" s="6"/>
      <c r="P9" s="6"/>
      <c r="Q9" s="6"/>
      <c r="R9" s="6"/>
      <c r="S9" s="6"/>
      <c r="T9" s="6"/>
      <c r="U9" s="6"/>
      <c r="V9" s="6"/>
      <c r="W9" s="6"/>
      <c r="X9" s="6"/>
      <c r="Y9" s="6"/>
      <c r="Z9" s="6"/>
    </row>
    <row r="10" spans="1:26" ht="18" customHeight="1" x14ac:dyDescent="0.3">
      <c r="A10" s="152"/>
      <c r="B10" s="128"/>
      <c r="C10" s="152"/>
      <c r="D10" s="154"/>
      <c r="E10" s="154"/>
      <c r="F10" s="152"/>
      <c r="G10" s="128"/>
      <c r="H10" s="128"/>
      <c r="I10" s="144" t="str">
        <f>IF(H10="","",IFERROR(INDEX('12 P6 activities'!$B$7:$B$206,MATCH(H10,'12 P6 activities'!$A$7:$A$206,0)),"⚠ not in P6 list"))</f>
        <v/>
      </c>
      <c r="J10" s="144" t="str">
        <f>IF(H10="","",IFERROR(INDEX('12 P6 activities'!$C$7:$C$206,MATCH(H10,'12 P6 activities'!$A$7:$A$206,0)),"⚠ not in P6 list"))</f>
        <v/>
      </c>
      <c r="K10" s="128"/>
      <c r="L10" s="6"/>
      <c r="M10" s="6"/>
      <c r="N10" s="6"/>
      <c r="O10" s="6"/>
      <c r="P10" s="6"/>
      <c r="Q10" s="6"/>
      <c r="R10" s="6"/>
      <c r="S10" s="6"/>
      <c r="T10" s="6"/>
      <c r="U10" s="6"/>
      <c r="V10" s="6"/>
      <c r="W10" s="6"/>
      <c r="X10" s="6"/>
      <c r="Y10" s="6"/>
      <c r="Z10" s="6"/>
    </row>
    <row r="11" spans="1:26" ht="18" customHeight="1" x14ac:dyDescent="0.3">
      <c r="A11" s="152"/>
      <c r="B11" s="128"/>
      <c r="C11" s="152"/>
      <c r="D11" s="154"/>
      <c r="E11" s="154"/>
      <c r="F11" s="152"/>
      <c r="G11" s="128"/>
      <c r="H11" s="128"/>
      <c r="I11" s="144" t="str">
        <f>IF(H11="","",IFERROR(INDEX('12 P6 activities'!$B$7:$B$206,MATCH(H11,'12 P6 activities'!$A$7:$A$206,0)),"⚠ not in P6 list"))</f>
        <v/>
      </c>
      <c r="J11" s="144" t="str">
        <f>IF(H11="","",IFERROR(INDEX('12 P6 activities'!$C$7:$C$206,MATCH(H11,'12 P6 activities'!$A$7:$A$206,0)),"⚠ not in P6 list"))</f>
        <v/>
      </c>
      <c r="K11" s="128"/>
      <c r="L11" s="6"/>
      <c r="M11" s="6"/>
      <c r="N11" s="6"/>
      <c r="O11" s="6"/>
      <c r="P11" s="6"/>
      <c r="Q11" s="6"/>
      <c r="R11" s="6"/>
      <c r="S11" s="6"/>
      <c r="T11" s="6"/>
      <c r="U11" s="6"/>
      <c r="V11" s="6"/>
      <c r="W11" s="6"/>
      <c r="X11" s="6"/>
      <c r="Y11" s="6"/>
      <c r="Z11" s="6"/>
    </row>
    <row r="12" spans="1:26" ht="18" customHeight="1" x14ac:dyDescent="0.3">
      <c r="A12" s="152"/>
      <c r="B12" s="128"/>
      <c r="C12" s="152"/>
      <c r="D12" s="154"/>
      <c r="E12" s="154"/>
      <c r="F12" s="152"/>
      <c r="G12" s="128"/>
      <c r="H12" s="128"/>
      <c r="I12" s="144" t="str">
        <f>IF(H12="","",IFERROR(INDEX('12 P6 activities'!$B$7:$B$206,MATCH(H12,'12 P6 activities'!$A$7:$A$206,0)),"⚠ not in P6 list"))</f>
        <v/>
      </c>
      <c r="J12" s="144" t="str">
        <f>IF(H12="","",IFERROR(INDEX('12 P6 activities'!$C$7:$C$206,MATCH(H12,'12 P6 activities'!$A$7:$A$206,0)),"⚠ not in P6 list"))</f>
        <v/>
      </c>
      <c r="K12" s="128"/>
      <c r="L12" s="6"/>
      <c r="M12" s="6"/>
      <c r="N12" s="6"/>
      <c r="O12" s="6"/>
      <c r="P12" s="6"/>
      <c r="Q12" s="6"/>
      <c r="R12" s="6"/>
      <c r="S12" s="6"/>
      <c r="T12" s="6"/>
      <c r="U12" s="6"/>
      <c r="V12" s="6"/>
      <c r="W12" s="6"/>
      <c r="X12" s="6"/>
      <c r="Y12" s="6"/>
      <c r="Z12" s="6"/>
    </row>
    <row r="13" spans="1:26" ht="18" customHeight="1" x14ac:dyDescent="0.3">
      <c r="A13" s="152"/>
      <c r="B13" s="128"/>
      <c r="C13" s="152"/>
      <c r="D13" s="154"/>
      <c r="E13" s="154"/>
      <c r="F13" s="152"/>
      <c r="G13" s="128"/>
      <c r="H13" s="128"/>
      <c r="I13" s="144" t="str">
        <f>IF(H13="","",IFERROR(INDEX('12 P6 activities'!$B$7:$B$206,MATCH(H13,'12 P6 activities'!$A$7:$A$206,0)),"⚠ not in P6 list"))</f>
        <v/>
      </c>
      <c r="J13" s="144" t="str">
        <f>IF(H13="","",IFERROR(INDEX('12 P6 activities'!$C$7:$C$206,MATCH(H13,'12 P6 activities'!$A$7:$A$206,0)),"⚠ not in P6 list"))</f>
        <v/>
      </c>
      <c r="K13" s="128"/>
      <c r="L13" s="6"/>
      <c r="M13" s="6"/>
      <c r="N13" s="6"/>
      <c r="O13" s="6"/>
      <c r="P13" s="6"/>
      <c r="Q13" s="6"/>
      <c r="R13" s="6"/>
      <c r="S13" s="6"/>
      <c r="T13" s="6"/>
      <c r="U13" s="6"/>
      <c r="V13" s="6"/>
      <c r="W13" s="6"/>
      <c r="X13" s="6"/>
      <c r="Y13" s="6"/>
      <c r="Z13" s="6"/>
    </row>
    <row r="14" spans="1:26" ht="18" customHeight="1" x14ac:dyDescent="0.3">
      <c r="A14" s="152"/>
      <c r="B14" s="128"/>
      <c r="C14" s="152"/>
      <c r="D14" s="154"/>
      <c r="E14" s="154"/>
      <c r="F14" s="152"/>
      <c r="G14" s="128"/>
      <c r="H14" s="128"/>
      <c r="I14" s="144" t="str">
        <f>IF(H14="","",IFERROR(INDEX('12 P6 activities'!$B$7:$B$206,MATCH(H14,'12 P6 activities'!$A$7:$A$206,0)),"⚠ not in P6 list"))</f>
        <v/>
      </c>
      <c r="J14" s="144" t="str">
        <f>IF(H14="","",IFERROR(INDEX('12 P6 activities'!$C$7:$C$206,MATCH(H14,'12 P6 activities'!$A$7:$A$206,0)),"⚠ not in P6 list"))</f>
        <v/>
      </c>
      <c r="K14" s="128"/>
      <c r="L14" s="6"/>
      <c r="M14" s="6"/>
      <c r="N14" s="6"/>
      <c r="O14" s="6"/>
      <c r="P14" s="6"/>
      <c r="Q14" s="6"/>
      <c r="R14" s="6"/>
      <c r="S14" s="6"/>
      <c r="T14" s="6"/>
      <c r="U14" s="6"/>
      <c r="V14" s="6"/>
      <c r="W14" s="6"/>
      <c r="X14" s="6"/>
      <c r="Y14" s="6"/>
      <c r="Z14" s="6"/>
    </row>
    <row r="15" spans="1:26" ht="18" customHeight="1" x14ac:dyDescent="0.3">
      <c r="A15" s="152"/>
      <c r="B15" s="128"/>
      <c r="C15" s="152"/>
      <c r="D15" s="154"/>
      <c r="E15" s="154"/>
      <c r="F15" s="152"/>
      <c r="G15" s="128"/>
      <c r="H15" s="128"/>
      <c r="I15" s="144" t="str">
        <f>IF(H15="","",IFERROR(INDEX('12 P6 activities'!$B$7:$B$206,MATCH(H15,'12 P6 activities'!$A$7:$A$206,0)),"⚠ not in P6 list"))</f>
        <v/>
      </c>
      <c r="J15" s="144" t="str">
        <f>IF(H15="","",IFERROR(INDEX('12 P6 activities'!$C$7:$C$206,MATCH(H15,'12 P6 activities'!$A$7:$A$206,0)),"⚠ not in P6 list"))</f>
        <v/>
      </c>
      <c r="K15" s="128"/>
      <c r="L15" s="6"/>
      <c r="M15" s="6"/>
      <c r="N15" s="6"/>
      <c r="O15" s="6"/>
      <c r="P15" s="6"/>
      <c r="Q15" s="6"/>
      <c r="R15" s="6"/>
      <c r="S15" s="6"/>
      <c r="T15" s="6"/>
      <c r="U15" s="6"/>
      <c r="V15" s="6"/>
      <c r="W15" s="6"/>
      <c r="X15" s="6"/>
      <c r="Y15" s="6"/>
      <c r="Z15" s="6"/>
    </row>
    <row r="16" spans="1:26" ht="18" customHeight="1" x14ac:dyDescent="0.3">
      <c r="A16" s="152"/>
      <c r="B16" s="128"/>
      <c r="C16" s="152"/>
      <c r="D16" s="154"/>
      <c r="E16" s="154"/>
      <c r="F16" s="152"/>
      <c r="G16" s="128"/>
      <c r="H16" s="128"/>
      <c r="I16" s="144" t="str">
        <f>IF(H16="","",IFERROR(INDEX('12 P6 activities'!$B$7:$B$206,MATCH(H16,'12 P6 activities'!$A$7:$A$206,0)),"⚠ not in P6 list"))</f>
        <v/>
      </c>
      <c r="J16" s="144" t="str">
        <f>IF(H16="","",IFERROR(INDEX('12 P6 activities'!$C$7:$C$206,MATCH(H16,'12 P6 activities'!$A$7:$A$206,0)),"⚠ not in P6 list"))</f>
        <v/>
      </c>
      <c r="K16" s="128"/>
      <c r="L16" s="6"/>
      <c r="M16" s="6"/>
      <c r="N16" s="6"/>
      <c r="O16" s="6"/>
      <c r="P16" s="6"/>
      <c r="Q16" s="6"/>
      <c r="R16" s="6"/>
      <c r="S16" s="6"/>
      <c r="T16" s="6"/>
      <c r="U16" s="6"/>
      <c r="V16" s="6"/>
      <c r="W16" s="6"/>
      <c r="X16" s="6"/>
      <c r="Y16" s="6"/>
      <c r="Z16" s="6"/>
    </row>
    <row r="17" spans="1:26" ht="18" customHeight="1" x14ac:dyDescent="0.3">
      <c r="A17" s="152"/>
      <c r="B17" s="128"/>
      <c r="C17" s="152"/>
      <c r="D17" s="154"/>
      <c r="E17" s="154"/>
      <c r="F17" s="152"/>
      <c r="G17" s="128"/>
      <c r="H17" s="128"/>
      <c r="I17" s="144" t="str">
        <f>IF(H17="","",IFERROR(INDEX('12 P6 activities'!$B$7:$B$206,MATCH(H17,'12 P6 activities'!$A$7:$A$206,0)),"⚠ not in P6 list"))</f>
        <v/>
      </c>
      <c r="J17" s="144" t="str">
        <f>IF(H17="","",IFERROR(INDEX('12 P6 activities'!$C$7:$C$206,MATCH(H17,'12 P6 activities'!$A$7:$A$206,0)),"⚠ not in P6 list"))</f>
        <v/>
      </c>
      <c r="K17" s="128"/>
      <c r="L17" s="6"/>
      <c r="M17" s="6"/>
      <c r="N17" s="6"/>
      <c r="O17" s="6"/>
      <c r="P17" s="6"/>
      <c r="Q17" s="6"/>
      <c r="R17" s="6"/>
      <c r="S17" s="6"/>
      <c r="T17" s="6"/>
      <c r="U17" s="6"/>
      <c r="V17" s="6"/>
      <c r="W17" s="6"/>
      <c r="X17" s="6"/>
      <c r="Y17" s="6"/>
      <c r="Z17" s="6"/>
    </row>
    <row r="18" spans="1:26" ht="18" customHeight="1" x14ac:dyDescent="0.3">
      <c r="A18" s="152"/>
      <c r="B18" s="128"/>
      <c r="C18" s="152"/>
      <c r="D18" s="154"/>
      <c r="E18" s="154"/>
      <c r="F18" s="152"/>
      <c r="G18" s="128"/>
      <c r="H18" s="128"/>
      <c r="I18" s="144" t="str">
        <f>IF(H18="","",IFERROR(INDEX('12 P6 activities'!$B$7:$B$206,MATCH(H18,'12 P6 activities'!$A$7:$A$206,0)),"⚠ not in P6 list"))</f>
        <v/>
      </c>
      <c r="J18" s="144" t="str">
        <f>IF(H18="","",IFERROR(INDEX('12 P6 activities'!$C$7:$C$206,MATCH(H18,'12 P6 activities'!$A$7:$A$206,0)),"⚠ not in P6 list"))</f>
        <v/>
      </c>
      <c r="K18" s="128"/>
      <c r="L18" s="6"/>
      <c r="M18" s="6"/>
      <c r="N18" s="6"/>
      <c r="O18" s="6"/>
      <c r="P18" s="6"/>
      <c r="Q18" s="6"/>
      <c r="R18" s="6"/>
      <c r="S18" s="6"/>
      <c r="T18" s="6"/>
      <c r="U18" s="6"/>
      <c r="V18" s="6"/>
      <c r="W18" s="6"/>
      <c r="X18" s="6"/>
      <c r="Y18" s="6"/>
      <c r="Z18" s="6"/>
    </row>
    <row r="19" spans="1:26" ht="18" customHeight="1" x14ac:dyDescent="0.3">
      <c r="A19" s="152"/>
      <c r="B19" s="128"/>
      <c r="C19" s="152"/>
      <c r="D19" s="154"/>
      <c r="E19" s="154"/>
      <c r="F19" s="152"/>
      <c r="G19" s="128"/>
      <c r="H19" s="128"/>
      <c r="I19" s="144" t="str">
        <f>IF(H19="","",IFERROR(INDEX('12 P6 activities'!$B$7:$B$206,MATCH(H19,'12 P6 activities'!$A$7:$A$206,0)),"⚠ not in P6 list"))</f>
        <v/>
      </c>
      <c r="J19" s="144" t="str">
        <f>IF(H19="","",IFERROR(INDEX('12 P6 activities'!$C$7:$C$206,MATCH(H19,'12 P6 activities'!$A$7:$A$206,0)),"⚠ not in P6 list"))</f>
        <v/>
      </c>
      <c r="K19" s="128"/>
      <c r="L19" s="6"/>
      <c r="M19" s="6"/>
      <c r="N19" s="6"/>
      <c r="O19" s="6"/>
      <c r="P19" s="6"/>
      <c r="Q19" s="6"/>
      <c r="R19" s="6"/>
      <c r="S19" s="6"/>
      <c r="T19" s="6"/>
      <c r="U19" s="6"/>
      <c r="V19" s="6"/>
      <c r="W19" s="6"/>
      <c r="X19" s="6"/>
      <c r="Y19" s="6"/>
      <c r="Z19" s="6"/>
    </row>
    <row r="20" spans="1:26" ht="18" customHeight="1" x14ac:dyDescent="0.3">
      <c r="A20" s="152"/>
      <c r="B20" s="128"/>
      <c r="C20" s="152"/>
      <c r="D20" s="154"/>
      <c r="E20" s="154"/>
      <c r="F20" s="152"/>
      <c r="G20" s="128"/>
      <c r="H20" s="128"/>
      <c r="I20" s="144" t="str">
        <f>IF(H20="","",IFERROR(INDEX('12 P6 activities'!$B$7:$B$206,MATCH(H20,'12 P6 activities'!$A$7:$A$206,0)),"⚠ not in P6 list"))</f>
        <v/>
      </c>
      <c r="J20" s="144" t="str">
        <f>IF(H20="","",IFERROR(INDEX('12 P6 activities'!$C$7:$C$206,MATCH(H20,'12 P6 activities'!$A$7:$A$206,0)),"⚠ not in P6 list"))</f>
        <v/>
      </c>
      <c r="K20" s="128"/>
      <c r="L20" s="6"/>
      <c r="M20" s="6"/>
      <c r="N20" s="6"/>
      <c r="O20" s="6"/>
      <c r="P20" s="6"/>
      <c r="Q20" s="6"/>
      <c r="R20" s="6"/>
      <c r="S20" s="6"/>
      <c r="T20" s="6"/>
      <c r="U20" s="6"/>
      <c r="V20" s="6"/>
      <c r="W20" s="6"/>
      <c r="X20" s="6"/>
      <c r="Y20" s="6"/>
      <c r="Z20" s="6"/>
    </row>
    <row r="21" spans="1:26" ht="18" customHeight="1" x14ac:dyDescent="0.3">
      <c r="A21" s="152"/>
      <c r="B21" s="128"/>
      <c r="C21" s="152"/>
      <c r="D21" s="154"/>
      <c r="E21" s="154"/>
      <c r="F21" s="152"/>
      <c r="G21" s="128"/>
      <c r="H21" s="128"/>
      <c r="I21" s="144" t="str">
        <f>IF(H21="","",IFERROR(INDEX('12 P6 activities'!$B$7:$B$206,MATCH(H21,'12 P6 activities'!$A$7:$A$206,0)),"⚠ not in P6 list"))</f>
        <v/>
      </c>
      <c r="J21" s="144" t="str">
        <f>IF(H21="","",IFERROR(INDEX('12 P6 activities'!$C$7:$C$206,MATCH(H21,'12 P6 activities'!$A$7:$A$206,0)),"⚠ not in P6 list"))</f>
        <v/>
      </c>
      <c r="K21" s="128"/>
      <c r="L21" s="6"/>
      <c r="M21" s="6"/>
      <c r="N21" s="6"/>
      <c r="O21" s="6"/>
      <c r="P21" s="6"/>
      <c r="Q21" s="6"/>
      <c r="R21" s="6"/>
      <c r="S21" s="6"/>
      <c r="T21" s="6"/>
      <c r="U21" s="6"/>
      <c r="V21" s="6"/>
      <c r="W21" s="6"/>
      <c r="X21" s="6"/>
      <c r="Y21" s="6"/>
      <c r="Z21" s="6"/>
    </row>
    <row r="22" spans="1:26" ht="18" customHeight="1" x14ac:dyDescent="0.3">
      <c r="A22" s="152"/>
      <c r="B22" s="128"/>
      <c r="C22" s="152"/>
      <c r="D22" s="154"/>
      <c r="E22" s="154"/>
      <c r="F22" s="152"/>
      <c r="G22" s="128"/>
      <c r="H22" s="128"/>
      <c r="I22" s="144" t="str">
        <f>IF(H22="","",IFERROR(INDEX('12 P6 activities'!$B$7:$B$206,MATCH(H22,'12 P6 activities'!$A$7:$A$206,0)),"⚠ not in P6 list"))</f>
        <v/>
      </c>
      <c r="J22" s="144" t="str">
        <f>IF(H22="","",IFERROR(INDEX('12 P6 activities'!$C$7:$C$206,MATCH(H22,'12 P6 activities'!$A$7:$A$206,0)),"⚠ not in P6 list"))</f>
        <v/>
      </c>
      <c r="K22" s="128"/>
      <c r="L22" s="6"/>
      <c r="M22" s="6"/>
      <c r="N22" s="6"/>
      <c r="O22" s="6"/>
      <c r="P22" s="6"/>
      <c r="Q22" s="6"/>
      <c r="R22" s="6"/>
      <c r="S22" s="6"/>
      <c r="T22" s="6"/>
      <c r="U22" s="6"/>
      <c r="V22" s="6"/>
      <c r="W22" s="6"/>
      <c r="X22" s="6"/>
      <c r="Y22" s="6"/>
      <c r="Z22" s="6"/>
    </row>
    <row r="23" spans="1:26" ht="18" customHeight="1" x14ac:dyDescent="0.3">
      <c r="A23" s="152"/>
      <c r="B23" s="128"/>
      <c r="C23" s="152"/>
      <c r="D23" s="154"/>
      <c r="E23" s="154"/>
      <c r="F23" s="152"/>
      <c r="G23" s="128"/>
      <c r="H23" s="128"/>
      <c r="I23" s="144" t="str">
        <f>IF(H23="","",IFERROR(INDEX('12 P6 activities'!$B$7:$B$206,MATCH(H23,'12 P6 activities'!$A$7:$A$206,0)),"⚠ not in P6 list"))</f>
        <v/>
      </c>
      <c r="J23" s="144" t="str">
        <f>IF(H23="","",IFERROR(INDEX('12 P6 activities'!$C$7:$C$206,MATCH(H23,'12 P6 activities'!$A$7:$A$206,0)),"⚠ not in P6 list"))</f>
        <v/>
      </c>
      <c r="K23" s="128"/>
      <c r="L23" s="6"/>
      <c r="M23" s="6"/>
      <c r="N23" s="6"/>
      <c r="O23" s="6"/>
      <c r="P23" s="6"/>
      <c r="Q23" s="6"/>
      <c r="R23" s="6"/>
      <c r="S23" s="6"/>
      <c r="T23" s="6"/>
      <c r="U23" s="6"/>
      <c r="V23" s="6"/>
      <c r="W23" s="6"/>
      <c r="X23" s="6"/>
      <c r="Y23" s="6"/>
      <c r="Z23" s="6"/>
    </row>
    <row r="24" spans="1:26" ht="18" customHeight="1" x14ac:dyDescent="0.3">
      <c r="A24" s="152"/>
      <c r="B24" s="128"/>
      <c r="C24" s="152"/>
      <c r="D24" s="154"/>
      <c r="E24" s="154"/>
      <c r="F24" s="152"/>
      <c r="G24" s="128"/>
      <c r="H24" s="128"/>
      <c r="I24" s="144" t="str">
        <f>IF(H24="","",IFERROR(INDEX('12 P6 activities'!$B$7:$B$206,MATCH(H24,'12 P6 activities'!$A$7:$A$206,0)),"⚠ not in P6 list"))</f>
        <v/>
      </c>
      <c r="J24" s="144" t="str">
        <f>IF(H24="","",IFERROR(INDEX('12 P6 activities'!$C$7:$C$206,MATCH(H24,'12 P6 activities'!$A$7:$A$206,0)),"⚠ not in P6 list"))</f>
        <v/>
      </c>
      <c r="K24" s="128"/>
      <c r="L24" s="6"/>
      <c r="M24" s="6"/>
      <c r="N24" s="6"/>
      <c r="O24" s="6"/>
      <c r="P24" s="6"/>
      <c r="Q24" s="6"/>
      <c r="R24" s="6"/>
      <c r="S24" s="6"/>
      <c r="T24" s="6"/>
      <c r="U24" s="6"/>
      <c r="V24" s="6"/>
      <c r="W24" s="6"/>
      <c r="X24" s="6"/>
      <c r="Y24" s="6"/>
      <c r="Z24" s="6"/>
    </row>
    <row r="25" spans="1:26" ht="18" customHeight="1" x14ac:dyDescent="0.3">
      <c r="A25" s="152"/>
      <c r="B25" s="128"/>
      <c r="C25" s="152"/>
      <c r="D25" s="154"/>
      <c r="E25" s="154"/>
      <c r="F25" s="152"/>
      <c r="G25" s="128"/>
      <c r="H25" s="128"/>
      <c r="I25" s="144" t="str">
        <f>IF(H25="","",IFERROR(INDEX('12 P6 activities'!$B$7:$B$206,MATCH(H25,'12 P6 activities'!$A$7:$A$206,0)),"⚠ not in P6 list"))</f>
        <v/>
      </c>
      <c r="J25" s="144" t="str">
        <f>IF(H25="","",IFERROR(INDEX('12 P6 activities'!$C$7:$C$206,MATCH(H25,'12 P6 activities'!$A$7:$A$206,0)),"⚠ not in P6 list"))</f>
        <v/>
      </c>
      <c r="K25" s="128"/>
      <c r="L25" s="6"/>
      <c r="M25" s="6"/>
      <c r="N25" s="6"/>
      <c r="O25" s="6"/>
      <c r="P25" s="6"/>
      <c r="Q25" s="6"/>
      <c r="R25" s="6"/>
      <c r="S25" s="6"/>
      <c r="T25" s="6"/>
      <c r="U25" s="6"/>
      <c r="V25" s="6"/>
      <c r="W25" s="6"/>
      <c r="X25" s="6"/>
      <c r="Y25" s="6"/>
      <c r="Z25" s="6"/>
    </row>
    <row r="26" spans="1:26" ht="18" customHeight="1" x14ac:dyDescent="0.3">
      <c r="A26" s="152"/>
      <c r="B26" s="128"/>
      <c r="C26" s="152"/>
      <c r="D26" s="154"/>
      <c r="E26" s="154"/>
      <c r="F26" s="152"/>
      <c r="G26" s="128"/>
      <c r="H26" s="128"/>
      <c r="I26" s="144" t="str">
        <f>IF(H26="","",IFERROR(INDEX('12 P6 activities'!$B$7:$B$206,MATCH(H26,'12 P6 activities'!$A$7:$A$206,0)),"⚠ not in P6 list"))</f>
        <v/>
      </c>
      <c r="J26" s="144" t="str">
        <f>IF(H26="","",IFERROR(INDEX('12 P6 activities'!$C$7:$C$206,MATCH(H26,'12 P6 activities'!$A$7:$A$206,0)),"⚠ not in P6 list"))</f>
        <v/>
      </c>
      <c r="K26" s="128"/>
      <c r="L26" s="6"/>
      <c r="M26" s="6"/>
      <c r="N26" s="6"/>
      <c r="O26" s="6"/>
      <c r="P26" s="6"/>
      <c r="Q26" s="6"/>
      <c r="R26" s="6"/>
      <c r="S26" s="6"/>
      <c r="T26" s="6"/>
      <c r="U26" s="6"/>
      <c r="V26" s="6"/>
      <c r="W26" s="6"/>
      <c r="X26" s="6"/>
      <c r="Y26" s="6"/>
      <c r="Z26" s="6"/>
    </row>
    <row r="27" spans="1:26" ht="18" customHeight="1" x14ac:dyDescent="0.3">
      <c r="A27" s="152"/>
      <c r="B27" s="128"/>
      <c r="C27" s="152"/>
      <c r="D27" s="154"/>
      <c r="E27" s="154"/>
      <c r="F27" s="152"/>
      <c r="G27" s="128"/>
      <c r="H27" s="128"/>
      <c r="I27" s="144" t="str">
        <f>IF(H27="","",IFERROR(INDEX('12 P6 activities'!$B$7:$B$206,MATCH(H27,'12 P6 activities'!$A$7:$A$206,0)),"⚠ not in P6 list"))</f>
        <v/>
      </c>
      <c r="J27" s="144" t="str">
        <f>IF(H27="","",IFERROR(INDEX('12 P6 activities'!$C$7:$C$206,MATCH(H27,'12 P6 activities'!$A$7:$A$206,0)),"⚠ not in P6 list"))</f>
        <v/>
      </c>
      <c r="K27" s="128"/>
      <c r="L27" s="6"/>
      <c r="M27" s="6"/>
      <c r="N27" s="6"/>
      <c r="O27" s="6"/>
      <c r="P27" s="6"/>
      <c r="Q27" s="6"/>
      <c r="R27" s="6"/>
      <c r="S27" s="6"/>
      <c r="T27" s="6"/>
      <c r="U27" s="6"/>
      <c r="V27" s="6"/>
      <c r="W27" s="6"/>
      <c r="X27" s="6"/>
      <c r="Y27" s="6"/>
      <c r="Z27" s="6"/>
    </row>
    <row r="28" spans="1:26" ht="18" customHeight="1" x14ac:dyDescent="0.3">
      <c r="A28" s="152"/>
      <c r="B28" s="128"/>
      <c r="C28" s="152"/>
      <c r="D28" s="154"/>
      <c r="E28" s="154"/>
      <c r="F28" s="152"/>
      <c r="G28" s="128"/>
      <c r="H28" s="128"/>
      <c r="I28" s="144" t="str">
        <f>IF(H28="","",IFERROR(INDEX('12 P6 activities'!$B$7:$B$206,MATCH(H28,'12 P6 activities'!$A$7:$A$206,0)),"⚠ not in P6 list"))</f>
        <v/>
      </c>
      <c r="J28" s="144" t="str">
        <f>IF(H28="","",IFERROR(INDEX('12 P6 activities'!$C$7:$C$206,MATCH(H28,'12 P6 activities'!$A$7:$A$206,0)),"⚠ not in P6 list"))</f>
        <v/>
      </c>
      <c r="K28" s="128"/>
      <c r="L28" s="6"/>
      <c r="M28" s="6"/>
      <c r="N28" s="6"/>
      <c r="O28" s="6"/>
      <c r="P28" s="6"/>
      <c r="Q28" s="6"/>
      <c r="R28" s="6"/>
      <c r="S28" s="6"/>
      <c r="T28" s="6"/>
      <c r="U28" s="6"/>
      <c r="V28" s="6"/>
      <c r="W28" s="6"/>
      <c r="X28" s="6"/>
      <c r="Y28" s="6"/>
      <c r="Z28" s="6"/>
    </row>
    <row r="29" spans="1:26" ht="18" customHeight="1" x14ac:dyDescent="0.3">
      <c r="A29" s="152"/>
      <c r="B29" s="128"/>
      <c r="C29" s="152"/>
      <c r="D29" s="154"/>
      <c r="E29" s="154"/>
      <c r="F29" s="152"/>
      <c r="G29" s="128"/>
      <c r="H29" s="128"/>
      <c r="I29" s="144" t="str">
        <f>IF(H29="","",IFERROR(INDEX('12 P6 activities'!$B$7:$B$206,MATCH(H29,'12 P6 activities'!$A$7:$A$206,0)),"⚠ not in P6 list"))</f>
        <v/>
      </c>
      <c r="J29" s="144" t="str">
        <f>IF(H29="","",IFERROR(INDEX('12 P6 activities'!$C$7:$C$206,MATCH(H29,'12 P6 activities'!$A$7:$A$206,0)),"⚠ not in P6 list"))</f>
        <v/>
      </c>
      <c r="K29" s="128"/>
      <c r="L29" s="6"/>
      <c r="M29" s="6"/>
      <c r="N29" s="6"/>
      <c r="O29" s="6"/>
      <c r="P29" s="6"/>
      <c r="Q29" s="6"/>
      <c r="R29" s="6"/>
      <c r="S29" s="6"/>
      <c r="T29" s="6"/>
      <c r="U29" s="6"/>
      <c r="V29" s="6"/>
      <c r="W29" s="6"/>
      <c r="X29" s="6"/>
      <c r="Y29" s="6"/>
      <c r="Z29" s="6"/>
    </row>
    <row r="30" spans="1:26" ht="18" customHeight="1" x14ac:dyDescent="0.3">
      <c r="A30" s="152"/>
      <c r="B30" s="128"/>
      <c r="C30" s="152"/>
      <c r="D30" s="154"/>
      <c r="E30" s="154"/>
      <c r="F30" s="152"/>
      <c r="G30" s="128"/>
      <c r="H30" s="128"/>
      <c r="I30" s="144" t="str">
        <f>IF(H30="","",IFERROR(INDEX('12 P6 activities'!$B$7:$B$206,MATCH(H30,'12 P6 activities'!$A$7:$A$206,0)),"⚠ not in P6 list"))</f>
        <v/>
      </c>
      <c r="J30" s="144" t="str">
        <f>IF(H30="","",IFERROR(INDEX('12 P6 activities'!$C$7:$C$206,MATCH(H30,'12 P6 activities'!$A$7:$A$206,0)),"⚠ not in P6 list"))</f>
        <v/>
      </c>
      <c r="K30" s="128"/>
      <c r="L30" s="6"/>
      <c r="M30" s="6"/>
      <c r="N30" s="6"/>
      <c r="O30" s="6"/>
      <c r="P30" s="6"/>
      <c r="Q30" s="6"/>
      <c r="R30" s="6"/>
      <c r="S30" s="6"/>
      <c r="T30" s="6"/>
      <c r="U30" s="6"/>
      <c r="V30" s="6"/>
      <c r="W30" s="6"/>
      <c r="X30" s="6"/>
      <c r="Y30" s="6"/>
      <c r="Z30" s="6"/>
    </row>
    <row r="31" spans="1:26" ht="18" customHeight="1" x14ac:dyDescent="0.3">
      <c r="A31" s="152"/>
      <c r="B31" s="128"/>
      <c r="C31" s="152"/>
      <c r="D31" s="154"/>
      <c r="E31" s="154"/>
      <c r="F31" s="152"/>
      <c r="G31" s="128"/>
      <c r="H31" s="128"/>
      <c r="I31" s="144" t="str">
        <f>IF(H31="","",IFERROR(INDEX('12 P6 activities'!$B$7:$B$206,MATCH(H31,'12 P6 activities'!$A$7:$A$206,0)),"⚠ not in P6 list"))</f>
        <v/>
      </c>
      <c r="J31" s="144" t="str">
        <f>IF(H31="","",IFERROR(INDEX('12 P6 activities'!$C$7:$C$206,MATCH(H31,'12 P6 activities'!$A$7:$A$206,0)),"⚠ not in P6 list"))</f>
        <v/>
      </c>
      <c r="K31" s="128"/>
      <c r="L31" s="6"/>
      <c r="M31" s="6"/>
      <c r="N31" s="6"/>
      <c r="O31" s="6"/>
      <c r="P31" s="6"/>
      <c r="Q31" s="6"/>
      <c r="R31" s="6"/>
      <c r="S31" s="6"/>
      <c r="T31" s="6"/>
      <c r="U31" s="6"/>
      <c r="V31" s="6"/>
      <c r="W31" s="6"/>
      <c r="X31" s="6"/>
      <c r="Y31" s="6"/>
      <c r="Z31" s="6"/>
    </row>
    <row r="32" spans="1:26" ht="18" customHeight="1" x14ac:dyDescent="0.3">
      <c r="A32" s="152"/>
      <c r="B32" s="128"/>
      <c r="C32" s="152"/>
      <c r="D32" s="154"/>
      <c r="E32" s="154"/>
      <c r="F32" s="152"/>
      <c r="G32" s="128"/>
      <c r="H32" s="128"/>
      <c r="I32" s="144" t="str">
        <f>IF(H32="","",IFERROR(INDEX('12 P6 activities'!$B$7:$B$206,MATCH(H32,'12 P6 activities'!$A$7:$A$206,0)),"⚠ not in P6 list"))</f>
        <v/>
      </c>
      <c r="J32" s="144" t="str">
        <f>IF(H32="","",IFERROR(INDEX('12 P6 activities'!$C$7:$C$206,MATCH(H32,'12 P6 activities'!$A$7:$A$206,0)),"⚠ not in P6 list"))</f>
        <v/>
      </c>
      <c r="K32" s="128"/>
      <c r="L32" s="6"/>
      <c r="M32" s="6"/>
      <c r="N32" s="6"/>
      <c r="O32" s="6"/>
      <c r="P32" s="6"/>
      <c r="Q32" s="6"/>
      <c r="R32" s="6"/>
      <c r="S32" s="6"/>
      <c r="T32" s="6"/>
      <c r="U32" s="6"/>
      <c r="V32" s="6"/>
      <c r="W32" s="6"/>
      <c r="X32" s="6"/>
      <c r="Y32" s="6"/>
      <c r="Z32" s="6"/>
    </row>
    <row r="33" spans="1:26" ht="18" customHeight="1" x14ac:dyDescent="0.3">
      <c r="A33" s="152"/>
      <c r="B33" s="128"/>
      <c r="C33" s="152"/>
      <c r="D33" s="154"/>
      <c r="E33" s="154"/>
      <c r="F33" s="152"/>
      <c r="G33" s="128"/>
      <c r="H33" s="128"/>
      <c r="I33" s="144" t="str">
        <f>IF(H33="","",IFERROR(INDEX('12 P6 activities'!$B$7:$B$206,MATCH(H33,'12 P6 activities'!$A$7:$A$206,0)),"⚠ not in P6 list"))</f>
        <v/>
      </c>
      <c r="J33" s="144" t="str">
        <f>IF(H33="","",IFERROR(INDEX('12 P6 activities'!$C$7:$C$206,MATCH(H33,'12 P6 activities'!$A$7:$A$206,0)),"⚠ not in P6 list"))</f>
        <v/>
      </c>
      <c r="K33" s="128"/>
      <c r="L33" s="6"/>
      <c r="M33" s="6"/>
      <c r="N33" s="6"/>
      <c r="O33" s="6"/>
      <c r="P33" s="6"/>
      <c r="Q33" s="6"/>
      <c r="R33" s="6"/>
      <c r="S33" s="6"/>
      <c r="T33" s="6"/>
      <c r="U33" s="6"/>
      <c r="V33" s="6"/>
      <c r="W33" s="6"/>
      <c r="X33" s="6"/>
      <c r="Y33" s="6"/>
      <c r="Z33" s="6"/>
    </row>
    <row r="34" spans="1:26" ht="18" customHeight="1" x14ac:dyDescent="0.3">
      <c r="A34" s="152"/>
      <c r="B34" s="128"/>
      <c r="C34" s="152"/>
      <c r="D34" s="154"/>
      <c r="E34" s="154"/>
      <c r="F34" s="152"/>
      <c r="G34" s="128"/>
      <c r="H34" s="128"/>
      <c r="I34" s="144" t="str">
        <f>IF(H34="","",IFERROR(INDEX('12 P6 activities'!$B$7:$B$206,MATCH(H34,'12 P6 activities'!$A$7:$A$206,0)),"⚠ not in P6 list"))</f>
        <v/>
      </c>
      <c r="J34" s="144" t="str">
        <f>IF(H34="","",IFERROR(INDEX('12 P6 activities'!$C$7:$C$206,MATCH(H34,'12 P6 activities'!$A$7:$A$206,0)),"⚠ not in P6 list"))</f>
        <v/>
      </c>
      <c r="K34" s="128"/>
      <c r="L34" s="6"/>
      <c r="M34" s="6"/>
      <c r="N34" s="6"/>
      <c r="O34" s="6"/>
      <c r="P34" s="6"/>
      <c r="Q34" s="6"/>
      <c r="R34" s="6"/>
      <c r="S34" s="6"/>
      <c r="T34" s="6"/>
      <c r="U34" s="6"/>
      <c r="V34" s="6"/>
      <c r="W34" s="6"/>
      <c r="X34" s="6"/>
      <c r="Y34" s="6"/>
      <c r="Z34" s="6"/>
    </row>
    <row r="35" spans="1:26" ht="18" customHeight="1" x14ac:dyDescent="0.3">
      <c r="A35" s="152"/>
      <c r="B35" s="128"/>
      <c r="C35" s="152"/>
      <c r="D35" s="154"/>
      <c r="E35" s="154"/>
      <c r="F35" s="152"/>
      <c r="G35" s="128"/>
      <c r="H35" s="128"/>
      <c r="I35" s="144" t="str">
        <f>IF(H35="","",IFERROR(INDEX('12 P6 activities'!$B$7:$B$206,MATCH(H35,'12 P6 activities'!$A$7:$A$206,0)),"⚠ not in P6 list"))</f>
        <v/>
      </c>
      <c r="J35" s="144" t="str">
        <f>IF(H35="","",IFERROR(INDEX('12 P6 activities'!$C$7:$C$206,MATCH(H35,'12 P6 activities'!$A$7:$A$206,0)),"⚠ not in P6 list"))</f>
        <v/>
      </c>
      <c r="K35" s="128"/>
      <c r="L35" s="6"/>
      <c r="M35" s="6"/>
      <c r="N35" s="6"/>
      <c r="O35" s="6"/>
      <c r="P35" s="6"/>
      <c r="Q35" s="6"/>
      <c r="R35" s="6"/>
      <c r="S35" s="6"/>
      <c r="T35" s="6"/>
      <c r="U35" s="6"/>
      <c r="V35" s="6"/>
      <c r="W35" s="6"/>
      <c r="X35" s="6"/>
      <c r="Y35" s="6"/>
      <c r="Z35" s="6"/>
    </row>
    <row r="36" spans="1:26" ht="18" customHeight="1" x14ac:dyDescent="0.3">
      <c r="A36" s="152"/>
      <c r="B36" s="128"/>
      <c r="C36" s="152"/>
      <c r="D36" s="154"/>
      <c r="E36" s="154"/>
      <c r="F36" s="152"/>
      <c r="G36" s="128"/>
      <c r="H36" s="128"/>
      <c r="I36" s="144" t="str">
        <f>IF(H36="","",IFERROR(INDEX('12 P6 activities'!$B$7:$B$206,MATCH(H36,'12 P6 activities'!$A$7:$A$206,0)),"⚠ not in P6 list"))</f>
        <v/>
      </c>
      <c r="J36" s="144" t="str">
        <f>IF(H36="","",IFERROR(INDEX('12 P6 activities'!$C$7:$C$206,MATCH(H36,'12 P6 activities'!$A$7:$A$206,0)),"⚠ not in P6 list"))</f>
        <v/>
      </c>
      <c r="K36" s="128"/>
      <c r="L36" s="6"/>
      <c r="M36" s="6"/>
      <c r="N36" s="6"/>
      <c r="O36" s="6"/>
      <c r="P36" s="6"/>
      <c r="Q36" s="6"/>
      <c r="R36" s="6"/>
      <c r="S36" s="6"/>
      <c r="T36" s="6"/>
      <c r="U36" s="6"/>
      <c r="V36" s="6"/>
      <c r="W36" s="6"/>
      <c r="X36" s="6"/>
      <c r="Y36" s="6"/>
      <c r="Z36" s="6"/>
    </row>
    <row r="37" spans="1:26" ht="18" customHeight="1" x14ac:dyDescent="0.3">
      <c r="A37" s="152"/>
      <c r="B37" s="128"/>
      <c r="C37" s="152"/>
      <c r="D37" s="154"/>
      <c r="E37" s="154"/>
      <c r="F37" s="152"/>
      <c r="G37" s="128"/>
      <c r="H37" s="128"/>
      <c r="I37" s="144" t="str">
        <f>IF(H37="","",IFERROR(INDEX('12 P6 activities'!$B$7:$B$206,MATCH(H37,'12 P6 activities'!$A$7:$A$206,0)),"⚠ not in P6 list"))</f>
        <v/>
      </c>
      <c r="J37" s="144" t="str">
        <f>IF(H37="","",IFERROR(INDEX('12 P6 activities'!$C$7:$C$206,MATCH(H37,'12 P6 activities'!$A$7:$A$206,0)),"⚠ not in P6 list"))</f>
        <v/>
      </c>
      <c r="K37" s="128"/>
      <c r="L37" s="6"/>
      <c r="M37" s="6"/>
      <c r="N37" s="6"/>
      <c r="O37" s="6"/>
      <c r="P37" s="6"/>
      <c r="Q37" s="6"/>
      <c r="R37" s="6"/>
      <c r="S37" s="6"/>
      <c r="T37" s="6"/>
      <c r="U37" s="6"/>
      <c r="V37" s="6"/>
      <c r="W37" s="6"/>
      <c r="X37" s="6"/>
      <c r="Y37" s="6"/>
      <c r="Z37" s="6"/>
    </row>
    <row r="38" spans="1:26" ht="18" customHeight="1" x14ac:dyDescent="0.3">
      <c r="A38" s="152"/>
      <c r="B38" s="128"/>
      <c r="C38" s="152"/>
      <c r="D38" s="154"/>
      <c r="E38" s="154"/>
      <c r="F38" s="152"/>
      <c r="G38" s="128"/>
      <c r="H38" s="128"/>
      <c r="I38" s="144" t="str">
        <f>IF(H38="","",IFERROR(INDEX('12 P6 activities'!$B$7:$B$206,MATCH(H38,'12 P6 activities'!$A$7:$A$206,0)),"⚠ not in P6 list"))</f>
        <v/>
      </c>
      <c r="J38" s="144" t="str">
        <f>IF(H38="","",IFERROR(INDEX('12 P6 activities'!$C$7:$C$206,MATCH(H38,'12 P6 activities'!$A$7:$A$206,0)),"⚠ not in P6 list"))</f>
        <v/>
      </c>
      <c r="K38" s="128"/>
      <c r="L38" s="6"/>
      <c r="M38" s="6"/>
      <c r="N38" s="6"/>
      <c r="O38" s="6"/>
      <c r="P38" s="6"/>
      <c r="Q38" s="6"/>
      <c r="R38" s="6"/>
      <c r="S38" s="6"/>
      <c r="T38" s="6"/>
      <c r="U38" s="6"/>
      <c r="V38" s="6"/>
      <c r="W38" s="6"/>
      <c r="X38" s="6"/>
      <c r="Y38" s="6"/>
      <c r="Z38" s="6"/>
    </row>
    <row r="39" spans="1:26" ht="18" customHeight="1" x14ac:dyDescent="0.3">
      <c r="A39" s="152"/>
      <c r="B39" s="128"/>
      <c r="C39" s="152"/>
      <c r="D39" s="154"/>
      <c r="E39" s="154"/>
      <c r="F39" s="152"/>
      <c r="G39" s="128"/>
      <c r="H39" s="128"/>
      <c r="I39" s="144" t="str">
        <f>IF(H39="","",IFERROR(INDEX('12 P6 activities'!$B$7:$B$206,MATCH(H39,'12 P6 activities'!$A$7:$A$206,0)),"⚠ not in P6 list"))</f>
        <v/>
      </c>
      <c r="J39" s="144" t="str">
        <f>IF(H39="","",IFERROR(INDEX('12 P6 activities'!$C$7:$C$206,MATCH(H39,'12 P6 activities'!$A$7:$A$206,0)),"⚠ not in P6 list"))</f>
        <v/>
      </c>
      <c r="K39" s="128"/>
      <c r="L39" s="6"/>
      <c r="M39" s="6"/>
      <c r="N39" s="6"/>
      <c r="O39" s="6"/>
      <c r="P39" s="6"/>
      <c r="Q39" s="6"/>
      <c r="R39" s="6"/>
      <c r="S39" s="6"/>
      <c r="T39" s="6"/>
      <c r="U39" s="6"/>
      <c r="V39" s="6"/>
      <c r="W39" s="6"/>
      <c r="X39" s="6"/>
      <c r="Y39" s="6"/>
      <c r="Z39" s="6"/>
    </row>
    <row r="40" spans="1:26" ht="18" customHeight="1" x14ac:dyDescent="0.3">
      <c r="A40" s="152"/>
      <c r="B40" s="128"/>
      <c r="C40" s="152"/>
      <c r="D40" s="154"/>
      <c r="E40" s="154"/>
      <c r="F40" s="152"/>
      <c r="G40" s="128"/>
      <c r="H40" s="128"/>
      <c r="I40" s="144" t="str">
        <f>IF(H40="","",IFERROR(INDEX('12 P6 activities'!$B$7:$B$206,MATCH(H40,'12 P6 activities'!$A$7:$A$206,0)),"⚠ not in P6 list"))</f>
        <v/>
      </c>
      <c r="J40" s="144" t="str">
        <f>IF(H40="","",IFERROR(INDEX('12 P6 activities'!$C$7:$C$206,MATCH(H40,'12 P6 activities'!$A$7:$A$206,0)),"⚠ not in P6 list"))</f>
        <v/>
      </c>
      <c r="K40" s="128"/>
      <c r="L40" s="6"/>
      <c r="M40" s="6"/>
      <c r="N40" s="6"/>
      <c r="O40" s="6"/>
      <c r="P40" s="6"/>
      <c r="Q40" s="6"/>
      <c r="R40" s="6"/>
      <c r="S40" s="6"/>
      <c r="T40" s="6"/>
      <c r="U40" s="6"/>
      <c r="V40" s="6"/>
      <c r="W40" s="6"/>
      <c r="X40" s="6"/>
      <c r="Y40" s="6"/>
      <c r="Z40" s="6"/>
    </row>
    <row r="41" spans="1:26" ht="18" customHeight="1" x14ac:dyDescent="0.3">
      <c r="A41" s="152"/>
      <c r="B41" s="128"/>
      <c r="C41" s="152"/>
      <c r="D41" s="154"/>
      <c r="E41" s="154"/>
      <c r="F41" s="152"/>
      <c r="G41" s="128"/>
      <c r="H41" s="128"/>
      <c r="I41" s="144" t="str">
        <f>IF(H41="","",IFERROR(INDEX('12 P6 activities'!$B$7:$B$206,MATCH(H41,'12 P6 activities'!$A$7:$A$206,0)),"⚠ not in P6 list"))</f>
        <v/>
      </c>
      <c r="J41" s="144" t="str">
        <f>IF(H41="","",IFERROR(INDEX('12 P6 activities'!$C$7:$C$206,MATCH(H41,'12 P6 activities'!$A$7:$A$206,0)),"⚠ not in P6 list"))</f>
        <v/>
      </c>
      <c r="K41" s="128"/>
      <c r="L41" s="6"/>
      <c r="M41" s="6"/>
      <c r="N41" s="6"/>
      <c r="O41" s="6"/>
      <c r="P41" s="6"/>
      <c r="Q41" s="6"/>
      <c r="R41" s="6"/>
      <c r="S41" s="6"/>
      <c r="T41" s="6"/>
      <c r="U41" s="6"/>
      <c r="V41" s="6"/>
      <c r="W41" s="6"/>
      <c r="X41" s="6"/>
      <c r="Y41" s="6"/>
      <c r="Z41" s="6"/>
    </row>
    <row r="42" spans="1:26" ht="18" customHeight="1" x14ac:dyDescent="0.3">
      <c r="A42" s="152"/>
      <c r="B42" s="128"/>
      <c r="C42" s="152"/>
      <c r="D42" s="154"/>
      <c r="E42" s="154"/>
      <c r="F42" s="152"/>
      <c r="G42" s="128"/>
      <c r="H42" s="128"/>
      <c r="I42" s="144" t="str">
        <f>IF(H42="","",IFERROR(INDEX('12 P6 activities'!$B$7:$B$206,MATCH(H42,'12 P6 activities'!$A$7:$A$206,0)),"⚠ not in P6 list"))</f>
        <v/>
      </c>
      <c r="J42" s="144" t="str">
        <f>IF(H42="","",IFERROR(INDEX('12 P6 activities'!$C$7:$C$206,MATCH(H42,'12 P6 activities'!$A$7:$A$206,0)),"⚠ not in P6 list"))</f>
        <v/>
      </c>
      <c r="K42" s="128"/>
      <c r="L42" s="6"/>
      <c r="M42" s="6"/>
      <c r="N42" s="6"/>
      <c r="O42" s="6"/>
      <c r="P42" s="6"/>
      <c r="Q42" s="6"/>
      <c r="R42" s="6"/>
      <c r="S42" s="6"/>
      <c r="T42" s="6"/>
      <c r="U42" s="6"/>
      <c r="V42" s="6"/>
      <c r="W42" s="6"/>
      <c r="X42" s="6"/>
      <c r="Y42" s="6"/>
      <c r="Z42" s="6"/>
    </row>
    <row r="43" spans="1:26" ht="18" customHeight="1" x14ac:dyDescent="0.3">
      <c r="A43" s="152"/>
      <c r="B43" s="128"/>
      <c r="C43" s="152"/>
      <c r="D43" s="154"/>
      <c r="E43" s="154"/>
      <c r="F43" s="152"/>
      <c r="G43" s="128"/>
      <c r="H43" s="128"/>
      <c r="I43" s="144" t="str">
        <f>IF(H43="","",IFERROR(INDEX('12 P6 activities'!$B$7:$B$206,MATCH(H43,'12 P6 activities'!$A$7:$A$206,0)),"⚠ not in P6 list"))</f>
        <v/>
      </c>
      <c r="J43" s="144" t="str">
        <f>IF(H43="","",IFERROR(INDEX('12 P6 activities'!$C$7:$C$206,MATCH(H43,'12 P6 activities'!$A$7:$A$206,0)),"⚠ not in P6 list"))</f>
        <v/>
      </c>
      <c r="K43" s="128"/>
      <c r="L43" s="6"/>
      <c r="M43" s="6"/>
      <c r="N43" s="6"/>
      <c r="O43" s="6"/>
      <c r="P43" s="6"/>
      <c r="Q43" s="6"/>
      <c r="R43" s="6"/>
      <c r="S43" s="6"/>
      <c r="T43" s="6"/>
      <c r="U43" s="6"/>
      <c r="V43" s="6"/>
      <c r="W43" s="6"/>
      <c r="X43" s="6"/>
      <c r="Y43" s="6"/>
      <c r="Z43" s="6"/>
    </row>
    <row r="44" spans="1:26" ht="18" customHeight="1" x14ac:dyDescent="0.3">
      <c r="A44" s="152"/>
      <c r="B44" s="128"/>
      <c r="C44" s="152"/>
      <c r="D44" s="154"/>
      <c r="E44" s="154"/>
      <c r="F44" s="152"/>
      <c r="G44" s="128"/>
      <c r="H44" s="128"/>
      <c r="I44" s="144" t="str">
        <f>IF(H44="","",IFERROR(INDEX('12 P6 activities'!$B$7:$B$206,MATCH(H44,'12 P6 activities'!$A$7:$A$206,0)),"⚠ not in P6 list"))</f>
        <v/>
      </c>
      <c r="J44" s="144" t="str">
        <f>IF(H44="","",IFERROR(INDEX('12 P6 activities'!$C$7:$C$206,MATCH(H44,'12 P6 activities'!$A$7:$A$206,0)),"⚠ not in P6 list"))</f>
        <v/>
      </c>
      <c r="K44" s="128"/>
      <c r="L44" s="6"/>
      <c r="M44" s="6"/>
      <c r="N44" s="6"/>
      <c r="O44" s="6"/>
      <c r="P44" s="6"/>
      <c r="Q44" s="6"/>
      <c r="R44" s="6"/>
      <c r="S44" s="6"/>
      <c r="T44" s="6"/>
      <c r="U44" s="6"/>
      <c r="V44" s="6"/>
      <c r="W44" s="6"/>
      <c r="X44" s="6"/>
      <c r="Y44" s="6"/>
      <c r="Z44" s="6"/>
    </row>
    <row r="45" spans="1:26" ht="18" customHeight="1" x14ac:dyDescent="0.3">
      <c r="A45" s="152"/>
      <c r="B45" s="128"/>
      <c r="C45" s="152"/>
      <c r="D45" s="154"/>
      <c r="E45" s="154"/>
      <c r="F45" s="152"/>
      <c r="G45" s="128"/>
      <c r="H45" s="128"/>
      <c r="I45" s="144" t="str">
        <f>IF(H45="","",IFERROR(INDEX('12 P6 activities'!$B$7:$B$206,MATCH(H45,'12 P6 activities'!$A$7:$A$206,0)),"⚠ not in P6 list"))</f>
        <v/>
      </c>
      <c r="J45" s="144" t="str">
        <f>IF(H45="","",IFERROR(INDEX('12 P6 activities'!$C$7:$C$206,MATCH(H45,'12 P6 activities'!$A$7:$A$206,0)),"⚠ not in P6 list"))</f>
        <v/>
      </c>
      <c r="K45" s="128"/>
      <c r="L45" s="6"/>
      <c r="M45" s="6"/>
      <c r="N45" s="6"/>
      <c r="O45" s="6"/>
      <c r="P45" s="6"/>
      <c r="Q45" s="6"/>
      <c r="R45" s="6"/>
      <c r="S45" s="6"/>
      <c r="T45" s="6"/>
      <c r="U45" s="6"/>
      <c r="V45" s="6"/>
      <c r="W45" s="6"/>
      <c r="X45" s="6"/>
      <c r="Y45" s="6"/>
      <c r="Z45" s="6"/>
    </row>
    <row r="46" spans="1:26" ht="18" customHeight="1" x14ac:dyDescent="0.3">
      <c r="A46" s="152"/>
      <c r="B46" s="128"/>
      <c r="C46" s="152"/>
      <c r="D46" s="154"/>
      <c r="E46" s="154"/>
      <c r="F46" s="152"/>
      <c r="G46" s="128"/>
      <c r="H46" s="128"/>
      <c r="I46" s="144" t="str">
        <f>IF(H46="","",IFERROR(INDEX('12 P6 activities'!$B$7:$B$206,MATCH(H46,'12 P6 activities'!$A$7:$A$206,0)),"⚠ not in P6 list"))</f>
        <v/>
      </c>
      <c r="J46" s="144" t="str">
        <f>IF(H46="","",IFERROR(INDEX('12 P6 activities'!$C$7:$C$206,MATCH(H46,'12 P6 activities'!$A$7:$A$206,0)),"⚠ not in P6 list"))</f>
        <v/>
      </c>
      <c r="K46" s="128"/>
      <c r="L46" s="6"/>
      <c r="M46" s="6"/>
      <c r="N46" s="6"/>
      <c r="O46" s="6"/>
      <c r="P46" s="6"/>
      <c r="Q46" s="6"/>
      <c r="R46" s="6"/>
      <c r="S46" s="6"/>
      <c r="T46" s="6"/>
      <c r="U46" s="6"/>
      <c r="V46" s="6"/>
      <c r="W46" s="6"/>
      <c r="X46" s="6"/>
      <c r="Y46" s="6"/>
      <c r="Z46" s="6"/>
    </row>
    <row r="47" spans="1:26" ht="18" customHeight="1" x14ac:dyDescent="0.3">
      <c r="A47" s="152"/>
      <c r="B47" s="128"/>
      <c r="C47" s="152"/>
      <c r="D47" s="154"/>
      <c r="E47" s="154"/>
      <c r="F47" s="152"/>
      <c r="G47" s="128"/>
      <c r="H47" s="128"/>
      <c r="I47" s="144" t="str">
        <f>IF(H47="","",IFERROR(INDEX('12 P6 activities'!$B$7:$B$206,MATCH(H47,'12 P6 activities'!$A$7:$A$206,0)),"⚠ not in P6 list"))</f>
        <v/>
      </c>
      <c r="J47" s="144" t="str">
        <f>IF(H47="","",IFERROR(INDEX('12 P6 activities'!$C$7:$C$206,MATCH(H47,'12 P6 activities'!$A$7:$A$206,0)),"⚠ not in P6 list"))</f>
        <v/>
      </c>
      <c r="K47" s="128"/>
      <c r="L47" s="6"/>
      <c r="M47" s="6"/>
      <c r="N47" s="6"/>
      <c r="O47" s="6"/>
      <c r="P47" s="6"/>
      <c r="Q47" s="6"/>
      <c r="R47" s="6"/>
      <c r="S47" s="6"/>
      <c r="T47" s="6"/>
      <c r="U47" s="6"/>
      <c r="V47" s="6"/>
      <c r="W47" s="6"/>
      <c r="X47" s="6"/>
      <c r="Y47" s="6"/>
      <c r="Z47" s="6"/>
    </row>
    <row r="48" spans="1:26" ht="18" customHeight="1" x14ac:dyDescent="0.3">
      <c r="A48" s="152"/>
      <c r="B48" s="128"/>
      <c r="C48" s="152"/>
      <c r="D48" s="154"/>
      <c r="E48" s="154"/>
      <c r="F48" s="152"/>
      <c r="G48" s="128"/>
      <c r="H48" s="128"/>
      <c r="I48" s="144" t="str">
        <f>IF(H48="","",IFERROR(INDEX('12 P6 activities'!$B$7:$B$206,MATCH(H48,'12 P6 activities'!$A$7:$A$206,0)),"⚠ not in P6 list"))</f>
        <v/>
      </c>
      <c r="J48" s="144" t="str">
        <f>IF(H48="","",IFERROR(INDEX('12 P6 activities'!$C$7:$C$206,MATCH(H48,'12 P6 activities'!$A$7:$A$206,0)),"⚠ not in P6 list"))</f>
        <v/>
      </c>
      <c r="K48" s="128"/>
      <c r="L48" s="6"/>
      <c r="M48" s="6"/>
      <c r="N48" s="6"/>
      <c r="O48" s="6"/>
      <c r="P48" s="6"/>
      <c r="Q48" s="6"/>
      <c r="R48" s="6"/>
      <c r="S48" s="6"/>
      <c r="T48" s="6"/>
      <c r="U48" s="6"/>
      <c r="V48" s="6"/>
      <c r="W48" s="6"/>
      <c r="X48" s="6"/>
      <c r="Y48" s="6"/>
      <c r="Z48" s="6"/>
    </row>
    <row r="49" spans="1:26" ht="18" customHeight="1" x14ac:dyDescent="0.3">
      <c r="A49" s="152"/>
      <c r="B49" s="128"/>
      <c r="C49" s="152"/>
      <c r="D49" s="154"/>
      <c r="E49" s="154"/>
      <c r="F49" s="152"/>
      <c r="G49" s="128"/>
      <c r="H49" s="128"/>
      <c r="I49" s="144" t="str">
        <f>IF(H49="","",IFERROR(INDEX('12 P6 activities'!$B$7:$B$206,MATCH(H49,'12 P6 activities'!$A$7:$A$206,0)),"⚠ not in P6 list"))</f>
        <v/>
      </c>
      <c r="J49" s="144" t="str">
        <f>IF(H49="","",IFERROR(INDEX('12 P6 activities'!$C$7:$C$206,MATCH(H49,'12 P6 activities'!$A$7:$A$206,0)),"⚠ not in P6 list"))</f>
        <v/>
      </c>
      <c r="K49" s="128"/>
      <c r="L49" s="6"/>
      <c r="M49" s="6"/>
      <c r="N49" s="6"/>
      <c r="O49" s="6"/>
      <c r="P49" s="6"/>
      <c r="Q49" s="6"/>
      <c r="R49" s="6"/>
      <c r="S49" s="6"/>
      <c r="T49" s="6"/>
      <c r="U49" s="6"/>
      <c r="V49" s="6"/>
      <c r="W49" s="6"/>
      <c r="X49" s="6"/>
      <c r="Y49" s="6"/>
      <c r="Z49" s="6"/>
    </row>
    <row r="50" spans="1:26" ht="18" customHeight="1" x14ac:dyDescent="0.3">
      <c r="A50" s="152"/>
      <c r="B50" s="128"/>
      <c r="C50" s="152"/>
      <c r="D50" s="154"/>
      <c r="E50" s="154"/>
      <c r="F50" s="152"/>
      <c r="G50" s="128"/>
      <c r="H50" s="128"/>
      <c r="I50" s="144" t="str">
        <f>IF(H50="","",IFERROR(INDEX('12 P6 activities'!$B$7:$B$206,MATCH(H50,'12 P6 activities'!$A$7:$A$206,0)),"⚠ not in P6 list"))</f>
        <v/>
      </c>
      <c r="J50" s="144" t="str">
        <f>IF(H50="","",IFERROR(INDEX('12 P6 activities'!$C$7:$C$206,MATCH(H50,'12 P6 activities'!$A$7:$A$206,0)),"⚠ not in P6 list"))</f>
        <v/>
      </c>
      <c r="K50" s="128"/>
      <c r="L50" s="6"/>
      <c r="M50" s="6"/>
      <c r="N50" s="6"/>
      <c r="O50" s="6"/>
      <c r="P50" s="6"/>
      <c r="Q50" s="6"/>
      <c r="R50" s="6"/>
      <c r="S50" s="6"/>
      <c r="T50" s="6"/>
      <c r="U50" s="6"/>
      <c r="V50" s="6"/>
      <c r="W50" s="6"/>
      <c r="X50" s="6"/>
      <c r="Y50" s="6"/>
      <c r="Z50" s="6"/>
    </row>
    <row r="51" spans="1:26" ht="18" customHeight="1" x14ac:dyDescent="0.3">
      <c r="A51" s="152"/>
      <c r="B51" s="128"/>
      <c r="C51" s="152"/>
      <c r="D51" s="154"/>
      <c r="E51" s="154"/>
      <c r="F51" s="152"/>
      <c r="G51" s="128"/>
      <c r="H51" s="128"/>
      <c r="I51" s="144" t="str">
        <f>IF(H51="","",IFERROR(INDEX('12 P6 activities'!$B$7:$B$206,MATCH(H51,'12 P6 activities'!$A$7:$A$206,0)),"⚠ not in P6 list"))</f>
        <v/>
      </c>
      <c r="J51" s="144" t="str">
        <f>IF(H51="","",IFERROR(INDEX('12 P6 activities'!$C$7:$C$206,MATCH(H51,'12 P6 activities'!$A$7:$A$206,0)),"⚠ not in P6 list"))</f>
        <v/>
      </c>
      <c r="K51" s="128"/>
      <c r="L51" s="6"/>
      <c r="M51" s="6"/>
      <c r="N51" s="6"/>
      <c r="O51" s="6"/>
      <c r="P51" s="6"/>
      <c r="Q51" s="6"/>
      <c r="R51" s="6"/>
      <c r="S51" s="6"/>
      <c r="T51" s="6"/>
      <c r="U51" s="6"/>
      <c r="V51" s="6"/>
      <c r="W51" s="6"/>
      <c r="X51" s="6"/>
      <c r="Y51" s="6"/>
      <c r="Z51" s="6"/>
    </row>
    <row r="52" spans="1:26" ht="18" customHeight="1" x14ac:dyDescent="0.3">
      <c r="A52" s="152"/>
      <c r="B52" s="128"/>
      <c r="C52" s="152"/>
      <c r="D52" s="154"/>
      <c r="E52" s="154"/>
      <c r="F52" s="152"/>
      <c r="G52" s="128"/>
      <c r="H52" s="128"/>
      <c r="I52" s="144" t="str">
        <f>IF(H52="","",IFERROR(INDEX('12 P6 activities'!$B$7:$B$206,MATCH(H52,'12 P6 activities'!$A$7:$A$206,0)),"⚠ not in P6 list"))</f>
        <v/>
      </c>
      <c r="J52" s="144" t="str">
        <f>IF(H52="","",IFERROR(INDEX('12 P6 activities'!$C$7:$C$206,MATCH(H52,'12 P6 activities'!$A$7:$A$206,0)),"⚠ not in P6 list"))</f>
        <v/>
      </c>
      <c r="K52" s="128"/>
      <c r="L52" s="6"/>
      <c r="M52" s="6"/>
      <c r="N52" s="6"/>
      <c r="O52" s="6"/>
      <c r="P52" s="6"/>
      <c r="Q52" s="6"/>
      <c r="R52" s="6"/>
      <c r="S52" s="6"/>
      <c r="T52" s="6"/>
      <c r="U52" s="6"/>
      <c r="V52" s="6"/>
      <c r="W52" s="6"/>
      <c r="X52" s="6"/>
      <c r="Y52" s="6"/>
      <c r="Z52" s="6"/>
    </row>
    <row r="53" spans="1:26" ht="18" customHeight="1" x14ac:dyDescent="0.3">
      <c r="A53" s="152"/>
      <c r="B53" s="128"/>
      <c r="C53" s="152"/>
      <c r="D53" s="154"/>
      <c r="E53" s="154"/>
      <c r="F53" s="152"/>
      <c r="G53" s="128"/>
      <c r="H53" s="128"/>
      <c r="I53" s="144" t="str">
        <f>IF(H53="","",IFERROR(INDEX('12 P6 activities'!$B$7:$B$206,MATCH(H53,'12 P6 activities'!$A$7:$A$206,0)),"⚠ not in P6 list"))</f>
        <v/>
      </c>
      <c r="J53" s="144" t="str">
        <f>IF(H53="","",IFERROR(INDEX('12 P6 activities'!$C$7:$C$206,MATCH(H53,'12 P6 activities'!$A$7:$A$206,0)),"⚠ not in P6 list"))</f>
        <v/>
      </c>
      <c r="K53" s="128"/>
      <c r="L53" s="6"/>
      <c r="M53" s="6"/>
      <c r="N53" s="6"/>
      <c r="O53" s="6"/>
      <c r="P53" s="6"/>
      <c r="Q53" s="6"/>
      <c r="R53" s="6"/>
      <c r="S53" s="6"/>
      <c r="T53" s="6"/>
      <c r="U53" s="6"/>
      <c r="V53" s="6"/>
      <c r="W53" s="6"/>
      <c r="X53" s="6"/>
      <c r="Y53" s="6"/>
      <c r="Z53" s="6"/>
    </row>
    <row r="54" spans="1:26" ht="18" customHeight="1" x14ac:dyDescent="0.3">
      <c r="A54" s="152"/>
      <c r="B54" s="128"/>
      <c r="C54" s="152"/>
      <c r="D54" s="154"/>
      <c r="E54" s="154"/>
      <c r="F54" s="152"/>
      <c r="G54" s="128"/>
      <c r="H54" s="128"/>
      <c r="I54" s="144" t="str">
        <f>IF(H54="","",IFERROR(INDEX('12 P6 activities'!$B$7:$B$206,MATCH(H54,'12 P6 activities'!$A$7:$A$206,0)),"⚠ not in P6 list"))</f>
        <v/>
      </c>
      <c r="J54" s="144" t="str">
        <f>IF(H54="","",IFERROR(INDEX('12 P6 activities'!$C$7:$C$206,MATCH(H54,'12 P6 activities'!$A$7:$A$206,0)),"⚠ not in P6 list"))</f>
        <v/>
      </c>
      <c r="K54" s="128"/>
      <c r="L54" s="6"/>
      <c r="M54" s="6"/>
      <c r="N54" s="6"/>
      <c r="O54" s="6"/>
      <c r="P54" s="6"/>
      <c r="Q54" s="6"/>
      <c r="R54" s="6"/>
      <c r="S54" s="6"/>
      <c r="T54" s="6"/>
      <c r="U54" s="6"/>
      <c r="V54" s="6"/>
      <c r="W54" s="6"/>
      <c r="X54" s="6"/>
      <c r="Y54" s="6"/>
      <c r="Z54" s="6"/>
    </row>
    <row r="55" spans="1:26" ht="18" customHeight="1" x14ac:dyDescent="0.3">
      <c r="A55" s="152"/>
      <c r="B55" s="128"/>
      <c r="C55" s="152"/>
      <c r="D55" s="154"/>
      <c r="E55" s="154"/>
      <c r="F55" s="152"/>
      <c r="G55" s="128"/>
      <c r="H55" s="128"/>
      <c r="I55" s="144" t="str">
        <f>IF(H55="","",IFERROR(INDEX('12 P6 activities'!$B$7:$B$206,MATCH(H55,'12 P6 activities'!$A$7:$A$206,0)),"⚠ not in P6 list"))</f>
        <v/>
      </c>
      <c r="J55" s="144" t="str">
        <f>IF(H55="","",IFERROR(INDEX('12 P6 activities'!$C$7:$C$206,MATCH(H55,'12 P6 activities'!$A$7:$A$206,0)),"⚠ not in P6 list"))</f>
        <v/>
      </c>
      <c r="K55" s="128"/>
      <c r="L55" s="6"/>
      <c r="M55" s="6"/>
      <c r="N55" s="6"/>
      <c r="O55" s="6"/>
      <c r="P55" s="6"/>
      <c r="Q55" s="6"/>
      <c r="R55" s="6"/>
      <c r="S55" s="6"/>
      <c r="T55" s="6"/>
      <c r="U55" s="6"/>
      <c r="V55" s="6"/>
      <c r="W55" s="6"/>
      <c r="X55" s="6"/>
      <c r="Y55" s="6"/>
      <c r="Z55" s="6"/>
    </row>
    <row r="56" spans="1:26" ht="18" customHeight="1" x14ac:dyDescent="0.3">
      <c r="A56" s="152"/>
      <c r="B56" s="128"/>
      <c r="C56" s="152"/>
      <c r="D56" s="154"/>
      <c r="E56" s="154"/>
      <c r="F56" s="152"/>
      <c r="G56" s="128"/>
      <c r="H56" s="128"/>
      <c r="I56" s="144" t="str">
        <f>IF(H56="","",IFERROR(INDEX('12 P6 activities'!$B$7:$B$206,MATCH(H56,'12 P6 activities'!$A$7:$A$206,0)),"⚠ not in P6 list"))</f>
        <v/>
      </c>
      <c r="J56" s="144" t="str">
        <f>IF(H56="","",IFERROR(INDEX('12 P6 activities'!$C$7:$C$206,MATCH(H56,'12 P6 activities'!$A$7:$A$206,0)),"⚠ not in P6 list"))</f>
        <v/>
      </c>
      <c r="K56" s="128"/>
      <c r="L56" s="6"/>
      <c r="M56" s="6"/>
      <c r="N56" s="6"/>
      <c r="O56" s="6"/>
      <c r="P56" s="6"/>
      <c r="Q56" s="6"/>
      <c r="R56" s="6"/>
      <c r="S56" s="6"/>
      <c r="T56" s="6"/>
      <c r="U56" s="6"/>
      <c r="V56" s="6"/>
      <c r="W56" s="6"/>
      <c r="X56" s="6"/>
      <c r="Y56" s="6"/>
      <c r="Z56" s="6"/>
    </row>
    <row r="57" spans="1:26" ht="18" customHeight="1" x14ac:dyDescent="0.3">
      <c r="A57" s="152"/>
      <c r="B57" s="128"/>
      <c r="C57" s="152"/>
      <c r="D57" s="154"/>
      <c r="E57" s="154"/>
      <c r="F57" s="152"/>
      <c r="G57" s="128"/>
      <c r="H57" s="128"/>
      <c r="I57" s="144" t="str">
        <f>IF(H57="","",IFERROR(INDEX('12 P6 activities'!$B$7:$B$206,MATCH(H57,'12 P6 activities'!$A$7:$A$206,0)),"⚠ not in P6 list"))</f>
        <v/>
      </c>
      <c r="J57" s="144" t="str">
        <f>IF(H57="","",IFERROR(INDEX('12 P6 activities'!$C$7:$C$206,MATCH(H57,'12 P6 activities'!$A$7:$A$206,0)),"⚠ not in P6 list"))</f>
        <v/>
      </c>
      <c r="K57" s="128"/>
      <c r="L57" s="6"/>
      <c r="M57" s="6"/>
      <c r="N57" s="6"/>
      <c r="O57" s="6"/>
      <c r="P57" s="6"/>
      <c r="Q57" s="6"/>
      <c r="R57" s="6"/>
      <c r="S57" s="6"/>
      <c r="T57" s="6"/>
      <c r="U57" s="6"/>
      <c r="V57" s="6"/>
      <c r="W57" s="6"/>
      <c r="X57" s="6"/>
      <c r="Y57" s="6"/>
      <c r="Z57" s="6"/>
    </row>
    <row r="58" spans="1:26" ht="18" customHeight="1" x14ac:dyDescent="0.3">
      <c r="A58" s="152"/>
      <c r="B58" s="128"/>
      <c r="C58" s="152"/>
      <c r="D58" s="154"/>
      <c r="E58" s="154"/>
      <c r="F58" s="152"/>
      <c r="G58" s="128"/>
      <c r="H58" s="128"/>
      <c r="I58" s="144" t="str">
        <f>IF(H58="","",IFERROR(INDEX('12 P6 activities'!$B$7:$B$206,MATCH(H58,'12 P6 activities'!$A$7:$A$206,0)),"⚠ not in P6 list"))</f>
        <v/>
      </c>
      <c r="J58" s="144" t="str">
        <f>IF(H58="","",IFERROR(INDEX('12 P6 activities'!$C$7:$C$206,MATCH(H58,'12 P6 activities'!$A$7:$A$206,0)),"⚠ not in P6 list"))</f>
        <v/>
      </c>
      <c r="K58" s="128"/>
      <c r="L58" s="6"/>
      <c r="M58" s="6"/>
      <c r="N58" s="6"/>
      <c r="O58" s="6"/>
      <c r="P58" s="6"/>
      <c r="Q58" s="6"/>
      <c r="R58" s="6"/>
      <c r="S58" s="6"/>
      <c r="T58" s="6"/>
      <c r="U58" s="6"/>
      <c r="V58" s="6"/>
      <c r="W58" s="6"/>
      <c r="X58" s="6"/>
      <c r="Y58" s="6"/>
      <c r="Z58" s="6"/>
    </row>
    <row r="59" spans="1:26" ht="18" customHeight="1" x14ac:dyDescent="0.3">
      <c r="A59" s="152"/>
      <c r="B59" s="128"/>
      <c r="C59" s="152"/>
      <c r="D59" s="154"/>
      <c r="E59" s="154"/>
      <c r="F59" s="152"/>
      <c r="G59" s="128"/>
      <c r="H59" s="128"/>
      <c r="I59" s="144" t="str">
        <f>IF(H59="","",IFERROR(INDEX('12 P6 activities'!$B$7:$B$206,MATCH(H59,'12 P6 activities'!$A$7:$A$206,0)),"⚠ not in P6 list"))</f>
        <v/>
      </c>
      <c r="J59" s="144" t="str">
        <f>IF(H59="","",IFERROR(INDEX('12 P6 activities'!$C$7:$C$206,MATCH(H59,'12 P6 activities'!$A$7:$A$206,0)),"⚠ not in P6 list"))</f>
        <v/>
      </c>
      <c r="K59" s="128"/>
      <c r="L59" s="6"/>
      <c r="M59" s="6"/>
      <c r="N59" s="6"/>
      <c r="O59" s="6"/>
      <c r="P59" s="6"/>
      <c r="Q59" s="6"/>
      <c r="R59" s="6"/>
      <c r="S59" s="6"/>
      <c r="T59" s="6"/>
      <c r="U59" s="6"/>
      <c r="V59" s="6"/>
      <c r="W59" s="6"/>
      <c r="X59" s="6"/>
      <c r="Y59" s="6"/>
      <c r="Z59" s="6"/>
    </row>
    <row r="60" spans="1:26" ht="18" customHeight="1" x14ac:dyDescent="0.3">
      <c r="A60" s="152"/>
      <c r="B60" s="128"/>
      <c r="C60" s="152"/>
      <c r="D60" s="154"/>
      <c r="E60" s="154"/>
      <c r="F60" s="152"/>
      <c r="G60" s="128"/>
      <c r="H60" s="128"/>
      <c r="I60" s="144" t="str">
        <f>IF(H60="","",IFERROR(INDEX('12 P6 activities'!$B$7:$B$206,MATCH(H60,'12 P6 activities'!$A$7:$A$206,0)),"⚠ not in P6 list"))</f>
        <v/>
      </c>
      <c r="J60" s="144" t="str">
        <f>IF(H60="","",IFERROR(INDEX('12 P6 activities'!$C$7:$C$206,MATCH(H60,'12 P6 activities'!$A$7:$A$206,0)),"⚠ not in P6 list"))</f>
        <v/>
      </c>
      <c r="K60" s="128"/>
      <c r="L60" s="6"/>
      <c r="M60" s="6"/>
      <c r="N60" s="6"/>
      <c r="O60" s="6"/>
      <c r="P60" s="6"/>
      <c r="Q60" s="6"/>
      <c r="R60" s="6"/>
      <c r="S60" s="6"/>
      <c r="T60" s="6"/>
      <c r="U60" s="6"/>
      <c r="V60" s="6"/>
      <c r="W60" s="6"/>
      <c r="X60" s="6"/>
      <c r="Y60" s="6"/>
      <c r="Z60" s="6"/>
    </row>
    <row r="61" spans="1:26" ht="18" customHeight="1" x14ac:dyDescent="0.3">
      <c r="A61" s="152"/>
      <c r="B61" s="128"/>
      <c r="C61" s="152"/>
      <c r="D61" s="154"/>
      <c r="E61" s="154"/>
      <c r="F61" s="152"/>
      <c r="G61" s="128"/>
      <c r="H61" s="128"/>
      <c r="I61" s="144" t="str">
        <f>IF(H61="","",IFERROR(INDEX('12 P6 activities'!$B$7:$B$206,MATCH(H61,'12 P6 activities'!$A$7:$A$206,0)),"⚠ not in P6 list"))</f>
        <v/>
      </c>
      <c r="J61" s="144" t="str">
        <f>IF(H61="","",IFERROR(INDEX('12 P6 activities'!$C$7:$C$206,MATCH(H61,'12 P6 activities'!$A$7:$A$206,0)),"⚠ not in P6 list"))</f>
        <v/>
      </c>
      <c r="K61" s="128"/>
      <c r="L61" s="6"/>
      <c r="M61" s="6"/>
      <c r="N61" s="6"/>
      <c r="O61" s="6"/>
      <c r="P61" s="6"/>
      <c r="Q61" s="6"/>
      <c r="R61" s="6"/>
      <c r="S61" s="6"/>
      <c r="T61" s="6"/>
      <c r="U61" s="6"/>
      <c r="V61" s="6"/>
      <c r="W61" s="6"/>
      <c r="X61" s="6"/>
      <c r="Y61" s="6"/>
      <c r="Z61" s="6"/>
    </row>
    <row r="62" spans="1:26" ht="18" customHeight="1" x14ac:dyDescent="0.3">
      <c r="A62" s="152"/>
      <c r="B62" s="128"/>
      <c r="C62" s="152"/>
      <c r="D62" s="154"/>
      <c r="E62" s="154"/>
      <c r="F62" s="152"/>
      <c r="G62" s="128"/>
      <c r="H62" s="128"/>
      <c r="I62" s="144" t="str">
        <f>IF(H62="","",IFERROR(INDEX('12 P6 activities'!$B$7:$B$206,MATCH(H62,'12 P6 activities'!$A$7:$A$206,0)),"⚠ not in P6 list"))</f>
        <v/>
      </c>
      <c r="J62" s="144" t="str">
        <f>IF(H62="","",IFERROR(INDEX('12 P6 activities'!$C$7:$C$206,MATCH(H62,'12 P6 activities'!$A$7:$A$206,0)),"⚠ not in P6 list"))</f>
        <v/>
      </c>
      <c r="K62" s="128"/>
      <c r="L62" s="6"/>
      <c r="M62" s="6"/>
      <c r="N62" s="6"/>
      <c r="O62" s="6"/>
      <c r="P62" s="6"/>
      <c r="Q62" s="6"/>
      <c r="R62" s="6"/>
      <c r="S62" s="6"/>
      <c r="T62" s="6"/>
      <c r="U62" s="6"/>
      <c r="V62" s="6"/>
      <c r="W62" s="6"/>
      <c r="X62" s="6"/>
      <c r="Y62" s="6"/>
      <c r="Z62" s="6"/>
    </row>
    <row r="63" spans="1:26" ht="18" customHeight="1" x14ac:dyDescent="0.3">
      <c r="A63" s="152"/>
      <c r="B63" s="128"/>
      <c r="C63" s="152"/>
      <c r="D63" s="154"/>
      <c r="E63" s="154"/>
      <c r="F63" s="152"/>
      <c r="G63" s="128"/>
      <c r="H63" s="128"/>
      <c r="I63" s="144" t="str">
        <f>IF(H63="","",IFERROR(INDEX('12 P6 activities'!$B$7:$B$206,MATCH(H63,'12 P6 activities'!$A$7:$A$206,0)),"⚠ not in P6 list"))</f>
        <v/>
      </c>
      <c r="J63" s="144" t="str">
        <f>IF(H63="","",IFERROR(INDEX('12 P6 activities'!$C$7:$C$206,MATCH(H63,'12 P6 activities'!$A$7:$A$206,0)),"⚠ not in P6 list"))</f>
        <v/>
      </c>
      <c r="K63" s="128"/>
      <c r="L63" s="6"/>
      <c r="M63" s="6"/>
      <c r="N63" s="6"/>
      <c r="O63" s="6"/>
      <c r="P63" s="6"/>
      <c r="Q63" s="6"/>
      <c r="R63" s="6"/>
      <c r="S63" s="6"/>
      <c r="T63" s="6"/>
      <c r="U63" s="6"/>
      <c r="V63" s="6"/>
      <c r="W63" s="6"/>
      <c r="X63" s="6"/>
      <c r="Y63" s="6"/>
      <c r="Z63" s="6"/>
    </row>
    <row r="64" spans="1:26" ht="18" customHeight="1" x14ac:dyDescent="0.3">
      <c r="A64" s="152"/>
      <c r="B64" s="128"/>
      <c r="C64" s="152"/>
      <c r="D64" s="154"/>
      <c r="E64" s="154"/>
      <c r="F64" s="152"/>
      <c r="G64" s="128"/>
      <c r="H64" s="128"/>
      <c r="I64" s="144" t="str">
        <f>IF(H64="","",IFERROR(INDEX('12 P6 activities'!$B$7:$B$206,MATCH(H64,'12 P6 activities'!$A$7:$A$206,0)),"⚠ not in P6 list"))</f>
        <v/>
      </c>
      <c r="J64" s="144" t="str">
        <f>IF(H64="","",IFERROR(INDEX('12 P6 activities'!$C$7:$C$206,MATCH(H64,'12 P6 activities'!$A$7:$A$206,0)),"⚠ not in P6 list"))</f>
        <v/>
      </c>
      <c r="K64" s="128"/>
      <c r="L64" s="6"/>
      <c r="M64" s="6"/>
      <c r="N64" s="6"/>
      <c r="O64" s="6"/>
      <c r="P64" s="6"/>
      <c r="Q64" s="6"/>
      <c r="R64" s="6"/>
      <c r="S64" s="6"/>
      <c r="T64" s="6"/>
      <c r="U64" s="6"/>
      <c r="V64" s="6"/>
      <c r="W64" s="6"/>
      <c r="X64" s="6"/>
      <c r="Y64" s="6"/>
      <c r="Z64" s="6"/>
    </row>
    <row r="65" spans="1:26" ht="18" customHeight="1" x14ac:dyDescent="0.3">
      <c r="A65" s="152"/>
      <c r="B65" s="128"/>
      <c r="C65" s="152"/>
      <c r="D65" s="154"/>
      <c r="E65" s="154"/>
      <c r="F65" s="152"/>
      <c r="G65" s="128"/>
      <c r="H65" s="128"/>
      <c r="I65" s="144" t="str">
        <f>IF(H65="","",IFERROR(INDEX('12 P6 activities'!$B$7:$B$206,MATCH(H65,'12 P6 activities'!$A$7:$A$206,0)),"⚠ not in P6 list"))</f>
        <v/>
      </c>
      <c r="J65" s="144" t="str">
        <f>IF(H65="","",IFERROR(INDEX('12 P6 activities'!$C$7:$C$206,MATCH(H65,'12 P6 activities'!$A$7:$A$206,0)),"⚠ not in P6 list"))</f>
        <v/>
      </c>
      <c r="K65" s="128"/>
      <c r="L65" s="6"/>
      <c r="M65" s="6"/>
      <c r="N65" s="6"/>
      <c r="O65" s="6"/>
      <c r="P65" s="6"/>
      <c r="Q65" s="6"/>
      <c r="R65" s="6"/>
      <c r="S65" s="6"/>
      <c r="T65" s="6"/>
      <c r="U65" s="6"/>
      <c r="V65" s="6"/>
      <c r="W65" s="6"/>
      <c r="X65" s="6"/>
      <c r="Y65" s="6"/>
      <c r="Z65" s="6"/>
    </row>
    <row r="66" spans="1:26" ht="18" customHeight="1" x14ac:dyDescent="0.3">
      <c r="A66" s="152"/>
      <c r="B66" s="128"/>
      <c r="C66" s="152"/>
      <c r="D66" s="154"/>
      <c r="E66" s="154"/>
      <c r="F66" s="152"/>
      <c r="G66" s="128"/>
      <c r="H66" s="128"/>
      <c r="I66" s="144" t="str">
        <f>IF(H66="","",IFERROR(INDEX('12 P6 activities'!$B$7:$B$206,MATCH(H66,'12 P6 activities'!$A$7:$A$206,0)),"⚠ not in P6 list"))</f>
        <v/>
      </c>
      <c r="J66" s="144" t="str">
        <f>IF(H66="","",IFERROR(INDEX('12 P6 activities'!$C$7:$C$206,MATCH(H66,'12 P6 activities'!$A$7:$A$206,0)),"⚠ not in P6 list"))</f>
        <v/>
      </c>
      <c r="K66" s="128"/>
      <c r="L66" s="6"/>
      <c r="M66" s="6"/>
      <c r="N66" s="6"/>
      <c r="O66" s="6"/>
      <c r="P66" s="6"/>
      <c r="Q66" s="6"/>
      <c r="R66" s="6"/>
      <c r="S66" s="6"/>
      <c r="T66" s="6"/>
      <c r="U66" s="6"/>
      <c r="V66" s="6"/>
      <c r="W66" s="6"/>
      <c r="X66" s="6"/>
      <c r="Y66" s="6"/>
      <c r="Z66" s="6"/>
    </row>
    <row r="67" spans="1:26" ht="18" customHeight="1" x14ac:dyDescent="0.3">
      <c r="A67" s="152"/>
      <c r="B67" s="128"/>
      <c r="C67" s="152"/>
      <c r="D67" s="154"/>
      <c r="E67" s="154"/>
      <c r="F67" s="152"/>
      <c r="G67" s="128"/>
      <c r="H67" s="128"/>
      <c r="I67" s="144" t="str">
        <f>IF(H67="","",IFERROR(INDEX('12 P6 activities'!$B$7:$B$206,MATCH(H67,'12 P6 activities'!$A$7:$A$206,0)),"⚠ not in P6 list"))</f>
        <v/>
      </c>
      <c r="J67" s="144" t="str">
        <f>IF(H67="","",IFERROR(INDEX('12 P6 activities'!$C$7:$C$206,MATCH(H67,'12 P6 activities'!$A$7:$A$206,0)),"⚠ not in P6 list"))</f>
        <v/>
      </c>
      <c r="K67" s="128"/>
      <c r="L67" s="6"/>
      <c r="M67" s="6"/>
      <c r="N67" s="6"/>
      <c r="O67" s="6"/>
      <c r="P67" s="6"/>
      <c r="Q67" s="6"/>
      <c r="R67" s="6"/>
      <c r="S67" s="6"/>
      <c r="T67" s="6"/>
      <c r="U67" s="6"/>
      <c r="V67" s="6"/>
      <c r="W67" s="6"/>
      <c r="X67" s="6"/>
      <c r="Y67" s="6"/>
      <c r="Z67" s="6"/>
    </row>
    <row r="68" spans="1:26" ht="18" customHeight="1" x14ac:dyDescent="0.3">
      <c r="A68" s="152"/>
      <c r="B68" s="128"/>
      <c r="C68" s="152"/>
      <c r="D68" s="154"/>
      <c r="E68" s="154"/>
      <c r="F68" s="152"/>
      <c r="G68" s="128"/>
      <c r="H68" s="128"/>
      <c r="I68" s="144" t="str">
        <f>IF(H68="","",IFERROR(INDEX('12 P6 activities'!$B$7:$B$206,MATCH(H68,'12 P6 activities'!$A$7:$A$206,0)),"⚠ not in P6 list"))</f>
        <v/>
      </c>
      <c r="J68" s="144" t="str">
        <f>IF(H68="","",IFERROR(INDEX('12 P6 activities'!$C$7:$C$206,MATCH(H68,'12 P6 activities'!$A$7:$A$206,0)),"⚠ not in P6 list"))</f>
        <v/>
      </c>
      <c r="K68" s="128"/>
      <c r="L68" s="6"/>
      <c r="M68" s="6"/>
      <c r="N68" s="6"/>
      <c r="O68" s="6"/>
      <c r="P68" s="6"/>
      <c r="Q68" s="6"/>
      <c r="R68" s="6"/>
      <c r="S68" s="6"/>
      <c r="T68" s="6"/>
      <c r="U68" s="6"/>
      <c r="V68" s="6"/>
      <c r="W68" s="6"/>
      <c r="X68" s="6"/>
      <c r="Y68" s="6"/>
      <c r="Z68" s="6"/>
    </row>
    <row r="69" spans="1:26" ht="18" customHeight="1" x14ac:dyDescent="0.3">
      <c r="A69" s="152"/>
      <c r="B69" s="128"/>
      <c r="C69" s="152"/>
      <c r="D69" s="154"/>
      <c r="E69" s="154"/>
      <c r="F69" s="152"/>
      <c r="G69" s="128"/>
      <c r="H69" s="128"/>
      <c r="I69" s="144" t="str">
        <f>IF(H69="","",IFERROR(INDEX('12 P6 activities'!$B$7:$B$206,MATCH(H69,'12 P6 activities'!$A$7:$A$206,0)),"⚠ not in P6 list"))</f>
        <v/>
      </c>
      <c r="J69" s="144" t="str">
        <f>IF(H69="","",IFERROR(INDEX('12 P6 activities'!$C$7:$C$206,MATCH(H69,'12 P6 activities'!$A$7:$A$206,0)),"⚠ not in P6 list"))</f>
        <v/>
      </c>
      <c r="K69" s="128"/>
      <c r="L69" s="6"/>
      <c r="M69" s="6"/>
      <c r="N69" s="6"/>
      <c r="O69" s="6"/>
      <c r="P69" s="6"/>
      <c r="Q69" s="6"/>
      <c r="R69" s="6"/>
      <c r="S69" s="6"/>
      <c r="T69" s="6"/>
      <c r="U69" s="6"/>
      <c r="V69" s="6"/>
      <c r="W69" s="6"/>
      <c r="X69" s="6"/>
      <c r="Y69" s="6"/>
      <c r="Z69" s="6"/>
    </row>
    <row r="70" spans="1:26" ht="18" customHeight="1" x14ac:dyDescent="0.3">
      <c r="A70" s="152"/>
      <c r="B70" s="128"/>
      <c r="C70" s="152"/>
      <c r="D70" s="154"/>
      <c r="E70" s="154"/>
      <c r="F70" s="152"/>
      <c r="G70" s="128"/>
      <c r="H70" s="128"/>
      <c r="I70" s="144" t="str">
        <f>IF(H70="","",IFERROR(INDEX('12 P6 activities'!$B$7:$B$206,MATCH(H70,'12 P6 activities'!$A$7:$A$206,0)),"⚠ not in P6 list"))</f>
        <v/>
      </c>
      <c r="J70" s="144" t="str">
        <f>IF(H70="","",IFERROR(INDEX('12 P6 activities'!$C$7:$C$206,MATCH(H70,'12 P6 activities'!$A$7:$A$206,0)),"⚠ not in P6 list"))</f>
        <v/>
      </c>
      <c r="K70" s="128"/>
      <c r="L70" s="6"/>
      <c r="M70" s="6"/>
      <c r="N70" s="6"/>
      <c r="O70" s="6"/>
      <c r="P70" s="6"/>
      <c r="Q70" s="6"/>
      <c r="R70" s="6"/>
      <c r="S70" s="6"/>
      <c r="T70" s="6"/>
      <c r="U70" s="6"/>
      <c r="V70" s="6"/>
      <c r="W70" s="6"/>
      <c r="X70" s="6"/>
      <c r="Y70" s="6"/>
      <c r="Z70" s="6"/>
    </row>
    <row r="71" spans="1:26" ht="18" customHeight="1" x14ac:dyDescent="0.3">
      <c r="A71" s="152"/>
      <c r="B71" s="128"/>
      <c r="C71" s="152"/>
      <c r="D71" s="154"/>
      <c r="E71" s="154"/>
      <c r="F71" s="152"/>
      <c r="G71" s="128"/>
      <c r="H71" s="128"/>
      <c r="I71" s="144" t="str">
        <f>IF(H71="","",IFERROR(INDEX('12 P6 activities'!$B$7:$B$206,MATCH(H71,'12 P6 activities'!$A$7:$A$206,0)),"⚠ not in P6 list"))</f>
        <v/>
      </c>
      <c r="J71" s="144" t="str">
        <f>IF(H71="","",IFERROR(INDEX('12 P6 activities'!$C$7:$C$206,MATCH(H71,'12 P6 activities'!$A$7:$A$206,0)),"⚠ not in P6 list"))</f>
        <v/>
      </c>
      <c r="K71" s="128"/>
      <c r="L71" s="6"/>
      <c r="M71" s="6"/>
      <c r="N71" s="6"/>
      <c r="O71" s="6"/>
      <c r="P71" s="6"/>
      <c r="Q71" s="6"/>
      <c r="R71" s="6"/>
      <c r="S71" s="6"/>
      <c r="T71" s="6"/>
      <c r="U71" s="6"/>
      <c r="V71" s="6"/>
      <c r="W71" s="6"/>
      <c r="X71" s="6"/>
      <c r="Y71" s="6"/>
      <c r="Z71" s="6"/>
    </row>
    <row r="72" spans="1:26" ht="18" customHeight="1" x14ac:dyDescent="0.3">
      <c r="A72" s="152"/>
      <c r="B72" s="128"/>
      <c r="C72" s="152"/>
      <c r="D72" s="154"/>
      <c r="E72" s="154"/>
      <c r="F72" s="152"/>
      <c r="G72" s="128"/>
      <c r="H72" s="128"/>
      <c r="I72" s="144" t="str">
        <f>IF(H72="","",IFERROR(INDEX('12 P6 activities'!$B$7:$B$206,MATCH(H72,'12 P6 activities'!$A$7:$A$206,0)),"⚠ not in P6 list"))</f>
        <v/>
      </c>
      <c r="J72" s="144" t="str">
        <f>IF(H72="","",IFERROR(INDEX('12 P6 activities'!$C$7:$C$206,MATCH(H72,'12 P6 activities'!$A$7:$A$206,0)),"⚠ not in P6 list"))</f>
        <v/>
      </c>
      <c r="K72" s="128"/>
      <c r="L72" s="6"/>
      <c r="M72" s="6"/>
      <c r="N72" s="6"/>
      <c r="O72" s="6"/>
      <c r="P72" s="6"/>
      <c r="Q72" s="6"/>
      <c r="R72" s="6"/>
      <c r="S72" s="6"/>
      <c r="T72" s="6"/>
      <c r="U72" s="6"/>
      <c r="V72" s="6"/>
      <c r="W72" s="6"/>
      <c r="X72" s="6"/>
      <c r="Y72" s="6"/>
      <c r="Z72" s="6"/>
    </row>
    <row r="73" spans="1:26" ht="18" customHeight="1" x14ac:dyDescent="0.3">
      <c r="A73" s="152"/>
      <c r="B73" s="128"/>
      <c r="C73" s="152"/>
      <c r="D73" s="154"/>
      <c r="E73" s="154"/>
      <c r="F73" s="152"/>
      <c r="G73" s="128"/>
      <c r="H73" s="128"/>
      <c r="I73" s="144" t="str">
        <f>IF(H73="","",IFERROR(INDEX('12 P6 activities'!$B$7:$B$206,MATCH(H73,'12 P6 activities'!$A$7:$A$206,0)),"⚠ not in P6 list"))</f>
        <v/>
      </c>
      <c r="J73" s="144" t="str">
        <f>IF(H73="","",IFERROR(INDEX('12 P6 activities'!$C$7:$C$206,MATCH(H73,'12 P6 activities'!$A$7:$A$206,0)),"⚠ not in P6 list"))</f>
        <v/>
      </c>
      <c r="K73" s="128"/>
      <c r="L73" s="6"/>
      <c r="M73" s="6"/>
      <c r="N73" s="6"/>
      <c r="O73" s="6"/>
      <c r="P73" s="6"/>
      <c r="Q73" s="6"/>
      <c r="R73" s="6"/>
      <c r="S73" s="6"/>
      <c r="T73" s="6"/>
      <c r="U73" s="6"/>
      <c r="V73" s="6"/>
      <c r="W73" s="6"/>
      <c r="X73" s="6"/>
      <c r="Y73" s="6"/>
      <c r="Z73" s="6"/>
    </row>
    <row r="74" spans="1:26" ht="18" customHeight="1" x14ac:dyDescent="0.3">
      <c r="A74" s="152"/>
      <c r="B74" s="128"/>
      <c r="C74" s="152"/>
      <c r="D74" s="154"/>
      <c r="E74" s="154"/>
      <c r="F74" s="152"/>
      <c r="G74" s="128"/>
      <c r="H74" s="128"/>
      <c r="I74" s="144" t="str">
        <f>IF(H74="","",IFERROR(INDEX('12 P6 activities'!$B$7:$B$206,MATCH(H74,'12 P6 activities'!$A$7:$A$206,0)),"⚠ not in P6 list"))</f>
        <v/>
      </c>
      <c r="J74" s="144" t="str">
        <f>IF(H74="","",IFERROR(INDEX('12 P6 activities'!$C$7:$C$206,MATCH(H74,'12 P6 activities'!$A$7:$A$206,0)),"⚠ not in P6 list"))</f>
        <v/>
      </c>
      <c r="K74" s="128"/>
      <c r="L74" s="6"/>
      <c r="M74" s="6"/>
      <c r="N74" s="6"/>
      <c r="O74" s="6"/>
      <c r="P74" s="6"/>
      <c r="Q74" s="6"/>
      <c r="R74" s="6"/>
      <c r="S74" s="6"/>
      <c r="T74" s="6"/>
      <c r="U74" s="6"/>
      <c r="V74" s="6"/>
      <c r="W74" s="6"/>
      <c r="X74" s="6"/>
      <c r="Y74" s="6"/>
      <c r="Z74" s="6"/>
    </row>
    <row r="75" spans="1:26" ht="18" customHeight="1" x14ac:dyDescent="0.3">
      <c r="A75" s="152"/>
      <c r="B75" s="128"/>
      <c r="C75" s="152"/>
      <c r="D75" s="154"/>
      <c r="E75" s="154"/>
      <c r="F75" s="152"/>
      <c r="G75" s="128"/>
      <c r="H75" s="128"/>
      <c r="I75" s="144" t="str">
        <f>IF(H75="","",IFERROR(INDEX('12 P6 activities'!$B$7:$B$206,MATCH(H75,'12 P6 activities'!$A$7:$A$206,0)),"⚠ not in P6 list"))</f>
        <v/>
      </c>
      <c r="J75" s="144" t="str">
        <f>IF(H75="","",IFERROR(INDEX('12 P6 activities'!$C$7:$C$206,MATCH(H75,'12 P6 activities'!$A$7:$A$206,0)),"⚠ not in P6 list"))</f>
        <v/>
      </c>
      <c r="K75" s="128"/>
      <c r="L75" s="6"/>
      <c r="M75" s="6"/>
      <c r="N75" s="6"/>
      <c r="O75" s="6"/>
      <c r="P75" s="6"/>
      <c r="Q75" s="6"/>
      <c r="R75" s="6"/>
      <c r="S75" s="6"/>
      <c r="T75" s="6"/>
      <c r="U75" s="6"/>
      <c r="V75" s="6"/>
      <c r="W75" s="6"/>
      <c r="X75" s="6"/>
      <c r="Y75" s="6"/>
      <c r="Z75" s="6"/>
    </row>
    <row r="76" spans="1:26" ht="18" customHeight="1" x14ac:dyDescent="0.3">
      <c r="A76" s="152"/>
      <c r="B76" s="128"/>
      <c r="C76" s="152"/>
      <c r="D76" s="154"/>
      <c r="E76" s="154"/>
      <c r="F76" s="152"/>
      <c r="G76" s="128"/>
      <c r="H76" s="128"/>
      <c r="I76" s="144" t="str">
        <f>IF(H76="","",IFERROR(INDEX('12 P6 activities'!$B$7:$B$206,MATCH(H76,'12 P6 activities'!$A$7:$A$206,0)),"⚠ not in P6 list"))</f>
        <v/>
      </c>
      <c r="J76" s="144" t="str">
        <f>IF(H76="","",IFERROR(INDEX('12 P6 activities'!$C$7:$C$206,MATCH(H76,'12 P6 activities'!$A$7:$A$206,0)),"⚠ not in P6 list"))</f>
        <v/>
      </c>
      <c r="K76" s="128"/>
      <c r="L76" s="6"/>
      <c r="M76" s="6"/>
      <c r="N76" s="6"/>
      <c r="O76" s="6"/>
      <c r="P76" s="6"/>
      <c r="Q76" s="6"/>
      <c r="R76" s="6"/>
      <c r="S76" s="6"/>
      <c r="T76" s="6"/>
      <c r="U76" s="6"/>
      <c r="V76" s="6"/>
      <c r="W76" s="6"/>
      <c r="X76" s="6"/>
      <c r="Y76" s="6"/>
      <c r="Z76" s="6"/>
    </row>
    <row r="77" spans="1:26" ht="18" customHeight="1" x14ac:dyDescent="0.3">
      <c r="A77" s="152"/>
      <c r="B77" s="128"/>
      <c r="C77" s="152"/>
      <c r="D77" s="154"/>
      <c r="E77" s="154"/>
      <c r="F77" s="152"/>
      <c r="G77" s="128"/>
      <c r="H77" s="128"/>
      <c r="I77" s="144" t="str">
        <f>IF(H77="","",IFERROR(INDEX('12 P6 activities'!$B$7:$B$206,MATCH(H77,'12 P6 activities'!$A$7:$A$206,0)),"⚠ not in P6 list"))</f>
        <v/>
      </c>
      <c r="J77" s="144" t="str">
        <f>IF(H77="","",IFERROR(INDEX('12 P6 activities'!$C$7:$C$206,MATCH(H77,'12 P6 activities'!$A$7:$A$206,0)),"⚠ not in P6 list"))</f>
        <v/>
      </c>
      <c r="K77" s="128"/>
      <c r="L77" s="6"/>
      <c r="M77" s="6"/>
      <c r="N77" s="6"/>
      <c r="O77" s="6"/>
      <c r="P77" s="6"/>
      <c r="Q77" s="6"/>
      <c r="R77" s="6"/>
      <c r="S77" s="6"/>
      <c r="T77" s="6"/>
      <c r="U77" s="6"/>
      <c r="V77" s="6"/>
      <c r="W77" s="6"/>
      <c r="X77" s="6"/>
      <c r="Y77" s="6"/>
      <c r="Z77" s="6"/>
    </row>
    <row r="78" spans="1:26" ht="18" customHeight="1" x14ac:dyDescent="0.3">
      <c r="A78" s="152"/>
      <c r="B78" s="128"/>
      <c r="C78" s="152"/>
      <c r="D78" s="154"/>
      <c r="E78" s="154"/>
      <c r="F78" s="152"/>
      <c r="G78" s="128"/>
      <c r="H78" s="128"/>
      <c r="I78" s="144" t="str">
        <f>IF(H78="","",IFERROR(INDEX('12 P6 activities'!$B$7:$B$206,MATCH(H78,'12 P6 activities'!$A$7:$A$206,0)),"⚠ not in P6 list"))</f>
        <v/>
      </c>
      <c r="J78" s="144" t="str">
        <f>IF(H78="","",IFERROR(INDEX('12 P6 activities'!$C$7:$C$206,MATCH(H78,'12 P6 activities'!$A$7:$A$206,0)),"⚠ not in P6 list"))</f>
        <v/>
      </c>
      <c r="K78" s="128"/>
      <c r="L78" s="6"/>
      <c r="M78" s="6"/>
      <c r="N78" s="6"/>
      <c r="O78" s="6"/>
      <c r="P78" s="6"/>
      <c r="Q78" s="6"/>
      <c r="R78" s="6"/>
      <c r="S78" s="6"/>
      <c r="T78" s="6"/>
      <c r="U78" s="6"/>
      <c r="V78" s="6"/>
      <c r="W78" s="6"/>
      <c r="X78" s="6"/>
      <c r="Y78" s="6"/>
      <c r="Z78" s="6"/>
    </row>
    <row r="79" spans="1:26" ht="18" customHeight="1" x14ac:dyDescent="0.3">
      <c r="A79" s="152"/>
      <c r="B79" s="128"/>
      <c r="C79" s="152"/>
      <c r="D79" s="154"/>
      <c r="E79" s="154"/>
      <c r="F79" s="152"/>
      <c r="G79" s="128"/>
      <c r="H79" s="128"/>
      <c r="I79" s="144" t="str">
        <f>IF(H79="","",IFERROR(INDEX('12 P6 activities'!$B$7:$B$206,MATCH(H79,'12 P6 activities'!$A$7:$A$206,0)),"⚠ not in P6 list"))</f>
        <v/>
      </c>
      <c r="J79" s="144" t="str">
        <f>IF(H79="","",IFERROR(INDEX('12 P6 activities'!$C$7:$C$206,MATCH(H79,'12 P6 activities'!$A$7:$A$206,0)),"⚠ not in P6 list"))</f>
        <v/>
      </c>
      <c r="K79" s="128"/>
      <c r="L79" s="6"/>
      <c r="M79" s="6"/>
      <c r="N79" s="6"/>
      <c r="O79" s="6"/>
      <c r="P79" s="6"/>
      <c r="Q79" s="6"/>
      <c r="R79" s="6"/>
      <c r="S79" s="6"/>
      <c r="T79" s="6"/>
      <c r="U79" s="6"/>
      <c r="V79" s="6"/>
      <c r="W79" s="6"/>
      <c r="X79" s="6"/>
      <c r="Y79" s="6"/>
      <c r="Z79" s="6"/>
    </row>
    <row r="80" spans="1:26" ht="18" customHeight="1" x14ac:dyDescent="0.3">
      <c r="A80" s="152"/>
      <c r="B80" s="128"/>
      <c r="C80" s="152"/>
      <c r="D80" s="154"/>
      <c r="E80" s="154"/>
      <c r="F80" s="152"/>
      <c r="G80" s="128"/>
      <c r="H80" s="128"/>
      <c r="I80" s="144" t="str">
        <f>IF(H80="","",IFERROR(INDEX('12 P6 activities'!$B$7:$B$206,MATCH(H80,'12 P6 activities'!$A$7:$A$206,0)),"⚠ not in P6 list"))</f>
        <v/>
      </c>
      <c r="J80" s="144" t="str">
        <f>IF(H80="","",IFERROR(INDEX('12 P6 activities'!$C$7:$C$206,MATCH(H80,'12 P6 activities'!$A$7:$A$206,0)),"⚠ not in P6 list"))</f>
        <v/>
      </c>
      <c r="K80" s="128"/>
      <c r="L80" s="6"/>
      <c r="M80" s="6"/>
      <c r="N80" s="6"/>
      <c r="O80" s="6"/>
      <c r="P80" s="6"/>
      <c r="Q80" s="6"/>
      <c r="R80" s="6"/>
      <c r="S80" s="6"/>
      <c r="T80" s="6"/>
      <c r="U80" s="6"/>
      <c r="V80" s="6"/>
      <c r="W80" s="6"/>
      <c r="X80" s="6"/>
      <c r="Y80" s="6"/>
      <c r="Z80" s="6"/>
    </row>
    <row r="81" spans="1:26" ht="18" customHeight="1" x14ac:dyDescent="0.3">
      <c r="A81" s="152"/>
      <c r="B81" s="128"/>
      <c r="C81" s="152"/>
      <c r="D81" s="154"/>
      <c r="E81" s="154"/>
      <c r="F81" s="152"/>
      <c r="G81" s="128"/>
      <c r="H81" s="128"/>
      <c r="I81" s="144" t="str">
        <f>IF(H81="","",IFERROR(INDEX('12 P6 activities'!$B$7:$B$206,MATCH(H81,'12 P6 activities'!$A$7:$A$206,0)),"⚠ not in P6 list"))</f>
        <v/>
      </c>
      <c r="J81" s="144" t="str">
        <f>IF(H81="","",IFERROR(INDEX('12 P6 activities'!$C$7:$C$206,MATCH(H81,'12 P6 activities'!$A$7:$A$206,0)),"⚠ not in P6 list"))</f>
        <v/>
      </c>
      <c r="K81" s="128"/>
      <c r="L81" s="6"/>
      <c r="M81" s="6"/>
      <c r="N81" s="6"/>
      <c r="O81" s="6"/>
      <c r="P81" s="6"/>
      <c r="Q81" s="6"/>
      <c r="R81" s="6"/>
      <c r="S81" s="6"/>
      <c r="T81" s="6"/>
      <c r="U81" s="6"/>
      <c r="V81" s="6"/>
      <c r="W81" s="6"/>
      <c r="X81" s="6"/>
      <c r="Y81" s="6"/>
      <c r="Z81" s="6"/>
    </row>
    <row r="82" spans="1:26" ht="18" customHeight="1" x14ac:dyDescent="0.3">
      <c r="A82" s="152"/>
      <c r="B82" s="128"/>
      <c r="C82" s="152"/>
      <c r="D82" s="154"/>
      <c r="E82" s="154"/>
      <c r="F82" s="152"/>
      <c r="G82" s="128"/>
      <c r="H82" s="128"/>
      <c r="I82" s="144" t="str">
        <f>IF(H82="","",IFERROR(INDEX('12 P6 activities'!$B$7:$B$206,MATCH(H82,'12 P6 activities'!$A$7:$A$206,0)),"⚠ not in P6 list"))</f>
        <v/>
      </c>
      <c r="J82" s="144" t="str">
        <f>IF(H82="","",IFERROR(INDEX('12 P6 activities'!$C$7:$C$206,MATCH(H82,'12 P6 activities'!$A$7:$A$206,0)),"⚠ not in P6 list"))</f>
        <v/>
      </c>
      <c r="K82" s="128"/>
      <c r="L82" s="6"/>
      <c r="M82" s="6"/>
      <c r="N82" s="6"/>
      <c r="O82" s="6"/>
      <c r="P82" s="6"/>
      <c r="Q82" s="6"/>
      <c r="R82" s="6"/>
      <c r="S82" s="6"/>
      <c r="T82" s="6"/>
      <c r="U82" s="6"/>
      <c r="V82" s="6"/>
      <c r="W82" s="6"/>
      <c r="X82" s="6"/>
      <c r="Y82" s="6"/>
      <c r="Z82" s="6"/>
    </row>
    <row r="83" spans="1:26" ht="18" customHeight="1" x14ac:dyDescent="0.3">
      <c r="A83" s="152"/>
      <c r="B83" s="128"/>
      <c r="C83" s="152"/>
      <c r="D83" s="154"/>
      <c r="E83" s="154"/>
      <c r="F83" s="152"/>
      <c r="G83" s="128"/>
      <c r="H83" s="128"/>
      <c r="I83" s="144" t="str">
        <f>IF(H83="","",IFERROR(INDEX('12 P6 activities'!$B$7:$B$206,MATCH(H83,'12 P6 activities'!$A$7:$A$206,0)),"⚠ not in P6 list"))</f>
        <v/>
      </c>
      <c r="J83" s="144" t="str">
        <f>IF(H83="","",IFERROR(INDEX('12 P6 activities'!$C$7:$C$206,MATCH(H83,'12 P6 activities'!$A$7:$A$206,0)),"⚠ not in P6 list"))</f>
        <v/>
      </c>
      <c r="K83" s="128"/>
      <c r="L83" s="6"/>
      <c r="M83" s="6"/>
      <c r="N83" s="6"/>
      <c r="O83" s="6"/>
      <c r="P83" s="6"/>
      <c r="Q83" s="6"/>
      <c r="R83" s="6"/>
      <c r="S83" s="6"/>
      <c r="T83" s="6"/>
      <c r="U83" s="6"/>
      <c r="V83" s="6"/>
      <c r="W83" s="6"/>
      <c r="X83" s="6"/>
      <c r="Y83" s="6"/>
      <c r="Z83" s="6"/>
    </row>
    <row r="84" spans="1:26" ht="18" customHeight="1" x14ac:dyDescent="0.3">
      <c r="A84" s="152"/>
      <c r="B84" s="128"/>
      <c r="C84" s="152"/>
      <c r="D84" s="154"/>
      <c r="E84" s="154"/>
      <c r="F84" s="152"/>
      <c r="G84" s="128"/>
      <c r="H84" s="128"/>
      <c r="I84" s="144" t="str">
        <f>IF(H84="","",IFERROR(INDEX('12 P6 activities'!$B$7:$B$206,MATCH(H84,'12 P6 activities'!$A$7:$A$206,0)),"⚠ not in P6 list"))</f>
        <v/>
      </c>
      <c r="J84" s="144" t="str">
        <f>IF(H84="","",IFERROR(INDEX('12 P6 activities'!$C$7:$C$206,MATCH(H84,'12 P6 activities'!$A$7:$A$206,0)),"⚠ not in P6 list"))</f>
        <v/>
      </c>
      <c r="K84" s="128"/>
      <c r="L84" s="6"/>
      <c r="M84" s="6"/>
      <c r="N84" s="6"/>
      <c r="O84" s="6"/>
      <c r="P84" s="6"/>
      <c r="Q84" s="6"/>
      <c r="R84" s="6"/>
      <c r="S84" s="6"/>
      <c r="T84" s="6"/>
      <c r="U84" s="6"/>
      <c r="V84" s="6"/>
      <c r="W84" s="6"/>
      <c r="X84" s="6"/>
      <c r="Y84" s="6"/>
      <c r="Z84" s="6"/>
    </row>
    <row r="85" spans="1:26" ht="18" customHeight="1" x14ac:dyDescent="0.3">
      <c r="A85" s="152"/>
      <c r="B85" s="128"/>
      <c r="C85" s="152"/>
      <c r="D85" s="154"/>
      <c r="E85" s="154"/>
      <c r="F85" s="152"/>
      <c r="G85" s="128"/>
      <c r="H85" s="128"/>
      <c r="I85" s="144" t="str">
        <f>IF(H85="","",IFERROR(INDEX('12 P6 activities'!$B$7:$B$206,MATCH(H85,'12 P6 activities'!$A$7:$A$206,0)),"⚠ not in P6 list"))</f>
        <v/>
      </c>
      <c r="J85" s="144" t="str">
        <f>IF(H85="","",IFERROR(INDEX('12 P6 activities'!$C$7:$C$206,MATCH(H85,'12 P6 activities'!$A$7:$A$206,0)),"⚠ not in P6 list"))</f>
        <v/>
      </c>
      <c r="K85" s="128"/>
      <c r="L85" s="6"/>
      <c r="M85" s="6"/>
      <c r="N85" s="6"/>
      <c r="O85" s="6"/>
      <c r="P85" s="6"/>
      <c r="Q85" s="6"/>
      <c r="R85" s="6"/>
      <c r="S85" s="6"/>
      <c r="T85" s="6"/>
      <c r="U85" s="6"/>
      <c r="V85" s="6"/>
      <c r="W85" s="6"/>
      <c r="X85" s="6"/>
      <c r="Y85" s="6"/>
      <c r="Z85" s="6"/>
    </row>
    <row r="86" spans="1:26" ht="18" customHeight="1" x14ac:dyDescent="0.3">
      <c r="A86" s="152"/>
      <c r="B86" s="128"/>
      <c r="C86" s="152"/>
      <c r="D86" s="154"/>
      <c r="E86" s="154"/>
      <c r="F86" s="152"/>
      <c r="G86" s="128"/>
      <c r="H86" s="128"/>
      <c r="I86" s="144" t="str">
        <f>IF(H86="","",IFERROR(INDEX('12 P6 activities'!$B$7:$B$206,MATCH(H86,'12 P6 activities'!$A$7:$A$206,0)),"⚠ not in P6 list"))</f>
        <v/>
      </c>
      <c r="J86" s="144" t="str">
        <f>IF(H86="","",IFERROR(INDEX('12 P6 activities'!$C$7:$C$206,MATCH(H86,'12 P6 activities'!$A$7:$A$206,0)),"⚠ not in P6 list"))</f>
        <v/>
      </c>
      <c r="K86" s="128"/>
      <c r="L86" s="6"/>
      <c r="M86" s="6"/>
      <c r="N86" s="6"/>
      <c r="O86" s="6"/>
      <c r="P86" s="6"/>
      <c r="Q86" s="6"/>
      <c r="R86" s="6"/>
      <c r="S86" s="6"/>
      <c r="T86" s="6"/>
      <c r="U86" s="6"/>
      <c r="V86" s="6"/>
      <c r="W86" s="6"/>
      <c r="X86" s="6"/>
      <c r="Y86" s="6"/>
      <c r="Z86" s="6"/>
    </row>
    <row r="87" spans="1:26" ht="18" customHeight="1" x14ac:dyDescent="0.3">
      <c r="A87" s="152"/>
      <c r="B87" s="128"/>
      <c r="C87" s="152"/>
      <c r="D87" s="154"/>
      <c r="E87" s="154"/>
      <c r="F87" s="152"/>
      <c r="G87" s="128"/>
      <c r="H87" s="128"/>
      <c r="I87" s="144" t="str">
        <f>IF(H87="","",IFERROR(INDEX('12 P6 activities'!$B$7:$B$206,MATCH(H87,'12 P6 activities'!$A$7:$A$206,0)),"⚠ not in P6 list"))</f>
        <v/>
      </c>
      <c r="J87" s="144" t="str">
        <f>IF(H87="","",IFERROR(INDEX('12 P6 activities'!$C$7:$C$206,MATCH(H87,'12 P6 activities'!$A$7:$A$206,0)),"⚠ not in P6 list"))</f>
        <v/>
      </c>
      <c r="K87" s="128"/>
      <c r="L87" s="6"/>
      <c r="M87" s="6"/>
      <c r="N87" s="6"/>
      <c r="O87" s="6"/>
      <c r="P87" s="6"/>
      <c r="Q87" s="6"/>
      <c r="R87" s="6"/>
      <c r="S87" s="6"/>
      <c r="T87" s="6"/>
      <c r="U87" s="6"/>
      <c r="V87" s="6"/>
      <c r="W87" s="6"/>
      <c r="X87" s="6"/>
      <c r="Y87" s="6"/>
      <c r="Z87" s="6"/>
    </row>
    <row r="88" spans="1:26" ht="18" customHeight="1" x14ac:dyDescent="0.3">
      <c r="A88" s="152"/>
      <c r="B88" s="128"/>
      <c r="C88" s="152"/>
      <c r="D88" s="154"/>
      <c r="E88" s="154"/>
      <c r="F88" s="152"/>
      <c r="G88" s="128"/>
      <c r="H88" s="128"/>
      <c r="I88" s="144" t="str">
        <f>IF(H88="","",IFERROR(INDEX('12 P6 activities'!$B$7:$B$206,MATCH(H88,'12 P6 activities'!$A$7:$A$206,0)),"⚠ not in P6 list"))</f>
        <v/>
      </c>
      <c r="J88" s="144" t="str">
        <f>IF(H88="","",IFERROR(INDEX('12 P6 activities'!$C$7:$C$206,MATCH(H88,'12 P6 activities'!$A$7:$A$206,0)),"⚠ not in P6 list"))</f>
        <v/>
      </c>
      <c r="K88" s="128"/>
      <c r="L88" s="6"/>
      <c r="M88" s="6"/>
      <c r="N88" s="6"/>
      <c r="O88" s="6"/>
      <c r="P88" s="6"/>
      <c r="Q88" s="6"/>
      <c r="R88" s="6"/>
      <c r="S88" s="6"/>
      <c r="T88" s="6"/>
      <c r="U88" s="6"/>
      <c r="V88" s="6"/>
      <c r="W88" s="6"/>
      <c r="X88" s="6"/>
      <c r="Y88" s="6"/>
      <c r="Z88" s="6"/>
    </row>
    <row r="89" spans="1:26" ht="18" customHeight="1" x14ac:dyDescent="0.3">
      <c r="A89" s="152"/>
      <c r="B89" s="128"/>
      <c r="C89" s="152"/>
      <c r="D89" s="154"/>
      <c r="E89" s="154"/>
      <c r="F89" s="152"/>
      <c r="G89" s="128"/>
      <c r="H89" s="128"/>
      <c r="I89" s="144" t="str">
        <f>IF(H89="","",IFERROR(INDEX('12 P6 activities'!$B$7:$B$206,MATCH(H89,'12 P6 activities'!$A$7:$A$206,0)),"⚠ not in P6 list"))</f>
        <v/>
      </c>
      <c r="J89" s="144" t="str">
        <f>IF(H89="","",IFERROR(INDEX('12 P6 activities'!$C$7:$C$206,MATCH(H89,'12 P6 activities'!$A$7:$A$206,0)),"⚠ not in P6 list"))</f>
        <v/>
      </c>
      <c r="K89" s="128"/>
      <c r="L89" s="6"/>
      <c r="M89" s="6"/>
      <c r="N89" s="6"/>
      <c r="O89" s="6"/>
      <c r="P89" s="6"/>
      <c r="Q89" s="6"/>
      <c r="R89" s="6"/>
      <c r="S89" s="6"/>
      <c r="T89" s="6"/>
      <c r="U89" s="6"/>
      <c r="V89" s="6"/>
      <c r="W89" s="6"/>
      <c r="X89" s="6"/>
      <c r="Y89" s="6"/>
      <c r="Z89" s="6"/>
    </row>
    <row r="90" spans="1:26" ht="18" customHeight="1" x14ac:dyDescent="0.3">
      <c r="A90" s="152"/>
      <c r="B90" s="128"/>
      <c r="C90" s="152"/>
      <c r="D90" s="154"/>
      <c r="E90" s="154"/>
      <c r="F90" s="152"/>
      <c r="G90" s="128"/>
      <c r="H90" s="128"/>
      <c r="I90" s="144" t="str">
        <f>IF(H90="","",IFERROR(INDEX('12 P6 activities'!$B$7:$B$206,MATCH(H90,'12 P6 activities'!$A$7:$A$206,0)),"⚠ not in P6 list"))</f>
        <v/>
      </c>
      <c r="J90" s="144" t="str">
        <f>IF(H90="","",IFERROR(INDEX('12 P6 activities'!$C$7:$C$206,MATCH(H90,'12 P6 activities'!$A$7:$A$206,0)),"⚠ not in P6 list"))</f>
        <v/>
      </c>
      <c r="K90" s="128"/>
      <c r="L90" s="6"/>
      <c r="M90" s="6"/>
      <c r="N90" s="6"/>
      <c r="O90" s="6"/>
      <c r="P90" s="6"/>
      <c r="Q90" s="6"/>
      <c r="R90" s="6"/>
      <c r="S90" s="6"/>
      <c r="T90" s="6"/>
      <c r="U90" s="6"/>
      <c r="V90" s="6"/>
      <c r="W90" s="6"/>
      <c r="X90" s="6"/>
      <c r="Y90" s="6"/>
      <c r="Z90" s="6"/>
    </row>
    <row r="91" spans="1:26" ht="18" customHeight="1" x14ac:dyDescent="0.3">
      <c r="A91" s="152"/>
      <c r="B91" s="128"/>
      <c r="C91" s="152"/>
      <c r="D91" s="154"/>
      <c r="E91" s="154"/>
      <c r="F91" s="152"/>
      <c r="G91" s="128"/>
      <c r="H91" s="128"/>
      <c r="I91" s="144" t="str">
        <f>IF(H91="","",IFERROR(INDEX('12 P6 activities'!$B$7:$B$206,MATCH(H91,'12 P6 activities'!$A$7:$A$206,0)),"⚠ not in P6 list"))</f>
        <v/>
      </c>
      <c r="J91" s="144" t="str">
        <f>IF(H91="","",IFERROR(INDEX('12 P6 activities'!$C$7:$C$206,MATCH(H91,'12 P6 activities'!$A$7:$A$206,0)),"⚠ not in P6 list"))</f>
        <v/>
      </c>
      <c r="K91" s="128"/>
      <c r="L91" s="6"/>
      <c r="M91" s="6"/>
      <c r="N91" s="6"/>
      <c r="O91" s="6"/>
      <c r="P91" s="6"/>
      <c r="Q91" s="6"/>
      <c r="R91" s="6"/>
      <c r="S91" s="6"/>
      <c r="T91" s="6"/>
      <c r="U91" s="6"/>
      <c r="V91" s="6"/>
      <c r="W91" s="6"/>
      <c r="X91" s="6"/>
      <c r="Y91" s="6"/>
      <c r="Z91" s="6"/>
    </row>
    <row r="92" spans="1:26" ht="18" customHeight="1" x14ac:dyDescent="0.3">
      <c r="A92" s="152"/>
      <c r="B92" s="128"/>
      <c r="C92" s="152"/>
      <c r="D92" s="154"/>
      <c r="E92" s="154"/>
      <c r="F92" s="152"/>
      <c r="G92" s="128"/>
      <c r="H92" s="128"/>
      <c r="I92" s="144" t="str">
        <f>IF(H92="","",IFERROR(INDEX('12 P6 activities'!$B$7:$B$206,MATCH(H92,'12 P6 activities'!$A$7:$A$206,0)),"⚠ not in P6 list"))</f>
        <v/>
      </c>
      <c r="J92" s="144" t="str">
        <f>IF(H92="","",IFERROR(INDEX('12 P6 activities'!$C$7:$C$206,MATCH(H92,'12 P6 activities'!$A$7:$A$206,0)),"⚠ not in P6 list"))</f>
        <v/>
      </c>
      <c r="K92" s="128"/>
      <c r="L92" s="6"/>
      <c r="M92" s="6"/>
      <c r="N92" s="6"/>
      <c r="O92" s="6"/>
      <c r="P92" s="6"/>
      <c r="Q92" s="6"/>
      <c r="R92" s="6"/>
      <c r="S92" s="6"/>
      <c r="T92" s="6"/>
      <c r="U92" s="6"/>
      <c r="V92" s="6"/>
      <c r="W92" s="6"/>
      <c r="X92" s="6"/>
      <c r="Y92" s="6"/>
      <c r="Z92" s="6"/>
    </row>
    <row r="93" spans="1:26" ht="18" customHeight="1" x14ac:dyDescent="0.3">
      <c r="A93" s="152"/>
      <c r="B93" s="128"/>
      <c r="C93" s="152"/>
      <c r="D93" s="154"/>
      <c r="E93" s="154"/>
      <c r="F93" s="152"/>
      <c r="G93" s="128"/>
      <c r="H93" s="128"/>
      <c r="I93" s="144" t="str">
        <f>IF(H93="","",IFERROR(INDEX('12 P6 activities'!$B$7:$B$206,MATCH(H93,'12 P6 activities'!$A$7:$A$206,0)),"⚠ not in P6 list"))</f>
        <v/>
      </c>
      <c r="J93" s="144" t="str">
        <f>IF(H93="","",IFERROR(INDEX('12 P6 activities'!$C$7:$C$206,MATCH(H93,'12 P6 activities'!$A$7:$A$206,0)),"⚠ not in P6 list"))</f>
        <v/>
      </c>
      <c r="K93" s="128"/>
      <c r="L93" s="6"/>
      <c r="M93" s="6"/>
      <c r="N93" s="6"/>
      <c r="O93" s="6"/>
      <c r="P93" s="6"/>
      <c r="Q93" s="6"/>
      <c r="R93" s="6"/>
      <c r="S93" s="6"/>
      <c r="T93" s="6"/>
      <c r="U93" s="6"/>
      <c r="V93" s="6"/>
      <c r="W93" s="6"/>
      <c r="X93" s="6"/>
      <c r="Y93" s="6"/>
      <c r="Z93" s="6"/>
    </row>
    <row r="94" spans="1:26" ht="18" customHeight="1" x14ac:dyDescent="0.3">
      <c r="A94" s="152"/>
      <c r="B94" s="128"/>
      <c r="C94" s="152"/>
      <c r="D94" s="154"/>
      <c r="E94" s="154"/>
      <c r="F94" s="152"/>
      <c r="G94" s="128"/>
      <c r="H94" s="128"/>
      <c r="I94" s="144" t="str">
        <f>IF(H94="","",IFERROR(INDEX('12 P6 activities'!$B$7:$B$206,MATCH(H94,'12 P6 activities'!$A$7:$A$206,0)),"⚠ not in P6 list"))</f>
        <v/>
      </c>
      <c r="J94" s="144" t="str">
        <f>IF(H94="","",IFERROR(INDEX('12 P6 activities'!$C$7:$C$206,MATCH(H94,'12 P6 activities'!$A$7:$A$206,0)),"⚠ not in P6 list"))</f>
        <v/>
      </c>
      <c r="K94" s="128"/>
      <c r="L94" s="6"/>
      <c r="M94" s="6"/>
      <c r="N94" s="6"/>
      <c r="O94" s="6"/>
      <c r="P94" s="6"/>
      <c r="Q94" s="6"/>
      <c r="R94" s="6"/>
      <c r="S94" s="6"/>
      <c r="T94" s="6"/>
      <c r="U94" s="6"/>
      <c r="V94" s="6"/>
      <c r="W94" s="6"/>
      <c r="X94" s="6"/>
      <c r="Y94" s="6"/>
      <c r="Z94" s="6"/>
    </row>
    <row r="95" spans="1:26" ht="18" customHeight="1" x14ac:dyDescent="0.3">
      <c r="A95" s="152"/>
      <c r="B95" s="128"/>
      <c r="C95" s="152"/>
      <c r="D95" s="154"/>
      <c r="E95" s="154"/>
      <c r="F95" s="152"/>
      <c r="G95" s="128"/>
      <c r="H95" s="128"/>
      <c r="I95" s="144" t="str">
        <f>IF(H95="","",IFERROR(INDEX('12 P6 activities'!$B$7:$B$206,MATCH(H95,'12 P6 activities'!$A$7:$A$206,0)),"⚠ not in P6 list"))</f>
        <v/>
      </c>
      <c r="J95" s="144" t="str">
        <f>IF(H95="","",IFERROR(INDEX('12 P6 activities'!$C$7:$C$206,MATCH(H95,'12 P6 activities'!$A$7:$A$206,0)),"⚠ not in P6 list"))</f>
        <v/>
      </c>
      <c r="K95" s="128"/>
      <c r="L95" s="6"/>
      <c r="M95" s="6"/>
      <c r="N95" s="6"/>
      <c r="O95" s="6"/>
      <c r="P95" s="6"/>
      <c r="Q95" s="6"/>
      <c r="R95" s="6"/>
      <c r="S95" s="6"/>
      <c r="T95" s="6"/>
      <c r="U95" s="6"/>
      <c r="V95" s="6"/>
      <c r="W95" s="6"/>
      <c r="X95" s="6"/>
      <c r="Y95" s="6"/>
      <c r="Z95" s="6"/>
    </row>
    <row r="96" spans="1:26" ht="18" customHeight="1" x14ac:dyDescent="0.3">
      <c r="A96" s="152"/>
      <c r="B96" s="128"/>
      <c r="C96" s="152"/>
      <c r="D96" s="154"/>
      <c r="E96" s="154"/>
      <c r="F96" s="152"/>
      <c r="G96" s="128"/>
      <c r="H96" s="128"/>
      <c r="I96" s="144" t="str">
        <f>IF(H96="","",IFERROR(INDEX('12 P6 activities'!$B$7:$B$206,MATCH(H96,'12 P6 activities'!$A$7:$A$206,0)),"⚠ not in P6 list"))</f>
        <v/>
      </c>
      <c r="J96" s="144" t="str">
        <f>IF(H96="","",IFERROR(INDEX('12 P6 activities'!$C$7:$C$206,MATCH(H96,'12 P6 activities'!$A$7:$A$206,0)),"⚠ not in P6 list"))</f>
        <v/>
      </c>
      <c r="K96" s="128"/>
      <c r="L96" s="6"/>
      <c r="M96" s="6"/>
      <c r="N96" s="6"/>
      <c r="O96" s="6"/>
      <c r="P96" s="6"/>
      <c r="Q96" s="6"/>
      <c r="R96" s="6"/>
      <c r="S96" s="6"/>
      <c r="T96" s="6"/>
      <c r="U96" s="6"/>
      <c r="V96" s="6"/>
      <c r="W96" s="6"/>
      <c r="X96" s="6"/>
      <c r="Y96" s="6"/>
      <c r="Z96" s="6"/>
    </row>
    <row r="97" spans="1:26" ht="18" customHeight="1" x14ac:dyDescent="0.3">
      <c r="A97" s="152"/>
      <c r="B97" s="128"/>
      <c r="C97" s="152"/>
      <c r="D97" s="154"/>
      <c r="E97" s="154"/>
      <c r="F97" s="152"/>
      <c r="G97" s="128"/>
      <c r="H97" s="128"/>
      <c r="I97" s="144" t="str">
        <f>IF(H97="","",IFERROR(INDEX('12 P6 activities'!$B$7:$B$206,MATCH(H97,'12 P6 activities'!$A$7:$A$206,0)),"⚠ not in P6 list"))</f>
        <v/>
      </c>
      <c r="J97" s="144" t="str">
        <f>IF(H97="","",IFERROR(INDEX('12 P6 activities'!$C$7:$C$206,MATCH(H97,'12 P6 activities'!$A$7:$A$206,0)),"⚠ not in P6 list"))</f>
        <v/>
      </c>
      <c r="K97" s="128"/>
      <c r="L97" s="6"/>
      <c r="M97" s="6"/>
      <c r="N97" s="6"/>
      <c r="O97" s="6"/>
      <c r="P97" s="6"/>
      <c r="Q97" s="6"/>
      <c r="R97" s="6"/>
      <c r="S97" s="6"/>
      <c r="T97" s="6"/>
      <c r="U97" s="6"/>
      <c r="V97" s="6"/>
      <c r="W97" s="6"/>
      <c r="X97" s="6"/>
      <c r="Y97" s="6"/>
      <c r="Z97" s="6"/>
    </row>
    <row r="98" spans="1:26" ht="18" customHeight="1" x14ac:dyDescent="0.3">
      <c r="A98" s="152"/>
      <c r="B98" s="128"/>
      <c r="C98" s="152"/>
      <c r="D98" s="154"/>
      <c r="E98" s="154"/>
      <c r="F98" s="152"/>
      <c r="G98" s="128"/>
      <c r="H98" s="128"/>
      <c r="I98" s="144" t="str">
        <f>IF(H98="","",IFERROR(INDEX('12 P6 activities'!$B$7:$B$206,MATCH(H98,'12 P6 activities'!$A$7:$A$206,0)),"⚠ not in P6 list"))</f>
        <v/>
      </c>
      <c r="J98" s="144" t="str">
        <f>IF(H98="","",IFERROR(INDEX('12 P6 activities'!$C$7:$C$206,MATCH(H98,'12 P6 activities'!$A$7:$A$206,0)),"⚠ not in P6 list"))</f>
        <v/>
      </c>
      <c r="K98" s="128"/>
      <c r="L98" s="6"/>
      <c r="M98" s="6"/>
      <c r="N98" s="6"/>
      <c r="O98" s="6"/>
      <c r="P98" s="6"/>
      <c r="Q98" s="6"/>
      <c r="R98" s="6"/>
      <c r="S98" s="6"/>
      <c r="T98" s="6"/>
      <c r="U98" s="6"/>
      <c r="V98" s="6"/>
      <c r="W98" s="6"/>
      <c r="X98" s="6"/>
      <c r="Y98" s="6"/>
      <c r="Z98" s="6"/>
    </row>
    <row r="99" spans="1:26" ht="18" customHeight="1" x14ac:dyDescent="0.3">
      <c r="A99" s="152"/>
      <c r="B99" s="128"/>
      <c r="C99" s="152"/>
      <c r="D99" s="154"/>
      <c r="E99" s="154"/>
      <c r="F99" s="152"/>
      <c r="G99" s="128"/>
      <c r="H99" s="128"/>
      <c r="I99" s="144" t="str">
        <f>IF(H99="","",IFERROR(INDEX('12 P6 activities'!$B$7:$B$206,MATCH(H99,'12 P6 activities'!$A$7:$A$206,0)),"⚠ not in P6 list"))</f>
        <v/>
      </c>
      <c r="J99" s="144" t="str">
        <f>IF(H99="","",IFERROR(INDEX('12 P6 activities'!$C$7:$C$206,MATCH(H99,'12 P6 activities'!$A$7:$A$206,0)),"⚠ not in P6 list"))</f>
        <v/>
      </c>
      <c r="K99" s="128"/>
      <c r="L99" s="6"/>
      <c r="M99" s="6"/>
      <c r="N99" s="6"/>
      <c r="O99" s="6"/>
      <c r="P99" s="6"/>
      <c r="Q99" s="6"/>
      <c r="R99" s="6"/>
      <c r="S99" s="6"/>
      <c r="T99" s="6"/>
      <c r="U99" s="6"/>
      <c r="V99" s="6"/>
      <c r="W99" s="6"/>
      <c r="X99" s="6"/>
      <c r="Y99" s="6"/>
      <c r="Z99" s="6"/>
    </row>
    <row r="100" spans="1:26" ht="18" customHeight="1" x14ac:dyDescent="0.3">
      <c r="A100" s="152"/>
      <c r="B100" s="128"/>
      <c r="C100" s="152"/>
      <c r="D100" s="154"/>
      <c r="E100" s="154"/>
      <c r="F100" s="152"/>
      <c r="G100" s="128"/>
      <c r="H100" s="128"/>
      <c r="I100" s="144" t="str">
        <f>IF(H100="","",IFERROR(INDEX('12 P6 activities'!$B$7:$B$206,MATCH(H100,'12 P6 activities'!$A$7:$A$206,0)),"⚠ not in P6 list"))</f>
        <v/>
      </c>
      <c r="J100" s="144" t="str">
        <f>IF(H100="","",IFERROR(INDEX('12 P6 activities'!$C$7:$C$206,MATCH(H100,'12 P6 activities'!$A$7:$A$206,0)),"⚠ not in P6 list"))</f>
        <v/>
      </c>
      <c r="K100" s="128"/>
      <c r="L100" s="6"/>
      <c r="M100" s="6"/>
      <c r="N100" s="6"/>
      <c r="O100" s="6"/>
      <c r="P100" s="6"/>
      <c r="Q100" s="6"/>
      <c r="R100" s="6"/>
      <c r="S100" s="6"/>
      <c r="T100" s="6"/>
      <c r="U100" s="6"/>
      <c r="V100" s="6"/>
      <c r="W100" s="6"/>
      <c r="X100" s="6"/>
      <c r="Y100" s="6"/>
      <c r="Z100" s="6"/>
    </row>
    <row r="101" spans="1:26" ht="18" customHeight="1" x14ac:dyDescent="0.3">
      <c r="A101" s="152"/>
      <c r="B101" s="128"/>
      <c r="C101" s="152"/>
      <c r="D101" s="154"/>
      <c r="E101" s="154"/>
      <c r="F101" s="152"/>
      <c r="G101" s="128"/>
      <c r="H101" s="128"/>
      <c r="I101" s="144" t="str">
        <f>IF(H101="","",IFERROR(INDEX('12 P6 activities'!$B$7:$B$206,MATCH(H101,'12 P6 activities'!$A$7:$A$206,0)),"⚠ not in P6 list"))</f>
        <v/>
      </c>
      <c r="J101" s="144" t="str">
        <f>IF(H101="","",IFERROR(INDEX('12 P6 activities'!$C$7:$C$206,MATCH(H101,'12 P6 activities'!$A$7:$A$206,0)),"⚠ not in P6 list"))</f>
        <v/>
      </c>
      <c r="K101" s="128"/>
      <c r="L101" s="6"/>
      <c r="M101" s="6"/>
      <c r="N101" s="6"/>
      <c r="O101" s="6"/>
      <c r="P101" s="6"/>
      <c r="Q101" s="6"/>
      <c r="R101" s="6"/>
      <c r="S101" s="6"/>
      <c r="T101" s="6"/>
      <c r="U101" s="6"/>
      <c r="V101" s="6"/>
      <c r="W101" s="6"/>
      <c r="X101" s="6"/>
      <c r="Y101" s="6"/>
      <c r="Z101" s="6"/>
    </row>
    <row r="102" spans="1:26" ht="18" customHeight="1" x14ac:dyDescent="0.3">
      <c r="A102" s="152"/>
      <c r="B102" s="128"/>
      <c r="C102" s="152"/>
      <c r="D102" s="154"/>
      <c r="E102" s="154"/>
      <c r="F102" s="152"/>
      <c r="G102" s="128"/>
      <c r="H102" s="128"/>
      <c r="I102" s="144" t="str">
        <f>IF(H102="","",IFERROR(INDEX('12 P6 activities'!$B$7:$B$206,MATCH(H102,'12 P6 activities'!$A$7:$A$206,0)),"⚠ not in P6 list"))</f>
        <v/>
      </c>
      <c r="J102" s="144" t="str">
        <f>IF(H102="","",IFERROR(INDEX('12 P6 activities'!$C$7:$C$206,MATCH(H102,'12 P6 activities'!$A$7:$A$206,0)),"⚠ not in P6 list"))</f>
        <v/>
      </c>
      <c r="K102" s="128"/>
      <c r="L102" s="6"/>
      <c r="M102" s="6"/>
      <c r="N102" s="6"/>
      <c r="O102" s="6"/>
      <c r="P102" s="6"/>
      <c r="Q102" s="6"/>
      <c r="R102" s="6"/>
      <c r="S102" s="6"/>
      <c r="T102" s="6"/>
      <c r="U102" s="6"/>
      <c r="V102" s="6"/>
      <c r="W102" s="6"/>
      <c r="X102" s="6"/>
      <c r="Y102" s="6"/>
      <c r="Z102" s="6"/>
    </row>
    <row r="103" spans="1:26" ht="18" customHeight="1" x14ac:dyDescent="0.3">
      <c r="A103" s="152"/>
      <c r="B103" s="128"/>
      <c r="C103" s="152"/>
      <c r="D103" s="154"/>
      <c r="E103" s="154"/>
      <c r="F103" s="152"/>
      <c r="G103" s="128"/>
      <c r="H103" s="128"/>
      <c r="I103" s="144" t="str">
        <f>IF(H103="","",IFERROR(INDEX('12 P6 activities'!$B$7:$B$206,MATCH(H103,'12 P6 activities'!$A$7:$A$206,0)),"⚠ not in P6 list"))</f>
        <v/>
      </c>
      <c r="J103" s="144" t="str">
        <f>IF(H103="","",IFERROR(INDEX('12 P6 activities'!$C$7:$C$206,MATCH(H103,'12 P6 activities'!$A$7:$A$206,0)),"⚠ not in P6 list"))</f>
        <v/>
      </c>
      <c r="K103" s="128"/>
      <c r="L103" s="6"/>
      <c r="M103" s="6"/>
      <c r="N103" s="6"/>
      <c r="O103" s="6"/>
      <c r="P103" s="6"/>
      <c r="Q103" s="6"/>
      <c r="R103" s="6"/>
      <c r="S103" s="6"/>
      <c r="T103" s="6"/>
      <c r="U103" s="6"/>
      <c r="V103" s="6"/>
      <c r="W103" s="6"/>
      <c r="X103" s="6"/>
      <c r="Y103" s="6"/>
      <c r="Z103" s="6"/>
    </row>
    <row r="104" spans="1:26" ht="18" customHeight="1" x14ac:dyDescent="0.3">
      <c r="A104" s="152"/>
      <c r="B104" s="128"/>
      <c r="C104" s="152"/>
      <c r="D104" s="154"/>
      <c r="E104" s="154"/>
      <c r="F104" s="152"/>
      <c r="G104" s="128"/>
      <c r="H104" s="128"/>
      <c r="I104" s="144" t="str">
        <f>IF(H104="","",IFERROR(INDEX('12 P6 activities'!$B$7:$B$206,MATCH(H104,'12 P6 activities'!$A$7:$A$206,0)),"⚠ not in P6 list"))</f>
        <v/>
      </c>
      <c r="J104" s="144" t="str">
        <f>IF(H104="","",IFERROR(INDEX('12 P6 activities'!$C$7:$C$206,MATCH(H104,'12 P6 activities'!$A$7:$A$206,0)),"⚠ not in P6 list"))</f>
        <v/>
      </c>
      <c r="K104" s="128"/>
      <c r="L104" s="6"/>
      <c r="M104" s="6"/>
      <c r="N104" s="6"/>
      <c r="O104" s="6"/>
      <c r="P104" s="6"/>
      <c r="Q104" s="6"/>
      <c r="R104" s="6"/>
      <c r="S104" s="6"/>
      <c r="T104" s="6"/>
      <c r="U104" s="6"/>
      <c r="V104" s="6"/>
      <c r="W104" s="6"/>
      <c r="X104" s="6"/>
      <c r="Y104" s="6"/>
      <c r="Z104" s="6"/>
    </row>
    <row r="105" spans="1:26" ht="18" customHeight="1" x14ac:dyDescent="0.3">
      <c r="A105" s="152"/>
      <c r="B105" s="128"/>
      <c r="C105" s="152"/>
      <c r="D105" s="154"/>
      <c r="E105" s="154"/>
      <c r="F105" s="152"/>
      <c r="G105" s="128"/>
      <c r="H105" s="128"/>
      <c r="I105" s="144" t="str">
        <f>IF(H105="","",IFERROR(INDEX('12 P6 activities'!$B$7:$B$206,MATCH(H105,'12 P6 activities'!$A$7:$A$206,0)),"⚠ not in P6 list"))</f>
        <v/>
      </c>
      <c r="J105" s="144" t="str">
        <f>IF(H105="","",IFERROR(INDEX('12 P6 activities'!$C$7:$C$206,MATCH(H105,'12 P6 activities'!$A$7:$A$206,0)),"⚠ not in P6 list"))</f>
        <v/>
      </c>
      <c r="K105" s="128"/>
      <c r="L105" s="6"/>
      <c r="M105" s="6"/>
      <c r="N105" s="6"/>
      <c r="O105" s="6"/>
      <c r="P105" s="6"/>
      <c r="Q105" s="6"/>
      <c r="R105" s="6"/>
      <c r="S105" s="6"/>
      <c r="T105" s="6"/>
      <c r="U105" s="6"/>
      <c r="V105" s="6"/>
      <c r="W105" s="6"/>
      <c r="X105" s="6"/>
      <c r="Y105" s="6"/>
      <c r="Z105" s="6"/>
    </row>
    <row r="106" spans="1:26" ht="18" customHeight="1" x14ac:dyDescent="0.3">
      <c r="A106" s="152"/>
      <c r="B106" s="128"/>
      <c r="C106" s="152"/>
      <c r="D106" s="154"/>
      <c r="E106" s="154"/>
      <c r="F106" s="152"/>
      <c r="G106" s="128"/>
      <c r="H106" s="128"/>
      <c r="I106" s="144" t="str">
        <f>IF(H106="","",IFERROR(INDEX('12 P6 activities'!$B$7:$B$206,MATCH(H106,'12 P6 activities'!$A$7:$A$206,0)),"⚠ not in P6 list"))</f>
        <v/>
      </c>
      <c r="J106" s="144" t="str">
        <f>IF(H106="","",IFERROR(INDEX('12 P6 activities'!$C$7:$C$206,MATCH(H106,'12 P6 activities'!$A$7:$A$206,0)),"⚠ not in P6 list"))</f>
        <v/>
      </c>
      <c r="K106" s="128"/>
      <c r="L106" s="6"/>
      <c r="M106" s="6"/>
      <c r="N106" s="6"/>
      <c r="O106" s="6"/>
      <c r="P106" s="6"/>
      <c r="Q106" s="6"/>
      <c r="R106" s="6"/>
      <c r="S106" s="6"/>
      <c r="T106" s="6"/>
      <c r="U106" s="6"/>
      <c r="V106" s="6"/>
      <c r="W106" s="6"/>
      <c r="X106" s="6"/>
      <c r="Y106" s="6"/>
      <c r="Z106" s="6"/>
    </row>
    <row r="107" spans="1:26" ht="18" customHeight="1" x14ac:dyDescent="0.3">
      <c r="A107" s="152"/>
      <c r="B107" s="128"/>
      <c r="C107" s="152"/>
      <c r="D107" s="154"/>
      <c r="E107" s="154"/>
      <c r="F107" s="152"/>
      <c r="G107" s="128"/>
      <c r="H107" s="128"/>
      <c r="I107" s="144" t="str">
        <f>IF(H107="","",IFERROR(INDEX('12 P6 activities'!$B$7:$B$206,MATCH(H107,'12 P6 activities'!$A$7:$A$206,0)),"⚠ not in P6 list"))</f>
        <v/>
      </c>
      <c r="J107" s="144" t="str">
        <f>IF(H107="","",IFERROR(INDEX('12 P6 activities'!$C$7:$C$206,MATCH(H107,'12 P6 activities'!$A$7:$A$206,0)),"⚠ not in P6 list"))</f>
        <v/>
      </c>
      <c r="K107" s="128"/>
      <c r="L107" s="6"/>
      <c r="M107" s="6"/>
      <c r="N107" s="6"/>
      <c r="O107" s="6"/>
      <c r="P107" s="6"/>
      <c r="Q107" s="6"/>
      <c r="R107" s="6"/>
      <c r="S107" s="6"/>
      <c r="T107" s="6"/>
      <c r="U107" s="6"/>
      <c r="V107" s="6"/>
      <c r="W107" s="6"/>
      <c r="X107" s="6"/>
      <c r="Y107" s="6"/>
      <c r="Z107" s="6"/>
    </row>
    <row r="108" spans="1:26" ht="18" customHeight="1" x14ac:dyDescent="0.3">
      <c r="A108" s="152"/>
      <c r="B108" s="128"/>
      <c r="C108" s="152"/>
      <c r="D108" s="154"/>
      <c r="E108" s="154"/>
      <c r="F108" s="152"/>
      <c r="G108" s="128"/>
      <c r="H108" s="128"/>
      <c r="I108" s="144" t="str">
        <f>IF(H108="","",IFERROR(INDEX('12 P6 activities'!$B$7:$B$206,MATCH(H108,'12 P6 activities'!$A$7:$A$206,0)),"⚠ not in P6 list"))</f>
        <v/>
      </c>
      <c r="J108" s="144" t="str">
        <f>IF(H108="","",IFERROR(INDEX('12 P6 activities'!$C$7:$C$206,MATCH(H108,'12 P6 activities'!$A$7:$A$206,0)),"⚠ not in P6 list"))</f>
        <v/>
      </c>
      <c r="K108" s="128"/>
      <c r="L108" s="6"/>
      <c r="M108" s="6"/>
      <c r="N108" s="6"/>
      <c r="O108" s="6"/>
      <c r="P108" s="6"/>
      <c r="Q108" s="6"/>
      <c r="R108" s="6"/>
      <c r="S108" s="6"/>
      <c r="T108" s="6"/>
      <c r="U108" s="6"/>
      <c r="V108" s="6"/>
      <c r="W108" s="6"/>
      <c r="X108" s="6"/>
      <c r="Y108" s="6"/>
      <c r="Z108" s="6"/>
    </row>
    <row r="109" spans="1:26" ht="18" customHeight="1" x14ac:dyDescent="0.3">
      <c r="A109" s="152"/>
      <c r="B109" s="128"/>
      <c r="C109" s="152"/>
      <c r="D109" s="154"/>
      <c r="E109" s="154"/>
      <c r="F109" s="152"/>
      <c r="G109" s="128"/>
      <c r="H109" s="128"/>
      <c r="I109" s="144" t="str">
        <f>IF(H109="","",IFERROR(INDEX('12 P6 activities'!$B$7:$B$206,MATCH(H109,'12 P6 activities'!$A$7:$A$206,0)),"⚠ not in P6 list"))</f>
        <v/>
      </c>
      <c r="J109" s="144" t="str">
        <f>IF(H109="","",IFERROR(INDEX('12 P6 activities'!$C$7:$C$206,MATCH(H109,'12 P6 activities'!$A$7:$A$206,0)),"⚠ not in P6 list"))</f>
        <v/>
      </c>
      <c r="K109" s="128"/>
      <c r="L109" s="6"/>
      <c r="M109" s="6"/>
      <c r="N109" s="6"/>
      <c r="O109" s="6"/>
      <c r="P109" s="6"/>
      <c r="Q109" s="6"/>
      <c r="R109" s="6"/>
      <c r="S109" s="6"/>
      <c r="T109" s="6"/>
      <c r="U109" s="6"/>
      <c r="V109" s="6"/>
      <c r="W109" s="6"/>
      <c r="X109" s="6"/>
      <c r="Y109" s="6"/>
      <c r="Z109" s="6"/>
    </row>
    <row r="110" spans="1:26" ht="18" customHeight="1" x14ac:dyDescent="0.3">
      <c r="A110" s="152"/>
      <c r="B110" s="128"/>
      <c r="C110" s="152"/>
      <c r="D110" s="154"/>
      <c r="E110" s="154"/>
      <c r="F110" s="152"/>
      <c r="G110" s="128"/>
      <c r="H110" s="128"/>
      <c r="I110" s="144" t="str">
        <f>IF(H110="","",IFERROR(INDEX('12 P6 activities'!$B$7:$B$206,MATCH(H110,'12 P6 activities'!$A$7:$A$206,0)),"⚠ not in P6 list"))</f>
        <v/>
      </c>
      <c r="J110" s="144" t="str">
        <f>IF(H110="","",IFERROR(INDEX('12 P6 activities'!$C$7:$C$206,MATCH(H110,'12 P6 activities'!$A$7:$A$206,0)),"⚠ not in P6 list"))</f>
        <v/>
      </c>
      <c r="K110" s="128"/>
      <c r="L110" s="6"/>
      <c r="M110" s="6"/>
      <c r="N110" s="6"/>
      <c r="O110" s="6"/>
      <c r="P110" s="6"/>
      <c r="Q110" s="6"/>
      <c r="R110" s="6"/>
      <c r="S110" s="6"/>
      <c r="T110" s="6"/>
      <c r="U110" s="6"/>
      <c r="V110" s="6"/>
      <c r="W110" s="6"/>
      <c r="X110" s="6"/>
      <c r="Y110" s="6"/>
      <c r="Z110" s="6"/>
    </row>
    <row r="111" spans="1:26" ht="18" customHeight="1" x14ac:dyDescent="0.3">
      <c r="A111" s="152"/>
      <c r="B111" s="128"/>
      <c r="C111" s="152"/>
      <c r="D111" s="154"/>
      <c r="E111" s="154"/>
      <c r="F111" s="152"/>
      <c r="G111" s="128"/>
      <c r="H111" s="128"/>
      <c r="I111" s="144" t="str">
        <f>IF(H111="","",IFERROR(INDEX('12 P6 activities'!$B$7:$B$206,MATCH(H111,'12 P6 activities'!$A$7:$A$206,0)),"⚠ not in P6 list"))</f>
        <v/>
      </c>
      <c r="J111" s="144" t="str">
        <f>IF(H111="","",IFERROR(INDEX('12 P6 activities'!$C$7:$C$206,MATCH(H111,'12 P6 activities'!$A$7:$A$206,0)),"⚠ not in P6 list"))</f>
        <v/>
      </c>
      <c r="K111" s="128"/>
      <c r="L111" s="6"/>
      <c r="M111" s="6"/>
      <c r="N111" s="6"/>
      <c r="O111" s="6"/>
      <c r="P111" s="6"/>
      <c r="Q111" s="6"/>
      <c r="R111" s="6"/>
      <c r="S111" s="6"/>
      <c r="T111" s="6"/>
      <c r="U111" s="6"/>
      <c r="V111" s="6"/>
      <c r="W111" s="6"/>
      <c r="X111" s="6"/>
      <c r="Y111" s="6"/>
      <c r="Z111" s="6"/>
    </row>
    <row r="112" spans="1:26" ht="18" customHeight="1" x14ac:dyDescent="0.3">
      <c r="A112" s="152"/>
      <c r="B112" s="128"/>
      <c r="C112" s="152"/>
      <c r="D112" s="154"/>
      <c r="E112" s="154"/>
      <c r="F112" s="152"/>
      <c r="G112" s="128"/>
      <c r="H112" s="128"/>
      <c r="I112" s="144" t="str">
        <f>IF(H112="","",IFERROR(INDEX('12 P6 activities'!$B$7:$B$206,MATCH(H112,'12 P6 activities'!$A$7:$A$206,0)),"⚠ not in P6 list"))</f>
        <v/>
      </c>
      <c r="J112" s="144" t="str">
        <f>IF(H112="","",IFERROR(INDEX('12 P6 activities'!$C$7:$C$206,MATCH(H112,'12 P6 activities'!$A$7:$A$206,0)),"⚠ not in P6 list"))</f>
        <v/>
      </c>
      <c r="K112" s="128"/>
      <c r="L112" s="6"/>
      <c r="M112" s="6"/>
      <c r="N112" s="6"/>
      <c r="O112" s="6"/>
      <c r="P112" s="6"/>
      <c r="Q112" s="6"/>
      <c r="R112" s="6"/>
      <c r="S112" s="6"/>
      <c r="T112" s="6"/>
      <c r="U112" s="6"/>
      <c r="V112" s="6"/>
      <c r="W112" s="6"/>
      <c r="X112" s="6"/>
      <c r="Y112" s="6"/>
      <c r="Z112" s="6"/>
    </row>
    <row r="113" spans="1:26" ht="18" customHeight="1" x14ac:dyDescent="0.3">
      <c r="A113" s="152"/>
      <c r="B113" s="128"/>
      <c r="C113" s="152"/>
      <c r="D113" s="154"/>
      <c r="E113" s="154"/>
      <c r="F113" s="152"/>
      <c r="G113" s="128"/>
      <c r="H113" s="128"/>
      <c r="I113" s="144" t="str">
        <f>IF(H113="","",IFERROR(INDEX('12 P6 activities'!$B$7:$B$206,MATCH(H113,'12 P6 activities'!$A$7:$A$206,0)),"⚠ not in P6 list"))</f>
        <v/>
      </c>
      <c r="J113" s="144" t="str">
        <f>IF(H113="","",IFERROR(INDEX('12 P6 activities'!$C$7:$C$206,MATCH(H113,'12 P6 activities'!$A$7:$A$206,0)),"⚠ not in P6 list"))</f>
        <v/>
      </c>
      <c r="K113" s="128"/>
      <c r="L113" s="6"/>
      <c r="M113" s="6"/>
      <c r="N113" s="6"/>
      <c r="O113" s="6"/>
      <c r="P113" s="6"/>
      <c r="Q113" s="6"/>
      <c r="R113" s="6"/>
      <c r="S113" s="6"/>
      <c r="T113" s="6"/>
      <c r="U113" s="6"/>
      <c r="V113" s="6"/>
      <c r="W113" s="6"/>
      <c r="X113" s="6"/>
      <c r="Y113" s="6"/>
      <c r="Z113" s="6"/>
    </row>
    <row r="114" spans="1:26" ht="18" customHeight="1" x14ac:dyDescent="0.3">
      <c r="A114" s="152"/>
      <c r="B114" s="128"/>
      <c r="C114" s="152"/>
      <c r="D114" s="154"/>
      <c r="E114" s="154"/>
      <c r="F114" s="152"/>
      <c r="G114" s="128"/>
      <c r="H114" s="128"/>
      <c r="I114" s="144" t="str">
        <f>IF(H114="","",IFERROR(INDEX('12 P6 activities'!$B$7:$B$206,MATCH(H114,'12 P6 activities'!$A$7:$A$206,0)),"⚠ not in P6 list"))</f>
        <v/>
      </c>
      <c r="J114" s="144" t="str">
        <f>IF(H114="","",IFERROR(INDEX('12 P6 activities'!$C$7:$C$206,MATCH(H114,'12 P6 activities'!$A$7:$A$206,0)),"⚠ not in P6 list"))</f>
        <v/>
      </c>
      <c r="K114" s="128"/>
      <c r="L114" s="6"/>
      <c r="M114" s="6"/>
      <c r="N114" s="6"/>
      <c r="O114" s="6"/>
      <c r="P114" s="6"/>
      <c r="Q114" s="6"/>
      <c r="R114" s="6"/>
      <c r="S114" s="6"/>
      <c r="T114" s="6"/>
      <c r="U114" s="6"/>
      <c r="V114" s="6"/>
      <c r="W114" s="6"/>
      <c r="X114" s="6"/>
      <c r="Y114" s="6"/>
      <c r="Z114" s="6"/>
    </row>
    <row r="115" spans="1:26" ht="18" customHeight="1" x14ac:dyDescent="0.3">
      <c r="A115" s="152"/>
      <c r="B115" s="128"/>
      <c r="C115" s="152"/>
      <c r="D115" s="154"/>
      <c r="E115" s="154"/>
      <c r="F115" s="152"/>
      <c r="G115" s="128"/>
      <c r="H115" s="128"/>
      <c r="I115" s="144" t="str">
        <f>IF(H115="","",IFERROR(INDEX('12 P6 activities'!$B$7:$B$206,MATCH(H115,'12 P6 activities'!$A$7:$A$206,0)),"⚠ not in P6 list"))</f>
        <v/>
      </c>
      <c r="J115" s="144" t="str">
        <f>IF(H115="","",IFERROR(INDEX('12 P6 activities'!$C$7:$C$206,MATCH(H115,'12 P6 activities'!$A$7:$A$206,0)),"⚠ not in P6 list"))</f>
        <v/>
      </c>
      <c r="K115" s="128"/>
      <c r="L115" s="6"/>
      <c r="M115" s="6"/>
      <c r="N115" s="6"/>
      <c r="O115" s="6"/>
      <c r="P115" s="6"/>
      <c r="Q115" s="6"/>
      <c r="R115" s="6"/>
      <c r="S115" s="6"/>
      <c r="T115" s="6"/>
      <c r="U115" s="6"/>
      <c r="V115" s="6"/>
      <c r="W115" s="6"/>
      <c r="X115" s="6"/>
      <c r="Y115" s="6"/>
      <c r="Z115" s="6"/>
    </row>
    <row r="116" spans="1:26" ht="18" customHeight="1" x14ac:dyDescent="0.3">
      <c r="A116" s="152"/>
      <c r="B116" s="128"/>
      <c r="C116" s="152"/>
      <c r="D116" s="154"/>
      <c r="E116" s="154"/>
      <c r="F116" s="152"/>
      <c r="G116" s="128"/>
      <c r="H116" s="128"/>
      <c r="I116" s="144" t="str">
        <f>IF(H116="","",IFERROR(INDEX('12 P6 activities'!$B$7:$B$206,MATCH(H116,'12 P6 activities'!$A$7:$A$206,0)),"⚠ not in P6 list"))</f>
        <v/>
      </c>
      <c r="J116" s="144" t="str">
        <f>IF(H116="","",IFERROR(INDEX('12 P6 activities'!$C$7:$C$206,MATCH(H116,'12 P6 activities'!$A$7:$A$206,0)),"⚠ not in P6 list"))</f>
        <v/>
      </c>
      <c r="K116" s="128"/>
      <c r="L116" s="6"/>
      <c r="M116" s="6"/>
      <c r="N116" s="6"/>
      <c r="O116" s="6"/>
      <c r="P116" s="6"/>
      <c r="Q116" s="6"/>
      <c r="R116" s="6"/>
      <c r="S116" s="6"/>
      <c r="T116" s="6"/>
      <c r="U116" s="6"/>
      <c r="V116" s="6"/>
      <c r="W116" s="6"/>
      <c r="X116" s="6"/>
      <c r="Y116" s="6"/>
      <c r="Z116" s="6"/>
    </row>
    <row r="117" spans="1:26" ht="18" customHeight="1" x14ac:dyDescent="0.3">
      <c r="A117" s="152"/>
      <c r="B117" s="128"/>
      <c r="C117" s="152"/>
      <c r="D117" s="154"/>
      <c r="E117" s="154"/>
      <c r="F117" s="152"/>
      <c r="G117" s="128"/>
      <c r="H117" s="128"/>
      <c r="I117" s="144" t="str">
        <f>IF(H117="","",IFERROR(INDEX('12 P6 activities'!$B$7:$B$206,MATCH(H117,'12 P6 activities'!$A$7:$A$206,0)),"⚠ not in P6 list"))</f>
        <v/>
      </c>
      <c r="J117" s="144" t="str">
        <f>IF(H117="","",IFERROR(INDEX('12 P6 activities'!$C$7:$C$206,MATCH(H117,'12 P6 activities'!$A$7:$A$206,0)),"⚠ not in P6 list"))</f>
        <v/>
      </c>
      <c r="K117" s="128"/>
      <c r="L117" s="6"/>
      <c r="M117" s="6"/>
      <c r="N117" s="6"/>
      <c r="O117" s="6"/>
      <c r="P117" s="6"/>
      <c r="Q117" s="6"/>
      <c r="R117" s="6"/>
      <c r="S117" s="6"/>
      <c r="T117" s="6"/>
      <c r="U117" s="6"/>
      <c r="V117" s="6"/>
      <c r="W117" s="6"/>
      <c r="X117" s="6"/>
      <c r="Y117" s="6"/>
      <c r="Z117" s="6"/>
    </row>
    <row r="118" spans="1:26" ht="18" customHeight="1" x14ac:dyDescent="0.3">
      <c r="A118" s="152"/>
      <c r="B118" s="128"/>
      <c r="C118" s="152"/>
      <c r="D118" s="154"/>
      <c r="E118" s="154"/>
      <c r="F118" s="152"/>
      <c r="G118" s="128"/>
      <c r="H118" s="128"/>
      <c r="I118" s="144" t="str">
        <f>IF(H118="","",IFERROR(INDEX('12 P6 activities'!$B$7:$B$206,MATCH(H118,'12 P6 activities'!$A$7:$A$206,0)),"⚠ not in P6 list"))</f>
        <v/>
      </c>
      <c r="J118" s="144" t="str">
        <f>IF(H118="","",IFERROR(INDEX('12 P6 activities'!$C$7:$C$206,MATCH(H118,'12 P6 activities'!$A$7:$A$206,0)),"⚠ not in P6 list"))</f>
        <v/>
      </c>
      <c r="K118" s="128"/>
      <c r="L118" s="6"/>
      <c r="M118" s="6"/>
      <c r="N118" s="6"/>
      <c r="O118" s="6"/>
      <c r="P118" s="6"/>
      <c r="Q118" s="6"/>
      <c r="R118" s="6"/>
      <c r="S118" s="6"/>
      <c r="T118" s="6"/>
      <c r="U118" s="6"/>
      <c r="V118" s="6"/>
      <c r="W118" s="6"/>
      <c r="X118" s="6"/>
      <c r="Y118" s="6"/>
      <c r="Z118" s="6"/>
    </row>
    <row r="119" spans="1:26" ht="18" customHeight="1" x14ac:dyDescent="0.3">
      <c r="A119" s="152"/>
      <c r="B119" s="128"/>
      <c r="C119" s="152"/>
      <c r="D119" s="154"/>
      <c r="E119" s="154"/>
      <c r="F119" s="152"/>
      <c r="G119" s="128"/>
      <c r="H119" s="128"/>
      <c r="I119" s="144" t="str">
        <f>IF(H119="","",IFERROR(INDEX('12 P6 activities'!$B$7:$B$206,MATCH(H119,'12 P6 activities'!$A$7:$A$206,0)),"⚠ not in P6 list"))</f>
        <v/>
      </c>
      <c r="J119" s="144" t="str">
        <f>IF(H119="","",IFERROR(INDEX('12 P6 activities'!$C$7:$C$206,MATCH(H119,'12 P6 activities'!$A$7:$A$206,0)),"⚠ not in P6 list"))</f>
        <v/>
      </c>
      <c r="K119" s="128"/>
      <c r="L119" s="6"/>
      <c r="M119" s="6"/>
      <c r="N119" s="6"/>
      <c r="O119" s="6"/>
      <c r="P119" s="6"/>
      <c r="Q119" s="6"/>
      <c r="R119" s="6"/>
      <c r="S119" s="6"/>
      <c r="T119" s="6"/>
      <c r="U119" s="6"/>
      <c r="V119" s="6"/>
      <c r="W119" s="6"/>
      <c r="X119" s="6"/>
      <c r="Y119" s="6"/>
      <c r="Z119" s="6"/>
    </row>
    <row r="120" spans="1:26" ht="18" customHeight="1" x14ac:dyDescent="0.3">
      <c r="A120" s="152"/>
      <c r="B120" s="128"/>
      <c r="C120" s="152"/>
      <c r="D120" s="154"/>
      <c r="E120" s="154"/>
      <c r="F120" s="152"/>
      <c r="G120" s="128"/>
      <c r="H120" s="128"/>
      <c r="I120" s="144" t="str">
        <f>IF(H120="","",IFERROR(INDEX('12 P6 activities'!$B$7:$B$206,MATCH(H120,'12 P6 activities'!$A$7:$A$206,0)),"⚠ not in P6 list"))</f>
        <v/>
      </c>
      <c r="J120" s="144" t="str">
        <f>IF(H120="","",IFERROR(INDEX('12 P6 activities'!$C$7:$C$206,MATCH(H120,'12 P6 activities'!$A$7:$A$206,0)),"⚠ not in P6 list"))</f>
        <v/>
      </c>
      <c r="K120" s="128"/>
      <c r="L120" s="6"/>
      <c r="M120" s="6"/>
      <c r="N120" s="6"/>
      <c r="O120" s="6"/>
      <c r="P120" s="6"/>
      <c r="Q120" s="6"/>
      <c r="R120" s="6"/>
      <c r="S120" s="6"/>
      <c r="T120" s="6"/>
      <c r="U120" s="6"/>
      <c r="V120" s="6"/>
      <c r="W120" s="6"/>
      <c r="X120" s="6"/>
      <c r="Y120" s="6"/>
      <c r="Z120" s="6"/>
    </row>
    <row r="121" spans="1:26" ht="18" customHeight="1" x14ac:dyDescent="0.3">
      <c r="A121" s="152"/>
      <c r="B121" s="128"/>
      <c r="C121" s="152"/>
      <c r="D121" s="154"/>
      <c r="E121" s="154"/>
      <c r="F121" s="152"/>
      <c r="G121" s="128"/>
      <c r="H121" s="128"/>
      <c r="I121" s="144" t="str">
        <f>IF(H121="","",IFERROR(INDEX('12 P6 activities'!$B$7:$B$206,MATCH(H121,'12 P6 activities'!$A$7:$A$206,0)),"⚠ not in P6 list"))</f>
        <v/>
      </c>
      <c r="J121" s="144" t="str">
        <f>IF(H121="","",IFERROR(INDEX('12 P6 activities'!$C$7:$C$206,MATCH(H121,'12 P6 activities'!$A$7:$A$206,0)),"⚠ not in P6 list"))</f>
        <v/>
      </c>
      <c r="K121" s="128"/>
      <c r="L121" s="6"/>
      <c r="M121" s="6"/>
      <c r="N121" s="6"/>
      <c r="O121" s="6"/>
      <c r="P121" s="6"/>
      <c r="Q121" s="6"/>
      <c r="R121" s="6"/>
      <c r="S121" s="6"/>
      <c r="T121" s="6"/>
      <c r="U121" s="6"/>
      <c r="V121" s="6"/>
      <c r="W121" s="6"/>
      <c r="X121" s="6"/>
      <c r="Y121" s="6"/>
      <c r="Z121" s="6"/>
    </row>
    <row r="122" spans="1:26" ht="18" customHeight="1" x14ac:dyDescent="0.3">
      <c r="A122" s="152"/>
      <c r="B122" s="128"/>
      <c r="C122" s="152"/>
      <c r="D122" s="154"/>
      <c r="E122" s="154"/>
      <c r="F122" s="152"/>
      <c r="G122" s="128"/>
      <c r="H122" s="128"/>
      <c r="I122" s="144" t="str">
        <f>IF(H122="","",IFERROR(INDEX('12 P6 activities'!$B$7:$B$206,MATCH(H122,'12 P6 activities'!$A$7:$A$206,0)),"⚠ not in P6 list"))</f>
        <v/>
      </c>
      <c r="J122" s="144" t="str">
        <f>IF(H122="","",IFERROR(INDEX('12 P6 activities'!$C$7:$C$206,MATCH(H122,'12 P6 activities'!$A$7:$A$206,0)),"⚠ not in P6 list"))</f>
        <v/>
      </c>
      <c r="K122" s="128"/>
      <c r="L122" s="6"/>
      <c r="M122" s="6"/>
      <c r="N122" s="6"/>
      <c r="O122" s="6"/>
      <c r="P122" s="6"/>
      <c r="Q122" s="6"/>
      <c r="R122" s="6"/>
      <c r="S122" s="6"/>
      <c r="T122" s="6"/>
      <c r="U122" s="6"/>
      <c r="V122" s="6"/>
      <c r="W122" s="6"/>
      <c r="X122" s="6"/>
      <c r="Y122" s="6"/>
      <c r="Z122" s="6"/>
    </row>
    <row r="123" spans="1:26" ht="18" customHeight="1" x14ac:dyDescent="0.3">
      <c r="A123" s="152"/>
      <c r="B123" s="128"/>
      <c r="C123" s="152"/>
      <c r="D123" s="154"/>
      <c r="E123" s="154"/>
      <c r="F123" s="152"/>
      <c r="G123" s="128"/>
      <c r="H123" s="128"/>
      <c r="I123" s="144" t="str">
        <f>IF(H123="","",IFERROR(INDEX('12 P6 activities'!$B$7:$B$206,MATCH(H123,'12 P6 activities'!$A$7:$A$206,0)),"⚠ not in P6 list"))</f>
        <v/>
      </c>
      <c r="J123" s="144" t="str">
        <f>IF(H123="","",IFERROR(INDEX('12 P6 activities'!$C$7:$C$206,MATCH(H123,'12 P6 activities'!$A$7:$A$206,0)),"⚠ not in P6 list"))</f>
        <v/>
      </c>
      <c r="K123" s="128"/>
      <c r="L123" s="6"/>
      <c r="M123" s="6"/>
      <c r="N123" s="6"/>
      <c r="O123" s="6"/>
      <c r="P123" s="6"/>
      <c r="Q123" s="6"/>
      <c r="R123" s="6"/>
      <c r="S123" s="6"/>
      <c r="T123" s="6"/>
      <c r="U123" s="6"/>
      <c r="V123" s="6"/>
      <c r="W123" s="6"/>
      <c r="X123" s="6"/>
      <c r="Y123" s="6"/>
      <c r="Z123" s="6"/>
    </row>
    <row r="124" spans="1:26" ht="18" customHeight="1" x14ac:dyDescent="0.3">
      <c r="A124" s="152"/>
      <c r="B124" s="128"/>
      <c r="C124" s="152"/>
      <c r="D124" s="154"/>
      <c r="E124" s="154"/>
      <c r="F124" s="152"/>
      <c r="G124" s="128"/>
      <c r="H124" s="128"/>
      <c r="I124" s="144" t="str">
        <f>IF(H124="","",IFERROR(INDEX('12 P6 activities'!$B$7:$B$206,MATCH(H124,'12 P6 activities'!$A$7:$A$206,0)),"⚠ not in P6 list"))</f>
        <v/>
      </c>
      <c r="J124" s="144" t="str">
        <f>IF(H124="","",IFERROR(INDEX('12 P6 activities'!$C$7:$C$206,MATCH(H124,'12 P6 activities'!$A$7:$A$206,0)),"⚠ not in P6 list"))</f>
        <v/>
      </c>
      <c r="K124" s="128"/>
      <c r="L124" s="6"/>
      <c r="M124" s="6"/>
      <c r="N124" s="6"/>
      <c r="O124" s="6"/>
      <c r="P124" s="6"/>
      <c r="Q124" s="6"/>
      <c r="R124" s="6"/>
      <c r="S124" s="6"/>
      <c r="T124" s="6"/>
      <c r="U124" s="6"/>
      <c r="V124" s="6"/>
      <c r="W124" s="6"/>
      <c r="X124" s="6"/>
      <c r="Y124" s="6"/>
      <c r="Z124" s="6"/>
    </row>
    <row r="125" spans="1:26" ht="18" customHeight="1" x14ac:dyDescent="0.3">
      <c r="A125" s="152"/>
      <c r="B125" s="128"/>
      <c r="C125" s="152"/>
      <c r="D125" s="154"/>
      <c r="E125" s="154"/>
      <c r="F125" s="152"/>
      <c r="G125" s="128"/>
      <c r="H125" s="128"/>
      <c r="I125" s="144" t="str">
        <f>IF(H125="","",IFERROR(INDEX('12 P6 activities'!$B$7:$B$206,MATCH(H125,'12 P6 activities'!$A$7:$A$206,0)),"⚠ not in P6 list"))</f>
        <v/>
      </c>
      <c r="J125" s="144" t="str">
        <f>IF(H125="","",IFERROR(INDEX('12 P6 activities'!$C$7:$C$206,MATCH(H125,'12 P6 activities'!$A$7:$A$206,0)),"⚠ not in P6 list"))</f>
        <v/>
      </c>
      <c r="K125" s="128"/>
      <c r="L125" s="6"/>
      <c r="M125" s="6"/>
      <c r="N125" s="6"/>
      <c r="O125" s="6"/>
      <c r="P125" s="6"/>
      <c r="Q125" s="6"/>
      <c r="R125" s="6"/>
      <c r="S125" s="6"/>
      <c r="T125" s="6"/>
      <c r="U125" s="6"/>
      <c r="V125" s="6"/>
      <c r="W125" s="6"/>
      <c r="X125" s="6"/>
      <c r="Y125" s="6"/>
      <c r="Z125" s="6"/>
    </row>
    <row r="126" spans="1:26" ht="18" customHeight="1" x14ac:dyDescent="0.3">
      <c r="A126" s="152"/>
      <c r="B126" s="128"/>
      <c r="C126" s="152"/>
      <c r="D126" s="154"/>
      <c r="E126" s="154"/>
      <c r="F126" s="152"/>
      <c r="G126" s="128"/>
      <c r="H126" s="128"/>
      <c r="I126" s="144" t="str">
        <f>IF(H126="","",IFERROR(INDEX('12 P6 activities'!$B$7:$B$206,MATCH(H126,'12 P6 activities'!$A$7:$A$206,0)),"⚠ not in P6 list"))</f>
        <v/>
      </c>
      <c r="J126" s="144" t="str">
        <f>IF(H126="","",IFERROR(INDEX('12 P6 activities'!$C$7:$C$206,MATCH(H126,'12 P6 activities'!$A$7:$A$206,0)),"⚠ not in P6 list"))</f>
        <v/>
      </c>
      <c r="K126" s="128"/>
      <c r="L126" s="6"/>
      <c r="M126" s="6"/>
      <c r="N126" s="6"/>
      <c r="O126" s="6"/>
      <c r="P126" s="6"/>
      <c r="Q126" s="6"/>
      <c r="R126" s="6"/>
      <c r="S126" s="6"/>
      <c r="T126" s="6"/>
      <c r="U126" s="6"/>
      <c r="V126" s="6"/>
      <c r="W126" s="6"/>
      <c r="X126" s="6"/>
      <c r="Y126" s="6"/>
      <c r="Z126" s="6"/>
    </row>
    <row r="127" spans="1:26" ht="18" customHeight="1" x14ac:dyDescent="0.3">
      <c r="A127" s="152"/>
      <c r="B127" s="128"/>
      <c r="C127" s="152"/>
      <c r="D127" s="154"/>
      <c r="E127" s="154"/>
      <c r="F127" s="152"/>
      <c r="G127" s="128"/>
      <c r="H127" s="128"/>
      <c r="I127" s="144" t="str">
        <f>IF(H127="","",IFERROR(INDEX('12 P6 activities'!$B$7:$B$206,MATCH(H127,'12 P6 activities'!$A$7:$A$206,0)),"⚠ not in P6 list"))</f>
        <v/>
      </c>
      <c r="J127" s="144" t="str">
        <f>IF(H127="","",IFERROR(INDEX('12 P6 activities'!$C$7:$C$206,MATCH(H127,'12 P6 activities'!$A$7:$A$206,0)),"⚠ not in P6 list"))</f>
        <v/>
      </c>
      <c r="K127" s="128"/>
      <c r="L127" s="6"/>
      <c r="M127" s="6"/>
      <c r="N127" s="6"/>
      <c r="O127" s="6"/>
      <c r="P127" s="6"/>
      <c r="Q127" s="6"/>
      <c r="R127" s="6"/>
      <c r="S127" s="6"/>
      <c r="T127" s="6"/>
      <c r="U127" s="6"/>
      <c r="V127" s="6"/>
      <c r="W127" s="6"/>
      <c r="X127" s="6"/>
      <c r="Y127" s="6"/>
      <c r="Z127" s="6"/>
    </row>
    <row r="128" spans="1:26" ht="18" customHeight="1" x14ac:dyDescent="0.3">
      <c r="A128" s="152"/>
      <c r="B128" s="128"/>
      <c r="C128" s="152"/>
      <c r="D128" s="154"/>
      <c r="E128" s="154"/>
      <c r="F128" s="152"/>
      <c r="G128" s="128"/>
      <c r="H128" s="128"/>
      <c r="I128" s="144" t="str">
        <f>IF(H128="","",IFERROR(INDEX('12 P6 activities'!$B$7:$B$206,MATCH(H128,'12 P6 activities'!$A$7:$A$206,0)),"⚠ not in P6 list"))</f>
        <v/>
      </c>
      <c r="J128" s="144" t="str">
        <f>IF(H128="","",IFERROR(INDEX('12 P6 activities'!$C$7:$C$206,MATCH(H128,'12 P6 activities'!$A$7:$A$206,0)),"⚠ not in P6 list"))</f>
        <v/>
      </c>
      <c r="K128" s="128"/>
      <c r="L128" s="6"/>
      <c r="M128" s="6"/>
      <c r="N128" s="6"/>
      <c r="O128" s="6"/>
      <c r="P128" s="6"/>
      <c r="Q128" s="6"/>
      <c r="R128" s="6"/>
      <c r="S128" s="6"/>
      <c r="T128" s="6"/>
      <c r="U128" s="6"/>
      <c r="V128" s="6"/>
      <c r="W128" s="6"/>
      <c r="X128" s="6"/>
      <c r="Y128" s="6"/>
      <c r="Z128" s="6"/>
    </row>
    <row r="129" spans="1:26" ht="18" customHeight="1" x14ac:dyDescent="0.3">
      <c r="A129" s="152"/>
      <c r="B129" s="128"/>
      <c r="C129" s="152"/>
      <c r="D129" s="154"/>
      <c r="E129" s="154"/>
      <c r="F129" s="152"/>
      <c r="G129" s="128"/>
      <c r="H129" s="128"/>
      <c r="I129" s="144" t="str">
        <f>IF(H129="","",IFERROR(INDEX('12 P6 activities'!$B$7:$B$206,MATCH(H129,'12 P6 activities'!$A$7:$A$206,0)),"⚠ not in P6 list"))</f>
        <v/>
      </c>
      <c r="J129" s="144" t="str">
        <f>IF(H129="","",IFERROR(INDEX('12 P6 activities'!$C$7:$C$206,MATCH(H129,'12 P6 activities'!$A$7:$A$206,0)),"⚠ not in P6 list"))</f>
        <v/>
      </c>
      <c r="K129" s="128"/>
      <c r="L129" s="6"/>
      <c r="M129" s="6"/>
      <c r="N129" s="6"/>
      <c r="O129" s="6"/>
      <c r="P129" s="6"/>
      <c r="Q129" s="6"/>
      <c r="R129" s="6"/>
      <c r="S129" s="6"/>
      <c r="T129" s="6"/>
      <c r="U129" s="6"/>
      <c r="V129" s="6"/>
      <c r="W129" s="6"/>
      <c r="X129" s="6"/>
      <c r="Y129" s="6"/>
      <c r="Z129" s="6"/>
    </row>
    <row r="130" spans="1:26" ht="18" customHeight="1" x14ac:dyDescent="0.3">
      <c r="A130" s="152"/>
      <c r="B130" s="128"/>
      <c r="C130" s="152"/>
      <c r="D130" s="154"/>
      <c r="E130" s="154"/>
      <c r="F130" s="152"/>
      <c r="G130" s="128"/>
      <c r="H130" s="128"/>
      <c r="I130" s="144" t="str">
        <f>IF(H130="","",IFERROR(INDEX('12 P6 activities'!$B$7:$B$206,MATCH(H130,'12 P6 activities'!$A$7:$A$206,0)),"⚠ not in P6 list"))</f>
        <v/>
      </c>
      <c r="J130" s="144" t="str">
        <f>IF(H130="","",IFERROR(INDEX('12 P6 activities'!$C$7:$C$206,MATCH(H130,'12 P6 activities'!$A$7:$A$206,0)),"⚠ not in P6 list"))</f>
        <v/>
      </c>
      <c r="K130" s="128"/>
      <c r="L130" s="6"/>
      <c r="M130" s="6"/>
      <c r="N130" s="6"/>
      <c r="O130" s="6"/>
      <c r="P130" s="6"/>
      <c r="Q130" s="6"/>
      <c r="R130" s="6"/>
      <c r="S130" s="6"/>
      <c r="T130" s="6"/>
      <c r="U130" s="6"/>
      <c r="V130" s="6"/>
      <c r="W130" s="6"/>
      <c r="X130" s="6"/>
      <c r="Y130" s="6"/>
      <c r="Z130" s="6"/>
    </row>
    <row r="131" spans="1:26" ht="18" customHeight="1" x14ac:dyDescent="0.3">
      <c r="A131" s="152"/>
      <c r="B131" s="128"/>
      <c r="C131" s="152"/>
      <c r="D131" s="154"/>
      <c r="E131" s="154"/>
      <c r="F131" s="152"/>
      <c r="G131" s="128"/>
      <c r="H131" s="128"/>
      <c r="I131" s="144" t="str">
        <f>IF(H131="","",IFERROR(INDEX('12 P6 activities'!$B$7:$B$206,MATCH(H131,'12 P6 activities'!$A$7:$A$206,0)),"⚠ not in P6 list"))</f>
        <v/>
      </c>
      <c r="J131" s="144" t="str">
        <f>IF(H131="","",IFERROR(INDEX('12 P6 activities'!$C$7:$C$206,MATCH(H131,'12 P6 activities'!$A$7:$A$206,0)),"⚠ not in P6 list"))</f>
        <v/>
      </c>
      <c r="K131" s="128"/>
      <c r="L131" s="6"/>
      <c r="M131" s="6"/>
      <c r="N131" s="6"/>
      <c r="O131" s="6"/>
      <c r="P131" s="6"/>
      <c r="Q131" s="6"/>
      <c r="R131" s="6"/>
      <c r="S131" s="6"/>
      <c r="T131" s="6"/>
      <c r="U131" s="6"/>
      <c r="V131" s="6"/>
      <c r="W131" s="6"/>
      <c r="X131" s="6"/>
      <c r="Y131" s="6"/>
      <c r="Z131" s="6"/>
    </row>
    <row r="132" spans="1:26" ht="18" customHeight="1" x14ac:dyDescent="0.3">
      <c r="A132" s="152"/>
      <c r="B132" s="128"/>
      <c r="C132" s="152"/>
      <c r="D132" s="154"/>
      <c r="E132" s="154"/>
      <c r="F132" s="152"/>
      <c r="G132" s="128"/>
      <c r="H132" s="128"/>
      <c r="I132" s="144" t="str">
        <f>IF(H132="","",IFERROR(INDEX('12 P6 activities'!$B$7:$B$206,MATCH(H132,'12 P6 activities'!$A$7:$A$206,0)),"⚠ not in P6 list"))</f>
        <v/>
      </c>
      <c r="J132" s="144" t="str">
        <f>IF(H132="","",IFERROR(INDEX('12 P6 activities'!$C$7:$C$206,MATCH(H132,'12 P6 activities'!$A$7:$A$206,0)),"⚠ not in P6 list"))</f>
        <v/>
      </c>
      <c r="K132" s="128"/>
      <c r="L132" s="6"/>
      <c r="M132" s="6"/>
      <c r="N132" s="6"/>
      <c r="O132" s="6"/>
      <c r="P132" s="6"/>
      <c r="Q132" s="6"/>
      <c r="R132" s="6"/>
      <c r="S132" s="6"/>
      <c r="T132" s="6"/>
      <c r="U132" s="6"/>
      <c r="V132" s="6"/>
      <c r="W132" s="6"/>
      <c r="X132" s="6"/>
      <c r="Y132" s="6"/>
      <c r="Z132" s="6"/>
    </row>
    <row r="133" spans="1:26" ht="18" customHeight="1" x14ac:dyDescent="0.3">
      <c r="A133" s="152"/>
      <c r="B133" s="128"/>
      <c r="C133" s="152"/>
      <c r="D133" s="154"/>
      <c r="E133" s="154"/>
      <c r="F133" s="152"/>
      <c r="G133" s="128"/>
      <c r="H133" s="128"/>
      <c r="I133" s="144" t="str">
        <f>IF(H133="","",IFERROR(INDEX('12 P6 activities'!$B$7:$B$206,MATCH(H133,'12 P6 activities'!$A$7:$A$206,0)),"⚠ not in P6 list"))</f>
        <v/>
      </c>
      <c r="J133" s="144" t="str">
        <f>IF(H133="","",IFERROR(INDEX('12 P6 activities'!$C$7:$C$206,MATCH(H133,'12 P6 activities'!$A$7:$A$206,0)),"⚠ not in P6 list"))</f>
        <v/>
      </c>
      <c r="K133" s="128"/>
      <c r="L133" s="6"/>
      <c r="M133" s="6"/>
      <c r="N133" s="6"/>
      <c r="O133" s="6"/>
      <c r="P133" s="6"/>
      <c r="Q133" s="6"/>
      <c r="R133" s="6"/>
      <c r="S133" s="6"/>
      <c r="T133" s="6"/>
      <c r="U133" s="6"/>
      <c r="V133" s="6"/>
      <c r="W133" s="6"/>
      <c r="X133" s="6"/>
      <c r="Y133" s="6"/>
      <c r="Z133" s="6"/>
    </row>
    <row r="134" spans="1:26" ht="18" customHeight="1" x14ac:dyDescent="0.3">
      <c r="A134" s="152"/>
      <c r="B134" s="128"/>
      <c r="C134" s="152"/>
      <c r="D134" s="154"/>
      <c r="E134" s="154"/>
      <c r="F134" s="152"/>
      <c r="G134" s="128"/>
      <c r="H134" s="128"/>
      <c r="I134" s="144" t="str">
        <f>IF(H134="","",IFERROR(INDEX('12 P6 activities'!$B$7:$B$206,MATCH(H134,'12 P6 activities'!$A$7:$A$206,0)),"⚠ not in P6 list"))</f>
        <v/>
      </c>
      <c r="J134" s="144" t="str">
        <f>IF(H134="","",IFERROR(INDEX('12 P6 activities'!$C$7:$C$206,MATCH(H134,'12 P6 activities'!$A$7:$A$206,0)),"⚠ not in P6 list"))</f>
        <v/>
      </c>
      <c r="K134" s="128"/>
      <c r="L134" s="6"/>
      <c r="M134" s="6"/>
      <c r="N134" s="6"/>
      <c r="O134" s="6"/>
      <c r="P134" s="6"/>
      <c r="Q134" s="6"/>
      <c r="R134" s="6"/>
      <c r="S134" s="6"/>
      <c r="T134" s="6"/>
      <c r="U134" s="6"/>
      <c r="V134" s="6"/>
      <c r="W134" s="6"/>
      <c r="X134" s="6"/>
      <c r="Y134" s="6"/>
      <c r="Z134" s="6"/>
    </row>
    <row r="135" spans="1:26" ht="18" customHeight="1" x14ac:dyDescent="0.3">
      <c r="A135" s="152"/>
      <c r="B135" s="128"/>
      <c r="C135" s="152"/>
      <c r="D135" s="154"/>
      <c r="E135" s="154"/>
      <c r="F135" s="152"/>
      <c r="G135" s="128"/>
      <c r="H135" s="128"/>
      <c r="I135" s="144" t="str">
        <f>IF(H135="","",IFERROR(INDEX('12 P6 activities'!$B$7:$B$206,MATCH(H135,'12 P6 activities'!$A$7:$A$206,0)),"⚠ not in P6 list"))</f>
        <v/>
      </c>
      <c r="J135" s="144" t="str">
        <f>IF(H135="","",IFERROR(INDEX('12 P6 activities'!$C$7:$C$206,MATCH(H135,'12 P6 activities'!$A$7:$A$206,0)),"⚠ not in P6 list"))</f>
        <v/>
      </c>
      <c r="K135" s="128"/>
      <c r="L135" s="6"/>
      <c r="M135" s="6"/>
      <c r="N135" s="6"/>
      <c r="O135" s="6"/>
      <c r="P135" s="6"/>
      <c r="Q135" s="6"/>
      <c r="R135" s="6"/>
      <c r="S135" s="6"/>
      <c r="T135" s="6"/>
      <c r="U135" s="6"/>
      <c r="V135" s="6"/>
      <c r="W135" s="6"/>
      <c r="X135" s="6"/>
      <c r="Y135" s="6"/>
      <c r="Z135" s="6"/>
    </row>
    <row r="136" spans="1:26" ht="18" customHeight="1" x14ac:dyDescent="0.3">
      <c r="A136" s="152"/>
      <c r="B136" s="128"/>
      <c r="C136" s="152"/>
      <c r="D136" s="154"/>
      <c r="E136" s="154"/>
      <c r="F136" s="152"/>
      <c r="G136" s="128"/>
      <c r="H136" s="128"/>
      <c r="I136" s="144" t="str">
        <f>IF(H136="","",IFERROR(INDEX('12 P6 activities'!$B$7:$B$206,MATCH(H136,'12 P6 activities'!$A$7:$A$206,0)),"⚠ not in P6 list"))</f>
        <v/>
      </c>
      <c r="J136" s="144" t="str">
        <f>IF(H136="","",IFERROR(INDEX('12 P6 activities'!$C$7:$C$206,MATCH(H136,'12 P6 activities'!$A$7:$A$206,0)),"⚠ not in P6 list"))</f>
        <v/>
      </c>
      <c r="K136" s="128"/>
      <c r="L136" s="6"/>
      <c r="M136" s="6"/>
      <c r="N136" s="6"/>
      <c r="O136" s="6"/>
      <c r="P136" s="6"/>
      <c r="Q136" s="6"/>
      <c r="R136" s="6"/>
      <c r="S136" s="6"/>
      <c r="T136" s="6"/>
      <c r="U136" s="6"/>
      <c r="V136" s="6"/>
      <c r="W136" s="6"/>
      <c r="X136" s="6"/>
      <c r="Y136" s="6"/>
      <c r="Z136" s="6"/>
    </row>
    <row r="137" spans="1:26" ht="18" customHeight="1" x14ac:dyDescent="0.3">
      <c r="A137" s="152"/>
      <c r="B137" s="128"/>
      <c r="C137" s="152"/>
      <c r="D137" s="154"/>
      <c r="E137" s="154"/>
      <c r="F137" s="152"/>
      <c r="G137" s="128"/>
      <c r="H137" s="128"/>
      <c r="I137" s="144" t="str">
        <f>IF(H137="","",IFERROR(INDEX('12 P6 activities'!$B$7:$B$206,MATCH(H137,'12 P6 activities'!$A$7:$A$206,0)),"⚠ not in P6 list"))</f>
        <v/>
      </c>
      <c r="J137" s="144" t="str">
        <f>IF(H137="","",IFERROR(INDEX('12 P6 activities'!$C$7:$C$206,MATCH(H137,'12 P6 activities'!$A$7:$A$206,0)),"⚠ not in P6 list"))</f>
        <v/>
      </c>
      <c r="K137" s="128"/>
      <c r="L137" s="6"/>
      <c r="M137" s="6"/>
      <c r="N137" s="6"/>
      <c r="O137" s="6"/>
      <c r="P137" s="6"/>
      <c r="Q137" s="6"/>
      <c r="R137" s="6"/>
      <c r="S137" s="6"/>
      <c r="T137" s="6"/>
      <c r="U137" s="6"/>
      <c r="V137" s="6"/>
      <c r="W137" s="6"/>
      <c r="X137" s="6"/>
      <c r="Y137" s="6"/>
      <c r="Z137" s="6"/>
    </row>
    <row r="138" spans="1:26" ht="18" customHeight="1" x14ac:dyDescent="0.3">
      <c r="A138" s="152"/>
      <c r="B138" s="128"/>
      <c r="C138" s="152"/>
      <c r="D138" s="154"/>
      <c r="E138" s="154"/>
      <c r="F138" s="152"/>
      <c r="G138" s="128"/>
      <c r="H138" s="128"/>
      <c r="I138" s="144" t="str">
        <f>IF(H138="","",IFERROR(INDEX('12 P6 activities'!$B$7:$B$206,MATCH(H138,'12 P6 activities'!$A$7:$A$206,0)),"⚠ not in P6 list"))</f>
        <v/>
      </c>
      <c r="J138" s="144" t="str">
        <f>IF(H138="","",IFERROR(INDEX('12 P6 activities'!$C$7:$C$206,MATCH(H138,'12 P6 activities'!$A$7:$A$206,0)),"⚠ not in P6 list"))</f>
        <v/>
      </c>
      <c r="K138" s="128"/>
      <c r="L138" s="6"/>
      <c r="M138" s="6"/>
      <c r="N138" s="6"/>
      <c r="O138" s="6"/>
      <c r="P138" s="6"/>
      <c r="Q138" s="6"/>
      <c r="R138" s="6"/>
      <c r="S138" s="6"/>
      <c r="T138" s="6"/>
      <c r="U138" s="6"/>
      <c r="V138" s="6"/>
      <c r="W138" s="6"/>
      <c r="X138" s="6"/>
      <c r="Y138" s="6"/>
      <c r="Z138" s="6"/>
    </row>
    <row r="139" spans="1:26" ht="18" customHeight="1" x14ac:dyDescent="0.3">
      <c r="A139" s="152"/>
      <c r="B139" s="128"/>
      <c r="C139" s="152"/>
      <c r="D139" s="154"/>
      <c r="E139" s="154"/>
      <c r="F139" s="152"/>
      <c r="G139" s="128"/>
      <c r="H139" s="128"/>
      <c r="I139" s="144" t="str">
        <f>IF(H139="","",IFERROR(INDEX('12 P6 activities'!$B$7:$B$206,MATCH(H139,'12 P6 activities'!$A$7:$A$206,0)),"⚠ not in P6 list"))</f>
        <v/>
      </c>
      <c r="J139" s="144" t="str">
        <f>IF(H139="","",IFERROR(INDEX('12 P6 activities'!$C$7:$C$206,MATCH(H139,'12 P6 activities'!$A$7:$A$206,0)),"⚠ not in P6 list"))</f>
        <v/>
      </c>
      <c r="K139" s="128"/>
      <c r="L139" s="6"/>
      <c r="M139" s="6"/>
      <c r="N139" s="6"/>
      <c r="O139" s="6"/>
      <c r="P139" s="6"/>
      <c r="Q139" s="6"/>
      <c r="R139" s="6"/>
      <c r="S139" s="6"/>
      <c r="T139" s="6"/>
      <c r="U139" s="6"/>
      <c r="V139" s="6"/>
      <c r="W139" s="6"/>
      <c r="X139" s="6"/>
      <c r="Y139" s="6"/>
      <c r="Z139" s="6"/>
    </row>
    <row r="140" spans="1:26" ht="18" customHeight="1" x14ac:dyDescent="0.3">
      <c r="A140" s="152"/>
      <c r="B140" s="128"/>
      <c r="C140" s="152"/>
      <c r="D140" s="154"/>
      <c r="E140" s="154"/>
      <c r="F140" s="152"/>
      <c r="G140" s="128"/>
      <c r="H140" s="128"/>
      <c r="I140" s="144" t="str">
        <f>IF(H140="","",IFERROR(INDEX('12 P6 activities'!$B$7:$B$206,MATCH(H140,'12 P6 activities'!$A$7:$A$206,0)),"⚠ not in P6 list"))</f>
        <v/>
      </c>
      <c r="J140" s="144" t="str">
        <f>IF(H140="","",IFERROR(INDEX('12 P6 activities'!$C$7:$C$206,MATCH(H140,'12 P6 activities'!$A$7:$A$206,0)),"⚠ not in P6 list"))</f>
        <v/>
      </c>
      <c r="K140" s="128"/>
      <c r="L140" s="6"/>
      <c r="M140" s="6"/>
      <c r="N140" s="6"/>
      <c r="O140" s="6"/>
      <c r="P140" s="6"/>
      <c r="Q140" s="6"/>
      <c r="R140" s="6"/>
      <c r="S140" s="6"/>
      <c r="T140" s="6"/>
      <c r="U140" s="6"/>
      <c r="V140" s="6"/>
      <c r="W140" s="6"/>
      <c r="X140" s="6"/>
      <c r="Y140" s="6"/>
      <c r="Z140" s="6"/>
    </row>
    <row r="141" spans="1:26" ht="18" customHeight="1" x14ac:dyDescent="0.3">
      <c r="A141" s="152"/>
      <c r="B141" s="128"/>
      <c r="C141" s="152"/>
      <c r="D141" s="154"/>
      <c r="E141" s="154"/>
      <c r="F141" s="152"/>
      <c r="G141" s="128"/>
      <c r="H141" s="128"/>
      <c r="I141" s="144" t="str">
        <f>IF(H141="","",IFERROR(INDEX('12 P6 activities'!$B$7:$B$206,MATCH(H141,'12 P6 activities'!$A$7:$A$206,0)),"⚠ not in P6 list"))</f>
        <v/>
      </c>
      <c r="J141" s="144" t="str">
        <f>IF(H141="","",IFERROR(INDEX('12 P6 activities'!$C$7:$C$206,MATCH(H141,'12 P6 activities'!$A$7:$A$206,0)),"⚠ not in P6 list"))</f>
        <v/>
      </c>
      <c r="K141" s="128"/>
      <c r="L141" s="6"/>
      <c r="M141" s="6"/>
      <c r="N141" s="6"/>
      <c r="O141" s="6"/>
      <c r="P141" s="6"/>
      <c r="Q141" s="6"/>
      <c r="R141" s="6"/>
      <c r="S141" s="6"/>
      <c r="T141" s="6"/>
      <c r="U141" s="6"/>
      <c r="V141" s="6"/>
      <c r="W141" s="6"/>
      <c r="X141" s="6"/>
      <c r="Y141" s="6"/>
      <c r="Z141" s="6"/>
    </row>
    <row r="142" spans="1:26" ht="18" customHeight="1" x14ac:dyDescent="0.3">
      <c r="A142" s="152"/>
      <c r="B142" s="128"/>
      <c r="C142" s="152"/>
      <c r="D142" s="154"/>
      <c r="E142" s="154"/>
      <c r="F142" s="152"/>
      <c r="G142" s="128"/>
      <c r="H142" s="128"/>
      <c r="I142" s="144" t="str">
        <f>IF(H142="","",IFERROR(INDEX('12 P6 activities'!$B$7:$B$206,MATCH(H142,'12 P6 activities'!$A$7:$A$206,0)),"⚠ not in P6 list"))</f>
        <v/>
      </c>
      <c r="J142" s="144" t="str">
        <f>IF(H142="","",IFERROR(INDEX('12 P6 activities'!$C$7:$C$206,MATCH(H142,'12 P6 activities'!$A$7:$A$206,0)),"⚠ not in P6 list"))</f>
        <v/>
      </c>
      <c r="K142" s="128"/>
      <c r="L142" s="6"/>
      <c r="M142" s="6"/>
      <c r="N142" s="6"/>
      <c r="O142" s="6"/>
      <c r="P142" s="6"/>
      <c r="Q142" s="6"/>
      <c r="R142" s="6"/>
      <c r="S142" s="6"/>
      <c r="T142" s="6"/>
      <c r="U142" s="6"/>
      <c r="V142" s="6"/>
      <c r="W142" s="6"/>
      <c r="X142" s="6"/>
      <c r="Y142" s="6"/>
      <c r="Z142" s="6"/>
    </row>
    <row r="143" spans="1:26" ht="18" customHeight="1" x14ac:dyDescent="0.3">
      <c r="A143" s="152"/>
      <c r="B143" s="128"/>
      <c r="C143" s="152"/>
      <c r="D143" s="154"/>
      <c r="E143" s="154"/>
      <c r="F143" s="152"/>
      <c r="G143" s="128"/>
      <c r="H143" s="128"/>
      <c r="I143" s="144" t="str">
        <f>IF(H143="","",IFERROR(INDEX('12 P6 activities'!$B$7:$B$206,MATCH(H143,'12 P6 activities'!$A$7:$A$206,0)),"⚠ not in P6 list"))</f>
        <v/>
      </c>
      <c r="J143" s="144" t="str">
        <f>IF(H143="","",IFERROR(INDEX('12 P6 activities'!$C$7:$C$206,MATCH(H143,'12 P6 activities'!$A$7:$A$206,0)),"⚠ not in P6 list"))</f>
        <v/>
      </c>
      <c r="K143" s="128"/>
      <c r="L143" s="6"/>
      <c r="M143" s="6"/>
      <c r="N143" s="6"/>
      <c r="O143" s="6"/>
      <c r="P143" s="6"/>
      <c r="Q143" s="6"/>
      <c r="R143" s="6"/>
      <c r="S143" s="6"/>
      <c r="T143" s="6"/>
      <c r="U143" s="6"/>
      <c r="V143" s="6"/>
      <c r="W143" s="6"/>
      <c r="X143" s="6"/>
      <c r="Y143" s="6"/>
      <c r="Z143" s="6"/>
    </row>
    <row r="144" spans="1:26" ht="18" customHeight="1" x14ac:dyDescent="0.3">
      <c r="A144" s="152"/>
      <c r="B144" s="128"/>
      <c r="C144" s="152"/>
      <c r="D144" s="154"/>
      <c r="E144" s="154"/>
      <c r="F144" s="152"/>
      <c r="G144" s="128"/>
      <c r="H144" s="128"/>
      <c r="I144" s="144" t="str">
        <f>IF(H144="","",IFERROR(INDEX('12 P6 activities'!$B$7:$B$206,MATCH(H144,'12 P6 activities'!$A$7:$A$206,0)),"⚠ not in P6 list"))</f>
        <v/>
      </c>
      <c r="J144" s="144" t="str">
        <f>IF(H144="","",IFERROR(INDEX('12 P6 activities'!$C$7:$C$206,MATCH(H144,'12 P6 activities'!$A$7:$A$206,0)),"⚠ not in P6 list"))</f>
        <v/>
      </c>
      <c r="K144" s="128"/>
      <c r="L144" s="6"/>
      <c r="M144" s="6"/>
      <c r="N144" s="6"/>
      <c r="O144" s="6"/>
      <c r="P144" s="6"/>
      <c r="Q144" s="6"/>
      <c r="R144" s="6"/>
      <c r="S144" s="6"/>
      <c r="T144" s="6"/>
      <c r="U144" s="6"/>
      <c r="V144" s="6"/>
      <c r="W144" s="6"/>
      <c r="X144" s="6"/>
      <c r="Y144" s="6"/>
      <c r="Z144" s="6"/>
    </row>
    <row r="145" spans="1:26" ht="18" customHeight="1" x14ac:dyDescent="0.3">
      <c r="A145" s="152"/>
      <c r="B145" s="128"/>
      <c r="C145" s="152"/>
      <c r="D145" s="154"/>
      <c r="E145" s="154"/>
      <c r="F145" s="152"/>
      <c r="G145" s="128"/>
      <c r="H145" s="128"/>
      <c r="I145" s="144" t="str">
        <f>IF(H145="","",IFERROR(INDEX('12 P6 activities'!$B$7:$B$206,MATCH(H145,'12 P6 activities'!$A$7:$A$206,0)),"⚠ not in P6 list"))</f>
        <v/>
      </c>
      <c r="J145" s="144" t="str">
        <f>IF(H145="","",IFERROR(INDEX('12 P6 activities'!$C$7:$C$206,MATCH(H145,'12 P6 activities'!$A$7:$A$206,0)),"⚠ not in P6 list"))</f>
        <v/>
      </c>
      <c r="K145" s="128"/>
      <c r="L145" s="6"/>
      <c r="M145" s="6"/>
      <c r="N145" s="6"/>
      <c r="O145" s="6"/>
      <c r="P145" s="6"/>
      <c r="Q145" s="6"/>
      <c r="R145" s="6"/>
      <c r="S145" s="6"/>
      <c r="T145" s="6"/>
      <c r="U145" s="6"/>
      <c r="V145" s="6"/>
      <c r="W145" s="6"/>
      <c r="X145" s="6"/>
      <c r="Y145" s="6"/>
      <c r="Z145" s="6"/>
    </row>
    <row r="146" spans="1:26" ht="18" customHeight="1" x14ac:dyDescent="0.3">
      <c r="A146" s="152"/>
      <c r="B146" s="128"/>
      <c r="C146" s="152"/>
      <c r="D146" s="154"/>
      <c r="E146" s="154"/>
      <c r="F146" s="152"/>
      <c r="G146" s="128"/>
      <c r="H146" s="128"/>
      <c r="I146" s="144" t="str">
        <f>IF(H146="","",IFERROR(INDEX('12 P6 activities'!$B$7:$B$206,MATCH(H146,'12 P6 activities'!$A$7:$A$206,0)),"⚠ not in P6 list"))</f>
        <v/>
      </c>
      <c r="J146" s="144" t="str">
        <f>IF(H146="","",IFERROR(INDEX('12 P6 activities'!$C$7:$C$206,MATCH(H146,'12 P6 activities'!$A$7:$A$206,0)),"⚠ not in P6 list"))</f>
        <v/>
      </c>
      <c r="K146" s="128"/>
      <c r="L146" s="6"/>
      <c r="M146" s="6"/>
      <c r="N146" s="6"/>
      <c r="O146" s="6"/>
      <c r="P146" s="6"/>
      <c r="Q146" s="6"/>
      <c r="R146" s="6"/>
      <c r="S146" s="6"/>
      <c r="T146" s="6"/>
      <c r="U146" s="6"/>
      <c r="V146" s="6"/>
      <c r="W146" s="6"/>
      <c r="X146" s="6"/>
      <c r="Y146" s="6"/>
      <c r="Z146" s="6"/>
    </row>
    <row r="147" spans="1:26" ht="18" customHeight="1" x14ac:dyDescent="0.3">
      <c r="A147" s="152"/>
      <c r="B147" s="128"/>
      <c r="C147" s="152"/>
      <c r="D147" s="154"/>
      <c r="E147" s="154"/>
      <c r="F147" s="152"/>
      <c r="G147" s="128"/>
      <c r="H147" s="128"/>
      <c r="I147" s="144" t="str">
        <f>IF(H147="","",IFERROR(INDEX('12 P6 activities'!$B$7:$B$206,MATCH(H147,'12 P6 activities'!$A$7:$A$206,0)),"⚠ not in P6 list"))</f>
        <v/>
      </c>
      <c r="J147" s="144" t="str">
        <f>IF(H147="","",IFERROR(INDEX('12 P6 activities'!$C$7:$C$206,MATCH(H147,'12 P6 activities'!$A$7:$A$206,0)),"⚠ not in P6 list"))</f>
        <v/>
      </c>
      <c r="K147" s="128"/>
      <c r="L147" s="6"/>
      <c r="M147" s="6"/>
      <c r="N147" s="6"/>
      <c r="O147" s="6"/>
      <c r="P147" s="6"/>
      <c r="Q147" s="6"/>
      <c r="R147" s="6"/>
      <c r="S147" s="6"/>
      <c r="T147" s="6"/>
      <c r="U147" s="6"/>
      <c r="V147" s="6"/>
      <c r="W147" s="6"/>
      <c r="X147" s="6"/>
      <c r="Y147" s="6"/>
      <c r="Z147" s="6"/>
    </row>
    <row r="148" spans="1:26" ht="18" customHeight="1" x14ac:dyDescent="0.3">
      <c r="A148" s="152"/>
      <c r="B148" s="128"/>
      <c r="C148" s="152"/>
      <c r="D148" s="154"/>
      <c r="E148" s="154"/>
      <c r="F148" s="152"/>
      <c r="G148" s="128"/>
      <c r="H148" s="128"/>
      <c r="I148" s="144" t="str">
        <f>IF(H148="","",IFERROR(INDEX('12 P6 activities'!$B$7:$B$206,MATCH(H148,'12 P6 activities'!$A$7:$A$206,0)),"⚠ not in P6 list"))</f>
        <v/>
      </c>
      <c r="J148" s="144" t="str">
        <f>IF(H148="","",IFERROR(INDEX('12 P6 activities'!$C$7:$C$206,MATCH(H148,'12 P6 activities'!$A$7:$A$206,0)),"⚠ not in P6 list"))</f>
        <v/>
      </c>
      <c r="K148" s="128"/>
      <c r="L148" s="6"/>
      <c r="M148" s="6"/>
      <c r="N148" s="6"/>
      <c r="O148" s="6"/>
      <c r="P148" s="6"/>
      <c r="Q148" s="6"/>
      <c r="R148" s="6"/>
      <c r="S148" s="6"/>
      <c r="T148" s="6"/>
      <c r="U148" s="6"/>
      <c r="V148" s="6"/>
      <c r="W148" s="6"/>
      <c r="X148" s="6"/>
      <c r="Y148" s="6"/>
      <c r="Z148" s="6"/>
    </row>
    <row r="149" spans="1:26" ht="18" customHeight="1" x14ac:dyDescent="0.3">
      <c r="A149" s="152"/>
      <c r="B149" s="128"/>
      <c r="C149" s="152"/>
      <c r="D149" s="154"/>
      <c r="E149" s="154"/>
      <c r="F149" s="152"/>
      <c r="G149" s="128"/>
      <c r="H149" s="128"/>
      <c r="I149" s="144" t="str">
        <f>IF(H149="","",IFERROR(INDEX('12 P6 activities'!$B$7:$B$206,MATCH(H149,'12 P6 activities'!$A$7:$A$206,0)),"⚠ not in P6 list"))</f>
        <v/>
      </c>
      <c r="J149" s="144" t="str">
        <f>IF(H149="","",IFERROR(INDEX('12 P6 activities'!$C$7:$C$206,MATCH(H149,'12 P6 activities'!$A$7:$A$206,0)),"⚠ not in P6 list"))</f>
        <v/>
      </c>
      <c r="K149" s="128"/>
      <c r="L149" s="6"/>
      <c r="M149" s="6"/>
      <c r="N149" s="6"/>
      <c r="O149" s="6"/>
      <c r="P149" s="6"/>
      <c r="Q149" s="6"/>
      <c r="R149" s="6"/>
      <c r="S149" s="6"/>
      <c r="T149" s="6"/>
      <c r="U149" s="6"/>
      <c r="V149" s="6"/>
      <c r="W149" s="6"/>
      <c r="X149" s="6"/>
      <c r="Y149" s="6"/>
      <c r="Z149" s="6"/>
    </row>
    <row r="150" spans="1:26" ht="18" customHeight="1" x14ac:dyDescent="0.3">
      <c r="A150" s="152"/>
      <c r="B150" s="128"/>
      <c r="C150" s="152"/>
      <c r="D150" s="154"/>
      <c r="E150" s="154"/>
      <c r="F150" s="152"/>
      <c r="G150" s="128"/>
      <c r="H150" s="128"/>
      <c r="I150" s="144" t="str">
        <f>IF(H150="","",IFERROR(INDEX('12 P6 activities'!$B$7:$B$206,MATCH(H150,'12 P6 activities'!$A$7:$A$206,0)),"⚠ not in P6 list"))</f>
        <v/>
      </c>
      <c r="J150" s="144" t="str">
        <f>IF(H150="","",IFERROR(INDEX('12 P6 activities'!$C$7:$C$206,MATCH(H150,'12 P6 activities'!$A$7:$A$206,0)),"⚠ not in P6 list"))</f>
        <v/>
      </c>
      <c r="K150" s="128"/>
      <c r="L150" s="6"/>
      <c r="M150" s="6"/>
      <c r="N150" s="6"/>
      <c r="O150" s="6"/>
      <c r="P150" s="6"/>
      <c r="Q150" s="6"/>
      <c r="R150" s="6"/>
      <c r="S150" s="6"/>
      <c r="T150" s="6"/>
      <c r="U150" s="6"/>
      <c r="V150" s="6"/>
      <c r="W150" s="6"/>
      <c r="X150" s="6"/>
      <c r="Y150" s="6"/>
      <c r="Z150" s="6"/>
    </row>
    <row r="151" spans="1:26" ht="18" customHeight="1" x14ac:dyDescent="0.3">
      <c r="A151" s="152"/>
      <c r="B151" s="128"/>
      <c r="C151" s="152"/>
      <c r="D151" s="154"/>
      <c r="E151" s="154"/>
      <c r="F151" s="152"/>
      <c r="G151" s="128"/>
      <c r="H151" s="128"/>
      <c r="I151" s="144" t="str">
        <f>IF(H151="","",IFERROR(INDEX('12 P6 activities'!$B$7:$B$206,MATCH(H151,'12 P6 activities'!$A$7:$A$206,0)),"⚠ not in P6 list"))</f>
        <v/>
      </c>
      <c r="J151" s="144" t="str">
        <f>IF(H151="","",IFERROR(INDEX('12 P6 activities'!$C$7:$C$206,MATCH(H151,'12 P6 activities'!$A$7:$A$206,0)),"⚠ not in P6 list"))</f>
        <v/>
      </c>
      <c r="K151" s="128"/>
      <c r="L151" s="6"/>
      <c r="M151" s="6"/>
      <c r="N151" s="6"/>
      <c r="O151" s="6"/>
      <c r="P151" s="6"/>
      <c r="Q151" s="6"/>
      <c r="R151" s="6"/>
      <c r="S151" s="6"/>
      <c r="T151" s="6"/>
      <c r="U151" s="6"/>
      <c r="V151" s="6"/>
      <c r="W151" s="6"/>
      <c r="X151" s="6"/>
      <c r="Y151" s="6"/>
      <c r="Z151" s="6"/>
    </row>
    <row r="152" spans="1:26" ht="18" customHeight="1" x14ac:dyDescent="0.3">
      <c r="A152" s="152"/>
      <c r="B152" s="128"/>
      <c r="C152" s="152"/>
      <c r="D152" s="154"/>
      <c r="E152" s="154"/>
      <c r="F152" s="152"/>
      <c r="G152" s="128"/>
      <c r="H152" s="128"/>
      <c r="I152" s="144" t="str">
        <f>IF(H152="","",IFERROR(INDEX('12 P6 activities'!$B$7:$B$206,MATCH(H152,'12 P6 activities'!$A$7:$A$206,0)),"⚠ not in P6 list"))</f>
        <v/>
      </c>
      <c r="J152" s="144" t="str">
        <f>IF(H152="","",IFERROR(INDEX('12 P6 activities'!$C$7:$C$206,MATCH(H152,'12 P6 activities'!$A$7:$A$206,0)),"⚠ not in P6 list"))</f>
        <v/>
      </c>
      <c r="K152" s="128"/>
      <c r="L152" s="6"/>
      <c r="M152" s="6"/>
      <c r="N152" s="6"/>
      <c r="O152" s="6"/>
      <c r="P152" s="6"/>
      <c r="Q152" s="6"/>
      <c r="R152" s="6"/>
      <c r="S152" s="6"/>
      <c r="T152" s="6"/>
      <c r="U152" s="6"/>
      <c r="V152" s="6"/>
      <c r="W152" s="6"/>
      <c r="X152" s="6"/>
      <c r="Y152" s="6"/>
      <c r="Z152" s="6"/>
    </row>
    <row r="153" spans="1:26" ht="18" customHeight="1" x14ac:dyDescent="0.3">
      <c r="A153" s="152"/>
      <c r="B153" s="128"/>
      <c r="C153" s="152"/>
      <c r="D153" s="154"/>
      <c r="E153" s="154"/>
      <c r="F153" s="152"/>
      <c r="G153" s="128"/>
      <c r="H153" s="128"/>
      <c r="I153" s="144" t="str">
        <f>IF(H153="","",IFERROR(INDEX('12 P6 activities'!$B$7:$B$206,MATCH(H153,'12 P6 activities'!$A$7:$A$206,0)),"⚠ not in P6 list"))</f>
        <v/>
      </c>
      <c r="J153" s="144" t="str">
        <f>IF(H153="","",IFERROR(INDEX('12 P6 activities'!$C$7:$C$206,MATCH(H153,'12 P6 activities'!$A$7:$A$206,0)),"⚠ not in P6 list"))</f>
        <v/>
      </c>
      <c r="K153" s="128"/>
      <c r="L153" s="6"/>
      <c r="M153" s="6"/>
      <c r="N153" s="6"/>
      <c r="O153" s="6"/>
      <c r="P153" s="6"/>
      <c r="Q153" s="6"/>
      <c r="R153" s="6"/>
      <c r="S153" s="6"/>
      <c r="T153" s="6"/>
      <c r="U153" s="6"/>
      <c r="V153" s="6"/>
      <c r="W153" s="6"/>
      <c r="X153" s="6"/>
      <c r="Y153" s="6"/>
      <c r="Z153" s="6"/>
    </row>
    <row r="154" spans="1:26" ht="18" customHeight="1" x14ac:dyDescent="0.3">
      <c r="A154" s="152"/>
      <c r="B154" s="128"/>
      <c r="C154" s="152"/>
      <c r="D154" s="154"/>
      <c r="E154" s="154"/>
      <c r="F154" s="152"/>
      <c r="G154" s="128"/>
      <c r="H154" s="128"/>
      <c r="I154" s="144" t="str">
        <f>IF(H154="","",IFERROR(INDEX('12 P6 activities'!$B$7:$B$206,MATCH(H154,'12 P6 activities'!$A$7:$A$206,0)),"⚠ not in P6 list"))</f>
        <v/>
      </c>
      <c r="J154" s="144" t="str">
        <f>IF(H154="","",IFERROR(INDEX('12 P6 activities'!$C$7:$C$206,MATCH(H154,'12 P6 activities'!$A$7:$A$206,0)),"⚠ not in P6 list"))</f>
        <v/>
      </c>
      <c r="K154" s="128"/>
      <c r="L154" s="6"/>
      <c r="M154" s="6"/>
      <c r="N154" s="6"/>
      <c r="O154" s="6"/>
      <c r="P154" s="6"/>
      <c r="Q154" s="6"/>
      <c r="R154" s="6"/>
      <c r="S154" s="6"/>
      <c r="T154" s="6"/>
      <c r="U154" s="6"/>
      <c r="V154" s="6"/>
      <c r="W154" s="6"/>
      <c r="X154" s="6"/>
      <c r="Y154" s="6"/>
      <c r="Z154" s="6"/>
    </row>
    <row r="155" spans="1:26" ht="18" customHeight="1" x14ac:dyDescent="0.3">
      <c r="A155" s="152"/>
      <c r="B155" s="128"/>
      <c r="C155" s="152"/>
      <c r="D155" s="154"/>
      <c r="E155" s="154"/>
      <c r="F155" s="152"/>
      <c r="G155" s="128"/>
      <c r="H155" s="128"/>
      <c r="I155" s="144" t="str">
        <f>IF(H155="","",IFERROR(INDEX('12 P6 activities'!$B$7:$B$206,MATCH(H155,'12 P6 activities'!$A$7:$A$206,0)),"⚠ not in P6 list"))</f>
        <v/>
      </c>
      <c r="J155" s="144" t="str">
        <f>IF(H155="","",IFERROR(INDEX('12 P6 activities'!$C$7:$C$206,MATCH(H155,'12 P6 activities'!$A$7:$A$206,0)),"⚠ not in P6 list"))</f>
        <v/>
      </c>
      <c r="K155" s="128"/>
      <c r="L155" s="6"/>
      <c r="M155" s="6"/>
      <c r="N155" s="6"/>
      <c r="O155" s="6"/>
      <c r="P155" s="6"/>
      <c r="Q155" s="6"/>
      <c r="R155" s="6"/>
      <c r="S155" s="6"/>
      <c r="T155" s="6"/>
      <c r="U155" s="6"/>
      <c r="V155" s="6"/>
      <c r="W155" s="6"/>
      <c r="X155" s="6"/>
      <c r="Y155" s="6"/>
      <c r="Z155" s="6"/>
    </row>
    <row r="156" spans="1:26" ht="18" customHeight="1" x14ac:dyDescent="0.3">
      <c r="A156" s="152"/>
      <c r="B156" s="128"/>
      <c r="C156" s="152"/>
      <c r="D156" s="154"/>
      <c r="E156" s="154"/>
      <c r="F156" s="152"/>
      <c r="G156" s="128"/>
      <c r="H156" s="128"/>
      <c r="I156" s="144" t="str">
        <f>IF(H156="","",IFERROR(INDEX('12 P6 activities'!$B$7:$B$206,MATCH(H156,'12 P6 activities'!$A$7:$A$206,0)),"⚠ not in P6 list"))</f>
        <v/>
      </c>
      <c r="J156" s="144" t="str">
        <f>IF(H156="","",IFERROR(INDEX('12 P6 activities'!$C$7:$C$206,MATCH(H156,'12 P6 activities'!$A$7:$A$206,0)),"⚠ not in P6 list"))</f>
        <v/>
      </c>
      <c r="K156" s="128"/>
      <c r="L156" s="6"/>
      <c r="M156" s="6"/>
      <c r="N156" s="6"/>
      <c r="O156" s="6"/>
      <c r="P156" s="6"/>
      <c r="Q156" s="6"/>
      <c r="R156" s="6"/>
      <c r="S156" s="6"/>
      <c r="T156" s="6"/>
      <c r="U156" s="6"/>
      <c r="V156" s="6"/>
      <c r="W156" s="6"/>
      <c r="X156" s="6"/>
      <c r="Y156" s="6"/>
      <c r="Z156" s="6"/>
    </row>
    <row r="157" spans="1:26" ht="18" customHeight="1" x14ac:dyDescent="0.3">
      <c r="A157" s="152"/>
      <c r="B157" s="128"/>
      <c r="C157" s="152"/>
      <c r="D157" s="154"/>
      <c r="E157" s="154"/>
      <c r="F157" s="152"/>
      <c r="G157" s="128"/>
      <c r="H157" s="128"/>
      <c r="I157" s="144" t="str">
        <f>IF(H157="","",IFERROR(INDEX('12 P6 activities'!$B$7:$B$206,MATCH(H157,'12 P6 activities'!$A$7:$A$206,0)),"⚠ not in P6 list"))</f>
        <v/>
      </c>
      <c r="J157" s="144" t="str">
        <f>IF(H157="","",IFERROR(INDEX('12 P6 activities'!$C$7:$C$206,MATCH(H157,'12 P6 activities'!$A$7:$A$206,0)),"⚠ not in P6 list"))</f>
        <v/>
      </c>
      <c r="K157" s="128"/>
      <c r="L157" s="6"/>
      <c r="M157" s="6"/>
      <c r="N157" s="6"/>
      <c r="O157" s="6"/>
      <c r="P157" s="6"/>
      <c r="Q157" s="6"/>
      <c r="R157" s="6"/>
      <c r="S157" s="6"/>
      <c r="T157" s="6"/>
      <c r="U157" s="6"/>
      <c r="V157" s="6"/>
      <c r="W157" s="6"/>
      <c r="X157" s="6"/>
      <c r="Y157" s="6"/>
      <c r="Z157" s="6"/>
    </row>
    <row r="158" spans="1:26" ht="18" customHeight="1" x14ac:dyDescent="0.3">
      <c r="A158" s="152"/>
      <c r="B158" s="128"/>
      <c r="C158" s="152"/>
      <c r="D158" s="154"/>
      <c r="E158" s="154"/>
      <c r="F158" s="152"/>
      <c r="G158" s="128"/>
      <c r="H158" s="128"/>
      <c r="I158" s="144" t="str">
        <f>IF(H158="","",IFERROR(INDEX('12 P6 activities'!$B$7:$B$206,MATCH(H158,'12 P6 activities'!$A$7:$A$206,0)),"⚠ not in P6 list"))</f>
        <v/>
      </c>
      <c r="J158" s="144" t="str">
        <f>IF(H158="","",IFERROR(INDEX('12 P6 activities'!$C$7:$C$206,MATCH(H158,'12 P6 activities'!$A$7:$A$206,0)),"⚠ not in P6 list"))</f>
        <v/>
      </c>
      <c r="K158" s="128"/>
      <c r="L158" s="6"/>
      <c r="M158" s="6"/>
      <c r="N158" s="6"/>
      <c r="O158" s="6"/>
      <c r="P158" s="6"/>
      <c r="Q158" s="6"/>
      <c r="R158" s="6"/>
      <c r="S158" s="6"/>
      <c r="T158" s="6"/>
      <c r="U158" s="6"/>
      <c r="V158" s="6"/>
      <c r="W158" s="6"/>
      <c r="X158" s="6"/>
      <c r="Y158" s="6"/>
      <c r="Z158" s="6"/>
    </row>
    <row r="159" spans="1:26" ht="18" customHeight="1" x14ac:dyDescent="0.3">
      <c r="A159" s="152"/>
      <c r="B159" s="128"/>
      <c r="C159" s="152"/>
      <c r="D159" s="154"/>
      <c r="E159" s="154"/>
      <c r="F159" s="152"/>
      <c r="G159" s="128"/>
      <c r="H159" s="128"/>
      <c r="I159" s="144" t="str">
        <f>IF(H159="","",IFERROR(INDEX('12 P6 activities'!$B$7:$B$206,MATCH(H159,'12 P6 activities'!$A$7:$A$206,0)),"⚠ not in P6 list"))</f>
        <v/>
      </c>
      <c r="J159" s="144" t="str">
        <f>IF(H159="","",IFERROR(INDEX('12 P6 activities'!$C$7:$C$206,MATCH(H159,'12 P6 activities'!$A$7:$A$206,0)),"⚠ not in P6 list"))</f>
        <v/>
      </c>
      <c r="K159" s="128"/>
      <c r="L159" s="6"/>
      <c r="M159" s="6"/>
      <c r="N159" s="6"/>
      <c r="O159" s="6"/>
      <c r="P159" s="6"/>
      <c r="Q159" s="6"/>
      <c r="R159" s="6"/>
      <c r="S159" s="6"/>
      <c r="T159" s="6"/>
      <c r="U159" s="6"/>
      <c r="V159" s="6"/>
      <c r="W159" s="6"/>
      <c r="X159" s="6"/>
      <c r="Y159" s="6"/>
      <c r="Z159" s="6"/>
    </row>
    <row r="160" spans="1:26" ht="18" customHeight="1" x14ac:dyDescent="0.3">
      <c r="A160" s="152"/>
      <c r="B160" s="128"/>
      <c r="C160" s="152"/>
      <c r="D160" s="154"/>
      <c r="E160" s="154"/>
      <c r="F160" s="152"/>
      <c r="G160" s="128"/>
      <c r="H160" s="128"/>
      <c r="I160" s="144" t="str">
        <f>IF(H160="","",IFERROR(INDEX('12 P6 activities'!$B$7:$B$206,MATCH(H160,'12 P6 activities'!$A$7:$A$206,0)),"⚠ not in P6 list"))</f>
        <v/>
      </c>
      <c r="J160" s="144" t="str">
        <f>IF(H160="","",IFERROR(INDEX('12 P6 activities'!$C$7:$C$206,MATCH(H160,'12 P6 activities'!$A$7:$A$206,0)),"⚠ not in P6 list"))</f>
        <v/>
      </c>
      <c r="K160" s="128"/>
      <c r="L160" s="6"/>
      <c r="M160" s="6"/>
      <c r="N160" s="6"/>
      <c r="O160" s="6"/>
      <c r="P160" s="6"/>
      <c r="Q160" s="6"/>
      <c r="R160" s="6"/>
      <c r="S160" s="6"/>
      <c r="T160" s="6"/>
      <c r="U160" s="6"/>
      <c r="V160" s="6"/>
      <c r="W160" s="6"/>
      <c r="X160" s="6"/>
      <c r="Y160" s="6"/>
      <c r="Z160" s="6"/>
    </row>
    <row r="161" spans="1:26" ht="18" customHeight="1" x14ac:dyDescent="0.3">
      <c r="A161" s="152"/>
      <c r="B161" s="128"/>
      <c r="C161" s="152"/>
      <c r="D161" s="154"/>
      <c r="E161" s="154"/>
      <c r="F161" s="152"/>
      <c r="G161" s="128"/>
      <c r="H161" s="128"/>
      <c r="I161" s="144" t="str">
        <f>IF(H161="","",IFERROR(INDEX('12 P6 activities'!$B$7:$B$206,MATCH(H161,'12 P6 activities'!$A$7:$A$206,0)),"⚠ not in P6 list"))</f>
        <v/>
      </c>
      <c r="J161" s="144" t="str">
        <f>IF(H161="","",IFERROR(INDEX('12 P6 activities'!$C$7:$C$206,MATCH(H161,'12 P6 activities'!$A$7:$A$206,0)),"⚠ not in P6 list"))</f>
        <v/>
      </c>
      <c r="K161" s="128"/>
      <c r="L161" s="6"/>
      <c r="M161" s="6"/>
      <c r="N161" s="6"/>
      <c r="O161" s="6"/>
      <c r="P161" s="6"/>
      <c r="Q161" s="6"/>
      <c r="R161" s="6"/>
      <c r="S161" s="6"/>
      <c r="T161" s="6"/>
      <c r="U161" s="6"/>
      <c r="V161" s="6"/>
      <c r="W161" s="6"/>
      <c r="X161" s="6"/>
      <c r="Y161" s="6"/>
      <c r="Z161" s="6"/>
    </row>
    <row r="162" spans="1:26" ht="18" customHeight="1" x14ac:dyDescent="0.3">
      <c r="A162" s="152"/>
      <c r="B162" s="128"/>
      <c r="C162" s="152"/>
      <c r="D162" s="154"/>
      <c r="E162" s="154"/>
      <c r="F162" s="152"/>
      <c r="G162" s="128"/>
      <c r="H162" s="128"/>
      <c r="I162" s="144" t="str">
        <f>IF(H162="","",IFERROR(INDEX('12 P6 activities'!$B$7:$B$206,MATCH(H162,'12 P6 activities'!$A$7:$A$206,0)),"⚠ not in P6 list"))</f>
        <v/>
      </c>
      <c r="J162" s="144" t="str">
        <f>IF(H162="","",IFERROR(INDEX('12 P6 activities'!$C$7:$C$206,MATCH(H162,'12 P6 activities'!$A$7:$A$206,0)),"⚠ not in P6 list"))</f>
        <v/>
      </c>
      <c r="K162" s="128"/>
      <c r="L162" s="6"/>
      <c r="M162" s="6"/>
      <c r="N162" s="6"/>
      <c r="O162" s="6"/>
      <c r="P162" s="6"/>
      <c r="Q162" s="6"/>
      <c r="R162" s="6"/>
      <c r="S162" s="6"/>
      <c r="T162" s="6"/>
      <c r="U162" s="6"/>
      <c r="V162" s="6"/>
      <c r="W162" s="6"/>
      <c r="X162" s="6"/>
      <c r="Y162" s="6"/>
      <c r="Z162" s="6"/>
    </row>
    <row r="163" spans="1:26" ht="18" customHeight="1" x14ac:dyDescent="0.3">
      <c r="A163" s="152"/>
      <c r="B163" s="128"/>
      <c r="C163" s="152"/>
      <c r="D163" s="154"/>
      <c r="E163" s="154"/>
      <c r="F163" s="152"/>
      <c r="G163" s="128"/>
      <c r="H163" s="128"/>
      <c r="I163" s="144" t="str">
        <f>IF(H163="","",IFERROR(INDEX('12 P6 activities'!$B$7:$B$206,MATCH(H163,'12 P6 activities'!$A$7:$A$206,0)),"⚠ not in P6 list"))</f>
        <v/>
      </c>
      <c r="J163" s="144" t="str">
        <f>IF(H163="","",IFERROR(INDEX('12 P6 activities'!$C$7:$C$206,MATCH(H163,'12 P6 activities'!$A$7:$A$206,0)),"⚠ not in P6 list"))</f>
        <v/>
      </c>
      <c r="K163" s="128"/>
      <c r="L163" s="6"/>
      <c r="M163" s="6"/>
      <c r="N163" s="6"/>
      <c r="O163" s="6"/>
      <c r="P163" s="6"/>
      <c r="Q163" s="6"/>
      <c r="R163" s="6"/>
      <c r="S163" s="6"/>
      <c r="T163" s="6"/>
      <c r="U163" s="6"/>
      <c r="V163" s="6"/>
      <c r="W163" s="6"/>
      <c r="X163" s="6"/>
      <c r="Y163" s="6"/>
      <c r="Z163" s="6"/>
    </row>
    <row r="164" spans="1:26" ht="18" customHeight="1" x14ac:dyDescent="0.3">
      <c r="A164" s="152"/>
      <c r="B164" s="128"/>
      <c r="C164" s="152"/>
      <c r="D164" s="154"/>
      <c r="E164" s="154"/>
      <c r="F164" s="152"/>
      <c r="G164" s="128"/>
      <c r="H164" s="128"/>
      <c r="I164" s="144" t="str">
        <f>IF(H164="","",IFERROR(INDEX('12 P6 activities'!$B$7:$B$206,MATCH(H164,'12 P6 activities'!$A$7:$A$206,0)),"⚠ not in P6 list"))</f>
        <v/>
      </c>
      <c r="J164" s="144" t="str">
        <f>IF(H164="","",IFERROR(INDEX('12 P6 activities'!$C$7:$C$206,MATCH(H164,'12 P6 activities'!$A$7:$A$206,0)),"⚠ not in P6 list"))</f>
        <v/>
      </c>
      <c r="K164" s="128"/>
      <c r="L164" s="6"/>
      <c r="M164" s="6"/>
      <c r="N164" s="6"/>
      <c r="O164" s="6"/>
      <c r="P164" s="6"/>
      <c r="Q164" s="6"/>
      <c r="R164" s="6"/>
      <c r="S164" s="6"/>
      <c r="T164" s="6"/>
      <c r="U164" s="6"/>
      <c r="V164" s="6"/>
      <c r="W164" s="6"/>
      <c r="X164" s="6"/>
      <c r="Y164" s="6"/>
      <c r="Z164" s="6"/>
    </row>
    <row r="165" spans="1:26" ht="18" customHeight="1" x14ac:dyDescent="0.3">
      <c r="A165" s="152"/>
      <c r="B165" s="128"/>
      <c r="C165" s="152"/>
      <c r="D165" s="154"/>
      <c r="E165" s="154"/>
      <c r="F165" s="152"/>
      <c r="G165" s="128"/>
      <c r="H165" s="128"/>
      <c r="I165" s="144" t="str">
        <f>IF(H165="","",IFERROR(INDEX('12 P6 activities'!$B$7:$B$206,MATCH(H165,'12 P6 activities'!$A$7:$A$206,0)),"⚠ not in P6 list"))</f>
        <v/>
      </c>
      <c r="J165" s="144" t="str">
        <f>IF(H165="","",IFERROR(INDEX('12 P6 activities'!$C$7:$C$206,MATCH(H165,'12 P6 activities'!$A$7:$A$206,0)),"⚠ not in P6 list"))</f>
        <v/>
      </c>
      <c r="K165" s="128"/>
      <c r="L165" s="6"/>
      <c r="M165" s="6"/>
      <c r="N165" s="6"/>
      <c r="O165" s="6"/>
      <c r="P165" s="6"/>
      <c r="Q165" s="6"/>
      <c r="R165" s="6"/>
      <c r="S165" s="6"/>
      <c r="T165" s="6"/>
      <c r="U165" s="6"/>
      <c r="V165" s="6"/>
      <c r="W165" s="6"/>
      <c r="X165" s="6"/>
      <c r="Y165" s="6"/>
      <c r="Z165" s="6"/>
    </row>
    <row r="166" spans="1:26" ht="18" customHeight="1" x14ac:dyDescent="0.3">
      <c r="A166" s="152"/>
      <c r="B166" s="128"/>
      <c r="C166" s="152"/>
      <c r="D166" s="154"/>
      <c r="E166" s="154"/>
      <c r="F166" s="152"/>
      <c r="G166" s="128"/>
      <c r="H166" s="128"/>
      <c r="I166" s="144" t="str">
        <f>IF(H166="","",IFERROR(INDEX('12 P6 activities'!$B$7:$B$206,MATCH(H166,'12 P6 activities'!$A$7:$A$206,0)),"⚠ not in P6 list"))</f>
        <v/>
      </c>
      <c r="J166" s="144" t="str">
        <f>IF(H166="","",IFERROR(INDEX('12 P6 activities'!$C$7:$C$206,MATCH(H166,'12 P6 activities'!$A$7:$A$206,0)),"⚠ not in P6 list"))</f>
        <v/>
      </c>
      <c r="K166" s="128"/>
      <c r="L166" s="6"/>
      <c r="M166" s="6"/>
      <c r="N166" s="6"/>
      <c r="O166" s="6"/>
      <c r="P166" s="6"/>
      <c r="Q166" s="6"/>
      <c r="R166" s="6"/>
      <c r="S166" s="6"/>
      <c r="T166" s="6"/>
      <c r="U166" s="6"/>
      <c r="V166" s="6"/>
      <c r="W166" s="6"/>
      <c r="X166" s="6"/>
      <c r="Y166" s="6"/>
      <c r="Z166" s="6"/>
    </row>
    <row r="167" spans="1:26" ht="18" customHeight="1" x14ac:dyDescent="0.3">
      <c r="A167" s="152"/>
      <c r="B167" s="128"/>
      <c r="C167" s="152"/>
      <c r="D167" s="154"/>
      <c r="E167" s="154"/>
      <c r="F167" s="152"/>
      <c r="G167" s="128"/>
      <c r="H167" s="128"/>
      <c r="I167" s="144" t="str">
        <f>IF(H167="","",IFERROR(INDEX('12 P6 activities'!$B$7:$B$206,MATCH(H167,'12 P6 activities'!$A$7:$A$206,0)),"⚠ not in P6 list"))</f>
        <v/>
      </c>
      <c r="J167" s="144" t="str">
        <f>IF(H167="","",IFERROR(INDEX('12 P6 activities'!$C$7:$C$206,MATCH(H167,'12 P6 activities'!$A$7:$A$206,0)),"⚠ not in P6 list"))</f>
        <v/>
      </c>
      <c r="K167" s="128"/>
      <c r="L167" s="6"/>
      <c r="M167" s="6"/>
      <c r="N167" s="6"/>
      <c r="O167" s="6"/>
      <c r="P167" s="6"/>
      <c r="Q167" s="6"/>
      <c r="R167" s="6"/>
      <c r="S167" s="6"/>
      <c r="T167" s="6"/>
      <c r="U167" s="6"/>
      <c r="V167" s="6"/>
      <c r="W167" s="6"/>
      <c r="X167" s="6"/>
      <c r="Y167" s="6"/>
      <c r="Z167" s="6"/>
    </row>
    <row r="168" spans="1:26" ht="18" customHeight="1" x14ac:dyDescent="0.3">
      <c r="A168" s="152"/>
      <c r="B168" s="128"/>
      <c r="C168" s="152"/>
      <c r="D168" s="154"/>
      <c r="E168" s="154"/>
      <c r="F168" s="152"/>
      <c r="G168" s="128"/>
      <c r="H168" s="128"/>
      <c r="I168" s="144" t="str">
        <f>IF(H168="","",IFERROR(INDEX('12 P6 activities'!$B$7:$B$206,MATCH(H168,'12 P6 activities'!$A$7:$A$206,0)),"⚠ not in P6 list"))</f>
        <v/>
      </c>
      <c r="J168" s="144" t="str">
        <f>IF(H168="","",IFERROR(INDEX('12 P6 activities'!$C$7:$C$206,MATCH(H168,'12 P6 activities'!$A$7:$A$206,0)),"⚠ not in P6 list"))</f>
        <v/>
      </c>
      <c r="K168" s="128"/>
      <c r="L168" s="6"/>
      <c r="M168" s="6"/>
      <c r="N168" s="6"/>
      <c r="O168" s="6"/>
      <c r="P168" s="6"/>
      <c r="Q168" s="6"/>
      <c r="R168" s="6"/>
      <c r="S168" s="6"/>
      <c r="T168" s="6"/>
      <c r="U168" s="6"/>
      <c r="V168" s="6"/>
      <c r="W168" s="6"/>
      <c r="X168" s="6"/>
      <c r="Y168" s="6"/>
      <c r="Z168" s="6"/>
    </row>
    <row r="169" spans="1:26" ht="18" customHeight="1" x14ac:dyDescent="0.3">
      <c r="A169" s="152"/>
      <c r="B169" s="128"/>
      <c r="C169" s="152"/>
      <c r="D169" s="154"/>
      <c r="E169" s="154"/>
      <c r="F169" s="152"/>
      <c r="G169" s="128"/>
      <c r="H169" s="128"/>
      <c r="I169" s="144" t="str">
        <f>IF(H169="","",IFERROR(INDEX('12 P6 activities'!$B$7:$B$206,MATCH(H169,'12 P6 activities'!$A$7:$A$206,0)),"⚠ not in P6 list"))</f>
        <v/>
      </c>
      <c r="J169" s="144" t="str">
        <f>IF(H169="","",IFERROR(INDEX('12 P6 activities'!$C$7:$C$206,MATCH(H169,'12 P6 activities'!$A$7:$A$206,0)),"⚠ not in P6 list"))</f>
        <v/>
      </c>
      <c r="K169" s="128"/>
      <c r="L169" s="6"/>
      <c r="M169" s="6"/>
      <c r="N169" s="6"/>
      <c r="O169" s="6"/>
      <c r="P169" s="6"/>
      <c r="Q169" s="6"/>
      <c r="R169" s="6"/>
      <c r="S169" s="6"/>
      <c r="T169" s="6"/>
      <c r="U169" s="6"/>
      <c r="V169" s="6"/>
      <c r="W169" s="6"/>
      <c r="X169" s="6"/>
      <c r="Y169" s="6"/>
      <c r="Z169" s="6"/>
    </row>
    <row r="170" spans="1:26" ht="18" customHeight="1" x14ac:dyDescent="0.3">
      <c r="A170" s="152"/>
      <c r="B170" s="128"/>
      <c r="C170" s="152"/>
      <c r="D170" s="154"/>
      <c r="E170" s="154"/>
      <c r="F170" s="152"/>
      <c r="G170" s="128"/>
      <c r="H170" s="128"/>
      <c r="I170" s="144" t="str">
        <f>IF(H170="","",IFERROR(INDEX('12 P6 activities'!$B$7:$B$206,MATCH(H170,'12 P6 activities'!$A$7:$A$206,0)),"⚠ not in P6 list"))</f>
        <v/>
      </c>
      <c r="J170" s="144" t="str">
        <f>IF(H170="","",IFERROR(INDEX('12 P6 activities'!$C$7:$C$206,MATCH(H170,'12 P6 activities'!$A$7:$A$206,0)),"⚠ not in P6 list"))</f>
        <v/>
      </c>
      <c r="K170" s="128"/>
      <c r="L170" s="6"/>
      <c r="M170" s="6"/>
      <c r="N170" s="6"/>
      <c r="O170" s="6"/>
      <c r="P170" s="6"/>
      <c r="Q170" s="6"/>
      <c r="R170" s="6"/>
      <c r="S170" s="6"/>
      <c r="T170" s="6"/>
      <c r="U170" s="6"/>
      <c r="V170" s="6"/>
      <c r="W170" s="6"/>
      <c r="X170" s="6"/>
      <c r="Y170" s="6"/>
      <c r="Z170" s="6"/>
    </row>
    <row r="171" spans="1:26" ht="18" customHeight="1" x14ac:dyDescent="0.3">
      <c r="A171" s="152"/>
      <c r="B171" s="128"/>
      <c r="C171" s="152"/>
      <c r="D171" s="154"/>
      <c r="E171" s="154"/>
      <c r="F171" s="152"/>
      <c r="G171" s="128"/>
      <c r="H171" s="128"/>
      <c r="I171" s="144" t="str">
        <f>IF(H171="","",IFERROR(INDEX('12 P6 activities'!$B$7:$B$206,MATCH(H171,'12 P6 activities'!$A$7:$A$206,0)),"⚠ not in P6 list"))</f>
        <v/>
      </c>
      <c r="J171" s="144" t="str">
        <f>IF(H171="","",IFERROR(INDEX('12 P6 activities'!$C$7:$C$206,MATCH(H171,'12 P6 activities'!$A$7:$A$206,0)),"⚠ not in P6 list"))</f>
        <v/>
      </c>
      <c r="K171" s="128"/>
      <c r="L171" s="6"/>
      <c r="M171" s="6"/>
      <c r="N171" s="6"/>
      <c r="O171" s="6"/>
      <c r="P171" s="6"/>
      <c r="Q171" s="6"/>
      <c r="R171" s="6"/>
      <c r="S171" s="6"/>
      <c r="T171" s="6"/>
      <c r="U171" s="6"/>
      <c r="V171" s="6"/>
      <c r="W171" s="6"/>
      <c r="X171" s="6"/>
      <c r="Y171" s="6"/>
      <c r="Z171" s="6"/>
    </row>
    <row r="172" spans="1:26" ht="18" customHeight="1" x14ac:dyDescent="0.3">
      <c r="A172" s="152"/>
      <c r="B172" s="128"/>
      <c r="C172" s="152"/>
      <c r="D172" s="154"/>
      <c r="E172" s="154"/>
      <c r="F172" s="152"/>
      <c r="G172" s="128"/>
      <c r="H172" s="128"/>
      <c r="I172" s="144" t="str">
        <f>IF(H172="","",IFERROR(INDEX('12 P6 activities'!$B$7:$B$206,MATCH(H172,'12 P6 activities'!$A$7:$A$206,0)),"⚠ not in P6 list"))</f>
        <v/>
      </c>
      <c r="J172" s="144" t="str">
        <f>IF(H172="","",IFERROR(INDEX('12 P6 activities'!$C$7:$C$206,MATCH(H172,'12 P6 activities'!$A$7:$A$206,0)),"⚠ not in P6 list"))</f>
        <v/>
      </c>
      <c r="K172" s="128"/>
      <c r="L172" s="6"/>
      <c r="M172" s="6"/>
      <c r="N172" s="6"/>
      <c r="O172" s="6"/>
      <c r="P172" s="6"/>
      <c r="Q172" s="6"/>
      <c r="R172" s="6"/>
      <c r="S172" s="6"/>
      <c r="T172" s="6"/>
      <c r="U172" s="6"/>
      <c r="V172" s="6"/>
      <c r="W172" s="6"/>
      <c r="X172" s="6"/>
      <c r="Y172" s="6"/>
      <c r="Z172" s="6"/>
    </row>
    <row r="173" spans="1:26" ht="18" customHeight="1" x14ac:dyDescent="0.3">
      <c r="A173" s="152"/>
      <c r="B173" s="128"/>
      <c r="C173" s="152"/>
      <c r="D173" s="154"/>
      <c r="E173" s="154"/>
      <c r="F173" s="152"/>
      <c r="G173" s="128"/>
      <c r="H173" s="128"/>
      <c r="I173" s="144" t="str">
        <f>IF(H173="","",IFERROR(INDEX('12 P6 activities'!$B$7:$B$206,MATCH(H173,'12 P6 activities'!$A$7:$A$206,0)),"⚠ not in P6 list"))</f>
        <v/>
      </c>
      <c r="J173" s="144" t="str">
        <f>IF(H173="","",IFERROR(INDEX('12 P6 activities'!$C$7:$C$206,MATCH(H173,'12 P6 activities'!$A$7:$A$206,0)),"⚠ not in P6 list"))</f>
        <v/>
      </c>
      <c r="K173" s="128"/>
      <c r="L173" s="6"/>
      <c r="M173" s="6"/>
      <c r="N173" s="6"/>
      <c r="O173" s="6"/>
      <c r="P173" s="6"/>
      <c r="Q173" s="6"/>
      <c r="R173" s="6"/>
      <c r="S173" s="6"/>
      <c r="T173" s="6"/>
      <c r="U173" s="6"/>
      <c r="V173" s="6"/>
      <c r="W173" s="6"/>
      <c r="X173" s="6"/>
      <c r="Y173" s="6"/>
      <c r="Z173" s="6"/>
    </row>
    <row r="174" spans="1:26" ht="18" customHeight="1" x14ac:dyDescent="0.3">
      <c r="A174" s="152"/>
      <c r="B174" s="128"/>
      <c r="C174" s="152"/>
      <c r="D174" s="154"/>
      <c r="E174" s="154"/>
      <c r="F174" s="152"/>
      <c r="G174" s="128"/>
      <c r="H174" s="128"/>
      <c r="I174" s="144" t="str">
        <f>IF(H174="","",IFERROR(INDEX('12 P6 activities'!$B$7:$B$206,MATCH(H174,'12 P6 activities'!$A$7:$A$206,0)),"⚠ not in P6 list"))</f>
        <v/>
      </c>
      <c r="J174" s="144" t="str">
        <f>IF(H174="","",IFERROR(INDEX('12 P6 activities'!$C$7:$C$206,MATCH(H174,'12 P6 activities'!$A$7:$A$206,0)),"⚠ not in P6 list"))</f>
        <v/>
      </c>
      <c r="K174" s="128"/>
      <c r="L174" s="6"/>
      <c r="M174" s="6"/>
      <c r="N174" s="6"/>
      <c r="O174" s="6"/>
      <c r="P174" s="6"/>
      <c r="Q174" s="6"/>
      <c r="R174" s="6"/>
      <c r="S174" s="6"/>
      <c r="T174" s="6"/>
      <c r="U174" s="6"/>
      <c r="V174" s="6"/>
      <c r="W174" s="6"/>
      <c r="X174" s="6"/>
      <c r="Y174" s="6"/>
      <c r="Z174" s="6"/>
    </row>
    <row r="175" spans="1:26" ht="18" customHeight="1" x14ac:dyDescent="0.3">
      <c r="A175" s="152"/>
      <c r="B175" s="128"/>
      <c r="C175" s="152"/>
      <c r="D175" s="154"/>
      <c r="E175" s="154"/>
      <c r="F175" s="152"/>
      <c r="G175" s="128"/>
      <c r="H175" s="128"/>
      <c r="I175" s="144" t="str">
        <f>IF(H175="","",IFERROR(INDEX('12 P6 activities'!$B$7:$B$206,MATCH(H175,'12 P6 activities'!$A$7:$A$206,0)),"⚠ not in P6 list"))</f>
        <v/>
      </c>
      <c r="J175" s="144" t="str">
        <f>IF(H175="","",IFERROR(INDEX('12 P6 activities'!$C$7:$C$206,MATCH(H175,'12 P6 activities'!$A$7:$A$206,0)),"⚠ not in P6 list"))</f>
        <v/>
      </c>
      <c r="K175" s="128"/>
      <c r="L175" s="6"/>
      <c r="M175" s="6"/>
      <c r="N175" s="6"/>
      <c r="O175" s="6"/>
      <c r="P175" s="6"/>
      <c r="Q175" s="6"/>
      <c r="R175" s="6"/>
      <c r="S175" s="6"/>
      <c r="T175" s="6"/>
      <c r="U175" s="6"/>
      <c r="V175" s="6"/>
      <c r="W175" s="6"/>
      <c r="X175" s="6"/>
      <c r="Y175" s="6"/>
      <c r="Z175" s="6"/>
    </row>
    <row r="176" spans="1:26" ht="18" customHeight="1" x14ac:dyDescent="0.3">
      <c r="A176" s="152"/>
      <c r="B176" s="128"/>
      <c r="C176" s="152"/>
      <c r="D176" s="154"/>
      <c r="E176" s="154"/>
      <c r="F176" s="152"/>
      <c r="G176" s="128"/>
      <c r="H176" s="128"/>
      <c r="I176" s="144" t="str">
        <f>IF(H176="","",IFERROR(INDEX('12 P6 activities'!$B$7:$B$206,MATCH(H176,'12 P6 activities'!$A$7:$A$206,0)),"⚠ not in P6 list"))</f>
        <v/>
      </c>
      <c r="J176" s="144" t="str">
        <f>IF(H176="","",IFERROR(INDEX('12 P6 activities'!$C$7:$C$206,MATCH(H176,'12 P6 activities'!$A$7:$A$206,0)),"⚠ not in P6 list"))</f>
        <v/>
      </c>
      <c r="K176" s="128"/>
      <c r="L176" s="6"/>
      <c r="M176" s="6"/>
      <c r="N176" s="6"/>
      <c r="O176" s="6"/>
      <c r="P176" s="6"/>
      <c r="Q176" s="6"/>
      <c r="R176" s="6"/>
      <c r="S176" s="6"/>
      <c r="T176" s="6"/>
      <c r="U176" s="6"/>
      <c r="V176" s="6"/>
      <c r="W176" s="6"/>
      <c r="X176" s="6"/>
      <c r="Y176" s="6"/>
      <c r="Z176" s="6"/>
    </row>
    <row r="177" spans="1:26" ht="18" customHeight="1" x14ac:dyDescent="0.3">
      <c r="A177" s="152"/>
      <c r="B177" s="128"/>
      <c r="C177" s="152"/>
      <c r="D177" s="154"/>
      <c r="E177" s="154"/>
      <c r="F177" s="152"/>
      <c r="G177" s="128"/>
      <c r="H177" s="128"/>
      <c r="I177" s="144" t="str">
        <f>IF(H177="","",IFERROR(INDEX('12 P6 activities'!$B$7:$B$206,MATCH(H177,'12 P6 activities'!$A$7:$A$206,0)),"⚠ not in P6 list"))</f>
        <v/>
      </c>
      <c r="J177" s="144" t="str">
        <f>IF(H177="","",IFERROR(INDEX('12 P6 activities'!$C$7:$C$206,MATCH(H177,'12 P6 activities'!$A$7:$A$206,0)),"⚠ not in P6 list"))</f>
        <v/>
      </c>
      <c r="K177" s="128"/>
      <c r="L177" s="6"/>
      <c r="M177" s="6"/>
      <c r="N177" s="6"/>
      <c r="O177" s="6"/>
      <c r="P177" s="6"/>
      <c r="Q177" s="6"/>
      <c r="R177" s="6"/>
      <c r="S177" s="6"/>
      <c r="T177" s="6"/>
      <c r="U177" s="6"/>
      <c r="V177" s="6"/>
      <c r="W177" s="6"/>
      <c r="X177" s="6"/>
      <c r="Y177" s="6"/>
      <c r="Z177" s="6"/>
    </row>
    <row r="178" spans="1:26" ht="18" customHeight="1" x14ac:dyDescent="0.3">
      <c r="A178" s="152"/>
      <c r="B178" s="128"/>
      <c r="C178" s="152"/>
      <c r="D178" s="154"/>
      <c r="E178" s="154"/>
      <c r="F178" s="152"/>
      <c r="G178" s="128"/>
      <c r="H178" s="128"/>
      <c r="I178" s="144" t="str">
        <f>IF(H178="","",IFERROR(INDEX('12 P6 activities'!$B$7:$B$206,MATCH(H178,'12 P6 activities'!$A$7:$A$206,0)),"⚠ not in P6 list"))</f>
        <v/>
      </c>
      <c r="J178" s="144" t="str">
        <f>IF(H178="","",IFERROR(INDEX('12 P6 activities'!$C$7:$C$206,MATCH(H178,'12 P6 activities'!$A$7:$A$206,0)),"⚠ not in P6 list"))</f>
        <v/>
      </c>
      <c r="K178" s="128"/>
      <c r="L178" s="6"/>
      <c r="M178" s="6"/>
      <c r="N178" s="6"/>
      <c r="O178" s="6"/>
      <c r="P178" s="6"/>
      <c r="Q178" s="6"/>
      <c r="R178" s="6"/>
      <c r="S178" s="6"/>
      <c r="T178" s="6"/>
      <c r="U178" s="6"/>
      <c r="V178" s="6"/>
      <c r="W178" s="6"/>
      <c r="X178" s="6"/>
      <c r="Y178" s="6"/>
      <c r="Z178" s="6"/>
    </row>
    <row r="179" spans="1:26" ht="18" customHeight="1" x14ac:dyDescent="0.3">
      <c r="A179" s="152"/>
      <c r="B179" s="128"/>
      <c r="C179" s="152"/>
      <c r="D179" s="154"/>
      <c r="E179" s="154"/>
      <c r="F179" s="152"/>
      <c r="G179" s="128"/>
      <c r="H179" s="128"/>
      <c r="I179" s="144" t="str">
        <f>IF(H179="","",IFERROR(INDEX('12 P6 activities'!$B$7:$B$206,MATCH(H179,'12 P6 activities'!$A$7:$A$206,0)),"⚠ not in P6 list"))</f>
        <v/>
      </c>
      <c r="J179" s="144" t="str">
        <f>IF(H179="","",IFERROR(INDEX('12 P6 activities'!$C$7:$C$206,MATCH(H179,'12 P6 activities'!$A$7:$A$206,0)),"⚠ not in P6 list"))</f>
        <v/>
      </c>
      <c r="K179" s="128"/>
      <c r="L179" s="6"/>
      <c r="M179" s="6"/>
      <c r="N179" s="6"/>
      <c r="O179" s="6"/>
      <c r="P179" s="6"/>
      <c r="Q179" s="6"/>
      <c r="R179" s="6"/>
      <c r="S179" s="6"/>
      <c r="T179" s="6"/>
      <c r="U179" s="6"/>
      <c r="V179" s="6"/>
      <c r="W179" s="6"/>
      <c r="X179" s="6"/>
      <c r="Y179" s="6"/>
      <c r="Z179" s="6"/>
    </row>
    <row r="180" spans="1:26" ht="18" customHeight="1" x14ac:dyDescent="0.3">
      <c r="A180" s="152"/>
      <c r="B180" s="128"/>
      <c r="C180" s="152"/>
      <c r="D180" s="154"/>
      <c r="E180" s="154"/>
      <c r="F180" s="152"/>
      <c r="G180" s="128"/>
      <c r="H180" s="128"/>
      <c r="I180" s="144" t="str">
        <f>IF(H180="","",IFERROR(INDEX('12 P6 activities'!$B$7:$B$206,MATCH(H180,'12 P6 activities'!$A$7:$A$206,0)),"⚠ not in P6 list"))</f>
        <v/>
      </c>
      <c r="J180" s="144" t="str">
        <f>IF(H180="","",IFERROR(INDEX('12 P6 activities'!$C$7:$C$206,MATCH(H180,'12 P6 activities'!$A$7:$A$206,0)),"⚠ not in P6 list"))</f>
        <v/>
      </c>
      <c r="K180" s="128"/>
      <c r="L180" s="6"/>
      <c r="M180" s="6"/>
      <c r="N180" s="6"/>
      <c r="O180" s="6"/>
      <c r="P180" s="6"/>
      <c r="Q180" s="6"/>
      <c r="R180" s="6"/>
      <c r="S180" s="6"/>
      <c r="T180" s="6"/>
      <c r="U180" s="6"/>
      <c r="V180" s="6"/>
      <c r="W180" s="6"/>
      <c r="X180" s="6"/>
      <c r="Y180" s="6"/>
      <c r="Z180" s="6"/>
    </row>
    <row r="181" spans="1:26" ht="18" customHeight="1" x14ac:dyDescent="0.3">
      <c r="A181" s="152"/>
      <c r="B181" s="128"/>
      <c r="C181" s="152"/>
      <c r="D181" s="154"/>
      <c r="E181" s="154"/>
      <c r="F181" s="152"/>
      <c r="G181" s="128"/>
      <c r="H181" s="128"/>
      <c r="I181" s="144" t="str">
        <f>IF(H181="","",IFERROR(INDEX('12 P6 activities'!$B$7:$B$206,MATCH(H181,'12 P6 activities'!$A$7:$A$206,0)),"⚠ not in P6 list"))</f>
        <v/>
      </c>
      <c r="J181" s="144" t="str">
        <f>IF(H181="","",IFERROR(INDEX('12 P6 activities'!$C$7:$C$206,MATCH(H181,'12 P6 activities'!$A$7:$A$206,0)),"⚠ not in P6 list"))</f>
        <v/>
      </c>
      <c r="K181" s="128"/>
      <c r="L181" s="6"/>
      <c r="M181" s="6"/>
      <c r="N181" s="6"/>
      <c r="O181" s="6"/>
      <c r="P181" s="6"/>
      <c r="Q181" s="6"/>
      <c r="R181" s="6"/>
      <c r="S181" s="6"/>
      <c r="T181" s="6"/>
      <c r="U181" s="6"/>
      <c r="V181" s="6"/>
      <c r="W181" s="6"/>
      <c r="X181" s="6"/>
      <c r="Y181" s="6"/>
      <c r="Z181" s="6"/>
    </row>
    <row r="182" spans="1:26" ht="18" customHeight="1" x14ac:dyDescent="0.3">
      <c r="A182" s="152"/>
      <c r="B182" s="128"/>
      <c r="C182" s="152"/>
      <c r="D182" s="154"/>
      <c r="E182" s="154"/>
      <c r="F182" s="152"/>
      <c r="G182" s="128"/>
      <c r="H182" s="128"/>
      <c r="I182" s="144" t="str">
        <f>IF(H182="","",IFERROR(INDEX('12 P6 activities'!$B$7:$B$206,MATCH(H182,'12 P6 activities'!$A$7:$A$206,0)),"⚠ not in P6 list"))</f>
        <v/>
      </c>
      <c r="J182" s="144" t="str">
        <f>IF(H182="","",IFERROR(INDEX('12 P6 activities'!$C$7:$C$206,MATCH(H182,'12 P6 activities'!$A$7:$A$206,0)),"⚠ not in P6 list"))</f>
        <v/>
      </c>
      <c r="K182" s="128"/>
      <c r="L182" s="6"/>
      <c r="M182" s="6"/>
      <c r="N182" s="6"/>
      <c r="O182" s="6"/>
      <c r="P182" s="6"/>
      <c r="Q182" s="6"/>
      <c r="R182" s="6"/>
      <c r="S182" s="6"/>
      <c r="T182" s="6"/>
      <c r="U182" s="6"/>
      <c r="V182" s="6"/>
      <c r="W182" s="6"/>
      <c r="X182" s="6"/>
      <c r="Y182" s="6"/>
      <c r="Z182" s="6"/>
    </row>
    <row r="183" spans="1:26" ht="18" customHeight="1" x14ac:dyDescent="0.3">
      <c r="A183" s="152"/>
      <c r="B183" s="128"/>
      <c r="C183" s="152"/>
      <c r="D183" s="154"/>
      <c r="E183" s="154"/>
      <c r="F183" s="152"/>
      <c r="G183" s="128"/>
      <c r="H183" s="128"/>
      <c r="I183" s="144" t="str">
        <f>IF(H183="","",IFERROR(INDEX('12 P6 activities'!$B$7:$B$206,MATCH(H183,'12 P6 activities'!$A$7:$A$206,0)),"⚠ not in P6 list"))</f>
        <v/>
      </c>
      <c r="J183" s="144" t="str">
        <f>IF(H183="","",IFERROR(INDEX('12 P6 activities'!$C$7:$C$206,MATCH(H183,'12 P6 activities'!$A$7:$A$206,0)),"⚠ not in P6 list"))</f>
        <v/>
      </c>
      <c r="K183" s="128"/>
      <c r="L183" s="6"/>
      <c r="M183" s="6"/>
      <c r="N183" s="6"/>
      <c r="O183" s="6"/>
      <c r="P183" s="6"/>
      <c r="Q183" s="6"/>
      <c r="R183" s="6"/>
      <c r="S183" s="6"/>
      <c r="T183" s="6"/>
      <c r="U183" s="6"/>
      <c r="V183" s="6"/>
      <c r="W183" s="6"/>
      <c r="X183" s="6"/>
      <c r="Y183" s="6"/>
      <c r="Z183" s="6"/>
    </row>
    <row r="184" spans="1:26" ht="18" customHeight="1" x14ac:dyDescent="0.3">
      <c r="A184" s="152"/>
      <c r="B184" s="128"/>
      <c r="C184" s="152"/>
      <c r="D184" s="154"/>
      <c r="E184" s="154"/>
      <c r="F184" s="152"/>
      <c r="G184" s="128"/>
      <c r="H184" s="128"/>
      <c r="I184" s="144" t="str">
        <f>IF(H184="","",IFERROR(INDEX('12 P6 activities'!$B$7:$B$206,MATCH(H184,'12 P6 activities'!$A$7:$A$206,0)),"⚠ not in P6 list"))</f>
        <v/>
      </c>
      <c r="J184" s="144" t="str">
        <f>IF(H184="","",IFERROR(INDEX('12 P6 activities'!$C$7:$C$206,MATCH(H184,'12 P6 activities'!$A$7:$A$206,0)),"⚠ not in P6 list"))</f>
        <v/>
      </c>
      <c r="K184" s="128"/>
      <c r="L184" s="6"/>
      <c r="M184" s="6"/>
      <c r="N184" s="6"/>
      <c r="O184" s="6"/>
      <c r="P184" s="6"/>
      <c r="Q184" s="6"/>
      <c r="R184" s="6"/>
      <c r="S184" s="6"/>
      <c r="T184" s="6"/>
      <c r="U184" s="6"/>
      <c r="V184" s="6"/>
      <c r="W184" s="6"/>
      <c r="X184" s="6"/>
      <c r="Y184" s="6"/>
      <c r="Z184" s="6"/>
    </row>
    <row r="185" spans="1:26" ht="18" customHeight="1" x14ac:dyDescent="0.3">
      <c r="A185" s="152"/>
      <c r="B185" s="128"/>
      <c r="C185" s="152"/>
      <c r="D185" s="154"/>
      <c r="E185" s="154"/>
      <c r="F185" s="152"/>
      <c r="G185" s="128"/>
      <c r="H185" s="128"/>
      <c r="I185" s="144" t="str">
        <f>IF(H185="","",IFERROR(INDEX('12 P6 activities'!$B$7:$B$206,MATCH(H185,'12 P6 activities'!$A$7:$A$206,0)),"⚠ not in P6 list"))</f>
        <v/>
      </c>
      <c r="J185" s="144" t="str">
        <f>IF(H185="","",IFERROR(INDEX('12 P6 activities'!$C$7:$C$206,MATCH(H185,'12 P6 activities'!$A$7:$A$206,0)),"⚠ not in P6 list"))</f>
        <v/>
      </c>
      <c r="K185" s="128"/>
      <c r="L185" s="6"/>
      <c r="M185" s="6"/>
      <c r="N185" s="6"/>
      <c r="O185" s="6"/>
      <c r="P185" s="6"/>
      <c r="Q185" s="6"/>
      <c r="R185" s="6"/>
      <c r="S185" s="6"/>
      <c r="T185" s="6"/>
      <c r="U185" s="6"/>
      <c r="V185" s="6"/>
      <c r="W185" s="6"/>
      <c r="X185" s="6"/>
      <c r="Y185" s="6"/>
      <c r="Z185" s="6"/>
    </row>
    <row r="186" spans="1:26" ht="18" customHeight="1" x14ac:dyDescent="0.3">
      <c r="A186" s="152"/>
      <c r="B186" s="128"/>
      <c r="C186" s="152"/>
      <c r="D186" s="154"/>
      <c r="E186" s="154"/>
      <c r="F186" s="152"/>
      <c r="G186" s="128"/>
      <c r="H186" s="128"/>
      <c r="I186" s="144" t="str">
        <f>IF(H186="","",IFERROR(INDEX('12 P6 activities'!$B$7:$B$206,MATCH(H186,'12 P6 activities'!$A$7:$A$206,0)),"⚠ not in P6 list"))</f>
        <v/>
      </c>
      <c r="J186" s="144" t="str">
        <f>IF(H186="","",IFERROR(INDEX('12 P6 activities'!$C$7:$C$206,MATCH(H186,'12 P6 activities'!$A$7:$A$206,0)),"⚠ not in P6 list"))</f>
        <v/>
      </c>
      <c r="K186" s="128"/>
      <c r="L186" s="6"/>
      <c r="M186" s="6"/>
      <c r="N186" s="6"/>
      <c r="O186" s="6"/>
      <c r="P186" s="6"/>
      <c r="Q186" s="6"/>
      <c r="R186" s="6"/>
      <c r="S186" s="6"/>
      <c r="T186" s="6"/>
      <c r="U186" s="6"/>
      <c r="V186" s="6"/>
      <c r="W186" s="6"/>
      <c r="X186" s="6"/>
      <c r="Y186" s="6"/>
      <c r="Z186" s="6"/>
    </row>
    <row r="187" spans="1:26" ht="18" customHeight="1" x14ac:dyDescent="0.3">
      <c r="A187" s="152"/>
      <c r="B187" s="128"/>
      <c r="C187" s="152"/>
      <c r="D187" s="154"/>
      <c r="E187" s="154"/>
      <c r="F187" s="152"/>
      <c r="G187" s="128"/>
      <c r="H187" s="128"/>
      <c r="I187" s="144" t="str">
        <f>IF(H187="","",IFERROR(INDEX('12 P6 activities'!$B$7:$B$206,MATCH(H187,'12 P6 activities'!$A$7:$A$206,0)),"⚠ not in P6 list"))</f>
        <v/>
      </c>
      <c r="J187" s="144" t="str">
        <f>IF(H187="","",IFERROR(INDEX('12 P6 activities'!$C$7:$C$206,MATCH(H187,'12 P6 activities'!$A$7:$A$206,0)),"⚠ not in P6 list"))</f>
        <v/>
      </c>
      <c r="K187" s="128"/>
      <c r="L187" s="6"/>
      <c r="M187" s="6"/>
      <c r="N187" s="6"/>
      <c r="O187" s="6"/>
      <c r="P187" s="6"/>
      <c r="Q187" s="6"/>
      <c r="R187" s="6"/>
      <c r="S187" s="6"/>
      <c r="T187" s="6"/>
      <c r="U187" s="6"/>
      <c r="V187" s="6"/>
      <c r="W187" s="6"/>
      <c r="X187" s="6"/>
      <c r="Y187" s="6"/>
      <c r="Z187" s="6"/>
    </row>
    <row r="188" spans="1:26" ht="18" customHeight="1" x14ac:dyDescent="0.3">
      <c r="A188" s="152"/>
      <c r="B188" s="128"/>
      <c r="C188" s="152"/>
      <c r="D188" s="154"/>
      <c r="E188" s="154"/>
      <c r="F188" s="152"/>
      <c r="G188" s="128"/>
      <c r="H188" s="128"/>
      <c r="I188" s="144" t="str">
        <f>IF(H188="","",IFERROR(INDEX('12 P6 activities'!$B$7:$B$206,MATCH(H188,'12 P6 activities'!$A$7:$A$206,0)),"⚠ not in P6 list"))</f>
        <v/>
      </c>
      <c r="J188" s="144" t="str">
        <f>IF(H188="","",IFERROR(INDEX('12 P6 activities'!$C$7:$C$206,MATCH(H188,'12 P6 activities'!$A$7:$A$206,0)),"⚠ not in P6 list"))</f>
        <v/>
      </c>
      <c r="K188" s="128"/>
      <c r="L188" s="6"/>
      <c r="M188" s="6"/>
      <c r="N188" s="6"/>
      <c r="O188" s="6"/>
      <c r="P188" s="6"/>
      <c r="Q188" s="6"/>
      <c r="R188" s="6"/>
      <c r="S188" s="6"/>
      <c r="T188" s="6"/>
      <c r="U188" s="6"/>
      <c r="V188" s="6"/>
      <c r="W188" s="6"/>
      <c r="X188" s="6"/>
      <c r="Y188" s="6"/>
      <c r="Z188" s="6"/>
    </row>
    <row r="189" spans="1:26" ht="18" customHeight="1" x14ac:dyDescent="0.3">
      <c r="A189" s="152"/>
      <c r="B189" s="128"/>
      <c r="C189" s="152"/>
      <c r="D189" s="154"/>
      <c r="E189" s="154"/>
      <c r="F189" s="152"/>
      <c r="G189" s="128"/>
      <c r="H189" s="128"/>
      <c r="I189" s="144" t="str">
        <f>IF(H189="","",IFERROR(INDEX('12 P6 activities'!$B$7:$B$206,MATCH(H189,'12 P6 activities'!$A$7:$A$206,0)),"⚠ not in P6 list"))</f>
        <v/>
      </c>
      <c r="J189" s="144" t="str">
        <f>IF(H189="","",IFERROR(INDEX('12 P6 activities'!$C$7:$C$206,MATCH(H189,'12 P6 activities'!$A$7:$A$206,0)),"⚠ not in P6 list"))</f>
        <v/>
      </c>
      <c r="K189" s="128"/>
      <c r="L189" s="6"/>
      <c r="M189" s="6"/>
      <c r="N189" s="6"/>
      <c r="O189" s="6"/>
      <c r="P189" s="6"/>
      <c r="Q189" s="6"/>
      <c r="R189" s="6"/>
      <c r="S189" s="6"/>
      <c r="T189" s="6"/>
      <c r="U189" s="6"/>
      <c r="V189" s="6"/>
      <c r="W189" s="6"/>
      <c r="X189" s="6"/>
      <c r="Y189" s="6"/>
      <c r="Z189" s="6"/>
    </row>
    <row r="190" spans="1:26" ht="18" customHeight="1" x14ac:dyDescent="0.3">
      <c r="A190" s="152"/>
      <c r="B190" s="128"/>
      <c r="C190" s="152"/>
      <c r="D190" s="154"/>
      <c r="E190" s="154"/>
      <c r="F190" s="152"/>
      <c r="G190" s="128"/>
      <c r="H190" s="128"/>
      <c r="I190" s="144" t="str">
        <f>IF(H190="","",IFERROR(INDEX('12 P6 activities'!$B$7:$B$206,MATCH(H190,'12 P6 activities'!$A$7:$A$206,0)),"⚠ not in P6 list"))</f>
        <v/>
      </c>
      <c r="J190" s="144" t="str">
        <f>IF(H190="","",IFERROR(INDEX('12 P6 activities'!$C$7:$C$206,MATCH(H190,'12 P6 activities'!$A$7:$A$206,0)),"⚠ not in P6 list"))</f>
        <v/>
      </c>
      <c r="K190" s="128"/>
      <c r="L190" s="6"/>
      <c r="M190" s="6"/>
      <c r="N190" s="6"/>
      <c r="O190" s="6"/>
      <c r="P190" s="6"/>
      <c r="Q190" s="6"/>
      <c r="R190" s="6"/>
      <c r="S190" s="6"/>
      <c r="T190" s="6"/>
      <c r="U190" s="6"/>
      <c r="V190" s="6"/>
      <c r="W190" s="6"/>
      <c r="X190" s="6"/>
      <c r="Y190" s="6"/>
      <c r="Z190" s="6"/>
    </row>
    <row r="191" spans="1:26" ht="18" customHeight="1" x14ac:dyDescent="0.3">
      <c r="A191" s="152"/>
      <c r="B191" s="128"/>
      <c r="C191" s="152"/>
      <c r="D191" s="154"/>
      <c r="E191" s="154"/>
      <c r="F191" s="152"/>
      <c r="G191" s="128"/>
      <c r="H191" s="128"/>
      <c r="I191" s="144" t="str">
        <f>IF(H191="","",IFERROR(INDEX('12 P6 activities'!$B$7:$B$206,MATCH(H191,'12 P6 activities'!$A$7:$A$206,0)),"⚠ not in P6 list"))</f>
        <v/>
      </c>
      <c r="J191" s="144" t="str">
        <f>IF(H191="","",IFERROR(INDEX('12 P6 activities'!$C$7:$C$206,MATCH(H191,'12 P6 activities'!$A$7:$A$206,0)),"⚠ not in P6 list"))</f>
        <v/>
      </c>
      <c r="K191" s="128"/>
      <c r="L191" s="6"/>
      <c r="M191" s="6"/>
      <c r="N191" s="6"/>
      <c r="O191" s="6"/>
      <c r="P191" s="6"/>
      <c r="Q191" s="6"/>
      <c r="R191" s="6"/>
      <c r="S191" s="6"/>
      <c r="T191" s="6"/>
      <c r="U191" s="6"/>
      <c r="V191" s="6"/>
      <c r="W191" s="6"/>
      <c r="X191" s="6"/>
      <c r="Y191" s="6"/>
      <c r="Z191" s="6"/>
    </row>
    <row r="192" spans="1:26" ht="18" customHeight="1" x14ac:dyDescent="0.3">
      <c r="A192" s="152"/>
      <c r="B192" s="128"/>
      <c r="C192" s="152"/>
      <c r="D192" s="154"/>
      <c r="E192" s="154"/>
      <c r="F192" s="152"/>
      <c r="G192" s="128"/>
      <c r="H192" s="128"/>
      <c r="I192" s="144" t="str">
        <f>IF(H192="","",IFERROR(INDEX('12 P6 activities'!$B$7:$B$206,MATCH(H192,'12 P6 activities'!$A$7:$A$206,0)),"⚠ not in P6 list"))</f>
        <v/>
      </c>
      <c r="J192" s="144" t="str">
        <f>IF(H192="","",IFERROR(INDEX('12 P6 activities'!$C$7:$C$206,MATCH(H192,'12 P6 activities'!$A$7:$A$206,0)),"⚠ not in P6 list"))</f>
        <v/>
      </c>
      <c r="K192" s="128"/>
      <c r="L192" s="6"/>
      <c r="M192" s="6"/>
      <c r="N192" s="6"/>
      <c r="O192" s="6"/>
      <c r="P192" s="6"/>
      <c r="Q192" s="6"/>
      <c r="R192" s="6"/>
      <c r="S192" s="6"/>
      <c r="T192" s="6"/>
      <c r="U192" s="6"/>
      <c r="V192" s="6"/>
      <c r="W192" s="6"/>
      <c r="X192" s="6"/>
      <c r="Y192" s="6"/>
      <c r="Z192" s="6"/>
    </row>
    <row r="193" spans="1:26" ht="18" customHeight="1" x14ac:dyDescent="0.3">
      <c r="A193" s="152"/>
      <c r="B193" s="128"/>
      <c r="C193" s="152"/>
      <c r="D193" s="154"/>
      <c r="E193" s="154"/>
      <c r="F193" s="152"/>
      <c r="G193" s="128"/>
      <c r="H193" s="128"/>
      <c r="I193" s="144" t="str">
        <f>IF(H193="","",IFERROR(INDEX('12 P6 activities'!$B$7:$B$206,MATCH(H193,'12 P6 activities'!$A$7:$A$206,0)),"⚠ not in P6 list"))</f>
        <v/>
      </c>
      <c r="J193" s="144" t="str">
        <f>IF(H193="","",IFERROR(INDEX('12 P6 activities'!$C$7:$C$206,MATCH(H193,'12 P6 activities'!$A$7:$A$206,0)),"⚠ not in P6 list"))</f>
        <v/>
      </c>
      <c r="K193" s="128"/>
      <c r="L193" s="6"/>
      <c r="M193" s="6"/>
      <c r="N193" s="6"/>
      <c r="O193" s="6"/>
      <c r="P193" s="6"/>
      <c r="Q193" s="6"/>
      <c r="R193" s="6"/>
      <c r="S193" s="6"/>
      <c r="T193" s="6"/>
      <c r="U193" s="6"/>
      <c r="V193" s="6"/>
      <c r="W193" s="6"/>
      <c r="X193" s="6"/>
      <c r="Y193" s="6"/>
      <c r="Z193" s="6"/>
    </row>
    <row r="194" spans="1:26" ht="18" customHeight="1" x14ac:dyDescent="0.3">
      <c r="A194" s="152"/>
      <c r="B194" s="128"/>
      <c r="C194" s="152"/>
      <c r="D194" s="154"/>
      <c r="E194" s="154"/>
      <c r="F194" s="152"/>
      <c r="G194" s="128"/>
      <c r="H194" s="128"/>
      <c r="I194" s="144" t="str">
        <f>IF(H194="","",IFERROR(INDEX('12 P6 activities'!$B$7:$B$206,MATCH(H194,'12 P6 activities'!$A$7:$A$206,0)),"⚠ not in P6 list"))</f>
        <v/>
      </c>
      <c r="J194" s="144" t="str">
        <f>IF(H194="","",IFERROR(INDEX('12 P6 activities'!$C$7:$C$206,MATCH(H194,'12 P6 activities'!$A$7:$A$206,0)),"⚠ not in P6 list"))</f>
        <v/>
      </c>
      <c r="K194" s="128"/>
      <c r="L194" s="6"/>
      <c r="M194" s="6"/>
      <c r="N194" s="6"/>
      <c r="O194" s="6"/>
      <c r="P194" s="6"/>
      <c r="Q194" s="6"/>
      <c r="R194" s="6"/>
      <c r="S194" s="6"/>
      <c r="T194" s="6"/>
      <c r="U194" s="6"/>
      <c r="V194" s="6"/>
      <c r="W194" s="6"/>
      <c r="X194" s="6"/>
      <c r="Y194" s="6"/>
      <c r="Z194" s="6"/>
    </row>
    <row r="195" spans="1:26" ht="18" customHeight="1" x14ac:dyDescent="0.3">
      <c r="A195" s="152"/>
      <c r="B195" s="128"/>
      <c r="C195" s="152"/>
      <c r="D195" s="154"/>
      <c r="E195" s="154"/>
      <c r="F195" s="152"/>
      <c r="G195" s="128"/>
      <c r="H195" s="128"/>
      <c r="I195" s="144" t="str">
        <f>IF(H195="","",IFERROR(INDEX('12 P6 activities'!$B$7:$B$206,MATCH(H195,'12 P6 activities'!$A$7:$A$206,0)),"⚠ not in P6 list"))</f>
        <v/>
      </c>
      <c r="J195" s="144" t="str">
        <f>IF(H195="","",IFERROR(INDEX('12 P6 activities'!$C$7:$C$206,MATCH(H195,'12 P6 activities'!$A$7:$A$206,0)),"⚠ not in P6 list"))</f>
        <v/>
      </c>
      <c r="K195" s="128"/>
      <c r="L195" s="6"/>
      <c r="M195" s="6"/>
      <c r="N195" s="6"/>
      <c r="O195" s="6"/>
      <c r="P195" s="6"/>
      <c r="Q195" s="6"/>
      <c r="R195" s="6"/>
      <c r="S195" s="6"/>
      <c r="T195" s="6"/>
      <c r="U195" s="6"/>
      <c r="V195" s="6"/>
      <c r="W195" s="6"/>
      <c r="X195" s="6"/>
      <c r="Y195" s="6"/>
      <c r="Z195" s="6"/>
    </row>
    <row r="196" spans="1:26" ht="18" customHeight="1" x14ac:dyDescent="0.3">
      <c r="A196" s="152"/>
      <c r="B196" s="128"/>
      <c r="C196" s="152"/>
      <c r="D196" s="154"/>
      <c r="E196" s="154"/>
      <c r="F196" s="152"/>
      <c r="G196" s="128"/>
      <c r="H196" s="128"/>
      <c r="I196" s="144" t="str">
        <f>IF(H196="","",IFERROR(INDEX('12 P6 activities'!$B$7:$B$206,MATCH(H196,'12 P6 activities'!$A$7:$A$206,0)),"⚠ not in P6 list"))</f>
        <v/>
      </c>
      <c r="J196" s="144" t="str">
        <f>IF(H196="","",IFERROR(INDEX('12 P6 activities'!$C$7:$C$206,MATCH(H196,'12 P6 activities'!$A$7:$A$206,0)),"⚠ not in P6 list"))</f>
        <v/>
      </c>
      <c r="K196" s="128"/>
      <c r="L196" s="6"/>
      <c r="M196" s="6"/>
      <c r="N196" s="6"/>
      <c r="O196" s="6"/>
      <c r="P196" s="6"/>
      <c r="Q196" s="6"/>
      <c r="R196" s="6"/>
      <c r="S196" s="6"/>
      <c r="T196" s="6"/>
      <c r="U196" s="6"/>
      <c r="V196" s="6"/>
      <c r="W196" s="6"/>
      <c r="X196" s="6"/>
      <c r="Y196" s="6"/>
      <c r="Z196" s="6"/>
    </row>
    <row r="197" spans="1:26" ht="18" customHeight="1" x14ac:dyDescent="0.3">
      <c r="A197" s="152"/>
      <c r="B197" s="128"/>
      <c r="C197" s="152"/>
      <c r="D197" s="154"/>
      <c r="E197" s="154"/>
      <c r="F197" s="152"/>
      <c r="G197" s="128"/>
      <c r="H197" s="128"/>
      <c r="I197" s="144" t="str">
        <f>IF(H197="","",IFERROR(INDEX('12 P6 activities'!$B$7:$B$206,MATCH(H197,'12 P6 activities'!$A$7:$A$206,0)),"⚠ not in P6 list"))</f>
        <v/>
      </c>
      <c r="J197" s="144" t="str">
        <f>IF(H197="","",IFERROR(INDEX('12 P6 activities'!$C$7:$C$206,MATCH(H197,'12 P6 activities'!$A$7:$A$206,0)),"⚠ not in P6 list"))</f>
        <v/>
      </c>
      <c r="K197" s="128"/>
      <c r="L197" s="6"/>
      <c r="M197" s="6"/>
      <c r="N197" s="6"/>
      <c r="O197" s="6"/>
      <c r="P197" s="6"/>
      <c r="Q197" s="6"/>
      <c r="R197" s="6"/>
      <c r="S197" s="6"/>
      <c r="T197" s="6"/>
      <c r="U197" s="6"/>
      <c r="V197" s="6"/>
      <c r="W197" s="6"/>
      <c r="X197" s="6"/>
      <c r="Y197" s="6"/>
      <c r="Z197" s="6"/>
    </row>
    <row r="198" spans="1:26" ht="18" customHeight="1" x14ac:dyDescent="0.3">
      <c r="A198" s="152"/>
      <c r="B198" s="128"/>
      <c r="C198" s="152"/>
      <c r="D198" s="154"/>
      <c r="E198" s="154"/>
      <c r="F198" s="152"/>
      <c r="G198" s="128"/>
      <c r="H198" s="128"/>
      <c r="I198" s="144" t="str">
        <f>IF(H198="","",IFERROR(INDEX('12 P6 activities'!$B$7:$B$206,MATCH(H198,'12 P6 activities'!$A$7:$A$206,0)),"⚠ not in P6 list"))</f>
        <v/>
      </c>
      <c r="J198" s="144" t="str">
        <f>IF(H198="","",IFERROR(INDEX('12 P6 activities'!$C$7:$C$206,MATCH(H198,'12 P6 activities'!$A$7:$A$206,0)),"⚠ not in P6 list"))</f>
        <v/>
      </c>
      <c r="K198" s="128"/>
      <c r="L198" s="6"/>
      <c r="M198" s="6"/>
      <c r="N198" s="6"/>
      <c r="O198" s="6"/>
      <c r="P198" s="6"/>
      <c r="Q198" s="6"/>
      <c r="R198" s="6"/>
      <c r="S198" s="6"/>
      <c r="T198" s="6"/>
      <c r="U198" s="6"/>
      <c r="V198" s="6"/>
      <c r="W198" s="6"/>
      <c r="X198" s="6"/>
      <c r="Y198" s="6"/>
      <c r="Z198" s="6"/>
    </row>
    <row r="199" spans="1:26" ht="18" customHeight="1" x14ac:dyDescent="0.3">
      <c r="A199" s="152"/>
      <c r="B199" s="128"/>
      <c r="C199" s="152"/>
      <c r="D199" s="154"/>
      <c r="E199" s="154"/>
      <c r="F199" s="152"/>
      <c r="G199" s="128"/>
      <c r="H199" s="128"/>
      <c r="I199" s="144" t="str">
        <f>IF(H199="","",IFERROR(INDEX('12 P6 activities'!$B$7:$B$206,MATCH(H199,'12 P6 activities'!$A$7:$A$206,0)),"⚠ not in P6 list"))</f>
        <v/>
      </c>
      <c r="J199" s="144" t="str">
        <f>IF(H199="","",IFERROR(INDEX('12 P6 activities'!$C$7:$C$206,MATCH(H199,'12 P6 activities'!$A$7:$A$206,0)),"⚠ not in P6 list"))</f>
        <v/>
      </c>
      <c r="K199" s="128"/>
      <c r="L199" s="6"/>
      <c r="M199" s="6"/>
      <c r="N199" s="6"/>
      <c r="O199" s="6"/>
      <c r="P199" s="6"/>
      <c r="Q199" s="6"/>
      <c r="R199" s="6"/>
      <c r="S199" s="6"/>
      <c r="T199" s="6"/>
      <c r="U199" s="6"/>
      <c r="V199" s="6"/>
      <c r="W199" s="6"/>
      <c r="X199" s="6"/>
      <c r="Y199" s="6"/>
      <c r="Z199" s="6"/>
    </row>
    <row r="200" spans="1:26" ht="18" customHeight="1" x14ac:dyDescent="0.3">
      <c r="A200" s="152"/>
      <c r="B200" s="128"/>
      <c r="C200" s="152"/>
      <c r="D200" s="154"/>
      <c r="E200" s="154"/>
      <c r="F200" s="152"/>
      <c r="G200" s="128"/>
      <c r="H200" s="128"/>
      <c r="I200" s="144" t="str">
        <f>IF(H200="","",IFERROR(INDEX('12 P6 activities'!$B$7:$B$206,MATCH(H200,'12 P6 activities'!$A$7:$A$206,0)),"⚠ not in P6 list"))</f>
        <v/>
      </c>
      <c r="J200" s="144" t="str">
        <f>IF(H200="","",IFERROR(INDEX('12 P6 activities'!$C$7:$C$206,MATCH(H200,'12 P6 activities'!$A$7:$A$206,0)),"⚠ not in P6 list"))</f>
        <v/>
      </c>
      <c r="K200" s="128"/>
      <c r="L200" s="6"/>
      <c r="M200" s="6"/>
      <c r="N200" s="6"/>
      <c r="O200" s="6"/>
      <c r="P200" s="6"/>
      <c r="Q200" s="6"/>
      <c r="R200" s="6"/>
      <c r="S200" s="6"/>
      <c r="T200" s="6"/>
      <c r="U200" s="6"/>
      <c r="V200" s="6"/>
      <c r="W200" s="6"/>
      <c r="X200" s="6"/>
      <c r="Y200" s="6"/>
      <c r="Z200" s="6"/>
    </row>
    <row r="201" spans="1:26" ht="18" customHeight="1" x14ac:dyDescent="0.3">
      <c r="A201" s="152"/>
      <c r="B201" s="128"/>
      <c r="C201" s="152"/>
      <c r="D201" s="154"/>
      <c r="E201" s="154"/>
      <c r="F201" s="152"/>
      <c r="G201" s="128"/>
      <c r="H201" s="128"/>
      <c r="I201" s="144" t="str">
        <f>IF(H201="","",IFERROR(INDEX('12 P6 activities'!$B$7:$B$206,MATCH(H201,'12 P6 activities'!$A$7:$A$206,0)),"⚠ not in P6 list"))</f>
        <v/>
      </c>
      <c r="J201" s="144" t="str">
        <f>IF(H201="","",IFERROR(INDEX('12 P6 activities'!$C$7:$C$206,MATCH(H201,'12 P6 activities'!$A$7:$A$206,0)),"⚠ not in P6 list"))</f>
        <v/>
      </c>
      <c r="K201" s="128"/>
      <c r="L201" s="6"/>
      <c r="M201" s="6"/>
      <c r="N201" s="6"/>
      <c r="O201" s="6"/>
      <c r="P201" s="6"/>
      <c r="Q201" s="6"/>
      <c r="R201" s="6"/>
      <c r="S201" s="6"/>
      <c r="T201" s="6"/>
      <c r="U201" s="6"/>
      <c r="V201" s="6"/>
      <c r="W201" s="6"/>
      <c r="X201" s="6"/>
      <c r="Y201" s="6"/>
      <c r="Z201" s="6"/>
    </row>
    <row r="202" spans="1:26" ht="18" customHeight="1" x14ac:dyDescent="0.3">
      <c r="A202" s="152"/>
      <c r="B202" s="128"/>
      <c r="C202" s="152"/>
      <c r="D202" s="154"/>
      <c r="E202" s="154"/>
      <c r="F202" s="152"/>
      <c r="G202" s="128"/>
      <c r="H202" s="128"/>
      <c r="I202" s="144" t="str">
        <f>IF(H202="","",IFERROR(INDEX('12 P6 activities'!$B$7:$B$206,MATCH(H202,'12 P6 activities'!$A$7:$A$206,0)),"⚠ not in P6 list"))</f>
        <v/>
      </c>
      <c r="J202" s="144" t="str">
        <f>IF(H202="","",IFERROR(INDEX('12 P6 activities'!$C$7:$C$206,MATCH(H202,'12 P6 activities'!$A$7:$A$206,0)),"⚠ not in P6 list"))</f>
        <v/>
      </c>
      <c r="K202" s="128"/>
      <c r="L202" s="6"/>
      <c r="M202" s="6"/>
      <c r="N202" s="6"/>
      <c r="O202" s="6"/>
      <c r="P202" s="6"/>
      <c r="Q202" s="6"/>
      <c r="R202" s="6"/>
      <c r="S202" s="6"/>
      <c r="T202" s="6"/>
      <c r="U202" s="6"/>
      <c r="V202" s="6"/>
      <c r="W202" s="6"/>
      <c r="X202" s="6"/>
      <c r="Y202" s="6"/>
      <c r="Z202" s="6"/>
    </row>
    <row r="203" spans="1:26" ht="18" customHeight="1" x14ac:dyDescent="0.3">
      <c r="A203" s="152"/>
      <c r="B203" s="128"/>
      <c r="C203" s="152"/>
      <c r="D203" s="154"/>
      <c r="E203" s="154"/>
      <c r="F203" s="152"/>
      <c r="G203" s="128"/>
      <c r="H203" s="128"/>
      <c r="I203" s="144" t="str">
        <f>IF(H203="","",IFERROR(INDEX('12 P6 activities'!$B$7:$B$206,MATCH(H203,'12 P6 activities'!$A$7:$A$206,0)),"⚠ not in P6 list"))</f>
        <v/>
      </c>
      <c r="J203" s="144" t="str">
        <f>IF(H203="","",IFERROR(INDEX('12 P6 activities'!$C$7:$C$206,MATCH(H203,'12 P6 activities'!$A$7:$A$206,0)),"⚠ not in P6 list"))</f>
        <v/>
      </c>
      <c r="K203" s="128"/>
      <c r="L203" s="6"/>
      <c r="M203" s="6"/>
      <c r="N203" s="6"/>
      <c r="O203" s="6"/>
      <c r="P203" s="6"/>
      <c r="Q203" s="6"/>
      <c r="R203" s="6"/>
      <c r="S203" s="6"/>
      <c r="T203" s="6"/>
      <c r="U203" s="6"/>
      <c r="V203" s="6"/>
      <c r="W203" s="6"/>
      <c r="X203" s="6"/>
      <c r="Y203" s="6"/>
      <c r="Z203" s="6"/>
    </row>
    <row r="204" spans="1:26" ht="18" customHeight="1" x14ac:dyDescent="0.3">
      <c r="A204" s="152"/>
      <c r="B204" s="128"/>
      <c r="C204" s="152"/>
      <c r="D204" s="154"/>
      <c r="E204" s="154"/>
      <c r="F204" s="152"/>
      <c r="G204" s="128"/>
      <c r="H204" s="128"/>
      <c r="I204" s="144" t="str">
        <f>IF(H204="","",IFERROR(INDEX('12 P6 activities'!$B$7:$B$206,MATCH(H204,'12 P6 activities'!$A$7:$A$206,0)),"⚠ not in P6 list"))</f>
        <v/>
      </c>
      <c r="J204" s="144" t="str">
        <f>IF(H204="","",IFERROR(INDEX('12 P6 activities'!$C$7:$C$206,MATCH(H204,'12 P6 activities'!$A$7:$A$206,0)),"⚠ not in P6 list"))</f>
        <v/>
      </c>
      <c r="K204" s="128"/>
      <c r="L204" s="6"/>
      <c r="M204" s="6"/>
      <c r="N204" s="6"/>
      <c r="O204" s="6"/>
      <c r="P204" s="6"/>
      <c r="Q204" s="6"/>
      <c r="R204" s="6"/>
      <c r="S204" s="6"/>
      <c r="T204" s="6"/>
      <c r="U204" s="6"/>
      <c r="V204" s="6"/>
      <c r="W204" s="6"/>
      <c r="X204" s="6"/>
      <c r="Y204" s="6"/>
      <c r="Z204" s="6"/>
    </row>
    <row r="205" spans="1:26" ht="18" customHeight="1" x14ac:dyDescent="0.3">
      <c r="A205" s="152"/>
      <c r="B205" s="128"/>
      <c r="C205" s="152"/>
      <c r="D205" s="154"/>
      <c r="E205" s="154"/>
      <c r="F205" s="152"/>
      <c r="G205" s="128"/>
      <c r="H205" s="128"/>
      <c r="I205" s="144" t="str">
        <f>IF(H205="","",IFERROR(INDEX('12 P6 activities'!$B$7:$B$206,MATCH(H205,'12 P6 activities'!$A$7:$A$206,0)),"⚠ not in P6 list"))</f>
        <v/>
      </c>
      <c r="J205" s="144" t="str">
        <f>IF(H205="","",IFERROR(INDEX('12 P6 activities'!$C$7:$C$206,MATCH(H205,'12 P6 activities'!$A$7:$A$206,0)),"⚠ not in P6 list"))</f>
        <v/>
      </c>
      <c r="K205" s="128"/>
      <c r="L205" s="6"/>
      <c r="M205" s="6"/>
      <c r="N205" s="6"/>
      <c r="O205" s="6"/>
      <c r="P205" s="6"/>
      <c r="Q205" s="6"/>
      <c r="R205" s="6"/>
      <c r="S205" s="6"/>
      <c r="T205" s="6"/>
      <c r="U205" s="6"/>
      <c r="V205" s="6"/>
      <c r="W205" s="6"/>
      <c r="X205" s="6"/>
      <c r="Y205" s="6"/>
      <c r="Z205" s="6"/>
    </row>
    <row r="206" spans="1:26" ht="18" customHeight="1" x14ac:dyDescent="0.3">
      <c r="A206" s="152"/>
      <c r="B206" s="128"/>
      <c r="C206" s="152"/>
      <c r="D206" s="154"/>
      <c r="E206" s="154"/>
      <c r="F206" s="152"/>
      <c r="G206" s="128"/>
      <c r="H206" s="128"/>
      <c r="I206" s="144" t="str">
        <f>IF(H206="","",IFERROR(INDEX('12 P6 activities'!$B$7:$B$206,MATCH(H206,'12 P6 activities'!$A$7:$A$206,0)),"⚠ not in P6 list"))</f>
        <v/>
      </c>
      <c r="J206" s="144" t="str">
        <f>IF(H206="","",IFERROR(INDEX('12 P6 activities'!$C$7:$C$206,MATCH(H206,'12 P6 activities'!$A$7:$A$206,0)),"⚠ not in P6 list"))</f>
        <v/>
      </c>
      <c r="K206" s="128"/>
      <c r="L206" s="6"/>
      <c r="M206" s="6"/>
      <c r="N206" s="6"/>
      <c r="O206" s="6"/>
      <c r="P206" s="6"/>
      <c r="Q206" s="6"/>
      <c r="R206" s="6"/>
      <c r="S206" s="6"/>
      <c r="T206" s="6"/>
      <c r="U206" s="6"/>
      <c r="V206" s="6"/>
      <c r="W206" s="6"/>
      <c r="X206" s="6"/>
      <c r="Y206" s="6"/>
      <c r="Z206" s="6"/>
    </row>
    <row r="207" spans="1:26" ht="18" customHeight="1" x14ac:dyDescent="0.3">
      <c r="A207" s="152"/>
      <c r="B207" s="128"/>
      <c r="C207" s="152"/>
      <c r="D207" s="154"/>
      <c r="E207" s="154"/>
      <c r="F207" s="152"/>
      <c r="G207" s="128"/>
      <c r="H207" s="128"/>
      <c r="I207" s="144" t="str">
        <f>IF(H207="","",IFERROR(INDEX('12 P6 activities'!$B$7:$B$206,MATCH(H207,'12 P6 activities'!$A$7:$A$206,0)),"⚠ not in P6 list"))</f>
        <v/>
      </c>
      <c r="J207" s="144" t="str">
        <f>IF(H207="","",IFERROR(INDEX('12 P6 activities'!$C$7:$C$206,MATCH(H207,'12 P6 activities'!$A$7:$A$206,0)),"⚠ not in P6 list"))</f>
        <v/>
      </c>
      <c r="K207" s="128"/>
      <c r="L207" s="6"/>
      <c r="M207" s="6"/>
      <c r="N207" s="6"/>
      <c r="O207" s="6"/>
      <c r="P207" s="6"/>
      <c r="Q207" s="6"/>
      <c r="R207" s="6"/>
      <c r="S207" s="6"/>
      <c r="T207" s="6"/>
      <c r="U207" s="6"/>
      <c r="V207" s="6"/>
      <c r="W207" s="6"/>
      <c r="X207" s="6"/>
      <c r="Y207" s="6"/>
      <c r="Z207" s="6"/>
    </row>
    <row r="208" spans="1:26" ht="18" customHeight="1" x14ac:dyDescent="0.3">
      <c r="A208" s="152"/>
      <c r="B208" s="128"/>
      <c r="C208" s="152"/>
      <c r="D208" s="154"/>
      <c r="E208" s="154"/>
      <c r="F208" s="152"/>
      <c r="G208" s="128"/>
      <c r="H208" s="128"/>
      <c r="I208" s="144" t="str">
        <f>IF(H208="","",IFERROR(INDEX('12 P6 activities'!$B$7:$B$206,MATCH(H208,'12 P6 activities'!$A$7:$A$206,0)),"⚠ not in P6 list"))</f>
        <v/>
      </c>
      <c r="J208" s="144" t="str">
        <f>IF(H208="","",IFERROR(INDEX('12 P6 activities'!$C$7:$C$206,MATCH(H208,'12 P6 activities'!$A$7:$A$206,0)),"⚠ not in P6 list"))</f>
        <v/>
      </c>
      <c r="K208" s="128"/>
      <c r="L208" s="6"/>
      <c r="M208" s="6"/>
      <c r="N208" s="6"/>
      <c r="O208" s="6"/>
      <c r="P208" s="6"/>
      <c r="Q208" s="6"/>
      <c r="R208" s="6"/>
      <c r="S208" s="6"/>
      <c r="T208" s="6"/>
      <c r="U208" s="6"/>
      <c r="V208" s="6"/>
      <c r="W208" s="6"/>
      <c r="X208" s="6"/>
      <c r="Y208" s="6"/>
      <c r="Z208" s="6"/>
    </row>
    <row r="209" spans="1:26" ht="18" customHeight="1" x14ac:dyDescent="0.3">
      <c r="A209" s="152"/>
      <c r="B209" s="128"/>
      <c r="C209" s="152"/>
      <c r="D209" s="154"/>
      <c r="E209" s="154"/>
      <c r="F209" s="152"/>
      <c r="G209" s="128"/>
      <c r="H209" s="128"/>
      <c r="I209" s="144" t="str">
        <f>IF(H209="","",IFERROR(INDEX('12 P6 activities'!$B$7:$B$206,MATCH(H209,'12 P6 activities'!$A$7:$A$206,0)),"⚠ not in P6 list"))</f>
        <v/>
      </c>
      <c r="J209" s="144" t="str">
        <f>IF(H209="","",IFERROR(INDEX('12 P6 activities'!$C$7:$C$206,MATCH(H209,'12 P6 activities'!$A$7:$A$206,0)),"⚠ not in P6 list"))</f>
        <v/>
      </c>
      <c r="K209" s="128"/>
      <c r="L209" s="6"/>
      <c r="M209" s="6"/>
      <c r="N209" s="6"/>
      <c r="O209" s="6"/>
      <c r="P209" s="6"/>
      <c r="Q209" s="6"/>
      <c r="R209" s="6"/>
      <c r="S209" s="6"/>
      <c r="T209" s="6"/>
      <c r="U209" s="6"/>
      <c r="V209" s="6"/>
      <c r="W209" s="6"/>
      <c r="X209" s="6"/>
      <c r="Y209" s="6"/>
      <c r="Z209" s="6"/>
    </row>
    <row r="210" spans="1:26" ht="18" customHeight="1" x14ac:dyDescent="0.3">
      <c r="A210" s="152"/>
      <c r="B210" s="128"/>
      <c r="C210" s="152"/>
      <c r="D210" s="154"/>
      <c r="E210" s="154"/>
      <c r="F210" s="152"/>
      <c r="G210" s="128"/>
      <c r="H210" s="128"/>
      <c r="I210" s="144" t="str">
        <f>IF(H210="","",IFERROR(INDEX('12 P6 activities'!$B$7:$B$206,MATCH(H210,'12 P6 activities'!$A$7:$A$206,0)),"⚠ not in P6 list"))</f>
        <v/>
      </c>
      <c r="J210" s="144" t="str">
        <f>IF(H210="","",IFERROR(INDEX('12 P6 activities'!$C$7:$C$206,MATCH(H210,'12 P6 activities'!$A$7:$A$206,0)),"⚠ not in P6 list"))</f>
        <v/>
      </c>
      <c r="K210" s="128"/>
      <c r="L210" s="6"/>
      <c r="M210" s="6"/>
      <c r="N210" s="6"/>
      <c r="O210" s="6"/>
      <c r="P210" s="6"/>
      <c r="Q210" s="6"/>
      <c r="R210" s="6"/>
      <c r="S210" s="6"/>
      <c r="T210" s="6"/>
      <c r="U210" s="6"/>
      <c r="V210" s="6"/>
      <c r="W210" s="6"/>
      <c r="X210" s="6"/>
      <c r="Y210" s="6"/>
      <c r="Z210" s="6"/>
    </row>
    <row r="211" spans="1:26" ht="18" customHeight="1" x14ac:dyDescent="0.3">
      <c r="A211" s="152"/>
      <c r="B211" s="128"/>
      <c r="C211" s="152"/>
      <c r="D211" s="154"/>
      <c r="E211" s="154"/>
      <c r="F211" s="152"/>
      <c r="G211" s="128"/>
      <c r="H211" s="128"/>
      <c r="I211" s="144" t="str">
        <f>IF(H211="","",IFERROR(INDEX('12 P6 activities'!$B$7:$B$206,MATCH(H211,'12 P6 activities'!$A$7:$A$206,0)),"⚠ not in P6 list"))</f>
        <v/>
      </c>
      <c r="J211" s="144" t="str">
        <f>IF(H211="","",IFERROR(INDEX('12 P6 activities'!$C$7:$C$206,MATCH(H211,'12 P6 activities'!$A$7:$A$206,0)),"⚠ not in P6 list"))</f>
        <v/>
      </c>
      <c r="K211" s="128"/>
      <c r="L211" s="6"/>
      <c r="M211" s="6"/>
      <c r="N211" s="6"/>
      <c r="O211" s="6"/>
      <c r="P211" s="6"/>
      <c r="Q211" s="6"/>
      <c r="R211" s="6"/>
      <c r="S211" s="6"/>
      <c r="T211" s="6"/>
      <c r="U211" s="6"/>
      <c r="V211" s="6"/>
      <c r="W211" s="6"/>
      <c r="X211" s="6"/>
      <c r="Y211" s="6"/>
      <c r="Z211" s="6"/>
    </row>
    <row r="212" spans="1:26" ht="18" customHeight="1" x14ac:dyDescent="0.3">
      <c r="A212" s="152"/>
      <c r="B212" s="128"/>
      <c r="C212" s="152"/>
      <c r="D212" s="154"/>
      <c r="E212" s="154"/>
      <c r="F212" s="152"/>
      <c r="G212" s="128"/>
      <c r="H212" s="128"/>
      <c r="I212" s="144" t="str">
        <f>IF(H212="","",IFERROR(INDEX('12 P6 activities'!$B$7:$B$206,MATCH(H212,'12 P6 activities'!$A$7:$A$206,0)),"⚠ not in P6 list"))</f>
        <v/>
      </c>
      <c r="J212" s="144" t="str">
        <f>IF(H212="","",IFERROR(INDEX('12 P6 activities'!$C$7:$C$206,MATCH(H212,'12 P6 activities'!$A$7:$A$206,0)),"⚠ not in P6 list"))</f>
        <v/>
      </c>
      <c r="K212" s="128"/>
      <c r="L212" s="6"/>
      <c r="M212" s="6"/>
      <c r="N212" s="6"/>
      <c r="O212" s="6"/>
      <c r="P212" s="6"/>
      <c r="Q212" s="6"/>
      <c r="R212" s="6"/>
      <c r="S212" s="6"/>
      <c r="T212" s="6"/>
      <c r="U212" s="6"/>
      <c r="V212" s="6"/>
      <c r="W212" s="6"/>
      <c r="X212" s="6"/>
      <c r="Y212" s="6"/>
      <c r="Z212" s="6"/>
    </row>
    <row r="213" spans="1:26" ht="18" customHeight="1" x14ac:dyDescent="0.3">
      <c r="A213" s="152"/>
      <c r="B213" s="128"/>
      <c r="C213" s="152"/>
      <c r="D213" s="154"/>
      <c r="E213" s="154"/>
      <c r="F213" s="152"/>
      <c r="G213" s="128"/>
      <c r="H213" s="128"/>
      <c r="I213" s="144" t="str">
        <f>IF(H213="","",IFERROR(INDEX('12 P6 activities'!$B$7:$B$206,MATCH(H213,'12 P6 activities'!$A$7:$A$206,0)),"⚠ not in P6 list"))</f>
        <v/>
      </c>
      <c r="J213" s="144" t="str">
        <f>IF(H213="","",IFERROR(INDEX('12 P6 activities'!$C$7:$C$206,MATCH(H213,'12 P6 activities'!$A$7:$A$206,0)),"⚠ not in P6 list"))</f>
        <v/>
      </c>
      <c r="K213" s="128"/>
      <c r="L213" s="6"/>
      <c r="M213" s="6"/>
      <c r="N213" s="6"/>
      <c r="O213" s="6"/>
      <c r="P213" s="6"/>
      <c r="Q213" s="6"/>
      <c r="R213" s="6"/>
      <c r="S213" s="6"/>
      <c r="T213" s="6"/>
      <c r="U213" s="6"/>
      <c r="V213" s="6"/>
      <c r="W213" s="6"/>
      <c r="X213" s="6"/>
      <c r="Y213" s="6"/>
      <c r="Z213" s="6"/>
    </row>
    <row r="214" spans="1:26" ht="18" customHeight="1" x14ac:dyDescent="0.3">
      <c r="A214" s="152"/>
      <c r="B214" s="128"/>
      <c r="C214" s="152"/>
      <c r="D214" s="154"/>
      <c r="E214" s="154"/>
      <c r="F214" s="152"/>
      <c r="G214" s="128"/>
      <c r="H214" s="128"/>
      <c r="I214" s="144" t="str">
        <f>IF(H214="","",IFERROR(INDEX('12 P6 activities'!$B$7:$B$206,MATCH(H214,'12 P6 activities'!$A$7:$A$206,0)),"⚠ not in P6 list"))</f>
        <v/>
      </c>
      <c r="J214" s="144" t="str">
        <f>IF(H214="","",IFERROR(INDEX('12 P6 activities'!$C$7:$C$206,MATCH(H214,'12 P6 activities'!$A$7:$A$206,0)),"⚠ not in P6 list"))</f>
        <v/>
      </c>
      <c r="K214" s="128"/>
      <c r="L214" s="6"/>
      <c r="M214" s="6"/>
      <c r="N214" s="6"/>
      <c r="O214" s="6"/>
      <c r="P214" s="6"/>
      <c r="Q214" s="6"/>
      <c r="R214" s="6"/>
      <c r="S214" s="6"/>
      <c r="T214" s="6"/>
      <c r="U214" s="6"/>
      <c r="V214" s="6"/>
      <c r="W214" s="6"/>
      <c r="X214" s="6"/>
      <c r="Y214" s="6"/>
      <c r="Z214" s="6"/>
    </row>
    <row r="215" spans="1:26" ht="18" customHeight="1" x14ac:dyDescent="0.3">
      <c r="A215" s="152"/>
      <c r="B215" s="128"/>
      <c r="C215" s="152"/>
      <c r="D215" s="154"/>
      <c r="E215" s="154"/>
      <c r="F215" s="152"/>
      <c r="G215" s="128"/>
      <c r="H215" s="128"/>
      <c r="I215" s="144" t="str">
        <f>IF(H215="","",IFERROR(INDEX('12 P6 activities'!$B$7:$B$206,MATCH(H215,'12 P6 activities'!$A$7:$A$206,0)),"⚠ not in P6 list"))</f>
        <v/>
      </c>
      <c r="J215" s="144" t="str">
        <f>IF(H215="","",IFERROR(INDEX('12 P6 activities'!$C$7:$C$206,MATCH(H215,'12 P6 activities'!$A$7:$A$206,0)),"⚠ not in P6 list"))</f>
        <v/>
      </c>
      <c r="K215" s="128"/>
      <c r="L215" s="6"/>
      <c r="M215" s="6"/>
      <c r="N215" s="6"/>
      <c r="O215" s="6"/>
      <c r="P215" s="6"/>
      <c r="Q215" s="6"/>
      <c r="R215" s="6"/>
      <c r="S215" s="6"/>
      <c r="T215" s="6"/>
      <c r="U215" s="6"/>
      <c r="V215" s="6"/>
      <c r="W215" s="6"/>
      <c r="X215" s="6"/>
      <c r="Y215" s="6"/>
      <c r="Z215" s="6"/>
    </row>
    <row r="216" spans="1:26" ht="18" customHeight="1" x14ac:dyDescent="0.3">
      <c r="A216" s="152"/>
      <c r="B216" s="128"/>
      <c r="C216" s="152"/>
      <c r="D216" s="154"/>
      <c r="E216" s="154"/>
      <c r="F216" s="152"/>
      <c r="G216" s="128"/>
      <c r="H216" s="128"/>
      <c r="I216" s="144" t="str">
        <f>IF(H216="","",IFERROR(INDEX('12 P6 activities'!$B$7:$B$206,MATCH(H216,'12 P6 activities'!$A$7:$A$206,0)),"⚠ not in P6 list"))</f>
        <v/>
      </c>
      <c r="J216" s="144" t="str">
        <f>IF(H216="","",IFERROR(INDEX('12 P6 activities'!$C$7:$C$206,MATCH(H216,'12 P6 activities'!$A$7:$A$206,0)),"⚠ not in P6 list"))</f>
        <v/>
      </c>
      <c r="K216" s="128"/>
      <c r="L216" s="6"/>
      <c r="M216" s="6"/>
      <c r="N216" s="6"/>
      <c r="O216" s="6"/>
      <c r="P216" s="6"/>
      <c r="Q216" s="6"/>
      <c r="R216" s="6"/>
      <c r="S216" s="6"/>
      <c r="T216" s="6"/>
      <c r="U216" s="6"/>
      <c r="V216" s="6"/>
      <c r="W216" s="6"/>
      <c r="X216" s="6"/>
      <c r="Y216" s="6"/>
      <c r="Z216" s="6"/>
    </row>
    <row r="217" spans="1:26" ht="18" customHeight="1" x14ac:dyDescent="0.3">
      <c r="A217" s="152"/>
      <c r="B217" s="128"/>
      <c r="C217" s="152"/>
      <c r="D217" s="154"/>
      <c r="E217" s="154"/>
      <c r="F217" s="152"/>
      <c r="G217" s="128"/>
      <c r="H217" s="128"/>
      <c r="I217" s="144" t="str">
        <f>IF(H217="","",IFERROR(INDEX('12 P6 activities'!$B$7:$B$206,MATCH(H217,'12 P6 activities'!$A$7:$A$206,0)),"⚠ not in P6 list"))</f>
        <v/>
      </c>
      <c r="J217" s="144" t="str">
        <f>IF(H217="","",IFERROR(INDEX('12 P6 activities'!$C$7:$C$206,MATCH(H217,'12 P6 activities'!$A$7:$A$206,0)),"⚠ not in P6 list"))</f>
        <v/>
      </c>
      <c r="K217" s="128"/>
      <c r="L217" s="6"/>
      <c r="M217" s="6"/>
      <c r="N217" s="6"/>
      <c r="O217" s="6"/>
      <c r="P217" s="6"/>
      <c r="Q217" s="6"/>
      <c r="R217" s="6"/>
      <c r="S217" s="6"/>
      <c r="T217" s="6"/>
      <c r="U217" s="6"/>
      <c r="V217" s="6"/>
      <c r="W217" s="6"/>
      <c r="X217" s="6"/>
      <c r="Y217" s="6"/>
      <c r="Z217" s="6"/>
    </row>
    <row r="218" spans="1:26" ht="18" customHeight="1" x14ac:dyDescent="0.3">
      <c r="A218" s="152"/>
      <c r="B218" s="128"/>
      <c r="C218" s="152"/>
      <c r="D218" s="154"/>
      <c r="E218" s="154"/>
      <c r="F218" s="152"/>
      <c r="G218" s="128"/>
      <c r="H218" s="128"/>
      <c r="I218" s="144" t="str">
        <f>IF(H218="","",IFERROR(INDEX('12 P6 activities'!$B$7:$B$206,MATCH(H218,'12 P6 activities'!$A$7:$A$206,0)),"⚠ not in P6 list"))</f>
        <v/>
      </c>
      <c r="J218" s="144" t="str">
        <f>IF(H218="","",IFERROR(INDEX('12 P6 activities'!$C$7:$C$206,MATCH(H218,'12 P6 activities'!$A$7:$A$206,0)),"⚠ not in P6 list"))</f>
        <v/>
      </c>
      <c r="K218" s="128"/>
      <c r="L218" s="6"/>
      <c r="M218" s="6"/>
      <c r="N218" s="6"/>
      <c r="O218" s="6"/>
      <c r="P218" s="6"/>
      <c r="Q218" s="6"/>
      <c r="R218" s="6"/>
      <c r="S218" s="6"/>
      <c r="T218" s="6"/>
      <c r="U218" s="6"/>
      <c r="V218" s="6"/>
      <c r="W218" s="6"/>
      <c r="X218" s="6"/>
      <c r="Y218" s="6"/>
      <c r="Z218" s="6"/>
    </row>
    <row r="219" spans="1:26" ht="18" customHeight="1" x14ac:dyDescent="0.3">
      <c r="A219" s="152"/>
      <c r="B219" s="128"/>
      <c r="C219" s="152"/>
      <c r="D219" s="154"/>
      <c r="E219" s="154"/>
      <c r="F219" s="152"/>
      <c r="G219" s="128"/>
      <c r="H219" s="128"/>
      <c r="I219" s="144" t="str">
        <f>IF(H219="","",IFERROR(INDEX('12 P6 activities'!$B$7:$B$206,MATCH(H219,'12 P6 activities'!$A$7:$A$206,0)),"⚠ not in P6 list"))</f>
        <v/>
      </c>
      <c r="J219" s="144" t="str">
        <f>IF(H219="","",IFERROR(INDEX('12 P6 activities'!$C$7:$C$206,MATCH(H219,'12 P6 activities'!$A$7:$A$206,0)),"⚠ not in P6 list"))</f>
        <v/>
      </c>
      <c r="K219" s="128"/>
      <c r="L219" s="6"/>
      <c r="M219" s="6"/>
      <c r="N219" s="6"/>
      <c r="O219" s="6"/>
      <c r="P219" s="6"/>
      <c r="Q219" s="6"/>
      <c r="R219" s="6"/>
      <c r="S219" s="6"/>
      <c r="T219" s="6"/>
      <c r="U219" s="6"/>
      <c r="V219" s="6"/>
      <c r="W219" s="6"/>
      <c r="X219" s="6"/>
      <c r="Y219" s="6"/>
      <c r="Z219" s="6"/>
    </row>
    <row r="220" spans="1:26" ht="18" customHeight="1" x14ac:dyDescent="0.3">
      <c r="A220" s="152"/>
      <c r="B220" s="128"/>
      <c r="C220" s="152"/>
      <c r="D220" s="154"/>
      <c r="E220" s="154"/>
      <c r="F220" s="152"/>
      <c r="G220" s="128"/>
      <c r="H220" s="128"/>
      <c r="I220" s="144" t="str">
        <f>IF(H220="","",IFERROR(INDEX('12 P6 activities'!$B$7:$B$206,MATCH(H220,'12 P6 activities'!$A$7:$A$206,0)),"⚠ not in P6 list"))</f>
        <v/>
      </c>
      <c r="J220" s="144" t="str">
        <f>IF(H220="","",IFERROR(INDEX('12 P6 activities'!$C$7:$C$206,MATCH(H220,'12 P6 activities'!$A$7:$A$206,0)),"⚠ not in P6 list"))</f>
        <v/>
      </c>
      <c r="K220" s="128"/>
      <c r="L220" s="6"/>
      <c r="M220" s="6"/>
      <c r="N220" s="6"/>
      <c r="O220" s="6"/>
      <c r="P220" s="6"/>
      <c r="Q220" s="6"/>
      <c r="R220" s="6"/>
      <c r="S220" s="6"/>
      <c r="T220" s="6"/>
      <c r="U220" s="6"/>
      <c r="V220" s="6"/>
      <c r="W220" s="6"/>
      <c r="X220" s="6"/>
      <c r="Y220" s="6"/>
      <c r="Z220" s="6"/>
    </row>
    <row r="221" spans="1:26" ht="18" customHeight="1" x14ac:dyDescent="0.3">
      <c r="A221" s="152"/>
      <c r="B221" s="128"/>
      <c r="C221" s="152"/>
      <c r="D221" s="154"/>
      <c r="E221" s="154"/>
      <c r="F221" s="152"/>
      <c r="G221" s="128"/>
      <c r="H221" s="128"/>
      <c r="I221" s="144" t="str">
        <f>IF(H221="","",IFERROR(INDEX('12 P6 activities'!$B$7:$B$206,MATCH(H221,'12 P6 activities'!$A$7:$A$206,0)),"⚠ not in P6 list"))</f>
        <v/>
      </c>
      <c r="J221" s="144" t="str">
        <f>IF(H221="","",IFERROR(INDEX('12 P6 activities'!$C$7:$C$206,MATCH(H221,'12 P6 activities'!$A$7:$A$206,0)),"⚠ not in P6 list"))</f>
        <v/>
      </c>
      <c r="K221" s="128"/>
      <c r="L221" s="6"/>
      <c r="M221" s="6"/>
      <c r="N221" s="6"/>
      <c r="O221" s="6"/>
      <c r="P221" s="6"/>
      <c r="Q221" s="6"/>
      <c r="R221" s="6"/>
      <c r="S221" s="6"/>
      <c r="T221" s="6"/>
      <c r="U221" s="6"/>
      <c r="V221" s="6"/>
      <c r="W221" s="6"/>
      <c r="X221" s="6"/>
      <c r="Y221" s="6"/>
      <c r="Z221" s="6"/>
    </row>
    <row r="222" spans="1:26" ht="18" customHeight="1" x14ac:dyDescent="0.3">
      <c r="A222" s="152"/>
      <c r="B222" s="128"/>
      <c r="C222" s="152"/>
      <c r="D222" s="154"/>
      <c r="E222" s="154"/>
      <c r="F222" s="152"/>
      <c r="G222" s="128"/>
      <c r="H222" s="128"/>
      <c r="I222" s="144" t="str">
        <f>IF(H222="","",IFERROR(INDEX('12 P6 activities'!$B$7:$B$206,MATCH(H222,'12 P6 activities'!$A$7:$A$206,0)),"⚠ not in P6 list"))</f>
        <v/>
      </c>
      <c r="J222" s="144" t="str">
        <f>IF(H222="","",IFERROR(INDEX('12 P6 activities'!$C$7:$C$206,MATCH(H222,'12 P6 activities'!$A$7:$A$206,0)),"⚠ not in P6 list"))</f>
        <v/>
      </c>
      <c r="K222" s="128"/>
      <c r="L222" s="6"/>
      <c r="M222" s="6"/>
      <c r="N222" s="6"/>
      <c r="O222" s="6"/>
      <c r="P222" s="6"/>
      <c r="Q222" s="6"/>
      <c r="R222" s="6"/>
      <c r="S222" s="6"/>
      <c r="T222" s="6"/>
      <c r="U222" s="6"/>
      <c r="V222" s="6"/>
      <c r="W222" s="6"/>
      <c r="X222" s="6"/>
      <c r="Y222" s="6"/>
      <c r="Z222" s="6"/>
    </row>
    <row r="223" spans="1:26" ht="18" customHeight="1" x14ac:dyDescent="0.3">
      <c r="A223" s="152"/>
      <c r="B223" s="128"/>
      <c r="C223" s="152"/>
      <c r="D223" s="154"/>
      <c r="E223" s="154"/>
      <c r="F223" s="152"/>
      <c r="G223" s="128"/>
      <c r="H223" s="128"/>
      <c r="I223" s="144" t="str">
        <f>IF(H223="","",IFERROR(INDEX('12 P6 activities'!$B$7:$B$206,MATCH(H223,'12 P6 activities'!$A$7:$A$206,0)),"⚠ not in P6 list"))</f>
        <v/>
      </c>
      <c r="J223" s="144" t="str">
        <f>IF(H223="","",IFERROR(INDEX('12 P6 activities'!$C$7:$C$206,MATCH(H223,'12 P6 activities'!$A$7:$A$206,0)),"⚠ not in P6 list"))</f>
        <v/>
      </c>
      <c r="K223" s="128"/>
      <c r="L223" s="6"/>
      <c r="M223" s="6"/>
      <c r="N223" s="6"/>
      <c r="O223" s="6"/>
      <c r="P223" s="6"/>
      <c r="Q223" s="6"/>
      <c r="R223" s="6"/>
      <c r="S223" s="6"/>
      <c r="T223" s="6"/>
      <c r="U223" s="6"/>
      <c r="V223" s="6"/>
      <c r="W223" s="6"/>
      <c r="X223" s="6"/>
      <c r="Y223" s="6"/>
      <c r="Z223" s="6"/>
    </row>
    <row r="224" spans="1:26" ht="18" customHeight="1" x14ac:dyDescent="0.3">
      <c r="A224" s="152"/>
      <c r="B224" s="128"/>
      <c r="C224" s="152"/>
      <c r="D224" s="154"/>
      <c r="E224" s="154"/>
      <c r="F224" s="152"/>
      <c r="G224" s="128"/>
      <c r="H224" s="128"/>
      <c r="I224" s="144" t="str">
        <f>IF(H224="","",IFERROR(INDEX('12 P6 activities'!$B$7:$B$206,MATCH(H224,'12 P6 activities'!$A$7:$A$206,0)),"⚠ not in P6 list"))</f>
        <v/>
      </c>
      <c r="J224" s="144" t="str">
        <f>IF(H224="","",IFERROR(INDEX('12 P6 activities'!$C$7:$C$206,MATCH(H224,'12 P6 activities'!$A$7:$A$206,0)),"⚠ not in P6 list"))</f>
        <v/>
      </c>
      <c r="K224" s="128"/>
      <c r="L224" s="6"/>
      <c r="M224" s="6"/>
      <c r="N224" s="6"/>
      <c r="O224" s="6"/>
      <c r="P224" s="6"/>
      <c r="Q224" s="6"/>
      <c r="R224" s="6"/>
      <c r="S224" s="6"/>
      <c r="T224" s="6"/>
      <c r="U224" s="6"/>
      <c r="V224" s="6"/>
      <c r="W224" s="6"/>
      <c r="X224" s="6"/>
      <c r="Y224" s="6"/>
      <c r="Z224" s="6"/>
    </row>
    <row r="225" spans="1:26" ht="18" customHeight="1" x14ac:dyDescent="0.3">
      <c r="A225" s="152"/>
      <c r="B225" s="128"/>
      <c r="C225" s="152"/>
      <c r="D225" s="154"/>
      <c r="E225" s="154"/>
      <c r="F225" s="152"/>
      <c r="G225" s="128"/>
      <c r="H225" s="128"/>
      <c r="I225" s="144" t="str">
        <f>IF(H225="","",IFERROR(INDEX('12 P6 activities'!$B$7:$B$206,MATCH(H225,'12 P6 activities'!$A$7:$A$206,0)),"⚠ not in P6 list"))</f>
        <v/>
      </c>
      <c r="J225" s="144" t="str">
        <f>IF(H225="","",IFERROR(INDEX('12 P6 activities'!$C$7:$C$206,MATCH(H225,'12 P6 activities'!$A$7:$A$206,0)),"⚠ not in P6 list"))</f>
        <v/>
      </c>
      <c r="K225" s="128"/>
      <c r="L225" s="6"/>
      <c r="M225" s="6"/>
      <c r="N225" s="6"/>
      <c r="O225" s="6"/>
      <c r="P225" s="6"/>
      <c r="Q225" s="6"/>
      <c r="R225" s="6"/>
      <c r="S225" s="6"/>
      <c r="T225" s="6"/>
      <c r="U225" s="6"/>
      <c r="V225" s="6"/>
      <c r="W225" s="6"/>
      <c r="X225" s="6"/>
      <c r="Y225" s="6"/>
      <c r="Z225" s="6"/>
    </row>
    <row r="226" spans="1:26" ht="18" customHeight="1" x14ac:dyDescent="0.3">
      <c r="A226" s="152"/>
      <c r="B226" s="128"/>
      <c r="C226" s="152"/>
      <c r="D226" s="154"/>
      <c r="E226" s="154"/>
      <c r="F226" s="152"/>
      <c r="G226" s="128"/>
      <c r="H226" s="128"/>
      <c r="I226" s="144" t="str">
        <f>IF(H226="","",IFERROR(INDEX('12 P6 activities'!$B$7:$B$206,MATCH(H226,'12 P6 activities'!$A$7:$A$206,0)),"⚠ not in P6 list"))</f>
        <v/>
      </c>
      <c r="J226" s="144" t="str">
        <f>IF(H226="","",IFERROR(INDEX('12 P6 activities'!$C$7:$C$206,MATCH(H226,'12 P6 activities'!$A$7:$A$206,0)),"⚠ not in P6 list"))</f>
        <v/>
      </c>
      <c r="K226" s="128"/>
      <c r="L226" s="6"/>
      <c r="M226" s="6"/>
      <c r="N226" s="6"/>
      <c r="O226" s="6"/>
      <c r="P226" s="6"/>
      <c r="Q226" s="6"/>
      <c r="R226" s="6"/>
      <c r="S226" s="6"/>
      <c r="T226" s="6"/>
      <c r="U226" s="6"/>
      <c r="V226" s="6"/>
      <c r="W226" s="6"/>
      <c r="X226" s="6"/>
      <c r="Y226" s="6"/>
      <c r="Z226" s="6"/>
    </row>
    <row r="227" spans="1:26" ht="18" customHeight="1" x14ac:dyDescent="0.3">
      <c r="A227" s="152"/>
      <c r="B227" s="128"/>
      <c r="C227" s="152"/>
      <c r="D227" s="154"/>
      <c r="E227" s="154"/>
      <c r="F227" s="152"/>
      <c r="G227" s="128"/>
      <c r="H227" s="128"/>
      <c r="I227" s="144" t="str">
        <f>IF(H227="","",IFERROR(INDEX('12 P6 activities'!$B$7:$B$206,MATCH(H227,'12 P6 activities'!$A$7:$A$206,0)),"⚠ not in P6 list"))</f>
        <v/>
      </c>
      <c r="J227" s="144" t="str">
        <f>IF(H227="","",IFERROR(INDEX('12 P6 activities'!$C$7:$C$206,MATCH(H227,'12 P6 activities'!$A$7:$A$206,0)),"⚠ not in P6 list"))</f>
        <v/>
      </c>
      <c r="K227" s="128"/>
      <c r="L227" s="6"/>
      <c r="M227" s="6"/>
      <c r="N227" s="6"/>
      <c r="O227" s="6"/>
      <c r="P227" s="6"/>
      <c r="Q227" s="6"/>
      <c r="R227" s="6"/>
      <c r="S227" s="6"/>
      <c r="T227" s="6"/>
      <c r="U227" s="6"/>
      <c r="V227" s="6"/>
      <c r="W227" s="6"/>
      <c r="X227" s="6"/>
      <c r="Y227" s="6"/>
      <c r="Z227" s="6"/>
    </row>
    <row r="228" spans="1:26" ht="18" customHeight="1" x14ac:dyDescent="0.3">
      <c r="A228" s="152"/>
      <c r="B228" s="128"/>
      <c r="C228" s="152"/>
      <c r="D228" s="154"/>
      <c r="E228" s="154"/>
      <c r="F228" s="152"/>
      <c r="G228" s="128"/>
      <c r="H228" s="128"/>
      <c r="I228" s="144" t="str">
        <f>IF(H228="","",IFERROR(INDEX('12 P6 activities'!$B$7:$B$206,MATCH(H228,'12 P6 activities'!$A$7:$A$206,0)),"⚠ not in P6 list"))</f>
        <v/>
      </c>
      <c r="J228" s="144" t="str">
        <f>IF(H228="","",IFERROR(INDEX('12 P6 activities'!$C$7:$C$206,MATCH(H228,'12 P6 activities'!$A$7:$A$206,0)),"⚠ not in P6 list"))</f>
        <v/>
      </c>
      <c r="K228" s="128"/>
      <c r="L228" s="6"/>
      <c r="M228" s="6"/>
      <c r="N228" s="6"/>
      <c r="O228" s="6"/>
      <c r="P228" s="6"/>
      <c r="Q228" s="6"/>
      <c r="R228" s="6"/>
      <c r="S228" s="6"/>
      <c r="T228" s="6"/>
      <c r="U228" s="6"/>
      <c r="V228" s="6"/>
      <c r="W228" s="6"/>
      <c r="X228" s="6"/>
      <c r="Y228" s="6"/>
      <c r="Z228" s="6"/>
    </row>
    <row r="229" spans="1:26" ht="18" customHeight="1" x14ac:dyDescent="0.3">
      <c r="A229" s="152"/>
      <c r="B229" s="128"/>
      <c r="C229" s="152"/>
      <c r="D229" s="154"/>
      <c r="E229" s="154"/>
      <c r="F229" s="152"/>
      <c r="G229" s="128"/>
      <c r="H229" s="128"/>
      <c r="I229" s="144" t="str">
        <f>IF(H229="","",IFERROR(INDEX('12 P6 activities'!$B$7:$B$206,MATCH(H229,'12 P6 activities'!$A$7:$A$206,0)),"⚠ not in P6 list"))</f>
        <v/>
      </c>
      <c r="J229" s="144" t="str">
        <f>IF(H229="","",IFERROR(INDEX('12 P6 activities'!$C$7:$C$206,MATCH(H229,'12 P6 activities'!$A$7:$A$206,0)),"⚠ not in P6 list"))</f>
        <v/>
      </c>
      <c r="K229" s="128"/>
      <c r="L229" s="6"/>
      <c r="M229" s="6"/>
      <c r="N229" s="6"/>
      <c r="O229" s="6"/>
      <c r="P229" s="6"/>
      <c r="Q229" s="6"/>
      <c r="R229" s="6"/>
      <c r="S229" s="6"/>
      <c r="T229" s="6"/>
      <c r="U229" s="6"/>
      <c r="V229" s="6"/>
      <c r="W229" s="6"/>
      <c r="X229" s="6"/>
      <c r="Y229" s="6"/>
      <c r="Z229" s="6"/>
    </row>
    <row r="230" spans="1:26" ht="18" customHeight="1" x14ac:dyDescent="0.3">
      <c r="A230" s="152"/>
      <c r="B230" s="128"/>
      <c r="C230" s="152"/>
      <c r="D230" s="154"/>
      <c r="E230" s="154"/>
      <c r="F230" s="152"/>
      <c r="G230" s="128"/>
      <c r="H230" s="128"/>
      <c r="I230" s="144" t="str">
        <f>IF(H230="","",IFERROR(INDEX('12 P6 activities'!$B$7:$B$206,MATCH(H230,'12 P6 activities'!$A$7:$A$206,0)),"⚠ not in P6 list"))</f>
        <v/>
      </c>
      <c r="J230" s="144" t="str">
        <f>IF(H230="","",IFERROR(INDEX('12 P6 activities'!$C$7:$C$206,MATCH(H230,'12 P6 activities'!$A$7:$A$206,0)),"⚠ not in P6 list"))</f>
        <v/>
      </c>
      <c r="K230" s="128"/>
      <c r="L230" s="6"/>
      <c r="M230" s="6"/>
      <c r="N230" s="6"/>
      <c r="O230" s="6"/>
      <c r="P230" s="6"/>
      <c r="Q230" s="6"/>
      <c r="R230" s="6"/>
      <c r="S230" s="6"/>
      <c r="T230" s="6"/>
      <c r="U230" s="6"/>
      <c r="V230" s="6"/>
      <c r="W230" s="6"/>
      <c r="X230" s="6"/>
      <c r="Y230" s="6"/>
      <c r="Z230" s="6"/>
    </row>
    <row r="231" spans="1:26" ht="18" customHeight="1" x14ac:dyDescent="0.3">
      <c r="A231" s="152"/>
      <c r="B231" s="128"/>
      <c r="C231" s="152"/>
      <c r="D231" s="154"/>
      <c r="E231" s="154"/>
      <c r="F231" s="152"/>
      <c r="G231" s="128"/>
      <c r="H231" s="128"/>
      <c r="I231" s="144" t="str">
        <f>IF(H231="","",IFERROR(INDEX('12 P6 activities'!$B$7:$B$206,MATCH(H231,'12 P6 activities'!$A$7:$A$206,0)),"⚠ not in P6 list"))</f>
        <v/>
      </c>
      <c r="J231" s="144" t="str">
        <f>IF(H231="","",IFERROR(INDEX('12 P6 activities'!$C$7:$C$206,MATCH(H231,'12 P6 activities'!$A$7:$A$206,0)),"⚠ not in P6 list"))</f>
        <v/>
      </c>
      <c r="K231" s="128"/>
      <c r="L231" s="6"/>
      <c r="M231" s="6"/>
      <c r="N231" s="6"/>
      <c r="O231" s="6"/>
      <c r="P231" s="6"/>
      <c r="Q231" s="6"/>
      <c r="R231" s="6"/>
      <c r="S231" s="6"/>
      <c r="T231" s="6"/>
      <c r="U231" s="6"/>
      <c r="V231" s="6"/>
      <c r="W231" s="6"/>
      <c r="X231" s="6"/>
      <c r="Y231" s="6"/>
      <c r="Z231" s="6"/>
    </row>
    <row r="232" spans="1:26" ht="18" customHeight="1" x14ac:dyDescent="0.3">
      <c r="A232" s="152"/>
      <c r="B232" s="128"/>
      <c r="C232" s="152"/>
      <c r="D232" s="154"/>
      <c r="E232" s="154"/>
      <c r="F232" s="152"/>
      <c r="G232" s="128"/>
      <c r="H232" s="128"/>
      <c r="I232" s="144" t="str">
        <f>IF(H232="","",IFERROR(INDEX('12 P6 activities'!$B$7:$B$206,MATCH(H232,'12 P6 activities'!$A$7:$A$206,0)),"⚠ not in P6 list"))</f>
        <v/>
      </c>
      <c r="J232" s="144" t="str">
        <f>IF(H232="","",IFERROR(INDEX('12 P6 activities'!$C$7:$C$206,MATCH(H232,'12 P6 activities'!$A$7:$A$206,0)),"⚠ not in P6 list"))</f>
        <v/>
      </c>
      <c r="K232" s="128"/>
      <c r="L232" s="6"/>
      <c r="M232" s="6"/>
      <c r="N232" s="6"/>
      <c r="O232" s="6"/>
      <c r="P232" s="6"/>
      <c r="Q232" s="6"/>
      <c r="R232" s="6"/>
      <c r="S232" s="6"/>
      <c r="T232" s="6"/>
      <c r="U232" s="6"/>
      <c r="V232" s="6"/>
      <c r="W232" s="6"/>
      <c r="X232" s="6"/>
      <c r="Y232" s="6"/>
      <c r="Z232" s="6"/>
    </row>
    <row r="233" spans="1:26" ht="18" customHeight="1" x14ac:dyDescent="0.3">
      <c r="A233" s="152"/>
      <c r="B233" s="128"/>
      <c r="C233" s="152"/>
      <c r="D233" s="154"/>
      <c r="E233" s="154"/>
      <c r="F233" s="152"/>
      <c r="G233" s="128"/>
      <c r="H233" s="128"/>
      <c r="I233" s="144" t="str">
        <f>IF(H233="","",IFERROR(INDEX('12 P6 activities'!$B$7:$B$206,MATCH(H233,'12 P6 activities'!$A$7:$A$206,0)),"⚠ not in P6 list"))</f>
        <v/>
      </c>
      <c r="J233" s="144" t="str">
        <f>IF(H233="","",IFERROR(INDEX('12 P6 activities'!$C$7:$C$206,MATCH(H233,'12 P6 activities'!$A$7:$A$206,0)),"⚠ not in P6 list"))</f>
        <v/>
      </c>
      <c r="K233" s="128"/>
      <c r="L233" s="6"/>
      <c r="M233" s="6"/>
      <c r="N233" s="6"/>
      <c r="O233" s="6"/>
      <c r="P233" s="6"/>
      <c r="Q233" s="6"/>
      <c r="R233" s="6"/>
      <c r="S233" s="6"/>
      <c r="T233" s="6"/>
      <c r="U233" s="6"/>
      <c r="V233" s="6"/>
      <c r="W233" s="6"/>
      <c r="X233" s="6"/>
      <c r="Y233" s="6"/>
      <c r="Z233" s="6"/>
    </row>
    <row r="234" spans="1:26" ht="18" customHeight="1" x14ac:dyDescent="0.3">
      <c r="A234" s="152"/>
      <c r="B234" s="128"/>
      <c r="C234" s="152"/>
      <c r="D234" s="154"/>
      <c r="E234" s="154"/>
      <c r="F234" s="152"/>
      <c r="G234" s="128"/>
      <c r="H234" s="128"/>
      <c r="I234" s="144" t="str">
        <f>IF(H234="","",IFERROR(INDEX('12 P6 activities'!$B$7:$B$206,MATCH(H234,'12 P6 activities'!$A$7:$A$206,0)),"⚠ not in P6 list"))</f>
        <v/>
      </c>
      <c r="J234" s="144" t="str">
        <f>IF(H234="","",IFERROR(INDEX('12 P6 activities'!$C$7:$C$206,MATCH(H234,'12 P6 activities'!$A$7:$A$206,0)),"⚠ not in P6 list"))</f>
        <v/>
      </c>
      <c r="K234" s="128"/>
      <c r="L234" s="6"/>
      <c r="M234" s="6"/>
      <c r="N234" s="6"/>
      <c r="O234" s="6"/>
      <c r="P234" s="6"/>
      <c r="Q234" s="6"/>
      <c r="R234" s="6"/>
      <c r="S234" s="6"/>
      <c r="T234" s="6"/>
      <c r="U234" s="6"/>
      <c r="V234" s="6"/>
      <c r="W234" s="6"/>
      <c r="X234" s="6"/>
      <c r="Y234" s="6"/>
      <c r="Z234" s="6"/>
    </row>
    <row r="235" spans="1:26" ht="18" customHeight="1" x14ac:dyDescent="0.3">
      <c r="A235" s="152"/>
      <c r="B235" s="128"/>
      <c r="C235" s="152"/>
      <c r="D235" s="154"/>
      <c r="E235" s="154"/>
      <c r="F235" s="152"/>
      <c r="G235" s="128"/>
      <c r="H235" s="128"/>
      <c r="I235" s="144" t="str">
        <f>IF(H235="","",IFERROR(INDEX('12 P6 activities'!$B$7:$B$206,MATCH(H235,'12 P6 activities'!$A$7:$A$206,0)),"⚠ not in P6 list"))</f>
        <v/>
      </c>
      <c r="J235" s="144" t="str">
        <f>IF(H235="","",IFERROR(INDEX('12 P6 activities'!$C$7:$C$206,MATCH(H235,'12 P6 activities'!$A$7:$A$206,0)),"⚠ not in P6 list"))</f>
        <v/>
      </c>
      <c r="K235" s="128"/>
      <c r="L235" s="6"/>
      <c r="M235" s="6"/>
      <c r="N235" s="6"/>
      <c r="O235" s="6"/>
      <c r="P235" s="6"/>
      <c r="Q235" s="6"/>
      <c r="R235" s="6"/>
      <c r="S235" s="6"/>
      <c r="T235" s="6"/>
      <c r="U235" s="6"/>
      <c r="V235" s="6"/>
      <c r="W235" s="6"/>
      <c r="X235" s="6"/>
      <c r="Y235" s="6"/>
      <c r="Z235" s="6"/>
    </row>
    <row r="236" spans="1:26" ht="18" customHeight="1" x14ac:dyDescent="0.3">
      <c r="A236" s="152"/>
      <c r="B236" s="128"/>
      <c r="C236" s="152"/>
      <c r="D236" s="154"/>
      <c r="E236" s="154"/>
      <c r="F236" s="152"/>
      <c r="G236" s="128"/>
      <c r="H236" s="128"/>
      <c r="I236" s="144" t="str">
        <f>IF(H236="","",IFERROR(INDEX('12 P6 activities'!$B$7:$B$206,MATCH(H236,'12 P6 activities'!$A$7:$A$206,0)),"⚠ not in P6 list"))</f>
        <v/>
      </c>
      <c r="J236" s="144" t="str">
        <f>IF(H236="","",IFERROR(INDEX('12 P6 activities'!$C$7:$C$206,MATCH(H236,'12 P6 activities'!$A$7:$A$206,0)),"⚠ not in P6 list"))</f>
        <v/>
      </c>
      <c r="K236" s="128"/>
      <c r="L236" s="6"/>
      <c r="M236" s="6"/>
      <c r="N236" s="6"/>
      <c r="O236" s="6"/>
      <c r="P236" s="6"/>
      <c r="Q236" s="6"/>
      <c r="R236" s="6"/>
      <c r="S236" s="6"/>
      <c r="T236" s="6"/>
      <c r="U236" s="6"/>
      <c r="V236" s="6"/>
      <c r="W236" s="6"/>
      <c r="X236" s="6"/>
      <c r="Y236" s="6"/>
      <c r="Z236" s="6"/>
    </row>
    <row r="237" spans="1:26" ht="18" customHeight="1" x14ac:dyDescent="0.3">
      <c r="A237" s="152"/>
      <c r="B237" s="128"/>
      <c r="C237" s="152"/>
      <c r="D237" s="154"/>
      <c r="E237" s="154"/>
      <c r="F237" s="152"/>
      <c r="G237" s="128"/>
      <c r="H237" s="128"/>
      <c r="I237" s="144" t="str">
        <f>IF(H237="","",IFERROR(INDEX('12 P6 activities'!$B$7:$B$206,MATCH(H237,'12 P6 activities'!$A$7:$A$206,0)),"⚠ not in P6 list"))</f>
        <v/>
      </c>
      <c r="J237" s="144" t="str">
        <f>IF(H237="","",IFERROR(INDEX('12 P6 activities'!$C$7:$C$206,MATCH(H237,'12 P6 activities'!$A$7:$A$206,0)),"⚠ not in P6 list"))</f>
        <v/>
      </c>
      <c r="K237" s="128"/>
      <c r="L237" s="6"/>
      <c r="M237" s="6"/>
      <c r="N237" s="6"/>
      <c r="O237" s="6"/>
      <c r="P237" s="6"/>
      <c r="Q237" s="6"/>
      <c r="R237" s="6"/>
      <c r="S237" s="6"/>
      <c r="T237" s="6"/>
      <c r="U237" s="6"/>
      <c r="V237" s="6"/>
      <c r="W237" s="6"/>
      <c r="X237" s="6"/>
      <c r="Y237" s="6"/>
      <c r="Z237" s="6"/>
    </row>
    <row r="238" spans="1:26" ht="18" customHeight="1" x14ac:dyDescent="0.3">
      <c r="A238" s="152"/>
      <c r="B238" s="128"/>
      <c r="C238" s="152"/>
      <c r="D238" s="154"/>
      <c r="E238" s="154"/>
      <c r="F238" s="152"/>
      <c r="G238" s="128"/>
      <c r="H238" s="128"/>
      <c r="I238" s="144" t="str">
        <f>IF(H238="","",IFERROR(INDEX('12 P6 activities'!$B$7:$B$206,MATCH(H238,'12 P6 activities'!$A$7:$A$206,0)),"⚠ not in P6 list"))</f>
        <v/>
      </c>
      <c r="J238" s="144" t="str">
        <f>IF(H238="","",IFERROR(INDEX('12 P6 activities'!$C$7:$C$206,MATCH(H238,'12 P6 activities'!$A$7:$A$206,0)),"⚠ not in P6 list"))</f>
        <v/>
      </c>
      <c r="K238" s="128"/>
      <c r="L238" s="6"/>
      <c r="M238" s="6"/>
      <c r="N238" s="6"/>
      <c r="O238" s="6"/>
      <c r="P238" s="6"/>
      <c r="Q238" s="6"/>
      <c r="R238" s="6"/>
      <c r="S238" s="6"/>
      <c r="T238" s="6"/>
      <c r="U238" s="6"/>
      <c r="V238" s="6"/>
      <c r="W238" s="6"/>
      <c r="X238" s="6"/>
      <c r="Y238" s="6"/>
      <c r="Z238" s="6"/>
    </row>
    <row r="239" spans="1:26" ht="18" customHeight="1" x14ac:dyDescent="0.3">
      <c r="A239" s="152"/>
      <c r="B239" s="128"/>
      <c r="C239" s="152"/>
      <c r="D239" s="154"/>
      <c r="E239" s="154"/>
      <c r="F239" s="152"/>
      <c r="G239" s="128"/>
      <c r="H239" s="128"/>
      <c r="I239" s="144" t="str">
        <f>IF(H239="","",IFERROR(INDEX('12 P6 activities'!$B$7:$B$206,MATCH(H239,'12 P6 activities'!$A$7:$A$206,0)),"⚠ not in P6 list"))</f>
        <v/>
      </c>
      <c r="J239" s="144" t="str">
        <f>IF(H239="","",IFERROR(INDEX('12 P6 activities'!$C$7:$C$206,MATCH(H239,'12 P6 activities'!$A$7:$A$206,0)),"⚠ not in P6 list"))</f>
        <v/>
      </c>
      <c r="K239" s="128"/>
      <c r="L239" s="6"/>
      <c r="M239" s="6"/>
      <c r="N239" s="6"/>
      <c r="O239" s="6"/>
      <c r="P239" s="6"/>
      <c r="Q239" s="6"/>
      <c r="R239" s="6"/>
      <c r="S239" s="6"/>
      <c r="T239" s="6"/>
      <c r="U239" s="6"/>
      <c r="V239" s="6"/>
      <c r="W239" s="6"/>
      <c r="X239" s="6"/>
      <c r="Y239" s="6"/>
      <c r="Z239" s="6"/>
    </row>
    <row r="240" spans="1:26" ht="18" customHeight="1" x14ac:dyDescent="0.3">
      <c r="A240" s="152"/>
      <c r="B240" s="128"/>
      <c r="C240" s="152"/>
      <c r="D240" s="154"/>
      <c r="E240" s="154"/>
      <c r="F240" s="152"/>
      <c r="G240" s="128"/>
      <c r="H240" s="128"/>
      <c r="I240" s="144" t="str">
        <f>IF(H240="","",IFERROR(INDEX('12 P6 activities'!$B$7:$B$206,MATCH(H240,'12 P6 activities'!$A$7:$A$206,0)),"⚠ not in P6 list"))</f>
        <v/>
      </c>
      <c r="J240" s="144" t="str">
        <f>IF(H240="","",IFERROR(INDEX('12 P6 activities'!$C$7:$C$206,MATCH(H240,'12 P6 activities'!$A$7:$A$206,0)),"⚠ not in P6 list"))</f>
        <v/>
      </c>
      <c r="K240" s="128"/>
      <c r="L240" s="6"/>
      <c r="M240" s="6"/>
      <c r="N240" s="6"/>
      <c r="O240" s="6"/>
      <c r="P240" s="6"/>
      <c r="Q240" s="6"/>
      <c r="R240" s="6"/>
      <c r="S240" s="6"/>
      <c r="T240" s="6"/>
      <c r="U240" s="6"/>
      <c r="V240" s="6"/>
      <c r="W240" s="6"/>
      <c r="X240" s="6"/>
      <c r="Y240" s="6"/>
      <c r="Z240" s="6"/>
    </row>
    <row r="241" spans="1:26" ht="18" customHeight="1" x14ac:dyDescent="0.3">
      <c r="A241" s="152"/>
      <c r="B241" s="128"/>
      <c r="C241" s="152"/>
      <c r="D241" s="154"/>
      <c r="E241" s="154"/>
      <c r="F241" s="152"/>
      <c r="G241" s="128"/>
      <c r="H241" s="128"/>
      <c r="I241" s="144" t="str">
        <f>IF(H241="","",IFERROR(INDEX('12 P6 activities'!$B$7:$B$206,MATCH(H241,'12 P6 activities'!$A$7:$A$206,0)),"⚠ not in P6 list"))</f>
        <v/>
      </c>
      <c r="J241" s="144" t="str">
        <f>IF(H241="","",IFERROR(INDEX('12 P6 activities'!$C$7:$C$206,MATCH(H241,'12 P6 activities'!$A$7:$A$206,0)),"⚠ not in P6 list"))</f>
        <v/>
      </c>
      <c r="K241" s="128"/>
      <c r="L241" s="6"/>
      <c r="M241" s="6"/>
      <c r="N241" s="6"/>
      <c r="O241" s="6"/>
      <c r="P241" s="6"/>
      <c r="Q241" s="6"/>
      <c r="R241" s="6"/>
      <c r="S241" s="6"/>
      <c r="T241" s="6"/>
      <c r="U241" s="6"/>
      <c r="V241" s="6"/>
      <c r="W241" s="6"/>
      <c r="X241" s="6"/>
      <c r="Y241" s="6"/>
      <c r="Z241" s="6"/>
    </row>
    <row r="242" spans="1:26" ht="18" customHeight="1" x14ac:dyDescent="0.3">
      <c r="A242" s="152"/>
      <c r="B242" s="128"/>
      <c r="C242" s="152"/>
      <c r="D242" s="154"/>
      <c r="E242" s="154"/>
      <c r="F242" s="152"/>
      <c r="G242" s="128"/>
      <c r="H242" s="128"/>
      <c r="I242" s="144" t="str">
        <f>IF(H242="","",IFERROR(INDEX('12 P6 activities'!$B$7:$B$206,MATCH(H242,'12 P6 activities'!$A$7:$A$206,0)),"⚠ not in P6 list"))</f>
        <v/>
      </c>
      <c r="J242" s="144" t="str">
        <f>IF(H242="","",IFERROR(INDEX('12 P6 activities'!$C$7:$C$206,MATCH(H242,'12 P6 activities'!$A$7:$A$206,0)),"⚠ not in P6 list"))</f>
        <v/>
      </c>
      <c r="K242" s="128"/>
      <c r="L242" s="6"/>
      <c r="M242" s="6"/>
      <c r="N242" s="6"/>
      <c r="O242" s="6"/>
      <c r="P242" s="6"/>
      <c r="Q242" s="6"/>
      <c r="R242" s="6"/>
      <c r="S242" s="6"/>
      <c r="T242" s="6"/>
      <c r="U242" s="6"/>
      <c r="V242" s="6"/>
      <c r="W242" s="6"/>
      <c r="X242" s="6"/>
      <c r="Y242" s="6"/>
      <c r="Z242" s="6"/>
    </row>
    <row r="243" spans="1:26" ht="18" customHeight="1" x14ac:dyDescent="0.3">
      <c r="A243" s="152"/>
      <c r="B243" s="128"/>
      <c r="C243" s="152"/>
      <c r="D243" s="154"/>
      <c r="E243" s="154"/>
      <c r="F243" s="152"/>
      <c r="G243" s="128"/>
      <c r="H243" s="128"/>
      <c r="I243" s="144" t="str">
        <f>IF(H243="","",IFERROR(INDEX('12 P6 activities'!$B$7:$B$206,MATCH(H243,'12 P6 activities'!$A$7:$A$206,0)),"⚠ not in P6 list"))</f>
        <v/>
      </c>
      <c r="J243" s="144" t="str">
        <f>IF(H243="","",IFERROR(INDEX('12 P6 activities'!$C$7:$C$206,MATCH(H243,'12 P6 activities'!$A$7:$A$206,0)),"⚠ not in P6 list"))</f>
        <v/>
      </c>
      <c r="K243" s="128"/>
      <c r="L243" s="6"/>
      <c r="M243" s="6"/>
      <c r="N243" s="6"/>
      <c r="O243" s="6"/>
      <c r="P243" s="6"/>
      <c r="Q243" s="6"/>
      <c r="R243" s="6"/>
      <c r="S243" s="6"/>
      <c r="T243" s="6"/>
      <c r="U243" s="6"/>
      <c r="V243" s="6"/>
      <c r="W243" s="6"/>
      <c r="X243" s="6"/>
      <c r="Y243" s="6"/>
      <c r="Z243" s="6"/>
    </row>
    <row r="244" spans="1:26" ht="18" customHeight="1" x14ac:dyDescent="0.3">
      <c r="A244" s="152"/>
      <c r="B244" s="128"/>
      <c r="C244" s="152"/>
      <c r="D244" s="154"/>
      <c r="E244" s="154"/>
      <c r="F244" s="152"/>
      <c r="G244" s="128"/>
      <c r="H244" s="128"/>
      <c r="I244" s="144" t="str">
        <f>IF(H244="","",IFERROR(INDEX('12 P6 activities'!$B$7:$B$206,MATCH(H244,'12 P6 activities'!$A$7:$A$206,0)),"⚠ not in P6 list"))</f>
        <v/>
      </c>
      <c r="J244" s="144" t="str">
        <f>IF(H244="","",IFERROR(INDEX('12 P6 activities'!$C$7:$C$206,MATCH(H244,'12 P6 activities'!$A$7:$A$206,0)),"⚠ not in P6 list"))</f>
        <v/>
      </c>
      <c r="K244" s="128"/>
      <c r="L244" s="6"/>
      <c r="M244" s="6"/>
      <c r="N244" s="6"/>
      <c r="O244" s="6"/>
      <c r="P244" s="6"/>
      <c r="Q244" s="6"/>
      <c r="R244" s="6"/>
      <c r="S244" s="6"/>
      <c r="T244" s="6"/>
      <c r="U244" s="6"/>
      <c r="V244" s="6"/>
      <c r="W244" s="6"/>
      <c r="X244" s="6"/>
      <c r="Y244" s="6"/>
      <c r="Z244" s="6"/>
    </row>
    <row r="245" spans="1:26" ht="18" customHeight="1" x14ac:dyDescent="0.3">
      <c r="A245" s="152"/>
      <c r="B245" s="128"/>
      <c r="C245" s="152"/>
      <c r="D245" s="154"/>
      <c r="E245" s="154"/>
      <c r="F245" s="152"/>
      <c r="G245" s="128"/>
      <c r="H245" s="128"/>
      <c r="I245" s="144" t="str">
        <f>IF(H245="","",IFERROR(INDEX('12 P6 activities'!$B$7:$B$206,MATCH(H245,'12 P6 activities'!$A$7:$A$206,0)),"⚠ not in P6 list"))</f>
        <v/>
      </c>
      <c r="J245" s="144" t="str">
        <f>IF(H245="","",IFERROR(INDEX('12 P6 activities'!$C$7:$C$206,MATCH(H245,'12 P6 activities'!$A$7:$A$206,0)),"⚠ not in P6 list"))</f>
        <v/>
      </c>
      <c r="K245" s="128"/>
      <c r="L245" s="6"/>
      <c r="M245" s="6"/>
      <c r="N245" s="6"/>
      <c r="O245" s="6"/>
      <c r="P245" s="6"/>
      <c r="Q245" s="6"/>
      <c r="R245" s="6"/>
      <c r="S245" s="6"/>
      <c r="T245" s="6"/>
      <c r="U245" s="6"/>
      <c r="V245" s="6"/>
      <c r="W245" s="6"/>
      <c r="X245" s="6"/>
      <c r="Y245" s="6"/>
      <c r="Z245" s="6"/>
    </row>
    <row r="246" spans="1:26" ht="18" customHeight="1" x14ac:dyDescent="0.3">
      <c r="A246" s="152"/>
      <c r="B246" s="128"/>
      <c r="C246" s="152"/>
      <c r="D246" s="154"/>
      <c r="E246" s="154"/>
      <c r="F246" s="152"/>
      <c r="G246" s="128"/>
      <c r="H246" s="128"/>
      <c r="I246" s="144" t="str">
        <f>IF(H246="","",IFERROR(INDEX('12 P6 activities'!$B$7:$B$206,MATCH(H246,'12 P6 activities'!$A$7:$A$206,0)),"⚠ not in P6 list"))</f>
        <v/>
      </c>
      <c r="J246" s="144" t="str">
        <f>IF(H246="","",IFERROR(INDEX('12 P6 activities'!$C$7:$C$206,MATCH(H246,'12 P6 activities'!$A$7:$A$206,0)),"⚠ not in P6 list"))</f>
        <v/>
      </c>
      <c r="K246" s="128"/>
      <c r="L246" s="6"/>
      <c r="M246" s="6"/>
      <c r="N246" s="6"/>
      <c r="O246" s="6"/>
      <c r="P246" s="6"/>
      <c r="Q246" s="6"/>
      <c r="R246" s="6"/>
      <c r="S246" s="6"/>
      <c r="T246" s="6"/>
      <c r="U246" s="6"/>
      <c r="V246" s="6"/>
      <c r="W246" s="6"/>
      <c r="X246" s="6"/>
      <c r="Y246" s="6"/>
      <c r="Z246" s="6"/>
    </row>
    <row r="247" spans="1:26" ht="18" customHeight="1" x14ac:dyDescent="0.3">
      <c r="A247" s="152"/>
      <c r="B247" s="128"/>
      <c r="C247" s="152"/>
      <c r="D247" s="154"/>
      <c r="E247" s="154"/>
      <c r="F247" s="152"/>
      <c r="G247" s="128"/>
      <c r="H247" s="128"/>
      <c r="I247" s="144" t="str">
        <f>IF(H247="","",IFERROR(INDEX('12 P6 activities'!$B$7:$B$206,MATCH(H247,'12 P6 activities'!$A$7:$A$206,0)),"⚠ not in P6 list"))</f>
        <v/>
      </c>
      <c r="J247" s="144" t="str">
        <f>IF(H247="","",IFERROR(INDEX('12 P6 activities'!$C$7:$C$206,MATCH(H247,'12 P6 activities'!$A$7:$A$206,0)),"⚠ not in P6 list"))</f>
        <v/>
      </c>
      <c r="K247" s="128"/>
      <c r="L247" s="6"/>
      <c r="M247" s="6"/>
      <c r="N247" s="6"/>
      <c r="O247" s="6"/>
      <c r="P247" s="6"/>
      <c r="Q247" s="6"/>
      <c r="R247" s="6"/>
      <c r="S247" s="6"/>
      <c r="T247" s="6"/>
      <c r="U247" s="6"/>
      <c r="V247" s="6"/>
      <c r="W247" s="6"/>
      <c r="X247" s="6"/>
      <c r="Y247" s="6"/>
      <c r="Z247" s="6"/>
    </row>
    <row r="248" spans="1:26" ht="18" customHeight="1" x14ac:dyDescent="0.3">
      <c r="A248" s="152"/>
      <c r="B248" s="128"/>
      <c r="C248" s="152"/>
      <c r="D248" s="154"/>
      <c r="E248" s="154"/>
      <c r="F248" s="152"/>
      <c r="G248" s="128"/>
      <c r="H248" s="128"/>
      <c r="I248" s="144" t="str">
        <f>IF(H248="","",IFERROR(INDEX('12 P6 activities'!$B$7:$B$206,MATCH(H248,'12 P6 activities'!$A$7:$A$206,0)),"⚠ not in P6 list"))</f>
        <v/>
      </c>
      <c r="J248" s="144" t="str">
        <f>IF(H248="","",IFERROR(INDEX('12 P6 activities'!$C$7:$C$206,MATCH(H248,'12 P6 activities'!$A$7:$A$206,0)),"⚠ not in P6 list"))</f>
        <v/>
      </c>
      <c r="K248" s="128"/>
      <c r="L248" s="6"/>
      <c r="M248" s="6"/>
      <c r="N248" s="6"/>
      <c r="O248" s="6"/>
      <c r="P248" s="6"/>
      <c r="Q248" s="6"/>
      <c r="R248" s="6"/>
      <c r="S248" s="6"/>
      <c r="T248" s="6"/>
      <c r="U248" s="6"/>
      <c r="V248" s="6"/>
      <c r="W248" s="6"/>
      <c r="X248" s="6"/>
      <c r="Y248" s="6"/>
      <c r="Z248" s="6"/>
    </row>
    <row r="249" spans="1:26" ht="18" customHeight="1" x14ac:dyDescent="0.3">
      <c r="A249" s="152"/>
      <c r="B249" s="128"/>
      <c r="C249" s="152"/>
      <c r="D249" s="154"/>
      <c r="E249" s="154"/>
      <c r="F249" s="152"/>
      <c r="G249" s="128"/>
      <c r="H249" s="128"/>
      <c r="I249" s="144" t="str">
        <f>IF(H249="","",IFERROR(INDEX('12 P6 activities'!$B$7:$B$206,MATCH(H249,'12 P6 activities'!$A$7:$A$206,0)),"⚠ not in P6 list"))</f>
        <v/>
      </c>
      <c r="J249" s="144" t="str">
        <f>IF(H249="","",IFERROR(INDEX('12 P6 activities'!$C$7:$C$206,MATCH(H249,'12 P6 activities'!$A$7:$A$206,0)),"⚠ not in P6 list"))</f>
        <v/>
      </c>
      <c r="K249" s="128"/>
      <c r="L249" s="6"/>
      <c r="M249" s="6"/>
      <c r="N249" s="6"/>
      <c r="O249" s="6"/>
      <c r="P249" s="6"/>
      <c r="Q249" s="6"/>
      <c r="R249" s="6"/>
      <c r="S249" s="6"/>
      <c r="T249" s="6"/>
      <c r="U249" s="6"/>
      <c r="V249" s="6"/>
      <c r="W249" s="6"/>
      <c r="X249" s="6"/>
      <c r="Y249" s="6"/>
      <c r="Z249" s="6"/>
    </row>
    <row r="250" spans="1:26" ht="18" customHeight="1" x14ac:dyDescent="0.3">
      <c r="A250" s="152"/>
      <c r="B250" s="128"/>
      <c r="C250" s="152"/>
      <c r="D250" s="154"/>
      <c r="E250" s="154"/>
      <c r="F250" s="152"/>
      <c r="G250" s="128"/>
      <c r="H250" s="128"/>
      <c r="I250" s="144" t="str">
        <f>IF(H250="","",IFERROR(INDEX('12 P6 activities'!$B$7:$B$206,MATCH(H250,'12 P6 activities'!$A$7:$A$206,0)),"⚠ not in P6 list"))</f>
        <v/>
      </c>
      <c r="J250" s="144" t="str">
        <f>IF(H250="","",IFERROR(INDEX('12 P6 activities'!$C$7:$C$206,MATCH(H250,'12 P6 activities'!$A$7:$A$206,0)),"⚠ not in P6 list"))</f>
        <v/>
      </c>
      <c r="K250" s="128"/>
      <c r="L250" s="6"/>
      <c r="M250" s="6"/>
      <c r="N250" s="6"/>
      <c r="O250" s="6"/>
      <c r="P250" s="6"/>
      <c r="Q250" s="6"/>
      <c r="R250" s="6"/>
      <c r="S250" s="6"/>
      <c r="T250" s="6"/>
      <c r="U250" s="6"/>
      <c r="V250" s="6"/>
      <c r="W250" s="6"/>
      <c r="X250" s="6"/>
      <c r="Y250" s="6"/>
      <c r="Z250" s="6"/>
    </row>
    <row r="251" spans="1:26" ht="18" customHeight="1" x14ac:dyDescent="0.3">
      <c r="A251" s="152"/>
      <c r="B251" s="128"/>
      <c r="C251" s="152"/>
      <c r="D251" s="154"/>
      <c r="E251" s="154"/>
      <c r="F251" s="152"/>
      <c r="G251" s="128"/>
      <c r="H251" s="128"/>
      <c r="I251" s="144" t="str">
        <f>IF(H251="","",IFERROR(INDEX('12 P6 activities'!$B$7:$B$206,MATCH(H251,'12 P6 activities'!$A$7:$A$206,0)),"⚠ not in P6 list"))</f>
        <v/>
      </c>
      <c r="J251" s="144" t="str">
        <f>IF(H251="","",IFERROR(INDEX('12 P6 activities'!$C$7:$C$206,MATCH(H251,'12 P6 activities'!$A$7:$A$206,0)),"⚠ not in P6 list"))</f>
        <v/>
      </c>
      <c r="K251" s="128"/>
      <c r="L251" s="6"/>
      <c r="M251" s="6"/>
      <c r="N251" s="6"/>
      <c r="O251" s="6"/>
      <c r="P251" s="6"/>
      <c r="Q251" s="6"/>
      <c r="R251" s="6"/>
      <c r="S251" s="6"/>
      <c r="T251" s="6"/>
      <c r="U251" s="6"/>
      <c r="V251" s="6"/>
      <c r="W251" s="6"/>
      <c r="X251" s="6"/>
      <c r="Y251" s="6"/>
      <c r="Z251" s="6"/>
    </row>
    <row r="252" spans="1:26" ht="18" customHeight="1" x14ac:dyDescent="0.3">
      <c r="A252" s="152"/>
      <c r="B252" s="128"/>
      <c r="C252" s="152"/>
      <c r="D252" s="154"/>
      <c r="E252" s="154"/>
      <c r="F252" s="152"/>
      <c r="G252" s="128"/>
      <c r="H252" s="128"/>
      <c r="I252" s="144" t="str">
        <f>IF(H252="","",IFERROR(INDEX('12 P6 activities'!$B$7:$B$206,MATCH(H252,'12 P6 activities'!$A$7:$A$206,0)),"⚠ not in P6 list"))</f>
        <v/>
      </c>
      <c r="J252" s="144" t="str">
        <f>IF(H252="","",IFERROR(INDEX('12 P6 activities'!$C$7:$C$206,MATCH(H252,'12 P6 activities'!$A$7:$A$206,0)),"⚠ not in P6 list"))</f>
        <v/>
      </c>
      <c r="K252" s="128"/>
      <c r="L252" s="6"/>
      <c r="M252" s="6"/>
      <c r="N252" s="6"/>
      <c r="O252" s="6"/>
      <c r="P252" s="6"/>
      <c r="Q252" s="6"/>
      <c r="R252" s="6"/>
      <c r="S252" s="6"/>
      <c r="T252" s="6"/>
      <c r="U252" s="6"/>
      <c r="V252" s="6"/>
      <c r="W252" s="6"/>
      <c r="X252" s="6"/>
      <c r="Y252" s="6"/>
      <c r="Z252" s="6"/>
    </row>
    <row r="253" spans="1:26" ht="18" customHeight="1" x14ac:dyDescent="0.3">
      <c r="A253" s="152"/>
      <c r="B253" s="128"/>
      <c r="C253" s="152"/>
      <c r="D253" s="154"/>
      <c r="E253" s="154"/>
      <c r="F253" s="152"/>
      <c r="G253" s="128"/>
      <c r="H253" s="128"/>
      <c r="I253" s="144" t="str">
        <f>IF(H253="","",IFERROR(INDEX('12 P6 activities'!$B$7:$B$206,MATCH(H253,'12 P6 activities'!$A$7:$A$206,0)),"⚠ not in P6 list"))</f>
        <v/>
      </c>
      <c r="J253" s="144" t="str">
        <f>IF(H253="","",IFERROR(INDEX('12 P6 activities'!$C$7:$C$206,MATCH(H253,'12 P6 activities'!$A$7:$A$206,0)),"⚠ not in P6 list"))</f>
        <v/>
      </c>
      <c r="K253" s="128"/>
      <c r="L253" s="6"/>
      <c r="M253" s="6"/>
      <c r="N253" s="6"/>
      <c r="O253" s="6"/>
      <c r="P253" s="6"/>
      <c r="Q253" s="6"/>
      <c r="R253" s="6"/>
      <c r="S253" s="6"/>
      <c r="T253" s="6"/>
      <c r="U253" s="6"/>
      <c r="V253" s="6"/>
      <c r="W253" s="6"/>
      <c r="X253" s="6"/>
      <c r="Y253" s="6"/>
      <c r="Z253" s="6"/>
    </row>
    <row r="254" spans="1:26" ht="18" customHeight="1" x14ac:dyDescent="0.3">
      <c r="A254" s="152"/>
      <c r="B254" s="128"/>
      <c r="C254" s="152"/>
      <c r="D254" s="154"/>
      <c r="E254" s="154"/>
      <c r="F254" s="152"/>
      <c r="G254" s="128"/>
      <c r="H254" s="128"/>
      <c r="I254" s="144" t="str">
        <f>IF(H254="","",IFERROR(INDEX('12 P6 activities'!$B$7:$B$206,MATCH(H254,'12 P6 activities'!$A$7:$A$206,0)),"⚠ not in P6 list"))</f>
        <v/>
      </c>
      <c r="J254" s="144" t="str">
        <f>IF(H254="","",IFERROR(INDEX('12 P6 activities'!$C$7:$C$206,MATCH(H254,'12 P6 activities'!$A$7:$A$206,0)),"⚠ not in P6 list"))</f>
        <v/>
      </c>
      <c r="K254" s="128"/>
      <c r="L254" s="6"/>
      <c r="M254" s="6"/>
      <c r="N254" s="6"/>
      <c r="O254" s="6"/>
      <c r="P254" s="6"/>
      <c r="Q254" s="6"/>
      <c r="R254" s="6"/>
      <c r="S254" s="6"/>
      <c r="T254" s="6"/>
      <c r="U254" s="6"/>
      <c r="V254" s="6"/>
      <c r="W254" s="6"/>
      <c r="X254" s="6"/>
      <c r="Y254" s="6"/>
      <c r="Z254" s="6"/>
    </row>
    <row r="255" spans="1:26" ht="18" customHeight="1" x14ac:dyDescent="0.3">
      <c r="A255" s="152"/>
      <c r="B255" s="128"/>
      <c r="C255" s="152"/>
      <c r="D255" s="154"/>
      <c r="E255" s="154"/>
      <c r="F255" s="152"/>
      <c r="G255" s="128"/>
      <c r="H255" s="128"/>
      <c r="I255" s="144" t="str">
        <f>IF(H255="","",IFERROR(INDEX('12 P6 activities'!$B$7:$B$206,MATCH(H255,'12 P6 activities'!$A$7:$A$206,0)),"⚠ not in P6 list"))</f>
        <v/>
      </c>
      <c r="J255" s="144" t="str">
        <f>IF(H255="","",IFERROR(INDEX('12 P6 activities'!$C$7:$C$206,MATCH(H255,'12 P6 activities'!$A$7:$A$206,0)),"⚠ not in P6 list"))</f>
        <v/>
      </c>
      <c r="K255" s="128"/>
      <c r="L255" s="6"/>
      <c r="M255" s="6"/>
      <c r="N255" s="6"/>
      <c r="O255" s="6"/>
      <c r="P255" s="6"/>
      <c r="Q255" s="6"/>
      <c r="R255" s="6"/>
      <c r="S255" s="6"/>
      <c r="T255" s="6"/>
      <c r="U255" s="6"/>
      <c r="V255" s="6"/>
      <c r="W255" s="6"/>
      <c r="X255" s="6"/>
      <c r="Y255" s="6"/>
      <c r="Z255" s="6"/>
    </row>
    <row r="256" spans="1:26" ht="18" customHeight="1" x14ac:dyDescent="0.3">
      <c r="A256" s="152"/>
      <c r="B256" s="128"/>
      <c r="C256" s="152"/>
      <c r="D256" s="154"/>
      <c r="E256" s="154"/>
      <c r="F256" s="152"/>
      <c r="G256" s="128"/>
      <c r="H256" s="128"/>
      <c r="I256" s="144" t="str">
        <f>IF(H256="","",IFERROR(INDEX('12 P6 activities'!$B$7:$B$206,MATCH(H256,'12 P6 activities'!$A$7:$A$206,0)),"⚠ not in P6 list"))</f>
        <v/>
      </c>
      <c r="J256" s="144" t="str">
        <f>IF(H256="","",IFERROR(INDEX('12 P6 activities'!$C$7:$C$206,MATCH(H256,'12 P6 activities'!$A$7:$A$206,0)),"⚠ not in P6 list"))</f>
        <v/>
      </c>
      <c r="K256" s="128"/>
      <c r="L256" s="6"/>
      <c r="M256" s="6"/>
      <c r="N256" s="6"/>
      <c r="O256" s="6"/>
      <c r="P256" s="6"/>
      <c r="Q256" s="6"/>
      <c r="R256" s="6"/>
      <c r="S256" s="6"/>
      <c r="T256" s="6"/>
      <c r="U256" s="6"/>
      <c r="V256" s="6"/>
      <c r="W256" s="6"/>
      <c r="X256" s="6"/>
      <c r="Y256" s="6"/>
      <c r="Z256" s="6"/>
    </row>
    <row r="257" spans="1:26" ht="18" customHeight="1" x14ac:dyDescent="0.3">
      <c r="A257" s="152"/>
      <c r="B257" s="128"/>
      <c r="C257" s="152"/>
      <c r="D257" s="154"/>
      <c r="E257" s="154"/>
      <c r="F257" s="152"/>
      <c r="G257" s="128"/>
      <c r="H257" s="128"/>
      <c r="I257" s="144" t="str">
        <f>IF(H257="","",IFERROR(INDEX('12 P6 activities'!$B$7:$B$206,MATCH(H257,'12 P6 activities'!$A$7:$A$206,0)),"⚠ not in P6 list"))</f>
        <v/>
      </c>
      <c r="J257" s="144" t="str">
        <f>IF(H257="","",IFERROR(INDEX('12 P6 activities'!$C$7:$C$206,MATCH(H257,'12 P6 activities'!$A$7:$A$206,0)),"⚠ not in P6 list"))</f>
        <v/>
      </c>
      <c r="K257" s="128"/>
      <c r="L257" s="6"/>
      <c r="M257" s="6"/>
      <c r="N257" s="6"/>
      <c r="O257" s="6"/>
      <c r="P257" s="6"/>
      <c r="Q257" s="6"/>
      <c r="R257" s="6"/>
      <c r="S257" s="6"/>
      <c r="T257" s="6"/>
      <c r="U257" s="6"/>
      <c r="V257" s="6"/>
      <c r="W257" s="6"/>
      <c r="X257" s="6"/>
      <c r="Y257" s="6"/>
      <c r="Z257" s="6"/>
    </row>
    <row r="258" spans="1:26" ht="18" customHeight="1" x14ac:dyDescent="0.3">
      <c r="A258" s="152"/>
      <c r="B258" s="128"/>
      <c r="C258" s="152"/>
      <c r="D258" s="154"/>
      <c r="E258" s="154"/>
      <c r="F258" s="152"/>
      <c r="G258" s="128"/>
      <c r="H258" s="128"/>
      <c r="I258" s="144" t="str">
        <f>IF(H258="","",IFERROR(INDEX('12 P6 activities'!$B$7:$B$206,MATCH(H258,'12 P6 activities'!$A$7:$A$206,0)),"⚠ not in P6 list"))</f>
        <v/>
      </c>
      <c r="J258" s="144" t="str">
        <f>IF(H258="","",IFERROR(INDEX('12 P6 activities'!$C$7:$C$206,MATCH(H258,'12 P6 activities'!$A$7:$A$206,0)),"⚠ not in P6 list"))</f>
        <v/>
      </c>
      <c r="K258" s="128"/>
      <c r="L258" s="6"/>
      <c r="M258" s="6"/>
      <c r="N258" s="6"/>
      <c r="O258" s="6"/>
      <c r="P258" s="6"/>
      <c r="Q258" s="6"/>
      <c r="R258" s="6"/>
      <c r="S258" s="6"/>
      <c r="T258" s="6"/>
      <c r="U258" s="6"/>
      <c r="V258" s="6"/>
      <c r="W258" s="6"/>
      <c r="X258" s="6"/>
      <c r="Y258" s="6"/>
      <c r="Z258" s="6"/>
    </row>
    <row r="259" spans="1:26" ht="18" customHeight="1" x14ac:dyDescent="0.3">
      <c r="A259" s="152"/>
      <c r="B259" s="128"/>
      <c r="C259" s="152"/>
      <c r="D259" s="154"/>
      <c r="E259" s="154"/>
      <c r="F259" s="152"/>
      <c r="G259" s="128"/>
      <c r="H259" s="128"/>
      <c r="I259" s="144" t="str">
        <f>IF(H259="","",IFERROR(INDEX('12 P6 activities'!$B$7:$B$206,MATCH(H259,'12 P6 activities'!$A$7:$A$206,0)),"⚠ not in P6 list"))</f>
        <v/>
      </c>
      <c r="J259" s="144" t="str">
        <f>IF(H259="","",IFERROR(INDEX('12 P6 activities'!$C$7:$C$206,MATCH(H259,'12 P6 activities'!$A$7:$A$206,0)),"⚠ not in P6 list"))</f>
        <v/>
      </c>
      <c r="K259" s="128"/>
      <c r="L259" s="6"/>
      <c r="M259" s="6"/>
      <c r="N259" s="6"/>
      <c r="O259" s="6"/>
      <c r="P259" s="6"/>
      <c r="Q259" s="6"/>
      <c r="R259" s="6"/>
      <c r="S259" s="6"/>
      <c r="T259" s="6"/>
      <c r="U259" s="6"/>
      <c r="V259" s="6"/>
      <c r="W259" s="6"/>
      <c r="X259" s="6"/>
      <c r="Y259" s="6"/>
      <c r="Z259" s="6"/>
    </row>
    <row r="260" spans="1:26" ht="18" customHeight="1" x14ac:dyDescent="0.3">
      <c r="A260" s="152"/>
      <c r="B260" s="128"/>
      <c r="C260" s="152"/>
      <c r="D260" s="154"/>
      <c r="E260" s="154"/>
      <c r="F260" s="152"/>
      <c r="G260" s="128"/>
      <c r="H260" s="128"/>
      <c r="I260" s="144" t="str">
        <f>IF(H260="","",IFERROR(INDEX('12 P6 activities'!$B$7:$B$206,MATCH(H260,'12 P6 activities'!$A$7:$A$206,0)),"⚠ not in P6 list"))</f>
        <v/>
      </c>
      <c r="J260" s="144" t="str">
        <f>IF(H260="","",IFERROR(INDEX('12 P6 activities'!$C$7:$C$206,MATCH(H260,'12 P6 activities'!$A$7:$A$206,0)),"⚠ not in P6 list"))</f>
        <v/>
      </c>
      <c r="K260" s="128"/>
      <c r="L260" s="6"/>
      <c r="M260" s="6"/>
      <c r="N260" s="6"/>
      <c r="O260" s="6"/>
      <c r="P260" s="6"/>
      <c r="Q260" s="6"/>
      <c r="R260" s="6"/>
      <c r="S260" s="6"/>
      <c r="T260" s="6"/>
      <c r="U260" s="6"/>
      <c r="V260" s="6"/>
      <c r="W260" s="6"/>
      <c r="X260" s="6"/>
      <c r="Y260" s="6"/>
      <c r="Z260" s="6"/>
    </row>
    <row r="261" spans="1:26" ht="18" customHeight="1" x14ac:dyDescent="0.3">
      <c r="A261" s="152"/>
      <c r="B261" s="128"/>
      <c r="C261" s="152"/>
      <c r="D261" s="154"/>
      <c r="E261" s="154"/>
      <c r="F261" s="152"/>
      <c r="G261" s="128"/>
      <c r="H261" s="128"/>
      <c r="I261" s="144" t="str">
        <f>IF(H261="","",IFERROR(INDEX('12 P6 activities'!$B$7:$B$206,MATCH(H261,'12 P6 activities'!$A$7:$A$206,0)),"⚠ not in P6 list"))</f>
        <v/>
      </c>
      <c r="J261" s="144" t="str">
        <f>IF(H261="","",IFERROR(INDEX('12 P6 activities'!$C$7:$C$206,MATCH(H261,'12 P6 activities'!$A$7:$A$206,0)),"⚠ not in P6 list"))</f>
        <v/>
      </c>
      <c r="K261" s="128"/>
      <c r="L261" s="6"/>
      <c r="M261" s="6"/>
      <c r="N261" s="6"/>
      <c r="O261" s="6"/>
      <c r="P261" s="6"/>
      <c r="Q261" s="6"/>
      <c r="R261" s="6"/>
      <c r="S261" s="6"/>
      <c r="T261" s="6"/>
      <c r="U261" s="6"/>
      <c r="V261" s="6"/>
      <c r="W261" s="6"/>
      <c r="X261" s="6"/>
      <c r="Y261" s="6"/>
      <c r="Z261" s="6"/>
    </row>
    <row r="262" spans="1:26" ht="18" customHeight="1" x14ac:dyDescent="0.3">
      <c r="A262" s="152"/>
      <c r="B262" s="128"/>
      <c r="C262" s="152"/>
      <c r="D262" s="154"/>
      <c r="E262" s="154"/>
      <c r="F262" s="152"/>
      <c r="G262" s="128"/>
      <c r="H262" s="128"/>
      <c r="I262" s="144" t="str">
        <f>IF(H262="","",IFERROR(INDEX('12 P6 activities'!$B$7:$B$206,MATCH(H262,'12 P6 activities'!$A$7:$A$206,0)),"⚠ not in P6 list"))</f>
        <v/>
      </c>
      <c r="J262" s="144" t="str">
        <f>IF(H262="","",IFERROR(INDEX('12 P6 activities'!$C$7:$C$206,MATCH(H262,'12 P6 activities'!$A$7:$A$206,0)),"⚠ not in P6 list"))</f>
        <v/>
      </c>
      <c r="K262" s="128"/>
      <c r="L262" s="6"/>
      <c r="M262" s="6"/>
      <c r="N262" s="6"/>
      <c r="O262" s="6"/>
      <c r="P262" s="6"/>
      <c r="Q262" s="6"/>
      <c r="R262" s="6"/>
      <c r="S262" s="6"/>
      <c r="T262" s="6"/>
      <c r="U262" s="6"/>
      <c r="V262" s="6"/>
      <c r="W262" s="6"/>
      <c r="X262" s="6"/>
      <c r="Y262" s="6"/>
      <c r="Z262" s="6"/>
    </row>
    <row r="263" spans="1:26" ht="18" customHeight="1" x14ac:dyDescent="0.3">
      <c r="A263" s="152"/>
      <c r="B263" s="128"/>
      <c r="C263" s="152"/>
      <c r="D263" s="154"/>
      <c r="E263" s="154"/>
      <c r="F263" s="152"/>
      <c r="G263" s="128"/>
      <c r="H263" s="128"/>
      <c r="I263" s="144" t="str">
        <f>IF(H263="","",IFERROR(INDEX('12 P6 activities'!$B$7:$B$206,MATCH(H263,'12 P6 activities'!$A$7:$A$206,0)),"⚠ not in P6 list"))</f>
        <v/>
      </c>
      <c r="J263" s="144" t="str">
        <f>IF(H263="","",IFERROR(INDEX('12 P6 activities'!$C$7:$C$206,MATCH(H263,'12 P6 activities'!$A$7:$A$206,0)),"⚠ not in P6 list"))</f>
        <v/>
      </c>
      <c r="K263" s="128"/>
      <c r="L263" s="6"/>
      <c r="M263" s="6"/>
      <c r="N263" s="6"/>
      <c r="O263" s="6"/>
      <c r="P263" s="6"/>
      <c r="Q263" s="6"/>
      <c r="R263" s="6"/>
      <c r="S263" s="6"/>
      <c r="T263" s="6"/>
      <c r="U263" s="6"/>
      <c r="V263" s="6"/>
      <c r="W263" s="6"/>
      <c r="X263" s="6"/>
      <c r="Y263" s="6"/>
      <c r="Z263" s="6"/>
    </row>
    <row r="264" spans="1:26" ht="18" customHeight="1" x14ac:dyDescent="0.3">
      <c r="A264" s="152"/>
      <c r="B264" s="128"/>
      <c r="C264" s="152"/>
      <c r="D264" s="154"/>
      <c r="E264" s="154"/>
      <c r="F264" s="152"/>
      <c r="G264" s="128"/>
      <c r="H264" s="128"/>
      <c r="I264" s="144" t="str">
        <f>IF(H264="","",IFERROR(INDEX('12 P6 activities'!$B$7:$B$206,MATCH(H264,'12 P6 activities'!$A$7:$A$206,0)),"⚠ not in P6 list"))</f>
        <v/>
      </c>
      <c r="J264" s="144" t="str">
        <f>IF(H264="","",IFERROR(INDEX('12 P6 activities'!$C$7:$C$206,MATCH(H264,'12 P6 activities'!$A$7:$A$206,0)),"⚠ not in P6 list"))</f>
        <v/>
      </c>
      <c r="K264" s="128"/>
      <c r="L264" s="6"/>
      <c r="M264" s="6"/>
      <c r="N264" s="6"/>
      <c r="O264" s="6"/>
      <c r="P264" s="6"/>
      <c r="Q264" s="6"/>
      <c r="R264" s="6"/>
      <c r="S264" s="6"/>
      <c r="T264" s="6"/>
      <c r="U264" s="6"/>
      <c r="V264" s="6"/>
      <c r="W264" s="6"/>
      <c r="X264" s="6"/>
      <c r="Y264" s="6"/>
      <c r="Z264" s="6"/>
    </row>
    <row r="265" spans="1:26" ht="18" customHeight="1" x14ac:dyDescent="0.3">
      <c r="A265" s="152"/>
      <c r="B265" s="128"/>
      <c r="C265" s="152"/>
      <c r="D265" s="154"/>
      <c r="E265" s="154"/>
      <c r="F265" s="152"/>
      <c r="G265" s="128"/>
      <c r="H265" s="128"/>
      <c r="I265" s="144" t="str">
        <f>IF(H265="","",IFERROR(INDEX('12 P6 activities'!$B$7:$B$206,MATCH(H265,'12 P6 activities'!$A$7:$A$206,0)),"⚠ not in P6 list"))</f>
        <v/>
      </c>
      <c r="J265" s="144" t="str">
        <f>IF(H265="","",IFERROR(INDEX('12 P6 activities'!$C$7:$C$206,MATCH(H265,'12 P6 activities'!$A$7:$A$206,0)),"⚠ not in P6 list"))</f>
        <v/>
      </c>
      <c r="K265" s="128"/>
      <c r="L265" s="6"/>
      <c r="M265" s="6"/>
      <c r="N265" s="6"/>
      <c r="O265" s="6"/>
      <c r="P265" s="6"/>
      <c r="Q265" s="6"/>
      <c r="R265" s="6"/>
      <c r="S265" s="6"/>
      <c r="T265" s="6"/>
      <c r="U265" s="6"/>
      <c r="V265" s="6"/>
      <c r="W265" s="6"/>
      <c r="X265" s="6"/>
      <c r="Y265" s="6"/>
      <c r="Z265" s="6"/>
    </row>
    <row r="266" spans="1:26" ht="18" customHeight="1" x14ac:dyDescent="0.3">
      <c r="A266" s="152"/>
      <c r="B266" s="128"/>
      <c r="C266" s="152"/>
      <c r="D266" s="154"/>
      <c r="E266" s="154"/>
      <c r="F266" s="152"/>
      <c r="G266" s="128"/>
      <c r="H266" s="128"/>
      <c r="I266" s="144" t="str">
        <f>IF(H266="","",IFERROR(INDEX('12 P6 activities'!$B$7:$B$206,MATCH(H266,'12 P6 activities'!$A$7:$A$206,0)),"⚠ not in P6 list"))</f>
        <v/>
      </c>
      <c r="J266" s="144" t="str">
        <f>IF(H266="","",IFERROR(INDEX('12 P6 activities'!$C$7:$C$206,MATCH(H266,'12 P6 activities'!$A$7:$A$206,0)),"⚠ not in P6 list"))</f>
        <v/>
      </c>
      <c r="K266" s="128"/>
      <c r="L266" s="6"/>
      <c r="M266" s="6"/>
      <c r="N266" s="6"/>
      <c r="O266" s="6"/>
      <c r="P266" s="6"/>
      <c r="Q266" s="6"/>
      <c r="R266" s="6"/>
      <c r="S266" s="6"/>
      <c r="T266" s="6"/>
      <c r="U266" s="6"/>
      <c r="V266" s="6"/>
      <c r="W266" s="6"/>
      <c r="X266" s="6"/>
      <c r="Y266" s="6"/>
      <c r="Z266" s="6"/>
    </row>
    <row r="267" spans="1:26" ht="18" customHeight="1" x14ac:dyDescent="0.3">
      <c r="A267" s="152"/>
      <c r="B267" s="128"/>
      <c r="C267" s="152"/>
      <c r="D267" s="154"/>
      <c r="E267" s="154"/>
      <c r="F267" s="152"/>
      <c r="G267" s="128"/>
      <c r="H267" s="128"/>
      <c r="I267" s="144" t="str">
        <f>IF(H267="","",IFERROR(INDEX('12 P6 activities'!$B$7:$B$206,MATCH(H267,'12 P6 activities'!$A$7:$A$206,0)),"⚠ not in P6 list"))</f>
        <v/>
      </c>
      <c r="J267" s="144" t="str">
        <f>IF(H267="","",IFERROR(INDEX('12 P6 activities'!$C$7:$C$206,MATCH(H267,'12 P6 activities'!$A$7:$A$206,0)),"⚠ not in P6 list"))</f>
        <v/>
      </c>
      <c r="K267" s="128"/>
      <c r="L267" s="6"/>
      <c r="M267" s="6"/>
      <c r="N267" s="6"/>
      <c r="O267" s="6"/>
      <c r="P267" s="6"/>
      <c r="Q267" s="6"/>
      <c r="R267" s="6"/>
      <c r="S267" s="6"/>
      <c r="T267" s="6"/>
      <c r="U267" s="6"/>
      <c r="V267" s="6"/>
      <c r="W267" s="6"/>
      <c r="X267" s="6"/>
      <c r="Y267" s="6"/>
      <c r="Z267" s="6"/>
    </row>
    <row r="268" spans="1:26" ht="18" customHeight="1" x14ac:dyDescent="0.3">
      <c r="A268" s="152"/>
      <c r="B268" s="128"/>
      <c r="C268" s="152"/>
      <c r="D268" s="154"/>
      <c r="E268" s="154"/>
      <c r="F268" s="152"/>
      <c r="G268" s="128"/>
      <c r="H268" s="128"/>
      <c r="I268" s="144" t="str">
        <f>IF(H268="","",IFERROR(INDEX('12 P6 activities'!$B$7:$B$206,MATCH(H268,'12 P6 activities'!$A$7:$A$206,0)),"⚠ not in P6 list"))</f>
        <v/>
      </c>
      <c r="J268" s="144" t="str">
        <f>IF(H268="","",IFERROR(INDEX('12 P6 activities'!$C$7:$C$206,MATCH(H268,'12 P6 activities'!$A$7:$A$206,0)),"⚠ not in P6 list"))</f>
        <v/>
      </c>
      <c r="K268" s="128"/>
      <c r="L268" s="6"/>
      <c r="M268" s="6"/>
      <c r="N268" s="6"/>
      <c r="O268" s="6"/>
      <c r="P268" s="6"/>
      <c r="Q268" s="6"/>
      <c r="R268" s="6"/>
      <c r="S268" s="6"/>
      <c r="T268" s="6"/>
      <c r="U268" s="6"/>
      <c r="V268" s="6"/>
      <c r="W268" s="6"/>
      <c r="X268" s="6"/>
      <c r="Y268" s="6"/>
      <c r="Z268" s="6"/>
    </row>
    <row r="269" spans="1:26" ht="18" customHeight="1" x14ac:dyDescent="0.3">
      <c r="A269" s="152"/>
      <c r="B269" s="128"/>
      <c r="C269" s="152"/>
      <c r="D269" s="154"/>
      <c r="E269" s="154"/>
      <c r="F269" s="152"/>
      <c r="G269" s="128"/>
      <c r="H269" s="128"/>
      <c r="I269" s="144" t="str">
        <f>IF(H269="","",IFERROR(INDEX('12 P6 activities'!$B$7:$B$206,MATCH(H269,'12 P6 activities'!$A$7:$A$206,0)),"⚠ not in P6 list"))</f>
        <v/>
      </c>
      <c r="J269" s="144" t="str">
        <f>IF(H269="","",IFERROR(INDEX('12 P6 activities'!$C$7:$C$206,MATCH(H269,'12 P6 activities'!$A$7:$A$206,0)),"⚠ not in P6 list"))</f>
        <v/>
      </c>
      <c r="K269" s="128"/>
      <c r="L269" s="6"/>
      <c r="M269" s="6"/>
      <c r="N269" s="6"/>
      <c r="O269" s="6"/>
      <c r="P269" s="6"/>
      <c r="Q269" s="6"/>
      <c r="R269" s="6"/>
      <c r="S269" s="6"/>
      <c r="T269" s="6"/>
      <c r="U269" s="6"/>
      <c r="V269" s="6"/>
      <c r="W269" s="6"/>
      <c r="X269" s="6"/>
      <c r="Y269" s="6"/>
      <c r="Z269" s="6"/>
    </row>
    <row r="270" spans="1:26" ht="18" customHeight="1" x14ac:dyDescent="0.3">
      <c r="A270" s="152"/>
      <c r="B270" s="128"/>
      <c r="C270" s="152"/>
      <c r="D270" s="154"/>
      <c r="E270" s="154"/>
      <c r="F270" s="152"/>
      <c r="G270" s="128"/>
      <c r="H270" s="128"/>
      <c r="I270" s="144" t="str">
        <f>IF(H270="","",IFERROR(INDEX('12 P6 activities'!$B$7:$B$206,MATCH(H270,'12 P6 activities'!$A$7:$A$206,0)),"⚠ not in P6 list"))</f>
        <v/>
      </c>
      <c r="J270" s="144" t="str">
        <f>IF(H270="","",IFERROR(INDEX('12 P6 activities'!$C$7:$C$206,MATCH(H270,'12 P6 activities'!$A$7:$A$206,0)),"⚠ not in P6 list"))</f>
        <v/>
      </c>
      <c r="K270" s="128"/>
      <c r="L270" s="6"/>
      <c r="M270" s="6"/>
      <c r="N270" s="6"/>
      <c r="O270" s="6"/>
      <c r="P270" s="6"/>
      <c r="Q270" s="6"/>
      <c r="R270" s="6"/>
      <c r="S270" s="6"/>
      <c r="T270" s="6"/>
      <c r="U270" s="6"/>
      <c r="V270" s="6"/>
      <c r="W270" s="6"/>
      <c r="X270" s="6"/>
      <c r="Y270" s="6"/>
      <c r="Z270" s="6"/>
    </row>
    <row r="271" spans="1:26" ht="18" customHeight="1" x14ac:dyDescent="0.3">
      <c r="A271" s="152"/>
      <c r="B271" s="128"/>
      <c r="C271" s="152"/>
      <c r="D271" s="154"/>
      <c r="E271" s="154"/>
      <c r="F271" s="152"/>
      <c r="G271" s="128"/>
      <c r="H271" s="128"/>
      <c r="I271" s="144" t="str">
        <f>IF(H271="","",IFERROR(INDEX('12 P6 activities'!$B$7:$B$206,MATCH(H271,'12 P6 activities'!$A$7:$A$206,0)),"⚠ not in P6 list"))</f>
        <v/>
      </c>
      <c r="J271" s="144" t="str">
        <f>IF(H271="","",IFERROR(INDEX('12 P6 activities'!$C$7:$C$206,MATCH(H271,'12 P6 activities'!$A$7:$A$206,0)),"⚠ not in P6 list"))</f>
        <v/>
      </c>
      <c r="K271" s="128"/>
      <c r="L271" s="6"/>
      <c r="M271" s="6"/>
      <c r="N271" s="6"/>
      <c r="O271" s="6"/>
      <c r="P271" s="6"/>
      <c r="Q271" s="6"/>
      <c r="R271" s="6"/>
      <c r="S271" s="6"/>
      <c r="T271" s="6"/>
      <c r="U271" s="6"/>
      <c r="V271" s="6"/>
      <c r="W271" s="6"/>
      <c r="X271" s="6"/>
      <c r="Y271" s="6"/>
      <c r="Z271" s="6"/>
    </row>
    <row r="272" spans="1:26" ht="18" customHeight="1" x14ac:dyDescent="0.3">
      <c r="A272" s="152"/>
      <c r="B272" s="128"/>
      <c r="C272" s="152"/>
      <c r="D272" s="154"/>
      <c r="E272" s="154"/>
      <c r="F272" s="152"/>
      <c r="G272" s="128"/>
      <c r="H272" s="128"/>
      <c r="I272" s="144" t="str">
        <f>IF(H272="","",IFERROR(INDEX('12 P6 activities'!$B$7:$B$206,MATCH(H272,'12 P6 activities'!$A$7:$A$206,0)),"⚠ not in P6 list"))</f>
        <v/>
      </c>
      <c r="J272" s="144" t="str">
        <f>IF(H272="","",IFERROR(INDEX('12 P6 activities'!$C$7:$C$206,MATCH(H272,'12 P6 activities'!$A$7:$A$206,0)),"⚠ not in P6 list"))</f>
        <v/>
      </c>
      <c r="K272" s="128"/>
      <c r="L272" s="6"/>
      <c r="M272" s="6"/>
      <c r="N272" s="6"/>
      <c r="O272" s="6"/>
      <c r="P272" s="6"/>
      <c r="Q272" s="6"/>
      <c r="R272" s="6"/>
      <c r="S272" s="6"/>
      <c r="T272" s="6"/>
      <c r="U272" s="6"/>
      <c r="V272" s="6"/>
      <c r="W272" s="6"/>
      <c r="X272" s="6"/>
      <c r="Y272" s="6"/>
      <c r="Z272" s="6"/>
    </row>
    <row r="273" spans="1:26" ht="18" customHeight="1" x14ac:dyDescent="0.3">
      <c r="A273" s="152"/>
      <c r="B273" s="128"/>
      <c r="C273" s="152"/>
      <c r="D273" s="154"/>
      <c r="E273" s="154"/>
      <c r="F273" s="152"/>
      <c r="G273" s="128"/>
      <c r="H273" s="128"/>
      <c r="I273" s="144" t="str">
        <f>IF(H273="","",IFERROR(INDEX('12 P6 activities'!$B$7:$B$206,MATCH(H273,'12 P6 activities'!$A$7:$A$206,0)),"⚠ not in P6 list"))</f>
        <v/>
      </c>
      <c r="J273" s="144" t="str">
        <f>IF(H273="","",IFERROR(INDEX('12 P6 activities'!$C$7:$C$206,MATCH(H273,'12 P6 activities'!$A$7:$A$206,0)),"⚠ not in P6 list"))</f>
        <v/>
      </c>
      <c r="K273" s="128"/>
      <c r="L273" s="6"/>
      <c r="M273" s="6"/>
      <c r="N273" s="6"/>
      <c r="O273" s="6"/>
      <c r="P273" s="6"/>
      <c r="Q273" s="6"/>
      <c r="R273" s="6"/>
      <c r="S273" s="6"/>
      <c r="T273" s="6"/>
      <c r="U273" s="6"/>
      <c r="V273" s="6"/>
      <c r="W273" s="6"/>
      <c r="X273" s="6"/>
      <c r="Y273" s="6"/>
      <c r="Z273" s="6"/>
    </row>
    <row r="274" spans="1:26" ht="18" customHeight="1" x14ac:dyDescent="0.3">
      <c r="A274" s="152"/>
      <c r="B274" s="128"/>
      <c r="C274" s="152"/>
      <c r="D274" s="154"/>
      <c r="E274" s="154"/>
      <c r="F274" s="152"/>
      <c r="G274" s="128"/>
      <c r="H274" s="128"/>
      <c r="I274" s="144" t="str">
        <f>IF(H274="","",IFERROR(INDEX('12 P6 activities'!$B$7:$B$206,MATCH(H274,'12 P6 activities'!$A$7:$A$206,0)),"⚠ not in P6 list"))</f>
        <v/>
      </c>
      <c r="J274" s="144" t="str">
        <f>IF(H274="","",IFERROR(INDEX('12 P6 activities'!$C$7:$C$206,MATCH(H274,'12 P6 activities'!$A$7:$A$206,0)),"⚠ not in P6 list"))</f>
        <v/>
      </c>
      <c r="K274" s="128"/>
      <c r="L274" s="6"/>
      <c r="M274" s="6"/>
      <c r="N274" s="6"/>
      <c r="O274" s="6"/>
      <c r="P274" s="6"/>
      <c r="Q274" s="6"/>
      <c r="R274" s="6"/>
      <c r="S274" s="6"/>
      <c r="T274" s="6"/>
      <c r="U274" s="6"/>
      <c r="V274" s="6"/>
      <c r="W274" s="6"/>
      <c r="X274" s="6"/>
      <c r="Y274" s="6"/>
      <c r="Z274" s="6"/>
    </row>
    <row r="275" spans="1:26" ht="18" customHeight="1" x14ac:dyDescent="0.3">
      <c r="A275" s="152"/>
      <c r="B275" s="128"/>
      <c r="C275" s="152"/>
      <c r="D275" s="154"/>
      <c r="E275" s="154"/>
      <c r="F275" s="152"/>
      <c r="G275" s="128"/>
      <c r="H275" s="128"/>
      <c r="I275" s="144" t="str">
        <f>IF(H275="","",IFERROR(INDEX('12 P6 activities'!$B$7:$B$206,MATCH(H275,'12 P6 activities'!$A$7:$A$206,0)),"⚠ not in P6 list"))</f>
        <v/>
      </c>
      <c r="J275" s="144" t="str">
        <f>IF(H275="","",IFERROR(INDEX('12 P6 activities'!$C$7:$C$206,MATCH(H275,'12 P6 activities'!$A$7:$A$206,0)),"⚠ not in P6 list"))</f>
        <v/>
      </c>
      <c r="K275" s="128"/>
      <c r="L275" s="6"/>
      <c r="M275" s="6"/>
      <c r="N275" s="6"/>
      <c r="O275" s="6"/>
      <c r="P275" s="6"/>
      <c r="Q275" s="6"/>
      <c r="R275" s="6"/>
      <c r="S275" s="6"/>
      <c r="T275" s="6"/>
      <c r="U275" s="6"/>
      <c r="V275" s="6"/>
      <c r="W275" s="6"/>
      <c r="X275" s="6"/>
      <c r="Y275" s="6"/>
      <c r="Z275" s="6"/>
    </row>
    <row r="276" spans="1:26" ht="18" customHeight="1" x14ac:dyDescent="0.3">
      <c r="A276" s="152"/>
      <c r="B276" s="128"/>
      <c r="C276" s="152"/>
      <c r="D276" s="154"/>
      <c r="E276" s="154"/>
      <c r="F276" s="152"/>
      <c r="G276" s="128"/>
      <c r="H276" s="128"/>
      <c r="I276" s="144" t="str">
        <f>IF(H276="","",IFERROR(INDEX('12 P6 activities'!$B$7:$B$206,MATCH(H276,'12 P6 activities'!$A$7:$A$206,0)),"⚠ not in P6 list"))</f>
        <v/>
      </c>
      <c r="J276" s="144" t="str">
        <f>IF(H276="","",IFERROR(INDEX('12 P6 activities'!$C$7:$C$206,MATCH(H276,'12 P6 activities'!$A$7:$A$206,0)),"⚠ not in P6 list"))</f>
        <v/>
      </c>
      <c r="K276" s="128"/>
      <c r="L276" s="6"/>
      <c r="M276" s="6"/>
      <c r="N276" s="6"/>
      <c r="O276" s="6"/>
      <c r="P276" s="6"/>
      <c r="Q276" s="6"/>
      <c r="R276" s="6"/>
      <c r="S276" s="6"/>
      <c r="T276" s="6"/>
      <c r="U276" s="6"/>
      <c r="V276" s="6"/>
      <c r="W276" s="6"/>
      <c r="X276" s="6"/>
      <c r="Y276" s="6"/>
      <c r="Z276" s="6"/>
    </row>
    <row r="277" spans="1:26" ht="18" customHeight="1" x14ac:dyDescent="0.3">
      <c r="A277" s="152"/>
      <c r="B277" s="128"/>
      <c r="C277" s="152"/>
      <c r="D277" s="154"/>
      <c r="E277" s="154"/>
      <c r="F277" s="152"/>
      <c r="G277" s="128"/>
      <c r="H277" s="128"/>
      <c r="I277" s="144" t="str">
        <f>IF(H277="","",IFERROR(INDEX('12 P6 activities'!$B$7:$B$206,MATCH(H277,'12 P6 activities'!$A$7:$A$206,0)),"⚠ not in P6 list"))</f>
        <v/>
      </c>
      <c r="J277" s="144" t="str">
        <f>IF(H277="","",IFERROR(INDEX('12 P6 activities'!$C$7:$C$206,MATCH(H277,'12 P6 activities'!$A$7:$A$206,0)),"⚠ not in P6 list"))</f>
        <v/>
      </c>
      <c r="K277" s="128"/>
      <c r="L277" s="6"/>
      <c r="M277" s="6"/>
      <c r="N277" s="6"/>
      <c r="O277" s="6"/>
      <c r="P277" s="6"/>
      <c r="Q277" s="6"/>
      <c r="R277" s="6"/>
      <c r="S277" s="6"/>
      <c r="T277" s="6"/>
      <c r="U277" s="6"/>
      <c r="V277" s="6"/>
      <c r="W277" s="6"/>
      <c r="X277" s="6"/>
      <c r="Y277" s="6"/>
      <c r="Z277" s="6"/>
    </row>
    <row r="278" spans="1:26" ht="18" customHeight="1" x14ac:dyDescent="0.3">
      <c r="A278" s="152"/>
      <c r="B278" s="128"/>
      <c r="C278" s="152"/>
      <c r="D278" s="154"/>
      <c r="E278" s="154"/>
      <c r="F278" s="152"/>
      <c r="G278" s="128"/>
      <c r="H278" s="128"/>
      <c r="I278" s="144" t="str">
        <f>IF(H278="","",IFERROR(INDEX('12 P6 activities'!$B$7:$B$206,MATCH(H278,'12 P6 activities'!$A$7:$A$206,0)),"⚠ not in P6 list"))</f>
        <v/>
      </c>
      <c r="J278" s="144" t="str">
        <f>IF(H278="","",IFERROR(INDEX('12 P6 activities'!$C$7:$C$206,MATCH(H278,'12 P6 activities'!$A$7:$A$206,0)),"⚠ not in P6 list"))</f>
        <v/>
      </c>
      <c r="K278" s="128"/>
      <c r="L278" s="6"/>
      <c r="M278" s="6"/>
      <c r="N278" s="6"/>
      <c r="O278" s="6"/>
      <c r="P278" s="6"/>
      <c r="Q278" s="6"/>
      <c r="R278" s="6"/>
      <c r="S278" s="6"/>
      <c r="T278" s="6"/>
      <c r="U278" s="6"/>
      <c r="V278" s="6"/>
      <c r="W278" s="6"/>
      <c r="X278" s="6"/>
      <c r="Y278" s="6"/>
      <c r="Z278" s="6"/>
    </row>
    <row r="279" spans="1:26" ht="18" customHeight="1" x14ac:dyDescent="0.3">
      <c r="A279" s="152"/>
      <c r="B279" s="128"/>
      <c r="C279" s="152"/>
      <c r="D279" s="154"/>
      <c r="E279" s="154"/>
      <c r="F279" s="152"/>
      <c r="G279" s="128"/>
      <c r="H279" s="128"/>
      <c r="I279" s="144" t="str">
        <f>IF(H279="","",IFERROR(INDEX('12 P6 activities'!$B$7:$B$206,MATCH(H279,'12 P6 activities'!$A$7:$A$206,0)),"⚠ not in P6 list"))</f>
        <v/>
      </c>
      <c r="J279" s="144" t="str">
        <f>IF(H279="","",IFERROR(INDEX('12 P6 activities'!$C$7:$C$206,MATCH(H279,'12 P6 activities'!$A$7:$A$206,0)),"⚠ not in P6 list"))</f>
        <v/>
      </c>
      <c r="K279" s="128"/>
      <c r="L279" s="6"/>
      <c r="M279" s="6"/>
      <c r="N279" s="6"/>
      <c r="O279" s="6"/>
      <c r="P279" s="6"/>
      <c r="Q279" s="6"/>
      <c r="R279" s="6"/>
      <c r="S279" s="6"/>
      <c r="T279" s="6"/>
      <c r="U279" s="6"/>
      <c r="V279" s="6"/>
      <c r="W279" s="6"/>
      <c r="X279" s="6"/>
      <c r="Y279" s="6"/>
      <c r="Z279" s="6"/>
    </row>
    <row r="280" spans="1:26" ht="18" customHeight="1" x14ac:dyDescent="0.3">
      <c r="A280" s="152"/>
      <c r="B280" s="128"/>
      <c r="C280" s="152"/>
      <c r="D280" s="154"/>
      <c r="E280" s="154"/>
      <c r="F280" s="152"/>
      <c r="G280" s="128"/>
      <c r="H280" s="128"/>
      <c r="I280" s="144" t="str">
        <f>IF(H280="","",IFERROR(INDEX('12 P6 activities'!$B$7:$B$206,MATCH(H280,'12 P6 activities'!$A$7:$A$206,0)),"⚠ not in P6 list"))</f>
        <v/>
      </c>
      <c r="J280" s="144" t="str">
        <f>IF(H280="","",IFERROR(INDEX('12 P6 activities'!$C$7:$C$206,MATCH(H280,'12 P6 activities'!$A$7:$A$206,0)),"⚠ not in P6 list"))</f>
        <v/>
      </c>
      <c r="K280" s="128"/>
      <c r="L280" s="6"/>
      <c r="M280" s="6"/>
      <c r="N280" s="6"/>
      <c r="O280" s="6"/>
      <c r="P280" s="6"/>
      <c r="Q280" s="6"/>
      <c r="R280" s="6"/>
      <c r="S280" s="6"/>
      <c r="T280" s="6"/>
      <c r="U280" s="6"/>
      <c r="V280" s="6"/>
      <c r="W280" s="6"/>
      <c r="X280" s="6"/>
      <c r="Y280" s="6"/>
      <c r="Z280" s="6"/>
    </row>
    <row r="281" spans="1:26" ht="18" customHeight="1" x14ac:dyDescent="0.3">
      <c r="A281" s="152"/>
      <c r="B281" s="128"/>
      <c r="C281" s="152"/>
      <c r="D281" s="154"/>
      <c r="E281" s="154"/>
      <c r="F281" s="152"/>
      <c r="G281" s="128"/>
      <c r="H281" s="128"/>
      <c r="I281" s="144" t="str">
        <f>IF(H281="","",IFERROR(INDEX('12 P6 activities'!$B$7:$B$206,MATCH(H281,'12 P6 activities'!$A$7:$A$206,0)),"⚠ not in P6 list"))</f>
        <v/>
      </c>
      <c r="J281" s="144" t="str">
        <f>IF(H281="","",IFERROR(INDEX('12 P6 activities'!$C$7:$C$206,MATCH(H281,'12 P6 activities'!$A$7:$A$206,0)),"⚠ not in P6 list"))</f>
        <v/>
      </c>
      <c r="K281" s="128"/>
      <c r="L281" s="6"/>
      <c r="M281" s="6"/>
      <c r="N281" s="6"/>
      <c r="O281" s="6"/>
      <c r="P281" s="6"/>
      <c r="Q281" s="6"/>
      <c r="R281" s="6"/>
      <c r="S281" s="6"/>
      <c r="T281" s="6"/>
      <c r="U281" s="6"/>
      <c r="V281" s="6"/>
      <c r="W281" s="6"/>
      <c r="X281" s="6"/>
      <c r="Y281" s="6"/>
      <c r="Z281" s="6"/>
    </row>
    <row r="282" spans="1:26" ht="18" customHeight="1" x14ac:dyDescent="0.3">
      <c r="A282" s="152"/>
      <c r="B282" s="128"/>
      <c r="C282" s="152"/>
      <c r="D282" s="154"/>
      <c r="E282" s="154"/>
      <c r="F282" s="152"/>
      <c r="G282" s="128"/>
      <c r="H282" s="128"/>
      <c r="I282" s="144" t="str">
        <f>IF(H282="","",IFERROR(INDEX('12 P6 activities'!$B$7:$B$206,MATCH(H282,'12 P6 activities'!$A$7:$A$206,0)),"⚠ not in P6 list"))</f>
        <v/>
      </c>
      <c r="J282" s="144" t="str">
        <f>IF(H282="","",IFERROR(INDEX('12 P6 activities'!$C$7:$C$206,MATCH(H282,'12 P6 activities'!$A$7:$A$206,0)),"⚠ not in P6 list"))</f>
        <v/>
      </c>
      <c r="K282" s="128"/>
      <c r="L282" s="6"/>
      <c r="M282" s="6"/>
      <c r="N282" s="6"/>
      <c r="O282" s="6"/>
      <c r="P282" s="6"/>
      <c r="Q282" s="6"/>
      <c r="R282" s="6"/>
      <c r="S282" s="6"/>
      <c r="T282" s="6"/>
      <c r="U282" s="6"/>
      <c r="V282" s="6"/>
      <c r="W282" s="6"/>
      <c r="X282" s="6"/>
      <c r="Y282" s="6"/>
      <c r="Z282" s="6"/>
    </row>
    <row r="283" spans="1:26" ht="18" customHeight="1" x14ac:dyDescent="0.3">
      <c r="A283" s="152"/>
      <c r="B283" s="128"/>
      <c r="C283" s="152"/>
      <c r="D283" s="154"/>
      <c r="E283" s="154"/>
      <c r="F283" s="152"/>
      <c r="G283" s="128"/>
      <c r="H283" s="128"/>
      <c r="I283" s="144" t="str">
        <f>IF(H283="","",IFERROR(INDEX('12 P6 activities'!$B$7:$B$206,MATCH(H283,'12 P6 activities'!$A$7:$A$206,0)),"⚠ not in P6 list"))</f>
        <v/>
      </c>
      <c r="J283" s="144" t="str">
        <f>IF(H283="","",IFERROR(INDEX('12 P6 activities'!$C$7:$C$206,MATCH(H283,'12 P6 activities'!$A$7:$A$206,0)),"⚠ not in P6 list"))</f>
        <v/>
      </c>
      <c r="K283" s="128"/>
      <c r="L283" s="6"/>
      <c r="M283" s="6"/>
      <c r="N283" s="6"/>
      <c r="O283" s="6"/>
      <c r="P283" s="6"/>
      <c r="Q283" s="6"/>
      <c r="R283" s="6"/>
      <c r="S283" s="6"/>
      <c r="T283" s="6"/>
      <c r="U283" s="6"/>
      <c r="V283" s="6"/>
      <c r="W283" s="6"/>
      <c r="X283" s="6"/>
      <c r="Y283" s="6"/>
      <c r="Z283" s="6"/>
    </row>
    <row r="284" spans="1:26" ht="18" customHeight="1" x14ac:dyDescent="0.3">
      <c r="A284" s="152"/>
      <c r="B284" s="128"/>
      <c r="C284" s="152"/>
      <c r="D284" s="154"/>
      <c r="E284" s="154"/>
      <c r="F284" s="152"/>
      <c r="G284" s="128"/>
      <c r="H284" s="128"/>
      <c r="I284" s="144" t="str">
        <f>IF(H284="","",IFERROR(INDEX('12 P6 activities'!$B$7:$B$206,MATCH(H284,'12 P6 activities'!$A$7:$A$206,0)),"⚠ not in P6 list"))</f>
        <v/>
      </c>
      <c r="J284" s="144" t="str">
        <f>IF(H284="","",IFERROR(INDEX('12 P6 activities'!$C$7:$C$206,MATCH(H284,'12 P6 activities'!$A$7:$A$206,0)),"⚠ not in P6 list"))</f>
        <v/>
      </c>
      <c r="K284" s="128"/>
      <c r="L284" s="6"/>
      <c r="M284" s="6"/>
      <c r="N284" s="6"/>
      <c r="O284" s="6"/>
      <c r="P284" s="6"/>
      <c r="Q284" s="6"/>
      <c r="R284" s="6"/>
      <c r="S284" s="6"/>
      <c r="T284" s="6"/>
      <c r="U284" s="6"/>
      <c r="V284" s="6"/>
      <c r="W284" s="6"/>
      <c r="X284" s="6"/>
      <c r="Y284" s="6"/>
      <c r="Z284" s="6"/>
    </row>
    <row r="285" spans="1:26" ht="18" customHeight="1" x14ac:dyDescent="0.3">
      <c r="A285" s="152"/>
      <c r="B285" s="128"/>
      <c r="C285" s="152"/>
      <c r="D285" s="154"/>
      <c r="E285" s="154"/>
      <c r="F285" s="152"/>
      <c r="G285" s="128"/>
      <c r="H285" s="128"/>
      <c r="I285" s="144" t="str">
        <f>IF(H285="","",IFERROR(INDEX('12 P6 activities'!$B$7:$B$206,MATCH(H285,'12 P6 activities'!$A$7:$A$206,0)),"⚠ not in P6 list"))</f>
        <v/>
      </c>
      <c r="J285" s="144" t="str">
        <f>IF(H285="","",IFERROR(INDEX('12 P6 activities'!$C$7:$C$206,MATCH(H285,'12 P6 activities'!$A$7:$A$206,0)),"⚠ not in P6 list"))</f>
        <v/>
      </c>
      <c r="K285" s="128"/>
      <c r="L285" s="6"/>
      <c r="M285" s="6"/>
      <c r="N285" s="6"/>
      <c r="O285" s="6"/>
      <c r="P285" s="6"/>
      <c r="Q285" s="6"/>
      <c r="R285" s="6"/>
      <c r="S285" s="6"/>
      <c r="T285" s="6"/>
      <c r="U285" s="6"/>
      <c r="V285" s="6"/>
      <c r="W285" s="6"/>
      <c r="X285" s="6"/>
      <c r="Y285" s="6"/>
      <c r="Z285" s="6"/>
    </row>
    <row r="286" spans="1:26" ht="18" customHeight="1" x14ac:dyDescent="0.3">
      <c r="A286" s="152"/>
      <c r="B286" s="128"/>
      <c r="C286" s="152"/>
      <c r="D286" s="154"/>
      <c r="E286" s="154"/>
      <c r="F286" s="152"/>
      <c r="G286" s="128"/>
      <c r="H286" s="128"/>
      <c r="I286" s="144" t="str">
        <f>IF(H286="","",IFERROR(INDEX('12 P6 activities'!$B$7:$B$206,MATCH(H286,'12 P6 activities'!$A$7:$A$206,0)),"⚠ not in P6 list"))</f>
        <v/>
      </c>
      <c r="J286" s="144" t="str">
        <f>IF(H286="","",IFERROR(INDEX('12 P6 activities'!$C$7:$C$206,MATCH(H286,'12 P6 activities'!$A$7:$A$206,0)),"⚠ not in P6 list"))</f>
        <v/>
      </c>
      <c r="K286" s="128"/>
      <c r="L286" s="6"/>
      <c r="M286" s="6"/>
      <c r="N286" s="6"/>
      <c r="O286" s="6"/>
      <c r="P286" s="6"/>
      <c r="Q286" s="6"/>
      <c r="R286" s="6"/>
      <c r="S286" s="6"/>
      <c r="T286" s="6"/>
      <c r="U286" s="6"/>
      <c r="V286" s="6"/>
      <c r="W286" s="6"/>
      <c r="X286" s="6"/>
      <c r="Y286" s="6"/>
      <c r="Z286" s="6"/>
    </row>
    <row r="287" spans="1:26" ht="18" customHeight="1" x14ac:dyDescent="0.3">
      <c r="A287" s="152"/>
      <c r="B287" s="128"/>
      <c r="C287" s="152"/>
      <c r="D287" s="154"/>
      <c r="E287" s="154"/>
      <c r="F287" s="152"/>
      <c r="G287" s="128"/>
      <c r="H287" s="128"/>
      <c r="I287" s="144" t="str">
        <f>IF(H287="","",IFERROR(INDEX('12 P6 activities'!$B$7:$B$206,MATCH(H287,'12 P6 activities'!$A$7:$A$206,0)),"⚠ not in P6 list"))</f>
        <v/>
      </c>
      <c r="J287" s="144" t="str">
        <f>IF(H287="","",IFERROR(INDEX('12 P6 activities'!$C$7:$C$206,MATCH(H287,'12 P6 activities'!$A$7:$A$206,0)),"⚠ not in P6 list"))</f>
        <v/>
      </c>
      <c r="K287" s="128"/>
      <c r="L287" s="6"/>
      <c r="M287" s="6"/>
      <c r="N287" s="6"/>
      <c r="O287" s="6"/>
      <c r="P287" s="6"/>
      <c r="Q287" s="6"/>
      <c r="R287" s="6"/>
      <c r="S287" s="6"/>
      <c r="T287" s="6"/>
      <c r="U287" s="6"/>
      <c r="V287" s="6"/>
      <c r="W287" s="6"/>
      <c r="X287" s="6"/>
      <c r="Y287" s="6"/>
      <c r="Z287" s="6"/>
    </row>
    <row r="288" spans="1:26" ht="18" customHeight="1" x14ac:dyDescent="0.3">
      <c r="A288" s="152"/>
      <c r="B288" s="128"/>
      <c r="C288" s="152"/>
      <c r="D288" s="154"/>
      <c r="E288" s="154"/>
      <c r="F288" s="152"/>
      <c r="G288" s="128"/>
      <c r="H288" s="128"/>
      <c r="I288" s="144" t="str">
        <f>IF(H288="","",IFERROR(INDEX('12 P6 activities'!$B$7:$B$206,MATCH(H288,'12 P6 activities'!$A$7:$A$206,0)),"⚠ not in P6 list"))</f>
        <v/>
      </c>
      <c r="J288" s="144" t="str">
        <f>IF(H288="","",IFERROR(INDEX('12 P6 activities'!$C$7:$C$206,MATCH(H288,'12 P6 activities'!$A$7:$A$206,0)),"⚠ not in P6 list"))</f>
        <v/>
      </c>
      <c r="K288" s="128"/>
      <c r="L288" s="6"/>
      <c r="M288" s="6"/>
      <c r="N288" s="6"/>
      <c r="O288" s="6"/>
      <c r="P288" s="6"/>
      <c r="Q288" s="6"/>
      <c r="R288" s="6"/>
      <c r="S288" s="6"/>
      <c r="T288" s="6"/>
      <c r="U288" s="6"/>
      <c r="V288" s="6"/>
      <c r="W288" s="6"/>
      <c r="X288" s="6"/>
      <c r="Y288" s="6"/>
      <c r="Z288" s="6"/>
    </row>
    <row r="289" spans="1:26" ht="18" customHeight="1" x14ac:dyDescent="0.3">
      <c r="A289" s="152"/>
      <c r="B289" s="128"/>
      <c r="C289" s="152"/>
      <c r="D289" s="154"/>
      <c r="E289" s="154"/>
      <c r="F289" s="152"/>
      <c r="G289" s="128"/>
      <c r="H289" s="128"/>
      <c r="I289" s="144" t="str">
        <f>IF(H289="","",IFERROR(INDEX('12 P6 activities'!$B$7:$B$206,MATCH(H289,'12 P6 activities'!$A$7:$A$206,0)),"⚠ not in P6 list"))</f>
        <v/>
      </c>
      <c r="J289" s="144" t="str">
        <f>IF(H289="","",IFERROR(INDEX('12 P6 activities'!$C$7:$C$206,MATCH(H289,'12 P6 activities'!$A$7:$A$206,0)),"⚠ not in P6 list"))</f>
        <v/>
      </c>
      <c r="K289" s="128"/>
      <c r="L289" s="6"/>
      <c r="M289" s="6"/>
      <c r="N289" s="6"/>
      <c r="O289" s="6"/>
      <c r="P289" s="6"/>
      <c r="Q289" s="6"/>
      <c r="R289" s="6"/>
      <c r="S289" s="6"/>
      <c r="T289" s="6"/>
      <c r="U289" s="6"/>
      <c r="V289" s="6"/>
      <c r="W289" s="6"/>
      <c r="X289" s="6"/>
      <c r="Y289" s="6"/>
      <c r="Z289" s="6"/>
    </row>
    <row r="290" spans="1:26" ht="18" customHeight="1" x14ac:dyDescent="0.3">
      <c r="A290" s="152"/>
      <c r="B290" s="128"/>
      <c r="C290" s="152"/>
      <c r="D290" s="154"/>
      <c r="E290" s="154"/>
      <c r="F290" s="152"/>
      <c r="G290" s="128"/>
      <c r="H290" s="128"/>
      <c r="I290" s="144" t="str">
        <f>IF(H290="","",IFERROR(INDEX('12 P6 activities'!$B$7:$B$206,MATCH(H290,'12 P6 activities'!$A$7:$A$206,0)),"⚠ not in P6 list"))</f>
        <v/>
      </c>
      <c r="J290" s="144" t="str">
        <f>IF(H290="","",IFERROR(INDEX('12 P6 activities'!$C$7:$C$206,MATCH(H290,'12 P6 activities'!$A$7:$A$206,0)),"⚠ not in P6 list"))</f>
        <v/>
      </c>
      <c r="K290" s="128"/>
      <c r="L290" s="6"/>
      <c r="M290" s="6"/>
      <c r="N290" s="6"/>
      <c r="O290" s="6"/>
      <c r="P290" s="6"/>
      <c r="Q290" s="6"/>
      <c r="R290" s="6"/>
      <c r="S290" s="6"/>
      <c r="T290" s="6"/>
      <c r="U290" s="6"/>
      <c r="V290" s="6"/>
      <c r="W290" s="6"/>
      <c r="X290" s="6"/>
      <c r="Y290" s="6"/>
      <c r="Z290" s="6"/>
    </row>
    <row r="291" spans="1:26" ht="18" customHeight="1" x14ac:dyDescent="0.3">
      <c r="A291" s="152"/>
      <c r="B291" s="128"/>
      <c r="C291" s="152"/>
      <c r="D291" s="154"/>
      <c r="E291" s="154"/>
      <c r="F291" s="152"/>
      <c r="G291" s="128"/>
      <c r="H291" s="128"/>
      <c r="I291" s="144" t="str">
        <f>IF(H291="","",IFERROR(INDEX('12 P6 activities'!$B$7:$B$206,MATCH(H291,'12 P6 activities'!$A$7:$A$206,0)),"⚠ not in P6 list"))</f>
        <v/>
      </c>
      <c r="J291" s="144" t="str">
        <f>IF(H291="","",IFERROR(INDEX('12 P6 activities'!$C$7:$C$206,MATCH(H291,'12 P6 activities'!$A$7:$A$206,0)),"⚠ not in P6 list"))</f>
        <v/>
      </c>
      <c r="K291" s="128"/>
      <c r="L291" s="6"/>
      <c r="M291" s="6"/>
      <c r="N291" s="6"/>
      <c r="O291" s="6"/>
      <c r="P291" s="6"/>
      <c r="Q291" s="6"/>
      <c r="R291" s="6"/>
      <c r="S291" s="6"/>
      <c r="T291" s="6"/>
      <c r="U291" s="6"/>
      <c r="V291" s="6"/>
      <c r="W291" s="6"/>
      <c r="X291" s="6"/>
      <c r="Y291" s="6"/>
      <c r="Z291" s="6"/>
    </row>
    <row r="292" spans="1:26" ht="18" customHeight="1" x14ac:dyDescent="0.3">
      <c r="A292" s="152"/>
      <c r="B292" s="128"/>
      <c r="C292" s="152"/>
      <c r="D292" s="154"/>
      <c r="E292" s="154"/>
      <c r="F292" s="152"/>
      <c r="G292" s="128"/>
      <c r="H292" s="128"/>
      <c r="I292" s="144" t="str">
        <f>IF(H292="","",IFERROR(INDEX('12 P6 activities'!$B$7:$B$206,MATCH(H292,'12 P6 activities'!$A$7:$A$206,0)),"⚠ not in P6 list"))</f>
        <v/>
      </c>
      <c r="J292" s="144" t="str">
        <f>IF(H292="","",IFERROR(INDEX('12 P6 activities'!$C$7:$C$206,MATCH(H292,'12 P6 activities'!$A$7:$A$206,0)),"⚠ not in P6 list"))</f>
        <v/>
      </c>
      <c r="K292" s="128"/>
      <c r="L292" s="6"/>
      <c r="M292" s="6"/>
      <c r="N292" s="6"/>
      <c r="O292" s="6"/>
      <c r="P292" s="6"/>
      <c r="Q292" s="6"/>
      <c r="R292" s="6"/>
      <c r="S292" s="6"/>
      <c r="T292" s="6"/>
      <c r="U292" s="6"/>
      <c r="V292" s="6"/>
      <c r="W292" s="6"/>
      <c r="X292" s="6"/>
      <c r="Y292" s="6"/>
      <c r="Z292" s="6"/>
    </row>
    <row r="293" spans="1:26" ht="18" customHeight="1" x14ac:dyDescent="0.3">
      <c r="A293" s="152"/>
      <c r="B293" s="128"/>
      <c r="C293" s="152"/>
      <c r="D293" s="154"/>
      <c r="E293" s="154"/>
      <c r="F293" s="152"/>
      <c r="G293" s="128"/>
      <c r="H293" s="128"/>
      <c r="I293" s="144" t="str">
        <f>IF(H293="","",IFERROR(INDEX('12 P6 activities'!$B$7:$B$206,MATCH(H293,'12 P6 activities'!$A$7:$A$206,0)),"⚠ not in P6 list"))</f>
        <v/>
      </c>
      <c r="J293" s="144" t="str">
        <f>IF(H293="","",IFERROR(INDEX('12 P6 activities'!$C$7:$C$206,MATCH(H293,'12 P6 activities'!$A$7:$A$206,0)),"⚠ not in P6 list"))</f>
        <v/>
      </c>
      <c r="K293" s="128"/>
      <c r="L293" s="6"/>
      <c r="M293" s="6"/>
      <c r="N293" s="6"/>
      <c r="O293" s="6"/>
      <c r="P293" s="6"/>
      <c r="Q293" s="6"/>
      <c r="R293" s="6"/>
      <c r="S293" s="6"/>
      <c r="T293" s="6"/>
      <c r="U293" s="6"/>
      <c r="V293" s="6"/>
      <c r="W293" s="6"/>
      <c r="X293" s="6"/>
      <c r="Y293" s="6"/>
      <c r="Z293" s="6"/>
    </row>
    <row r="294" spans="1:26" ht="18" customHeight="1" x14ac:dyDescent="0.3">
      <c r="A294" s="152"/>
      <c r="B294" s="128"/>
      <c r="C294" s="152"/>
      <c r="D294" s="154"/>
      <c r="E294" s="154"/>
      <c r="F294" s="152"/>
      <c r="G294" s="128"/>
      <c r="H294" s="128"/>
      <c r="I294" s="144" t="str">
        <f>IF(H294="","",IFERROR(INDEX('12 P6 activities'!$B$7:$B$206,MATCH(H294,'12 P6 activities'!$A$7:$A$206,0)),"⚠ not in P6 list"))</f>
        <v/>
      </c>
      <c r="J294" s="144" t="str">
        <f>IF(H294="","",IFERROR(INDEX('12 P6 activities'!$C$7:$C$206,MATCH(H294,'12 P6 activities'!$A$7:$A$206,0)),"⚠ not in P6 list"))</f>
        <v/>
      </c>
      <c r="K294" s="128"/>
      <c r="L294" s="6"/>
      <c r="M294" s="6"/>
      <c r="N294" s="6"/>
      <c r="O294" s="6"/>
      <c r="P294" s="6"/>
      <c r="Q294" s="6"/>
      <c r="R294" s="6"/>
      <c r="S294" s="6"/>
      <c r="T294" s="6"/>
      <c r="U294" s="6"/>
      <c r="V294" s="6"/>
      <c r="W294" s="6"/>
      <c r="X294" s="6"/>
      <c r="Y294" s="6"/>
      <c r="Z294" s="6"/>
    </row>
    <row r="295" spans="1:26" ht="18" customHeight="1" x14ac:dyDescent="0.3">
      <c r="A295" s="152"/>
      <c r="B295" s="128"/>
      <c r="C295" s="152"/>
      <c r="D295" s="154"/>
      <c r="E295" s="154"/>
      <c r="F295" s="152"/>
      <c r="G295" s="128"/>
      <c r="H295" s="128"/>
      <c r="I295" s="144" t="str">
        <f>IF(H295="","",IFERROR(INDEX('12 P6 activities'!$B$7:$B$206,MATCH(H295,'12 P6 activities'!$A$7:$A$206,0)),"⚠ not in P6 list"))</f>
        <v/>
      </c>
      <c r="J295" s="144" t="str">
        <f>IF(H295="","",IFERROR(INDEX('12 P6 activities'!$C$7:$C$206,MATCH(H295,'12 P6 activities'!$A$7:$A$206,0)),"⚠ not in P6 list"))</f>
        <v/>
      </c>
      <c r="K295" s="128"/>
      <c r="L295" s="6"/>
      <c r="M295" s="6"/>
      <c r="N295" s="6"/>
      <c r="O295" s="6"/>
      <c r="P295" s="6"/>
      <c r="Q295" s="6"/>
      <c r="R295" s="6"/>
      <c r="S295" s="6"/>
      <c r="T295" s="6"/>
      <c r="U295" s="6"/>
      <c r="V295" s="6"/>
      <c r="W295" s="6"/>
      <c r="X295" s="6"/>
      <c r="Y295" s="6"/>
      <c r="Z295" s="6"/>
    </row>
    <row r="296" spans="1:26" ht="18" customHeight="1" x14ac:dyDescent="0.3">
      <c r="A296" s="152"/>
      <c r="B296" s="128"/>
      <c r="C296" s="152"/>
      <c r="D296" s="154"/>
      <c r="E296" s="154"/>
      <c r="F296" s="152"/>
      <c r="G296" s="128"/>
      <c r="H296" s="128"/>
      <c r="I296" s="144" t="str">
        <f>IF(H296="","",IFERROR(INDEX('12 P6 activities'!$B$7:$B$206,MATCH(H296,'12 P6 activities'!$A$7:$A$206,0)),"⚠ not in P6 list"))</f>
        <v/>
      </c>
      <c r="J296" s="144" t="str">
        <f>IF(H296="","",IFERROR(INDEX('12 P6 activities'!$C$7:$C$206,MATCH(H296,'12 P6 activities'!$A$7:$A$206,0)),"⚠ not in P6 list"))</f>
        <v/>
      </c>
      <c r="K296" s="128"/>
      <c r="L296" s="6"/>
      <c r="M296" s="6"/>
      <c r="N296" s="6"/>
      <c r="O296" s="6"/>
      <c r="P296" s="6"/>
      <c r="Q296" s="6"/>
      <c r="R296" s="6"/>
      <c r="S296" s="6"/>
      <c r="T296" s="6"/>
      <c r="U296" s="6"/>
      <c r="V296" s="6"/>
      <c r="W296" s="6"/>
      <c r="X296" s="6"/>
      <c r="Y296" s="6"/>
      <c r="Z296" s="6"/>
    </row>
    <row r="297" spans="1:26" ht="18" customHeight="1" x14ac:dyDescent="0.3">
      <c r="A297" s="152"/>
      <c r="B297" s="128"/>
      <c r="C297" s="152"/>
      <c r="D297" s="154"/>
      <c r="E297" s="154"/>
      <c r="F297" s="152"/>
      <c r="G297" s="128"/>
      <c r="H297" s="128"/>
      <c r="I297" s="144" t="str">
        <f>IF(H297="","",IFERROR(INDEX('12 P6 activities'!$B$7:$B$206,MATCH(H297,'12 P6 activities'!$A$7:$A$206,0)),"⚠ not in P6 list"))</f>
        <v/>
      </c>
      <c r="J297" s="144" t="str">
        <f>IF(H297="","",IFERROR(INDEX('12 P6 activities'!$C$7:$C$206,MATCH(H297,'12 P6 activities'!$A$7:$A$206,0)),"⚠ not in P6 list"))</f>
        <v/>
      </c>
      <c r="K297" s="128"/>
      <c r="L297" s="6"/>
      <c r="M297" s="6"/>
      <c r="N297" s="6"/>
      <c r="O297" s="6"/>
      <c r="P297" s="6"/>
      <c r="Q297" s="6"/>
      <c r="R297" s="6"/>
      <c r="S297" s="6"/>
      <c r="T297" s="6"/>
      <c r="U297" s="6"/>
      <c r="V297" s="6"/>
      <c r="W297" s="6"/>
      <c r="X297" s="6"/>
      <c r="Y297" s="6"/>
      <c r="Z297" s="6"/>
    </row>
    <row r="298" spans="1:26" ht="18" customHeight="1" x14ac:dyDescent="0.3">
      <c r="A298" s="152"/>
      <c r="B298" s="128"/>
      <c r="C298" s="152"/>
      <c r="D298" s="154"/>
      <c r="E298" s="154"/>
      <c r="F298" s="152"/>
      <c r="G298" s="128"/>
      <c r="H298" s="128"/>
      <c r="I298" s="144" t="str">
        <f>IF(H298="","",IFERROR(INDEX('12 P6 activities'!$B$7:$B$206,MATCH(H298,'12 P6 activities'!$A$7:$A$206,0)),"⚠ not in P6 list"))</f>
        <v/>
      </c>
      <c r="J298" s="144" t="str">
        <f>IF(H298="","",IFERROR(INDEX('12 P6 activities'!$C$7:$C$206,MATCH(H298,'12 P6 activities'!$A$7:$A$206,0)),"⚠ not in P6 list"))</f>
        <v/>
      </c>
      <c r="K298" s="128"/>
      <c r="L298" s="6"/>
      <c r="M298" s="6"/>
      <c r="N298" s="6"/>
      <c r="O298" s="6"/>
      <c r="P298" s="6"/>
      <c r="Q298" s="6"/>
      <c r="R298" s="6"/>
      <c r="S298" s="6"/>
      <c r="T298" s="6"/>
      <c r="U298" s="6"/>
      <c r="V298" s="6"/>
      <c r="W298" s="6"/>
      <c r="X298" s="6"/>
      <c r="Y298" s="6"/>
      <c r="Z298" s="6"/>
    </row>
    <row r="299" spans="1:26" ht="18" customHeight="1" x14ac:dyDescent="0.3">
      <c r="A299" s="152"/>
      <c r="B299" s="128"/>
      <c r="C299" s="152"/>
      <c r="D299" s="154"/>
      <c r="E299" s="154"/>
      <c r="F299" s="152"/>
      <c r="G299" s="128"/>
      <c r="H299" s="128"/>
      <c r="I299" s="144" t="str">
        <f>IF(H299="","",IFERROR(INDEX('12 P6 activities'!$B$7:$B$206,MATCH(H299,'12 P6 activities'!$A$7:$A$206,0)),"⚠ not in P6 list"))</f>
        <v/>
      </c>
      <c r="J299" s="144" t="str">
        <f>IF(H299="","",IFERROR(INDEX('12 P6 activities'!$C$7:$C$206,MATCH(H299,'12 P6 activities'!$A$7:$A$206,0)),"⚠ not in P6 list"))</f>
        <v/>
      </c>
      <c r="K299" s="128"/>
      <c r="L299" s="6"/>
      <c r="M299" s="6"/>
      <c r="N299" s="6"/>
      <c r="O299" s="6"/>
      <c r="P299" s="6"/>
      <c r="Q299" s="6"/>
      <c r="R299" s="6"/>
      <c r="S299" s="6"/>
      <c r="T299" s="6"/>
      <c r="U299" s="6"/>
      <c r="V299" s="6"/>
      <c r="W299" s="6"/>
      <c r="X299" s="6"/>
      <c r="Y299" s="6"/>
      <c r="Z299" s="6"/>
    </row>
    <row r="300" spans="1:26" ht="18" customHeight="1" x14ac:dyDescent="0.3">
      <c r="A300" s="152"/>
      <c r="B300" s="128"/>
      <c r="C300" s="152"/>
      <c r="D300" s="154"/>
      <c r="E300" s="154"/>
      <c r="F300" s="152"/>
      <c r="G300" s="128"/>
      <c r="H300" s="128"/>
      <c r="I300" s="144" t="str">
        <f>IF(H300="","",IFERROR(INDEX('12 P6 activities'!$B$7:$B$206,MATCH(H300,'12 P6 activities'!$A$7:$A$206,0)),"⚠ not in P6 list"))</f>
        <v/>
      </c>
      <c r="J300" s="144" t="str">
        <f>IF(H300="","",IFERROR(INDEX('12 P6 activities'!$C$7:$C$206,MATCH(H300,'12 P6 activities'!$A$7:$A$206,0)),"⚠ not in P6 list"))</f>
        <v/>
      </c>
      <c r="K300" s="128"/>
      <c r="L300" s="6"/>
      <c r="M300" s="6"/>
      <c r="N300" s="6"/>
      <c r="O300" s="6"/>
      <c r="P300" s="6"/>
      <c r="Q300" s="6"/>
      <c r="R300" s="6"/>
      <c r="S300" s="6"/>
      <c r="T300" s="6"/>
      <c r="U300" s="6"/>
      <c r="V300" s="6"/>
      <c r="W300" s="6"/>
      <c r="X300" s="6"/>
      <c r="Y300" s="6"/>
      <c r="Z300" s="6"/>
    </row>
    <row r="301" spans="1:26" ht="18" customHeight="1" x14ac:dyDescent="0.3">
      <c r="A301" s="152"/>
      <c r="B301" s="128"/>
      <c r="C301" s="152"/>
      <c r="D301" s="154"/>
      <c r="E301" s="154"/>
      <c r="F301" s="152"/>
      <c r="G301" s="128"/>
      <c r="H301" s="128"/>
      <c r="I301" s="144" t="str">
        <f>IF(H301="","",IFERROR(INDEX('12 P6 activities'!$B$7:$B$206,MATCH(H301,'12 P6 activities'!$A$7:$A$206,0)),"⚠ not in P6 list"))</f>
        <v/>
      </c>
      <c r="J301" s="144" t="str">
        <f>IF(H301="","",IFERROR(INDEX('12 P6 activities'!$C$7:$C$206,MATCH(H301,'12 P6 activities'!$A$7:$A$206,0)),"⚠ not in P6 list"))</f>
        <v/>
      </c>
      <c r="K301" s="128"/>
      <c r="L301" s="6"/>
      <c r="M301" s="6"/>
      <c r="N301" s="6"/>
      <c r="O301" s="6"/>
      <c r="P301" s="6"/>
      <c r="Q301" s="6"/>
      <c r="R301" s="6"/>
      <c r="S301" s="6"/>
      <c r="T301" s="6"/>
      <c r="U301" s="6"/>
      <c r="V301" s="6"/>
      <c r="W301" s="6"/>
      <c r="X301" s="6"/>
      <c r="Y301" s="6"/>
      <c r="Z301" s="6"/>
    </row>
    <row r="302" spans="1:26" ht="18" customHeight="1" x14ac:dyDescent="0.3">
      <c r="A302" s="152"/>
      <c r="B302" s="128"/>
      <c r="C302" s="152"/>
      <c r="D302" s="154"/>
      <c r="E302" s="154"/>
      <c r="F302" s="152"/>
      <c r="G302" s="128"/>
      <c r="H302" s="128"/>
      <c r="I302" s="144" t="str">
        <f>IF(H302="","",IFERROR(INDEX('12 P6 activities'!$B$7:$B$206,MATCH(H302,'12 P6 activities'!$A$7:$A$206,0)),"⚠ not in P6 list"))</f>
        <v/>
      </c>
      <c r="J302" s="144" t="str">
        <f>IF(H302="","",IFERROR(INDEX('12 P6 activities'!$C$7:$C$206,MATCH(H302,'12 P6 activities'!$A$7:$A$206,0)),"⚠ not in P6 list"))</f>
        <v/>
      </c>
      <c r="K302" s="128"/>
      <c r="L302" s="6"/>
      <c r="M302" s="6"/>
      <c r="N302" s="6"/>
      <c r="O302" s="6"/>
      <c r="P302" s="6"/>
      <c r="Q302" s="6"/>
      <c r="R302" s="6"/>
      <c r="S302" s="6"/>
      <c r="T302" s="6"/>
      <c r="U302" s="6"/>
      <c r="V302" s="6"/>
      <c r="W302" s="6"/>
      <c r="X302" s="6"/>
      <c r="Y302" s="6"/>
      <c r="Z302" s="6"/>
    </row>
    <row r="303" spans="1:26" ht="18" customHeight="1" x14ac:dyDescent="0.3">
      <c r="A303" s="152"/>
      <c r="B303" s="128"/>
      <c r="C303" s="152"/>
      <c r="D303" s="154"/>
      <c r="E303" s="154"/>
      <c r="F303" s="152"/>
      <c r="G303" s="128"/>
      <c r="H303" s="128"/>
      <c r="I303" s="144" t="str">
        <f>IF(H303="","",IFERROR(INDEX('12 P6 activities'!$B$7:$B$206,MATCH(H303,'12 P6 activities'!$A$7:$A$206,0)),"⚠ not in P6 list"))</f>
        <v/>
      </c>
      <c r="J303" s="144" t="str">
        <f>IF(H303="","",IFERROR(INDEX('12 P6 activities'!$C$7:$C$206,MATCH(H303,'12 P6 activities'!$A$7:$A$206,0)),"⚠ not in P6 list"))</f>
        <v/>
      </c>
      <c r="K303" s="128"/>
      <c r="L303" s="6"/>
      <c r="M303" s="6"/>
      <c r="N303" s="6"/>
      <c r="O303" s="6"/>
      <c r="P303" s="6"/>
      <c r="Q303" s="6"/>
      <c r="R303" s="6"/>
      <c r="S303" s="6"/>
      <c r="T303" s="6"/>
      <c r="U303" s="6"/>
      <c r="V303" s="6"/>
      <c r="W303" s="6"/>
      <c r="X303" s="6"/>
      <c r="Y303" s="6"/>
      <c r="Z303" s="6"/>
    </row>
    <row r="304" spans="1:26" ht="18" customHeight="1" x14ac:dyDescent="0.3">
      <c r="A304" s="152"/>
      <c r="B304" s="128"/>
      <c r="C304" s="152"/>
      <c r="D304" s="154"/>
      <c r="E304" s="154"/>
      <c r="F304" s="152"/>
      <c r="G304" s="128"/>
      <c r="H304" s="128"/>
      <c r="I304" s="144" t="str">
        <f>IF(H304="","",IFERROR(INDEX('12 P6 activities'!$B$7:$B$206,MATCH(H304,'12 P6 activities'!$A$7:$A$206,0)),"⚠ not in P6 list"))</f>
        <v/>
      </c>
      <c r="J304" s="144" t="str">
        <f>IF(H304="","",IFERROR(INDEX('12 P6 activities'!$C$7:$C$206,MATCH(H304,'12 P6 activities'!$A$7:$A$206,0)),"⚠ not in P6 list"))</f>
        <v/>
      </c>
      <c r="K304" s="128"/>
      <c r="L304" s="6"/>
      <c r="M304" s="6"/>
      <c r="N304" s="6"/>
      <c r="O304" s="6"/>
      <c r="P304" s="6"/>
      <c r="Q304" s="6"/>
      <c r="R304" s="6"/>
      <c r="S304" s="6"/>
      <c r="T304" s="6"/>
      <c r="U304" s="6"/>
      <c r="V304" s="6"/>
      <c r="W304" s="6"/>
      <c r="X304" s="6"/>
      <c r="Y304" s="6"/>
      <c r="Z304" s="6"/>
    </row>
    <row r="305" spans="1:26" ht="18" customHeight="1" x14ac:dyDescent="0.3">
      <c r="A305" s="152"/>
      <c r="B305" s="128"/>
      <c r="C305" s="152"/>
      <c r="D305" s="154"/>
      <c r="E305" s="154"/>
      <c r="F305" s="152"/>
      <c r="G305" s="128"/>
      <c r="H305" s="128"/>
      <c r="I305" s="144" t="str">
        <f>IF(H305="","",IFERROR(INDEX('12 P6 activities'!$B$7:$B$206,MATCH(H305,'12 P6 activities'!$A$7:$A$206,0)),"⚠ not in P6 list"))</f>
        <v/>
      </c>
      <c r="J305" s="144" t="str">
        <f>IF(H305="","",IFERROR(INDEX('12 P6 activities'!$C$7:$C$206,MATCH(H305,'12 P6 activities'!$A$7:$A$206,0)),"⚠ not in P6 list"))</f>
        <v/>
      </c>
      <c r="K305" s="128"/>
      <c r="L305" s="6"/>
      <c r="M305" s="6"/>
      <c r="N305" s="6"/>
      <c r="O305" s="6"/>
      <c r="P305" s="6"/>
      <c r="Q305" s="6"/>
      <c r="R305" s="6"/>
      <c r="S305" s="6"/>
      <c r="T305" s="6"/>
      <c r="U305" s="6"/>
      <c r="V305" s="6"/>
      <c r="W305" s="6"/>
      <c r="X305" s="6"/>
      <c r="Y305" s="6"/>
      <c r="Z305" s="6"/>
    </row>
    <row r="306" spans="1:26" ht="18" customHeight="1" x14ac:dyDescent="0.3">
      <c r="A306" s="152"/>
      <c r="B306" s="128"/>
      <c r="C306" s="152"/>
      <c r="D306" s="154"/>
      <c r="E306" s="154"/>
      <c r="F306" s="152"/>
      <c r="G306" s="128"/>
      <c r="H306" s="128"/>
      <c r="I306" s="144" t="str">
        <f>IF(H306="","",IFERROR(INDEX('12 P6 activities'!$B$7:$B$206,MATCH(H306,'12 P6 activities'!$A$7:$A$206,0)),"⚠ not in P6 list"))</f>
        <v/>
      </c>
      <c r="J306" s="144" t="str">
        <f>IF(H306="","",IFERROR(INDEX('12 P6 activities'!$C$7:$C$206,MATCH(H306,'12 P6 activities'!$A$7:$A$206,0)),"⚠ not in P6 list"))</f>
        <v/>
      </c>
      <c r="K306" s="128"/>
      <c r="L306" s="6"/>
      <c r="M306" s="6"/>
      <c r="N306" s="6"/>
      <c r="O306" s="6"/>
      <c r="P306" s="6"/>
      <c r="Q306" s="6"/>
      <c r="R306" s="6"/>
      <c r="S306" s="6"/>
      <c r="T306" s="6"/>
      <c r="U306" s="6"/>
      <c r="V306" s="6"/>
      <c r="W306" s="6"/>
      <c r="X306" s="6"/>
      <c r="Y306" s="6"/>
      <c r="Z306" s="6"/>
    </row>
    <row r="307" spans="1:26" ht="18" customHeight="1" x14ac:dyDescent="0.3">
      <c r="A307" s="152"/>
      <c r="B307" s="128"/>
      <c r="C307" s="152"/>
      <c r="D307" s="154"/>
      <c r="E307" s="154"/>
      <c r="F307" s="152"/>
      <c r="G307" s="128"/>
      <c r="H307" s="128"/>
      <c r="I307" s="144" t="str">
        <f>IF(H307="","",IFERROR(INDEX('12 P6 activities'!$B$7:$B$206,MATCH(H307,'12 P6 activities'!$A$7:$A$206,0)),"⚠ not in P6 list"))</f>
        <v/>
      </c>
      <c r="J307" s="144" t="str">
        <f>IF(H307="","",IFERROR(INDEX('12 P6 activities'!$C$7:$C$206,MATCH(H307,'12 P6 activities'!$A$7:$A$206,0)),"⚠ not in P6 list"))</f>
        <v/>
      </c>
      <c r="K307" s="128"/>
      <c r="L307" s="6"/>
      <c r="M307" s="6"/>
      <c r="N307" s="6"/>
      <c r="O307" s="6"/>
      <c r="P307" s="6"/>
      <c r="Q307" s="6"/>
      <c r="R307" s="6"/>
      <c r="S307" s="6"/>
      <c r="T307" s="6"/>
      <c r="U307" s="6"/>
      <c r="V307" s="6"/>
      <c r="W307" s="6"/>
      <c r="X307" s="6"/>
      <c r="Y307" s="6"/>
      <c r="Z307" s="6"/>
    </row>
    <row r="308" spans="1:26" ht="18" customHeight="1" x14ac:dyDescent="0.3">
      <c r="A308" s="152"/>
      <c r="B308" s="128"/>
      <c r="C308" s="152"/>
      <c r="D308" s="154"/>
      <c r="E308" s="154"/>
      <c r="F308" s="152"/>
      <c r="G308" s="128"/>
      <c r="H308" s="128"/>
      <c r="I308" s="144" t="str">
        <f>IF(H308="","",IFERROR(INDEX('12 P6 activities'!$B$7:$B$206,MATCH(H308,'12 P6 activities'!$A$7:$A$206,0)),"⚠ not in P6 list"))</f>
        <v/>
      </c>
      <c r="J308" s="144" t="str">
        <f>IF(H308="","",IFERROR(INDEX('12 P6 activities'!$C$7:$C$206,MATCH(H308,'12 P6 activities'!$A$7:$A$206,0)),"⚠ not in P6 list"))</f>
        <v/>
      </c>
      <c r="K308" s="128"/>
      <c r="L308" s="6"/>
      <c r="M308" s="6"/>
      <c r="N308" s="6"/>
      <c r="O308" s="6"/>
      <c r="P308" s="6"/>
      <c r="Q308" s="6"/>
      <c r="R308" s="6"/>
      <c r="S308" s="6"/>
      <c r="T308" s="6"/>
      <c r="U308" s="6"/>
      <c r="V308" s="6"/>
      <c r="W308" s="6"/>
      <c r="X308" s="6"/>
      <c r="Y308" s="6"/>
      <c r="Z308" s="6"/>
    </row>
    <row r="309" spans="1:26" ht="18" customHeight="1" x14ac:dyDescent="0.3">
      <c r="A309" s="152"/>
      <c r="B309" s="128"/>
      <c r="C309" s="152"/>
      <c r="D309" s="154"/>
      <c r="E309" s="154"/>
      <c r="F309" s="152"/>
      <c r="G309" s="128"/>
      <c r="H309" s="128"/>
      <c r="I309" s="144" t="str">
        <f>IF(H309="","",IFERROR(INDEX('12 P6 activities'!$B$7:$B$206,MATCH(H309,'12 P6 activities'!$A$7:$A$206,0)),"⚠ not in P6 list"))</f>
        <v/>
      </c>
      <c r="J309" s="144" t="str">
        <f>IF(H309="","",IFERROR(INDEX('12 P6 activities'!$C$7:$C$206,MATCH(H309,'12 P6 activities'!$A$7:$A$206,0)),"⚠ not in P6 list"))</f>
        <v/>
      </c>
      <c r="K309" s="128"/>
      <c r="L309" s="6"/>
      <c r="M309" s="6"/>
      <c r="N309" s="6"/>
      <c r="O309" s="6"/>
      <c r="P309" s="6"/>
      <c r="Q309" s="6"/>
      <c r="R309" s="6"/>
      <c r="S309" s="6"/>
      <c r="T309" s="6"/>
      <c r="U309" s="6"/>
      <c r="V309" s="6"/>
      <c r="W309" s="6"/>
      <c r="X309" s="6"/>
      <c r="Y309" s="6"/>
      <c r="Z309" s="6"/>
    </row>
    <row r="310" spans="1:26" ht="18" customHeight="1" x14ac:dyDescent="0.3">
      <c r="A310" s="152"/>
      <c r="B310" s="128"/>
      <c r="C310" s="152"/>
      <c r="D310" s="154"/>
      <c r="E310" s="154"/>
      <c r="F310" s="152"/>
      <c r="G310" s="128"/>
      <c r="H310" s="128"/>
      <c r="I310" s="144" t="str">
        <f>IF(H310="","",IFERROR(INDEX('12 P6 activities'!$B$7:$B$206,MATCH(H310,'12 P6 activities'!$A$7:$A$206,0)),"⚠ not in P6 list"))</f>
        <v/>
      </c>
      <c r="J310" s="144" t="str">
        <f>IF(H310="","",IFERROR(INDEX('12 P6 activities'!$C$7:$C$206,MATCH(H310,'12 P6 activities'!$A$7:$A$206,0)),"⚠ not in P6 list"))</f>
        <v/>
      </c>
      <c r="K310" s="128"/>
      <c r="L310" s="6"/>
      <c r="M310" s="6"/>
      <c r="N310" s="6"/>
      <c r="O310" s="6"/>
      <c r="P310" s="6"/>
      <c r="Q310" s="6"/>
      <c r="R310" s="6"/>
      <c r="S310" s="6"/>
      <c r="T310" s="6"/>
      <c r="U310" s="6"/>
      <c r="V310" s="6"/>
      <c r="W310" s="6"/>
      <c r="X310" s="6"/>
      <c r="Y310" s="6"/>
      <c r="Z310" s="6"/>
    </row>
    <row r="311" spans="1:26" ht="18" customHeight="1" x14ac:dyDescent="0.3">
      <c r="A311" s="152"/>
      <c r="B311" s="128"/>
      <c r="C311" s="152"/>
      <c r="D311" s="154"/>
      <c r="E311" s="154"/>
      <c r="F311" s="152"/>
      <c r="G311" s="128"/>
      <c r="H311" s="128"/>
      <c r="I311" s="144" t="str">
        <f>IF(H311="","",IFERROR(INDEX('12 P6 activities'!$B$7:$B$206,MATCH(H311,'12 P6 activities'!$A$7:$A$206,0)),"⚠ not in P6 list"))</f>
        <v/>
      </c>
      <c r="J311" s="144" t="str">
        <f>IF(H311="","",IFERROR(INDEX('12 P6 activities'!$C$7:$C$206,MATCH(H311,'12 P6 activities'!$A$7:$A$206,0)),"⚠ not in P6 list"))</f>
        <v/>
      </c>
      <c r="K311" s="128"/>
      <c r="L311" s="6"/>
      <c r="M311" s="6"/>
      <c r="N311" s="6"/>
      <c r="O311" s="6"/>
      <c r="P311" s="6"/>
      <c r="Q311" s="6"/>
      <c r="R311" s="6"/>
      <c r="S311" s="6"/>
      <c r="T311" s="6"/>
      <c r="U311" s="6"/>
      <c r="V311" s="6"/>
      <c r="W311" s="6"/>
      <c r="X311" s="6"/>
      <c r="Y311" s="6"/>
      <c r="Z311" s="6"/>
    </row>
    <row r="312" spans="1:26" ht="18" customHeight="1" x14ac:dyDescent="0.3">
      <c r="A312" s="152"/>
      <c r="B312" s="128"/>
      <c r="C312" s="152"/>
      <c r="D312" s="154"/>
      <c r="E312" s="154"/>
      <c r="F312" s="152"/>
      <c r="G312" s="128"/>
      <c r="H312" s="128"/>
      <c r="I312" s="144" t="str">
        <f>IF(H312="","",IFERROR(INDEX('12 P6 activities'!$B$7:$B$206,MATCH(H312,'12 P6 activities'!$A$7:$A$206,0)),"⚠ not in P6 list"))</f>
        <v/>
      </c>
      <c r="J312" s="144" t="str">
        <f>IF(H312="","",IFERROR(INDEX('12 P6 activities'!$C$7:$C$206,MATCH(H312,'12 P6 activities'!$A$7:$A$206,0)),"⚠ not in P6 list"))</f>
        <v/>
      </c>
      <c r="K312" s="128"/>
      <c r="L312" s="6"/>
      <c r="M312" s="6"/>
      <c r="N312" s="6"/>
      <c r="O312" s="6"/>
      <c r="P312" s="6"/>
      <c r="Q312" s="6"/>
      <c r="R312" s="6"/>
      <c r="S312" s="6"/>
      <c r="T312" s="6"/>
      <c r="U312" s="6"/>
      <c r="V312" s="6"/>
      <c r="W312" s="6"/>
      <c r="X312" s="6"/>
      <c r="Y312" s="6"/>
      <c r="Z312" s="6"/>
    </row>
    <row r="313" spans="1:26" ht="18" customHeight="1" x14ac:dyDescent="0.3">
      <c r="A313" s="152"/>
      <c r="B313" s="128"/>
      <c r="C313" s="152"/>
      <c r="D313" s="154"/>
      <c r="E313" s="154"/>
      <c r="F313" s="152"/>
      <c r="G313" s="128"/>
      <c r="H313" s="128"/>
      <c r="I313" s="144" t="str">
        <f>IF(H313="","",IFERROR(INDEX('12 P6 activities'!$B$7:$B$206,MATCH(H313,'12 P6 activities'!$A$7:$A$206,0)),"⚠ not in P6 list"))</f>
        <v/>
      </c>
      <c r="J313" s="144" t="str">
        <f>IF(H313="","",IFERROR(INDEX('12 P6 activities'!$C$7:$C$206,MATCH(H313,'12 P6 activities'!$A$7:$A$206,0)),"⚠ not in P6 list"))</f>
        <v/>
      </c>
      <c r="K313" s="128"/>
      <c r="L313" s="6"/>
      <c r="M313" s="6"/>
      <c r="N313" s="6"/>
      <c r="O313" s="6"/>
      <c r="P313" s="6"/>
      <c r="Q313" s="6"/>
      <c r="R313" s="6"/>
      <c r="S313" s="6"/>
      <c r="T313" s="6"/>
      <c r="U313" s="6"/>
      <c r="V313" s="6"/>
      <c r="W313" s="6"/>
      <c r="X313" s="6"/>
      <c r="Y313" s="6"/>
      <c r="Z313" s="6"/>
    </row>
    <row r="314" spans="1:26" ht="18" customHeight="1" x14ac:dyDescent="0.3">
      <c r="A314" s="152"/>
      <c r="B314" s="128"/>
      <c r="C314" s="152"/>
      <c r="D314" s="154"/>
      <c r="E314" s="154"/>
      <c r="F314" s="152"/>
      <c r="G314" s="128"/>
      <c r="H314" s="128"/>
      <c r="I314" s="144" t="str">
        <f>IF(H314="","",IFERROR(INDEX('12 P6 activities'!$B$7:$B$206,MATCH(H314,'12 P6 activities'!$A$7:$A$206,0)),"⚠ not in P6 list"))</f>
        <v/>
      </c>
      <c r="J314" s="144" t="str">
        <f>IF(H314="","",IFERROR(INDEX('12 P6 activities'!$C$7:$C$206,MATCH(H314,'12 P6 activities'!$A$7:$A$206,0)),"⚠ not in P6 list"))</f>
        <v/>
      </c>
      <c r="K314" s="128"/>
      <c r="L314" s="6"/>
      <c r="M314" s="6"/>
      <c r="N314" s="6"/>
      <c r="O314" s="6"/>
      <c r="P314" s="6"/>
      <c r="Q314" s="6"/>
      <c r="R314" s="6"/>
      <c r="S314" s="6"/>
      <c r="T314" s="6"/>
      <c r="U314" s="6"/>
      <c r="V314" s="6"/>
      <c r="W314" s="6"/>
      <c r="X314" s="6"/>
      <c r="Y314" s="6"/>
      <c r="Z314" s="6"/>
    </row>
    <row r="315" spans="1:26" ht="18" customHeight="1" x14ac:dyDescent="0.3">
      <c r="A315" s="152"/>
      <c r="B315" s="128"/>
      <c r="C315" s="152"/>
      <c r="D315" s="154"/>
      <c r="E315" s="154"/>
      <c r="F315" s="152"/>
      <c r="G315" s="128"/>
      <c r="H315" s="128"/>
      <c r="I315" s="144" t="str">
        <f>IF(H315="","",IFERROR(INDEX('12 P6 activities'!$B$7:$B$206,MATCH(H315,'12 P6 activities'!$A$7:$A$206,0)),"⚠ not in P6 list"))</f>
        <v/>
      </c>
      <c r="J315" s="144" t="str">
        <f>IF(H315="","",IFERROR(INDEX('12 P6 activities'!$C$7:$C$206,MATCH(H315,'12 P6 activities'!$A$7:$A$206,0)),"⚠ not in P6 list"))</f>
        <v/>
      </c>
      <c r="K315" s="128"/>
      <c r="L315" s="6"/>
      <c r="M315" s="6"/>
      <c r="N315" s="6"/>
      <c r="O315" s="6"/>
      <c r="P315" s="6"/>
      <c r="Q315" s="6"/>
      <c r="R315" s="6"/>
      <c r="S315" s="6"/>
      <c r="T315" s="6"/>
      <c r="U315" s="6"/>
      <c r="V315" s="6"/>
      <c r="W315" s="6"/>
      <c r="X315" s="6"/>
      <c r="Y315" s="6"/>
      <c r="Z315" s="6"/>
    </row>
    <row r="316" spans="1:26" ht="18" customHeight="1" x14ac:dyDescent="0.3">
      <c r="A316" s="152"/>
      <c r="B316" s="128"/>
      <c r="C316" s="152"/>
      <c r="D316" s="154"/>
      <c r="E316" s="154"/>
      <c r="F316" s="152"/>
      <c r="G316" s="128"/>
      <c r="H316" s="128"/>
      <c r="I316" s="144" t="str">
        <f>IF(H316="","",IFERROR(INDEX('12 P6 activities'!$B$7:$B$206,MATCH(H316,'12 P6 activities'!$A$7:$A$206,0)),"⚠ not in P6 list"))</f>
        <v/>
      </c>
      <c r="J316" s="144" t="str">
        <f>IF(H316="","",IFERROR(INDEX('12 P6 activities'!$C$7:$C$206,MATCH(H316,'12 P6 activities'!$A$7:$A$206,0)),"⚠ not in P6 list"))</f>
        <v/>
      </c>
      <c r="K316" s="128"/>
      <c r="L316" s="6"/>
      <c r="M316" s="6"/>
      <c r="N316" s="6"/>
      <c r="O316" s="6"/>
      <c r="P316" s="6"/>
      <c r="Q316" s="6"/>
      <c r="R316" s="6"/>
      <c r="S316" s="6"/>
      <c r="T316" s="6"/>
      <c r="U316" s="6"/>
      <c r="V316" s="6"/>
      <c r="W316" s="6"/>
      <c r="X316" s="6"/>
      <c r="Y316" s="6"/>
      <c r="Z316" s="6"/>
    </row>
    <row r="317" spans="1:26" ht="18" customHeight="1" x14ac:dyDescent="0.3">
      <c r="A317" s="152"/>
      <c r="B317" s="128"/>
      <c r="C317" s="152"/>
      <c r="D317" s="154"/>
      <c r="E317" s="154"/>
      <c r="F317" s="152"/>
      <c r="G317" s="128"/>
      <c r="H317" s="128"/>
      <c r="I317" s="144" t="str">
        <f>IF(H317="","",IFERROR(INDEX('12 P6 activities'!$B$7:$B$206,MATCH(H317,'12 P6 activities'!$A$7:$A$206,0)),"⚠ not in P6 list"))</f>
        <v/>
      </c>
      <c r="J317" s="144" t="str">
        <f>IF(H317="","",IFERROR(INDEX('12 P6 activities'!$C$7:$C$206,MATCH(H317,'12 P6 activities'!$A$7:$A$206,0)),"⚠ not in P6 list"))</f>
        <v/>
      </c>
      <c r="K317" s="128"/>
      <c r="L317" s="6"/>
      <c r="M317" s="6"/>
      <c r="N317" s="6"/>
      <c r="O317" s="6"/>
      <c r="P317" s="6"/>
      <c r="Q317" s="6"/>
      <c r="R317" s="6"/>
      <c r="S317" s="6"/>
      <c r="T317" s="6"/>
      <c r="U317" s="6"/>
      <c r="V317" s="6"/>
      <c r="W317" s="6"/>
      <c r="X317" s="6"/>
      <c r="Y317" s="6"/>
      <c r="Z317" s="6"/>
    </row>
    <row r="318" spans="1:26" ht="18" customHeight="1" x14ac:dyDescent="0.3">
      <c r="A318" s="152"/>
      <c r="B318" s="128"/>
      <c r="C318" s="152"/>
      <c r="D318" s="154"/>
      <c r="E318" s="154"/>
      <c r="F318" s="152"/>
      <c r="G318" s="128"/>
      <c r="H318" s="128"/>
      <c r="I318" s="144" t="str">
        <f>IF(H318="","",IFERROR(INDEX('12 P6 activities'!$B$7:$B$206,MATCH(H318,'12 P6 activities'!$A$7:$A$206,0)),"⚠ not in P6 list"))</f>
        <v/>
      </c>
      <c r="J318" s="144" t="str">
        <f>IF(H318="","",IFERROR(INDEX('12 P6 activities'!$C$7:$C$206,MATCH(H318,'12 P6 activities'!$A$7:$A$206,0)),"⚠ not in P6 list"))</f>
        <v/>
      </c>
      <c r="K318" s="128"/>
      <c r="L318" s="6"/>
      <c r="M318" s="6"/>
      <c r="N318" s="6"/>
      <c r="O318" s="6"/>
      <c r="P318" s="6"/>
      <c r="Q318" s="6"/>
      <c r="R318" s="6"/>
      <c r="S318" s="6"/>
      <c r="T318" s="6"/>
      <c r="U318" s="6"/>
      <c r="V318" s="6"/>
      <c r="W318" s="6"/>
      <c r="X318" s="6"/>
      <c r="Y318" s="6"/>
      <c r="Z318" s="6"/>
    </row>
    <row r="319" spans="1:26" ht="18" customHeight="1" x14ac:dyDescent="0.3">
      <c r="A319" s="152"/>
      <c r="B319" s="128"/>
      <c r="C319" s="152"/>
      <c r="D319" s="154"/>
      <c r="E319" s="154"/>
      <c r="F319" s="152"/>
      <c r="G319" s="128"/>
      <c r="H319" s="128"/>
      <c r="I319" s="144" t="str">
        <f>IF(H319="","",IFERROR(INDEX('12 P6 activities'!$B$7:$B$206,MATCH(H319,'12 P6 activities'!$A$7:$A$206,0)),"⚠ not in P6 list"))</f>
        <v/>
      </c>
      <c r="J319" s="144" t="str">
        <f>IF(H319="","",IFERROR(INDEX('12 P6 activities'!$C$7:$C$206,MATCH(H319,'12 P6 activities'!$A$7:$A$206,0)),"⚠ not in P6 list"))</f>
        <v/>
      </c>
      <c r="K319" s="128"/>
      <c r="L319" s="6"/>
      <c r="M319" s="6"/>
      <c r="N319" s="6"/>
      <c r="O319" s="6"/>
      <c r="P319" s="6"/>
      <c r="Q319" s="6"/>
      <c r="R319" s="6"/>
      <c r="S319" s="6"/>
      <c r="T319" s="6"/>
      <c r="U319" s="6"/>
      <c r="V319" s="6"/>
      <c r="W319" s="6"/>
      <c r="X319" s="6"/>
      <c r="Y319" s="6"/>
      <c r="Z319" s="6"/>
    </row>
    <row r="320" spans="1:26" ht="18" customHeight="1" x14ac:dyDescent="0.3">
      <c r="A320" s="152"/>
      <c r="B320" s="128"/>
      <c r="C320" s="152"/>
      <c r="D320" s="154"/>
      <c r="E320" s="154"/>
      <c r="F320" s="152"/>
      <c r="G320" s="128"/>
      <c r="H320" s="128"/>
      <c r="I320" s="144" t="str">
        <f>IF(H320="","",IFERROR(INDEX('12 P6 activities'!$B$7:$B$206,MATCH(H320,'12 P6 activities'!$A$7:$A$206,0)),"⚠ not in P6 list"))</f>
        <v/>
      </c>
      <c r="J320" s="144" t="str">
        <f>IF(H320="","",IFERROR(INDEX('12 P6 activities'!$C$7:$C$206,MATCH(H320,'12 P6 activities'!$A$7:$A$206,0)),"⚠ not in P6 list"))</f>
        <v/>
      </c>
      <c r="K320" s="128"/>
      <c r="L320" s="6"/>
      <c r="M320" s="6"/>
      <c r="N320" s="6"/>
      <c r="O320" s="6"/>
      <c r="P320" s="6"/>
      <c r="Q320" s="6"/>
      <c r="R320" s="6"/>
      <c r="S320" s="6"/>
      <c r="T320" s="6"/>
      <c r="U320" s="6"/>
      <c r="V320" s="6"/>
      <c r="W320" s="6"/>
      <c r="X320" s="6"/>
      <c r="Y320" s="6"/>
      <c r="Z320" s="6"/>
    </row>
    <row r="321" spans="1:26" ht="18" customHeight="1" x14ac:dyDescent="0.3">
      <c r="A321" s="152"/>
      <c r="B321" s="128"/>
      <c r="C321" s="152"/>
      <c r="D321" s="154"/>
      <c r="E321" s="154"/>
      <c r="F321" s="152"/>
      <c r="G321" s="128"/>
      <c r="H321" s="128"/>
      <c r="I321" s="144" t="str">
        <f>IF(H321="","",IFERROR(INDEX('12 P6 activities'!$B$7:$B$206,MATCH(H321,'12 P6 activities'!$A$7:$A$206,0)),"⚠ not in P6 list"))</f>
        <v/>
      </c>
      <c r="J321" s="144" t="str">
        <f>IF(H321="","",IFERROR(INDEX('12 P6 activities'!$C$7:$C$206,MATCH(H321,'12 P6 activities'!$A$7:$A$206,0)),"⚠ not in P6 list"))</f>
        <v/>
      </c>
      <c r="K321" s="128"/>
      <c r="L321" s="6"/>
      <c r="M321" s="6"/>
      <c r="N321" s="6"/>
      <c r="O321" s="6"/>
      <c r="P321" s="6"/>
      <c r="Q321" s="6"/>
      <c r="R321" s="6"/>
      <c r="S321" s="6"/>
      <c r="T321" s="6"/>
      <c r="U321" s="6"/>
      <c r="V321" s="6"/>
      <c r="W321" s="6"/>
      <c r="X321" s="6"/>
      <c r="Y321" s="6"/>
      <c r="Z321" s="6"/>
    </row>
    <row r="322" spans="1:26" ht="18" customHeight="1" x14ac:dyDescent="0.3">
      <c r="A322" s="152"/>
      <c r="B322" s="128"/>
      <c r="C322" s="152"/>
      <c r="D322" s="154"/>
      <c r="E322" s="154"/>
      <c r="F322" s="152"/>
      <c r="G322" s="128"/>
      <c r="H322" s="128"/>
      <c r="I322" s="144" t="str">
        <f>IF(H322="","",IFERROR(INDEX('12 P6 activities'!$B$7:$B$206,MATCH(H322,'12 P6 activities'!$A$7:$A$206,0)),"⚠ not in P6 list"))</f>
        <v/>
      </c>
      <c r="J322" s="144" t="str">
        <f>IF(H322="","",IFERROR(INDEX('12 P6 activities'!$C$7:$C$206,MATCH(H322,'12 P6 activities'!$A$7:$A$206,0)),"⚠ not in P6 list"))</f>
        <v/>
      </c>
      <c r="K322" s="128"/>
      <c r="L322" s="6"/>
      <c r="M322" s="6"/>
      <c r="N322" s="6"/>
      <c r="O322" s="6"/>
      <c r="P322" s="6"/>
      <c r="Q322" s="6"/>
      <c r="R322" s="6"/>
      <c r="S322" s="6"/>
      <c r="T322" s="6"/>
      <c r="U322" s="6"/>
      <c r="V322" s="6"/>
      <c r="W322" s="6"/>
      <c r="X322" s="6"/>
      <c r="Y322" s="6"/>
      <c r="Z322" s="6"/>
    </row>
    <row r="323" spans="1:26" ht="18" customHeight="1" x14ac:dyDescent="0.3">
      <c r="A323" s="152"/>
      <c r="B323" s="128"/>
      <c r="C323" s="152"/>
      <c r="D323" s="154"/>
      <c r="E323" s="154"/>
      <c r="F323" s="152"/>
      <c r="G323" s="128"/>
      <c r="H323" s="128"/>
      <c r="I323" s="144" t="str">
        <f>IF(H323="","",IFERROR(INDEX('12 P6 activities'!$B$7:$B$206,MATCH(H323,'12 P6 activities'!$A$7:$A$206,0)),"⚠ not in P6 list"))</f>
        <v/>
      </c>
      <c r="J323" s="144" t="str">
        <f>IF(H323="","",IFERROR(INDEX('12 P6 activities'!$C$7:$C$206,MATCH(H323,'12 P6 activities'!$A$7:$A$206,0)),"⚠ not in P6 list"))</f>
        <v/>
      </c>
      <c r="K323" s="128"/>
      <c r="L323" s="6"/>
      <c r="M323" s="6"/>
      <c r="N323" s="6"/>
      <c r="O323" s="6"/>
      <c r="P323" s="6"/>
      <c r="Q323" s="6"/>
      <c r="R323" s="6"/>
      <c r="S323" s="6"/>
      <c r="T323" s="6"/>
      <c r="U323" s="6"/>
      <c r="V323" s="6"/>
      <c r="W323" s="6"/>
      <c r="X323" s="6"/>
      <c r="Y323" s="6"/>
      <c r="Z323" s="6"/>
    </row>
    <row r="324" spans="1:26" ht="18" customHeight="1" x14ac:dyDescent="0.3">
      <c r="A324" s="152"/>
      <c r="B324" s="128"/>
      <c r="C324" s="152"/>
      <c r="D324" s="154"/>
      <c r="E324" s="154"/>
      <c r="F324" s="152"/>
      <c r="G324" s="128"/>
      <c r="H324" s="128"/>
      <c r="I324" s="144" t="str">
        <f>IF(H324="","",IFERROR(INDEX('12 P6 activities'!$B$7:$B$206,MATCH(H324,'12 P6 activities'!$A$7:$A$206,0)),"⚠ not in P6 list"))</f>
        <v/>
      </c>
      <c r="J324" s="144" t="str">
        <f>IF(H324="","",IFERROR(INDEX('12 P6 activities'!$C$7:$C$206,MATCH(H324,'12 P6 activities'!$A$7:$A$206,0)),"⚠ not in P6 list"))</f>
        <v/>
      </c>
      <c r="K324" s="128"/>
      <c r="L324" s="6"/>
      <c r="M324" s="6"/>
      <c r="N324" s="6"/>
      <c r="O324" s="6"/>
      <c r="P324" s="6"/>
      <c r="Q324" s="6"/>
      <c r="R324" s="6"/>
      <c r="S324" s="6"/>
      <c r="T324" s="6"/>
      <c r="U324" s="6"/>
      <c r="V324" s="6"/>
      <c r="W324" s="6"/>
      <c r="X324" s="6"/>
      <c r="Y324" s="6"/>
      <c r="Z324" s="6"/>
    </row>
    <row r="325" spans="1:26" ht="18" customHeight="1" x14ac:dyDescent="0.3">
      <c r="A325" s="152"/>
      <c r="B325" s="128"/>
      <c r="C325" s="152"/>
      <c r="D325" s="154"/>
      <c r="E325" s="154"/>
      <c r="F325" s="152"/>
      <c r="G325" s="128"/>
      <c r="H325" s="128"/>
      <c r="I325" s="144" t="str">
        <f>IF(H325="","",IFERROR(INDEX('12 P6 activities'!$B$7:$B$206,MATCH(H325,'12 P6 activities'!$A$7:$A$206,0)),"⚠ not in P6 list"))</f>
        <v/>
      </c>
      <c r="J325" s="144" t="str">
        <f>IF(H325="","",IFERROR(INDEX('12 P6 activities'!$C$7:$C$206,MATCH(H325,'12 P6 activities'!$A$7:$A$206,0)),"⚠ not in P6 list"))</f>
        <v/>
      </c>
      <c r="K325" s="128"/>
      <c r="L325" s="6"/>
      <c r="M325" s="6"/>
      <c r="N325" s="6"/>
      <c r="O325" s="6"/>
      <c r="P325" s="6"/>
      <c r="Q325" s="6"/>
      <c r="R325" s="6"/>
      <c r="S325" s="6"/>
      <c r="T325" s="6"/>
      <c r="U325" s="6"/>
      <c r="V325" s="6"/>
      <c r="W325" s="6"/>
      <c r="X325" s="6"/>
      <c r="Y325" s="6"/>
      <c r="Z325" s="6"/>
    </row>
    <row r="326" spans="1:26" ht="18" customHeight="1" x14ac:dyDescent="0.3">
      <c r="A326" s="152"/>
      <c r="B326" s="128"/>
      <c r="C326" s="152"/>
      <c r="D326" s="154"/>
      <c r="E326" s="154"/>
      <c r="F326" s="152"/>
      <c r="G326" s="128"/>
      <c r="H326" s="128"/>
      <c r="I326" s="144" t="str">
        <f>IF(H326="","",IFERROR(INDEX('12 P6 activities'!$B$7:$B$206,MATCH(H326,'12 P6 activities'!$A$7:$A$206,0)),"⚠ not in P6 list"))</f>
        <v/>
      </c>
      <c r="J326" s="144" t="str">
        <f>IF(H326="","",IFERROR(INDEX('12 P6 activities'!$C$7:$C$206,MATCH(H326,'12 P6 activities'!$A$7:$A$206,0)),"⚠ not in P6 list"))</f>
        <v/>
      </c>
      <c r="K326" s="128"/>
      <c r="L326" s="6"/>
      <c r="M326" s="6"/>
      <c r="N326" s="6"/>
      <c r="O326" s="6"/>
      <c r="P326" s="6"/>
      <c r="Q326" s="6"/>
      <c r="R326" s="6"/>
      <c r="S326" s="6"/>
      <c r="T326" s="6"/>
      <c r="U326" s="6"/>
      <c r="V326" s="6"/>
      <c r="W326" s="6"/>
      <c r="X326" s="6"/>
      <c r="Y326" s="6"/>
      <c r="Z326" s="6"/>
    </row>
    <row r="327" spans="1:26" ht="18" customHeight="1" x14ac:dyDescent="0.3">
      <c r="A327" s="152"/>
      <c r="B327" s="128"/>
      <c r="C327" s="152"/>
      <c r="D327" s="154"/>
      <c r="E327" s="154"/>
      <c r="F327" s="152"/>
      <c r="G327" s="128"/>
      <c r="H327" s="128"/>
      <c r="I327" s="144" t="str">
        <f>IF(H327="","",IFERROR(INDEX('12 P6 activities'!$B$7:$B$206,MATCH(H327,'12 P6 activities'!$A$7:$A$206,0)),"⚠ not in P6 list"))</f>
        <v/>
      </c>
      <c r="J327" s="144" t="str">
        <f>IF(H327="","",IFERROR(INDEX('12 P6 activities'!$C$7:$C$206,MATCH(H327,'12 P6 activities'!$A$7:$A$206,0)),"⚠ not in P6 list"))</f>
        <v/>
      </c>
      <c r="K327" s="128"/>
      <c r="L327" s="6"/>
      <c r="M327" s="6"/>
      <c r="N327" s="6"/>
      <c r="O327" s="6"/>
      <c r="P327" s="6"/>
      <c r="Q327" s="6"/>
      <c r="R327" s="6"/>
      <c r="S327" s="6"/>
      <c r="T327" s="6"/>
      <c r="U327" s="6"/>
      <c r="V327" s="6"/>
      <c r="W327" s="6"/>
      <c r="X327" s="6"/>
      <c r="Y327" s="6"/>
      <c r="Z327" s="6"/>
    </row>
    <row r="328" spans="1:26" ht="18" customHeight="1" x14ac:dyDescent="0.3">
      <c r="A328" s="152"/>
      <c r="B328" s="128"/>
      <c r="C328" s="152"/>
      <c r="D328" s="154"/>
      <c r="E328" s="154"/>
      <c r="F328" s="152"/>
      <c r="G328" s="128"/>
      <c r="H328" s="128"/>
      <c r="I328" s="144" t="str">
        <f>IF(H328="","",IFERROR(INDEX('12 P6 activities'!$B$7:$B$206,MATCH(H328,'12 P6 activities'!$A$7:$A$206,0)),"⚠ not in P6 list"))</f>
        <v/>
      </c>
      <c r="J328" s="144" t="str">
        <f>IF(H328="","",IFERROR(INDEX('12 P6 activities'!$C$7:$C$206,MATCH(H328,'12 P6 activities'!$A$7:$A$206,0)),"⚠ not in P6 list"))</f>
        <v/>
      </c>
      <c r="K328" s="128"/>
      <c r="L328" s="6"/>
      <c r="M328" s="6"/>
      <c r="N328" s="6"/>
      <c r="O328" s="6"/>
      <c r="P328" s="6"/>
      <c r="Q328" s="6"/>
      <c r="R328" s="6"/>
      <c r="S328" s="6"/>
      <c r="T328" s="6"/>
      <c r="U328" s="6"/>
      <c r="V328" s="6"/>
      <c r="W328" s="6"/>
      <c r="X328" s="6"/>
      <c r="Y328" s="6"/>
      <c r="Z328" s="6"/>
    </row>
    <row r="329" spans="1:26" ht="18" customHeight="1" x14ac:dyDescent="0.3">
      <c r="A329" s="152"/>
      <c r="B329" s="128"/>
      <c r="C329" s="152"/>
      <c r="D329" s="154"/>
      <c r="E329" s="154"/>
      <c r="F329" s="152"/>
      <c r="G329" s="128"/>
      <c r="H329" s="128"/>
      <c r="I329" s="144" t="str">
        <f>IF(H329="","",IFERROR(INDEX('12 P6 activities'!$B$7:$B$206,MATCH(H329,'12 P6 activities'!$A$7:$A$206,0)),"⚠ not in P6 list"))</f>
        <v/>
      </c>
      <c r="J329" s="144" t="str">
        <f>IF(H329="","",IFERROR(INDEX('12 P6 activities'!$C$7:$C$206,MATCH(H329,'12 P6 activities'!$A$7:$A$206,0)),"⚠ not in P6 list"))</f>
        <v/>
      </c>
      <c r="K329" s="128"/>
      <c r="L329" s="6"/>
      <c r="M329" s="6"/>
      <c r="N329" s="6"/>
      <c r="O329" s="6"/>
      <c r="P329" s="6"/>
      <c r="Q329" s="6"/>
      <c r="R329" s="6"/>
      <c r="S329" s="6"/>
      <c r="T329" s="6"/>
      <c r="U329" s="6"/>
      <c r="V329" s="6"/>
      <c r="W329" s="6"/>
      <c r="X329" s="6"/>
      <c r="Y329" s="6"/>
      <c r="Z329" s="6"/>
    </row>
    <row r="330" spans="1:26" ht="18" customHeight="1" x14ac:dyDescent="0.3">
      <c r="A330" s="152"/>
      <c r="B330" s="128"/>
      <c r="C330" s="152"/>
      <c r="D330" s="154"/>
      <c r="E330" s="154"/>
      <c r="F330" s="152"/>
      <c r="G330" s="128"/>
      <c r="H330" s="128"/>
      <c r="I330" s="144" t="str">
        <f>IF(H330="","",IFERROR(INDEX('12 P6 activities'!$B$7:$B$206,MATCH(H330,'12 P6 activities'!$A$7:$A$206,0)),"⚠ not in P6 list"))</f>
        <v/>
      </c>
      <c r="J330" s="144" t="str">
        <f>IF(H330="","",IFERROR(INDEX('12 P6 activities'!$C$7:$C$206,MATCH(H330,'12 P6 activities'!$A$7:$A$206,0)),"⚠ not in P6 list"))</f>
        <v/>
      </c>
      <c r="K330" s="128"/>
      <c r="L330" s="6"/>
      <c r="M330" s="6"/>
      <c r="N330" s="6"/>
      <c r="O330" s="6"/>
      <c r="P330" s="6"/>
      <c r="Q330" s="6"/>
      <c r="R330" s="6"/>
      <c r="S330" s="6"/>
      <c r="T330" s="6"/>
      <c r="U330" s="6"/>
      <c r="V330" s="6"/>
      <c r="W330" s="6"/>
      <c r="X330" s="6"/>
      <c r="Y330" s="6"/>
      <c r="Z330" s="6"/>
    </row>
    <row r="331" spans="1:26" ht="18" customHeight="1" x14ac:dyDescent="0.3">
      <c r="A331" s="152"/>
      <c r="B331" s="128"/>
      <c r="C331" s="152"/>
      <c r="D331" s="154"/>
      <c r="E331" s="154"/>
      <c r="F331" s="152"/>
      <c r="G331" s="128"/>
      <c r="H331" s="128"/>
      <c r="I331" s="144" t="str">
        <f>IF(H331="","",IFERROR(INDEX('12 P6 activities'!$B$7:$B$206,MATCH(H331,'12 P6 activities'!$A$7:$A$206,0)),"⚠ not in P6 list"))</f>
        <v/>
      </c>
      <c r="J331" s="144" t="str">
        <f>IF(H331="","",IFERROR(INDEX('12 P6 activities'!$C$7:$C$206,MATCH(H331,'12 P6 activities'!$A$7:$A$206,0)),"⚠ not in P6 list"))</f>
        <v/>
      </c>
      <c r="K331" s="128"/>
      <c r="L331" s="6"/>
      <c r="M331" s="6"/>
      <c r="N331" s="6"/>
      <c r="O331" s="6"/>
      <c r="P331" s="6"/>
      <c r="Q331" s="6"/>
      <c r="R331" s="6"/>
      <c r="S331" s="6"/>
      <c r="T331" s="6"/>
      <c r="U331" s="6"/>
      <c r="V331" s="6"/>
      <c r="W331" s="6"/>
      <c r="X331" s="6"/>
      <c r="Y331" s="6"/>
      <c r="Z331" s="6"/>
    </row>
    <row r="332" spans="1:26" ht="18" customHeight="1" x14ac:dyDescent="0.3">
      <c r="A332" s="152"/>
      <c r="B332" s="128"/>
      <c r="C332" s="152"/>
      <c r="D332" s="154"/>
      <c r="E332" s="154"/>
      <c r="F332" s="152"/>
      <c r="G332" s="128"/>
      <c r="H332" s="128"/>
      <c r="I332" s="144" t="str">
        <f>IF(H332="","",IFERROR(INDEX('12 P6 activities'!$B$7:$B$206,MATCH(H332,'12 P6 activities'!$A$7:$A$206,0)),"⚠ not in P6 list"))</f>
        <v/>
      </c>
      <c r="J332" s="144" t="str">
        <f>IF(H332="","",IFERROR(INDEX('12 P6 activities'!$C$7:$C$206,MATCH(H332,'12 P6 activities'!$A$7:$A$206,0)),"⚠ not in P6 list"))</f>
        <v/>
      </c>
      <c r="K332" s="128"/>
      <c r="L332" s="6"/>
      <c r="M332" s="6"/>
      <c r="N332" s="6"/>
      <c r="O332" s="6"/>
      <c r="P332" s="6"/>
      <c r="Q332" s="6"/>
      <c r="R332" s="6"/>
      <c r="S332" s="6"/>
      <c r="T332" s="6"/>
      <c r="U332" s="6"/>
      <c r="V332" s="6"/>
      <c r="W332" s="6"/>
      <c r="X332" s="6"/>
      <c r="Y332" s="6"/>
      <c r="Z332" s="6"/>
    </row>
    <row r="333" spans="1:26" ht="18" customHeight="1" x14ac:dyDescent="0.3">
      <c r="A333" s="152"/>
      <c r="B333" s="128"/>
      <c r="C333" s="152"/>
      <c r="D333" s="154"/>
      <c r="E333" s="154"/>
      <c r="F333" s="152"/>
      <c r="G333" s="128"/>
      <c r="H333" s="128"/>
      <c r="I333" s="144" t="str">
        <f>IF(H333="","",IFERROR(INDEX('12 P6 activities'!$B$7:$B$206,MATCH(H333,'12 P6 activities'!$A$7:$A$206,0)),"⚠ not in P6 list"))</f>
        <v/>
      </c>
      <c r="J333" s="144" t="str">
        <f>IF(H333="","",IFERROR(INDEX('12 P6 activities'!$C$7:$C$206,MATCH(H333,'12 P6 activities'!$A$7:$A$206,0)),"⚠ not in P6 list"))</f>
        <v/>
      </c>
      <c r="K333" s="128"/>
      <c r="L333" s="6"/>
      <c r="M333" s="6"/>
      <c r="N333" s="6"/>
      <c r="O333" s="6"/>
      <c r="P333" s="6"/>
      <c r="Q333" s="6"/>
      <c r="R333" s="6"/>
      <c r="S333" s="6"/>
      <c r="T333" s="6"/>
      <c r="U333" s="6"/>
      <c r="V333" s="6"/>
      <c r="W333" s="6"/>
      <c r="X333" s="6"/>
      <c r="Y333" s="6"/>
      <c r="Z333" s="6"/>
    </row>
    <row r="334" spans="1:26" ht="18" customHeight="1" x14ac:dyDescent="0.3">
      <c r="A334" s="152"/>
      <c r="B334" s="128"/>
      <c r="C334" s="152"/>
      <c r="D334" s="154"/>
      <c r="E334" s="154"/>
      <c r="F334" s="152"/>
      <c r="G334" s="128"/>
      <c r="H334" s="128"/>
      <c r="I334" s="144" t="str">
        <f>IF(H334="","",IFERROR(INDEX('12 P6 activities'!$B$7:$B$206,MATCH(H334,'12 P6 activities'!$A$7:$A$206,0)),"⚠ not in P6 list"))</f>
        <v/>
      </c>
      <c r="J334" s="144" t="str">
        <f>IF(H334="","",IFERROR(INDEX('12 P6 activities'!$C$7:$C$206,MATCH(H334,'12 P6 activities'!$A$7:$A$206,0)),"⚠ not in P6 list"))</f>
        <v/>
      </c>
      <c r="K334" s="128"/>
      <c r="L334" s="6"/>
      <c r="M334" s="6"/>
      <c r="N334" s="6"/>
      <c r="O334" s="6"/>
      <c r="P334" s="6"/>
      <c r="Q334" s="6"/>
      <c r="R334" s="6"/>
      <c r="S334" s="6"/>
      <c r="T334" s="6"/>
      <c r="U334" s="6"/>
      <c r="V334" s="6"/>
      <c r="W334" s="6"/>
      <c r="X334" s="6"/>
      <c r="Y334" s="6"/>
      <c r="Z334" s="6"/>
    </row>
    <row r="335" spans="1:26" ht="18" customHeight="1" x14ac:dyDescent="0.3">
      <c r="A335" s="152"/>
      <c r="B335" s="128"/>
      <c r="C335" s="152"/>
      <c r="D335" s="154"/>
      <c r="E335" s="154"/>
      <c r="F335" s="152"/>
      <c r="G335" s="128"/>
      <c r="H335" s="128"/>
      <c r="I335" s="144" t="str">
        <f>IF(H335="","",IFERROR(INDEX('12 P6 activities'!$B$7:$B$206,MATCH(H335,'12 P6 activities'!$A$7:$A$206,0)),"⚠ not in P6 list"))</f>
        <v/>
      </c>
      <c r="J335" s="144" t="str">
        <f>IF(H335="","",IFERROR(INDEX('12 P6 activities'!$C$7:$C$206,MATCH(H335,'12 P6 activities'!$A$7:$A$206,0)),"⚠ not in P6 list"))</f>
        <v/>
      </c>
      <c r="K335" s="128"/>
      <c r="L335" s="6"/>
      <c r="M335" s="6"/>
      <c r="N335" s="6"/>
      <c r="O335" s="6"/>
      <c r="P335" s="6"/>
      <c r="Q335" s="6"/>
      <c r="R335" s="6"/>
      <c r="S335" s="6"/>
      <c r="T335" s="6"/>
      <c r="U335" s="6"/>
      <c r="V335" s="6"/>
      <c r="W335" s="6"/>
      <c r="X335" s="6"/>
      <c r="Y335" s="6"/>
      <c r="Z335" s="6"/>
    </row>
    <row r="336" spans="1:26" ht="18" customHeight="1" x14ac:dyDescent="0.3">
      <c r="A336" s="152"/>
      <c r="B336" s="128"/>
      <c r="C336" s="152"/>
      <c r="D336" s="154"/>
      <c r="E336" s="154"/>
      <c r="F336" s="152"/>
      <c r="G336" s="128"/>
      <c r="H336" s="128"/>
      <c r="I336" s="144" t="str">
        <f>IF(H336="","",IFERROR(INDEX('12 P6 activities'!$B$7:$B$206,MATCH(H336,'12 P6 activities'!$A$7:$A$206,0)),"⚠ not in P6 list"))</f>
        <v/>
      </c>
      <c r="J336" s="144" t="str">
        <f>IF(H336="","",IFERROR(INDEX('12 P6 activities'!$C$7:$C$206,MATCH(H336,'12 P6 activities'!$A$7:$A$206,0)),"⚠ not in P6 list"))</f>
        <v/>
      </c>
      <c r="K336" s="128"/>
      <c r="L336" s="6"/>
      <c r="M336" s="6"/>
      <c r="N336" s="6"/>
      <c r="O336" s="6"/>
      <c r="P336" s="6"/>
      <c r="Q336" s="6"/>
      <c r="R336" s="6"/>
      <c r="S336" s="6"/>
      <c r="T336" s="6"/>
      <c r="U336" s="6"/>
      <c r="V336" s="6"/>
      <c r="W336" s="6"/>
      <c r="X336" s="6"/>
      <c r="Y336" s="6"/>
      <c r="Z336" s="6"/>
    </row>
    <row r="337" spans="1:26" ht="18" customHeight="1" x14ac:dyDescent="0.3">
      <c r="A337" s="152"/>
      <c r="B337" s="128"/>
      <c r="C337" s="152"/>
      <c r="D337" s="154"/>
      <c r="E337" s="154"/>
      <c r="F337" s="152"/>
      <c r="G337" s="128"/>
      <c r="H337" s="128"/>
      <c r="I337" s="144" t="str">
        <f>IF(H337="","",IFERROR(INDEX('12 P6 activities'!$B$7:$B$206,MATCH(H337,'12 P6 activities'!$A$7:$A$206,0)),"⚠ not in P6 list"))</f>
        <v/>
      </c>
      <c r="J337" s="144" t="str">
        <f>IF(H337="","",IFERROR(INDEX('12 P6 activities'!$C$7:$C$206,MATCH(H337,'12 P6 activities'!$A$7:$A$206,0)),"⚠ not in P6 list"))</f>
        <v/>
      </c>
      <c r="K337" s="128"/>
      <c r="L337" s="6"/>
      <c r="M337" s="6"/>
      <c r="N337" s="6"/>
      <c r="O337" s="6"/>
      <c r="P337" s="6"/>
      <c r="Q337" s="6"/>
      <c r="R337" s="6"/>
      <c r="S337" s="6"/>
      <c r="T337" s="6"/>
      <c r="U337" s="6"/>
      <c r="V337" s="6"/>
      <c r="W337" s="6"/>
      <c r="X337" s="6"/>
      <c r="Y337" s="6"/>
      <c r="Z337" s="6"/>
    </row>
    <row r="338" spans="1:26" ht="18" customHeight="1" x14ac:dyDescent="0.3">
      <c r="A338" s="152"/>
      <c r="B338" s="128"/>
      <c r="C338" s="152"/>
      <c r="D338" s="154"/>
      <c r="E338" s="154"/>
      <c r="F338" s="152"/>
      <c r="G338" s="128"/>
      <c r="H338" s="128"/>
      <c r="I338" s="144" t="str">
        <f>IF(H338="","",IFERROR(INDEX('12 P6 activities'!$B$7:$B$206,MATCH(H338,'12 P6 activities'!$A$7:$A$206,0)),"⚠ not in P6 list"))</f>
        <v/>
      </c>
      <c r="J338" s="144" t="str">
        <f>IF(H338="","",IFERROR(INDEX('12 P6 activities'!$C$7:$C$206,MATCH(H338,'12 P6 activities'!$A$7:$A$206,0)),"⚠ not in P6 list"))</f>
        <v/>
      </c>
      <c r="K338" s="128"/>
      <c r="L338" s="6"/>
      <c r="M338" s="6"/>
      <c r="N338" s="6"/>
      <c r="O338" s="6"/>
      <c r="P338" s="6"/>
      <c r="Q338" s="6"/>
      <c r="R338" s="6"/>
      <c r="S338" s="6"/>
      <c r="T338" s="6"/>
      <c r="U338" s="6"/>
      <c r="V338" s="6"/>
      <c r="W338" s="6"/>
      <c r="X338" s="6"/>
      <c r="Y338" s="6"/>
      <c r="Z338" s="6"/>
    </row>
    <row r="339" spans="1:26" ht="18" customHeight="1" x14ac:dyDescent="0.3">
      <c r="A339" s="152"/>
      <c r="B339" s="128"/>
      <c r="C339" s="152"/>
      <c r="D339" s="154"/>
      <c r="E339" s="154"/>
      <c r="F339" s="152"/>
      <c r="G339" s="128"/>
      <c r="H339" s="128"/>
      <c r="I339" s="144" t="str">
        <f>IF(H339="","",IFERROR(INDEX('12 P6 activities'!$B$7:$B$206,MATCH(H339,'12 P6 activities'!$A$7:$A$206,0)),"⚠ not in P6 list"))</f>
        <v/>
      </c>
      <c r="J339" s="144" t="str">
        <f>IF(H339="","",IFERROR(INDEX('12 P6 activities'!$C$7:$C$206,MATCH(H339,'12 P6 activities'!$A$7:$A$206,0)),"⚠ not in P6 list"))</f>
        <v/>
      </c>
      <c r="K339" s="128"/>
      <c r="L339" s="6"/>
      <c r="M339" s="6"/>
      <c r="N339" s="6"/>
      <c r="O339" s="6"/>
      <c r="P339" s="6"/>
      <c r="Q339" s="6"/>
      <c r="R339" s="6"/>
      <c r="S339" s="6"/>
      <c r="T339" s="6"/>
      <c r="U339" s="6"/>
      <c r="V339" s="6"/>
      <c r="W339" s="6"/>
      <c r="X339" s="6"/>
      <c r="Y339" s="6"/>
      <c r="Z339" s="6"/>
    </row>
    <row r="340" spans="1:26" ht="18" customHeight="1" x14ac:dyDescent="0.3">
      <c r="A340" s="152"/>
      <c r="B340" s="128"/>
      <c r="C340" s="152"/>
      <c r="D340" s="154"/>
      <c r="E340" s="154"/>
      <c r="F340" s="152"/>
      <c r="G340" s="128"/>
      <c r="H340" s="128"/>
      <c r="I340" s="144" t="str">
        <f>IF(H340="","",IFERROR(INDEX('12 P6 activities'!$B$7:$B$206,MATCH(H340,'12 P6 activities'!$A$7:$A$206,0)),"⚠ not in P6 list"))</f>
        <v/>
      </c>
      <c r="J340" s="144" t="str">
        <f>IF(H340="","",IFERROR(INDEX('12 P6 activities'!$C$7:$C$206,MATCH(H340,'12 P6 activities'!$A$7:$A$206,0)),"⚠ not in P6 list"))</f>
        <v/>
      </c>
      <c r="K340" s="128"/>
      <c r="L340" s="6"/>
      <c r="M340" s="6"/>
      <c r="N340" s="6"/>
      <c r="O340" s="6"/>
      <c r="P340" s="6"/>
      <c r="Q340" s="6"/>
      <c r="R340" s="6"/>
      <c r="S340" s="6"/>
      <c r="T340" s="6"/>
      <c r="U340" s="6"/>
      <c r="V340" s="6"/>
      <c r="W340" s="6"/>
      <c r="X340" s="6"/>
      <c r="Y340" s="6"/>
      <c r="Z340" s="6"/>
    </row>
    <row r="341" spans="1:26" ht="18" customHeight="1" x14ac:dyDescent="0.3">
      <c r="A341" s="152"/>
      <c r="B341" s="128"/>
      <c r="C341" s="152"/>
      <c r="D341" s="154"/>
      <c r="E341" s="154"/>
      <c r="F341" s="152"/>
      <c r="G341" s="128"/>
      <c r="H341" s="128"/>
      <c r="I341" s="144" t="str">
        <f>IF(H341="","",IFERROR(INDEX('12 P6 activities'!$B$7:$B$206,MATCH(H341,'12 P6 activities'!$A$7:$A$206,0)),"⚠ not in P6 list"))</f>
        <v/>
      </c>
      <c r="J341" s="144" t="str">
        <f>IF(H341="","",IFERROR(INDEX('12 P6 activities'!$C$7:$C$206,MATCH(H341,'12 P6 activities'!$A$7:$A$206,0)),"⚠ not in P6 list"))</f>
        <v/>
      </c>
      <c r="K341" s="128"/>
      <c r="L341" s="6"/>
      <c r="M341" s="6"/>
      <c r="N341" s="6"/>
      <c r="O341" s="6"/>
      <c r="P341" s="6"/>
      <c r="Q341" s="6"/>
      <c r="R341" s="6"/>
      <c r="S341" s="6"/>
      <c r="T341" s="6"/>
      <c r="U341" s="6"/>
      <c r="V341" s="6"/>
      <c r="W341" s="6"/>
      <c r="X341" s="6"/>
      <c r="Y341" s="6"/>
      <c r="Z341" s="6"/>
    </row>
    <row r="342" spans="1:26" ht="18" customHeight="1" x14ac:dyDescent="0.3">
      <c r="A342" s="152"/>
      <c r="B342" s="128"/>
      <c r="C342" s="152"/>
      <c r="D342" s="154"/>
      <c r="E342" s="154"/>
      <c r="F342" s="152"/>
      <c r="G342" s="128"/>
      <c r="H342" s="128"/>
      <c r="I342" s="144" t="str">
        <f>IF(H342="","",IFERROR(INDEX('12 P6 activities'!$B$7:$B$206,MATCH(H342,'12 P6 activities'!$A$7:$A$206,0)),"⚠ not in P6 list"))</f>
        <v/>
      </c>
      <c r="J342" s="144" t="str">
        <f>IF(H342="","",IFERROR(INDEX('12 P6 activities'!$C$7:$C$206,MATCH(H342,'12 P6 activities'!$A$7:$A$206,0)),"⚠ not in P6 list"))</f>
        <v/>
      </c>
      <c r="K342" s="128"/>
      <c r="L342" s="6"/>
      <c r="M342" s="6"/>
      <c r="N342" s="6"/>
      <c r="O342" s="6"/>
      <c r="P342" s="6"/>
      <c r="Q342" s="6"/>
      <c r="R342" s="6"/>
      <c r="S342" s="6"/>
      <c r="T342" s="6"/>
      <c r="U342" s="6"/>
      <c r="V342" s="6"/>
      <c r="W342" s="6"/>
      <c r="X342" s="6"/>
      <c r="Y342" s="6"/>
      <c r="Z342" s="6"/>
    </row>
    <row r="343" spans="1:26" ht="18" customHeight="1" x14ac:dyDescent="0.3">
      <c r="A343" s="152"/>
      <c r="B343" s="128"/>
      <c r="C343" s="152"/>
      <c r="D343" s="154"/>
      <c r="E343" s="154"/>
      <c r="F343" s="152"/>
      <c r="G343" s="128"/>
      <c r="H343" s="128"/>
      <c r="I343" s="144" t="str">
        <f>IF(H343="","",IFERROR(INDEX('12 P6 activities'!$B$7:$B$206,MATCH(H343,'12 P6 activities'!$A$7:$A$206,0)),"⚠ not in P6 list"))</f>
        <v/>
      </c>
      <c r="J343" s="144" t="str">
        <f>IF(H343="","",IFERROR(INDEX('12 P6 activities'!$C$7:$C$206,MATCH(H343,'12 P6 activities'!$A$7:$A$206,0)),"⚠ not in P6 list"))</f>
        <v/>
      </c>
      <c r="K343" s="128"/>
      <c r="L343" s="6"/>
      <c r="M343" s="6"/>
      <c r="N343" s="6"/>
      <c r="O343" s="6"/>
      <c r="P343" s="6"/>
      <c r="Q343" s="6"/>
      <c r="R343" s="6"/>
      <c r="S343" s="6"/>
      <c r="T343" s="6"/>
      <c r="U343" s="6"/>
      <c r="V343" s="6"/>
      <c r="W343" s="6"/>
      <c r="X343" s="6"/>
      <c r="Y343" s="6"/>
      <c r="Z343" s="6"/>
    </row>
    <row r="344" spans="1:26" ht="18" customHeight="1" x14ac:dyDescent="0.3">
      <c r="A344" s="152"/>
      <c r="B344" s="128"/>
      <c r="C344" s="152"/>
      <c r="D344" s="154"/>
      <c r="E344" s="154"/>
      <c r="F344" s="152"/>
      <c r="G344" s="128"/>
      <c r="H344" s="128"/>
      <c r="I344" s="144" t="str">
        <f>IF(H344="","",IFERROR(INDEX('12 P6 activities'!$B$7:$B$206,MATCH(H344,'12 P6 activities'!$A$7:$A$206,0)),"⚠ not in P6 list"))</f>
        <v/>
      </c>
      <c r="J344" s="144" t="str">
        <f>IF(H344="","",IFERROR(INDEX('12 P6 activities'!$C$7:$C$206,MATCH(H344,'12 P6 activities'!$A$7:$A$206,0)),"⚠ not in P6 list"))</f>
        <v/>
      </c>
      <c r="K344" s="128"/>
      <c r="L344" s="6"/>
      <c r="M344" s="6"/>
      <c r="N344" s="6"/>
      <c r="O344" s="6"/>
      <c r="P344" s="6"/>
      <c r="Q344" s="6"/>
      <c r="R344" s="6"/>
      <c r="S344" s="6"/>
      <c r="T344" s="6"/>
      <c r="U344" s="6"/>
      <c r="V344" s="6"/>
      <c r="W344" s="6"/>
      <c r="X344" s="6"/>
      <c r="Y344" s="6"/>
      <c r="Z344" s="6"/>
    </row>
    <row r="345" spans="1:26" ht="18" customHeight="1" x14ac:dyDescent="0.3">
      <c r="A345" s="152"/>
      <c r="B345" s="128"/>
      <c r="C345" s="152"/>
      <c r="D345" s="154"/>
      <c r="E345" s="154"/>
      <c r="F345" s="152"/>
      <c r="G345" s="128"/>
      <c r="H345" s="128"/>
      <c r="I345" s="144" t="str">
        <f>IF(H345="","",IFERROR(INDEX('12 P6 activities'!$B$7:$B$206,MATCH(H345,'12 P6 activities'!$A$7:$A$206,0)),"⚠ not in P6 list"))</f>
        <v/>
      </c>
      <c r="J345" s="144" t="str">
        <f>IF(H345="","",IFERROR(INDEX('12 P6 activities'!$C$7:$C$206,MATCH(H345,'12 P6 activities'!$A$7:$A$206,0)),"⚠ not in P6 list"))</f>
        <v/>
      </c>
      <c r="K345" s="128"/>
      <c r="L345" s="6"/>
      <c r="M345" s="6"/>
      <c r="N345" s="6"/>
      <c r="O345" s="6"/>
      <c r="P345" s="6"/>
      <c r="Q345" s="6"/>
      <c r="R345" s="6"/>
      <c r="S345" s="6"/>
      <c r="T345" s="6"/>
      <c r="U345" s="6"/>
      <c r="V345" s="6"/>
      <c r="W345" s="6"/>
      <c r="X345" s="6"/>
      <c r="Y345" s="6"/>
      <c r="Z345" s="6"/>
    </row>
    <row r="346" spans="1:26" ht="18" customHeight="1" x14ac:dyDescent="0.3">
      <c r="A346" s="152"/>
      <c r="B346" s="128"/>
      <c r="C346" s="152"/>
      <c r="D346" s="154"/>
      <c r="E346" s="154"/>
      <c r="F346" s="152"/>
      <c r="G346" s="128"/>
      <c r="H346" s="128"/>
      <c r="I346" s="144" t="str">
        <f>IF(H346="","",IFERROR(INDEX('12 P6 activities'!$B$7:$B$206,MATCH(H346,'12 P6 activities'!$A$7:$A$206,0)),"⚠ not in P6 list"))</f>
        <v/>
      </c>
      <c r="J346" s="144" t="str">
        <f>IF(H346="","",IFERROR(INDEX('12 P6 activities'!$C$7:$C$206,MATCH(H346,'12 P6 activities'!$A$7:$A$206,0)),"⚠ not in P6 list"))</f>
        <v/>
      </c>
      <c r="K346" s="128"/>
      <c r="L346" s="6"/>
      <c r="M346" s="6"/>
      <c r="N346" s="6"/>
      <c r="O346" s="6"/>
      <c r="P346" s="6"/>
      <c r="Q346" s="6"/>
      <c r="R346" s="6"/>
      <c r="S346" s="6"/>
      <c r="T346" s="6"/>
      <c r="U346" s="6"/>
      <c r="V346" s="6"/>
      <c r="W346" s="6"/>
      <c r="X346" s="6"/>
      <c r="Y346" s="6"/>
      <c r="Z346" s="6"/>
    </row>
    <row r="347" spans="1:26" ht="18" customHeight="1" x14ac:dyDescent="0.3">
      <c r="A347" s="152"/>
      <c r="B347" s="128"/>
      <c r="C347" s="152"/>
      <c r="D347" s="154"/>
      <c r="E347" s="154"/>
      <c r="F347" s="152"/>
      <c r="G347" s="128"/>
      <c r="H347" s="128"/>
      <c r="I347" s="144" t="str">
        <f>IF(H347="","",IFERROR(INDEX('12 P6 activities'!$B$7:$B$206,MATCH(H347,'12 P6 activities'!$A$7:$A$206,0)),"⚠ not in P6 list"))</f>
        <v/>
      </c>
      <c r="J347" s="144" t="str">
        <f>IF(H347="","",IFERROR(INDEX('12 P6 activities'!$C$7:$C$206,MATCH(H347,'12 P6 activities'!$A$7:$A$206,0)),"⚠ not in P6 list"))</f>
        <v/>
      </c>
      <c r="K347" s="128"/>
      <c r="L347" s="6"/>
      <c r="M347" s="6"/>
      <c r="N347" s="6"/>
      <c r="O347" s="6"/>
      <c r="P347" s="6"/>
      <c r="Q347" s="6"/>
      <c r="R347" s="6"/>
      <c r="S347" s="6"/>
      <c r="T347" s="6"/>
      <c r="U347" s="6"/>
      <c r="V347" s="6"/>
      <c r="W347" s="6"/>
      <c r="X347" s="6"/>
      <c r="Y347" s="6"/>
      <c r="Z347" s="6"/>
    </row>
    <row r="348" spans="1:26" ht="18" customHeight="1" x14ac:dyDescent="0.3">
      <c r="A348" s="152"/>
      <c r="B348" s="128"/>
      <c r="C348" s="152"/>
      <c r="D348" s="154"/>
      <c r="E348" s="154"/>
      <c r="F348" s="152"/>
      <c r="G348" s="128"/>
      <c r="H348" s="128"/>
      <c r="I348" s="144" t="str">
        <f>IF(H348="","",IFERROR(INDEX('12 P6 activities'!$B$7:$B$206,MATCH(H348,'12 P6 activities'!$A$7:$A$206,0)),"⚠ not in P6 list"))</f>
        <v/>
      </c>
      <c r="J348" s="144" t="str">
        <f>IF(H348="","",IFERROR(INDEX('12 P6 activities'!$C$7:$C$206,MATCH(H348,'12 P6 activities'!$A$7:$A$206,0)),"⚠ not in P6 list"))</f>
        <v/>
      </c>
      <c r="K348" s="128"/>
      <c r="L348" s="6"/>
      <c r="M348" s="6"/>
      <c r="N348" s="6"/>
      <c r="O348" s="6"/>
      <c r="P348" s="6"/>
      <c r="Q348" s="6"/>
      <c r="R348" s="6"/>
      <c r="S348" s="6"/>
      <c r="T348" s="6"/>
      <c r="U348" s="6"/>
      <c r="V348" s="6"/>
      <c r="W348" s="6"/>
      <c r="X348" s="6"/>
      <c r="Y348" s="6"/>
      <c r="Z348" s="6"/>
    </row>
    <row r="349" spans="1:26" ht="18" customHeight="1" x14ac:dyDescent="0.3">
      <c r="A349" s="152"/>
      <c r="B349" s="128"/>
      <c r="C349" s="152"/>
      <c r="D349" s="154"/>
      <c r="E349" s="154"/>
      <c r="F349" s="152"/>
      <c r="G349" s="128"/>
      <c r="H349" s="128"/>
      <c r="I349" s="144" t="str">
        <f>IF(H349="","",IFERROR(INDEX('12 P6 activities'!$B$7:$B$206,MATCH(H349,'12 P6 activities'!$A$7:$A$206,0)),"⚠ not in P6 list"))</f>
        <v/>
      </c>
      <c r="J349" s="144" t="str">
        <f>IF(H349="","",IFERROR(INDEX('12 P6 activities'!$C$7:$C$206,MATCH(H349,'12 P6 activities'!$A$7:$A$206,0)),"⚠ not in P6 list"))</f>
        <v/>
      </c>
      <c r="K349" s="128"/>
      <c r="L349" s="6"/>
      <c r="M349" s="6"/>
      <c r="N349" s="6"/>
      <c r="O349" s="6"/>
      <c r="P349" s="6"/>
      <c r="Q349" s="6"/>
      <c r="R349" s="6"/>
      <c r="S349" s="6"/>
      <c r="T349" s="6"/>
      <c r="U349" s="6"/>
      <c r="V349" s="6"/>
      <c r="W349" s="6"/>
      <c r="X349" s="6"/>
      <c r="Y349" s="6"/>
      <c r="Z349" s="6"/>
    </row>
    <row r="350" spans="1:26" ht="18" customHeight="1" x14ac:dyDescent="0.3">
      <c r="A350" s="152"/>
      <c r="B350" s="128"/>
      <c r="C350" s="152"/>
      <c r="D350" s="154"/>
      <c r="E350" s="154"/>
      <c r="F350" s="152"/>
      <c r="G350" s="128"/>
      <c r="H350" s="128"/>
      <c r="I350" s="144" t="str">
        <f>IF(H350="","",IFERROR(INDEX('12 P6 activities'!$B$7:$B$206,MATCH(H350,'12 P6 activities'!$A$7:$A$206,0)),"⚠ not in P6 list"))</f>
        <v/>
      </c>
      <c r="J350" s="144" t="str">
        <f>IF(H350="","",IFERROR(INDEX('12 P6 activities'!$C$7:$C$206,MATCH(H350,'12 P6 activities'!$A$7:$A$206,0)),"⚠ not in P6 list"))</f>
        <v/>
      </c>
      <c r="K350" s="128"/>
      <c r="L350" s="6"/>
      <c r="M350" s="6"/>
      <c r="N350" s="6"/>
      <c r="O350" s="6"/>
      <c r="P350" s="6"/>
      <c r="Q350" s="6"/>
      <c r="R350" s="6"/>
      <c r="S350" s="6"/>
      <c r="T350" s="6"/>
      <c r="U350" s="6"/>
      <c r="V350" s="6"/>
      <c r="W350" s="6"/>
      <c r="X350" s="6"/>
      <c r="Y350" s="6"/>
      <c r="Z350" s="6"/>
    </row>
    <row r="351" spans="1:26" ht="18" customHeight="1" x14ac:dyDescent="0.3">
      <c r="A351" s="152"/>
      <c r="B351" s="128"/>
      <c r="C351" s="152"/>
      <c r="D351" s="154"/>
      <c r="E351" s="154"/>
      <c r="F351" s="152"/>
      <c r="G351" s="128"/>
      <c r="H351" s="128"/>
      <c r="I351" s="144" t="str">
        <f>IF(H351="","",IFERROR(INDEX('12 P6 activities'!$B$7:$B$206,MATCH(H351,'12 P6 activities'!$A$7:$A$206,0)),"⚠ not in P6 list"))</f>
        <v/>
      </c>
      <c r="J351" s="144" t="str">
        <f>IF(H351="","",IFERROR(INDEX('12 P6 activities'!$C$7:$C$206,MATCH(H351,'12 P6 activities'!$A$7:$A$206,0)),"⚠ not in P6 list"))</f>
        <v/>
      </c>
      <c r="K351" s="128"/>
      <c r="L351" s="6"/>
      <c r="M351" s="6"/>
      <c r="N351" s="6"/>
      <c r="O351" s="6"/>
      <c r="P351" s="6"/>
      <c r="Q351" s="6"/>
      <c r="R351" s="6"/>
      <c r="S351" s="6"/>
      <c r="T351" s="6"/>
      <c r="U351" s="6"/>
      <c r="V351" s="6"/>
      <c r="W351" s="6"/>
      <c r="X351" s="6"/>
      <c r="Y351" s="6"/>
      <c r="Z351" s="6"/>
    </row>
    <row r="352" spans="1:26" ht="18" customHeight="1" x14ac:dyDescent="0.3">
      <c r="A352" s="152"/>
      <c r="B352" s="128"/>
      <c r="C352" s="152"/>
      <c r="D352" s="154"/>
      <c r="E352" s="154"/>
      <c r="F352" s="152"/>
      <c r="G352" s="128"/>
      <c r="H352" s="128"/>
      <c r="I352" s="144" t="str">
        <f>IF(H352="","",IFERROR(INDEX('12 P6 activities'!$B$7:$B$206,MATCH(H352,'12 P6 activities'!$A$7:$A$206,0)),"⚠ not in P6 list"))</f>
        <v/>
      </c>
      <c r="J352" s="144" t="str">
        <f>IF(H352="","",IFERROR(INDEX('12 P6 activities'!$C$7:$C$206,MATCH(H352,'12 P6 activities'!$A$7:$A$206,0)),"⚠ not in P6 list"))</f>
        <v/>
      </c>
      <c r="K352" s="128"/>
      <c r="L352" s="6"/>
      <c r="M352" s="6"/>
      <c r="N352" s="6"/>
      <c r="O352" s="6"/>
      <c r="P352" s="6"/>
      <c r="Q352" s="6"/>
      <c r="R352" s="6"/>
      <c r="S352" s="6"/>
      <c r="T352" s="6"/>
      <c r="U352" s="6"/>
      <c r="V352" s="6"/>
      <c r="W352" s="6"/>
      <c r="X352" s="6"/>
      <c r="Y352" s="6"/>
      <c r="Z352" s="6"/>
    </row>
    <row r="353" spans="1:26" ht="18" customHeight="1" x14ac:dyDescent="0.3">
      <c r="A353" s="152"/>
      <c r="B353" s="128"/>
      <c r="C353" s="152"/>
      <c r="D353" s="154"/>
      <c r="E353" s="154"/>
      <c r="F353" s="152"/>
      <c r="G353" s="128"/>
      <c r="H353" s="128"/>
      <c r="I353" s="144" t="str">
        <f>IF(H353="","",IFERROR(INDEX('12 P6 activities'!$B$7:$B$206,MATCH(H353,'12 P6 activities'!$A$7:$A$206,0)),"⚠ not in P6 list"))</f>
        <v/>
      </c>
      <c r="J353" s="144" t="str">
        <f>IF(H353="","",IFERROR(INDEX('12 P6 activities'!$C$7:$C$206,MATCH(H353,'12 P6 activities'!$A$7:$A$206,0)),"⚠ not in P6 list"))</f>
        <v/>
      </c>
      <c r="K353" s="128"/>
      <c r="L353" s="6"/>
      <c r="M353" s="6"/>
      <c r="N353" s="6"/>
      <c r="O353" s="6"/>
      <c r="P353" s="6"/>
      <c r="Q353" s="6"/>
      <c r="R353" s="6"/>
      <c r="S353" s="6"/>
      <c r="T353" s="6"/>
      <c r="U353" s="6"/>
      <c r="V353" s="6"/>
      <c r="W353" s="6"/>
      <c r="X353" s="6"/>
      <c r="Y353" s="6"/>
      <c r="Z353" s="6"/>
    </row>
    <row r="354" spans="1:26" ht="18" customHeight="1" x14ac:dyDescent="0.3">
      <c r="A354" s="152"/>
      <c r="B354" s="128"/>
      <c r="C354" s="152"/>
      <c r="D354" s="154"/>
      <c r="E354" s="154"/>
      <c r="F354" s="152"/>
      <c r="G354" s="128"/>
      <c r="H354" s="128"/>
      <c r="I354" s="144" t="str">
        <f>IF(H354="","",IFERROR(INDEX('12 P6 activities'!$B$7:$B$206,MATCH(H354,'12 P6 activities'!$A$7:$A$206,0)),"⚠ not in P6 list"))</f>
        <v/>
      </c>
      <c r="J354" s="144" t="str">
        <f>IF(H354="","",IFERROR(INDEX('12 P6 activities'!$C$7:$C$206,MATCH(H354,'12 P6 activities'!$A$7:$A$206,0)),"⚠ not in P6 list"))</f>
        <v/>
      </c>
      <c r="K354" s="128"/>
      <c r="L354" s="6"/>
      <c r="M354" s="6"/>
      <c r="N354" s="6"/>
      <c r="O354" s="6"/>
      <c r="P354" s="6"/>
      <c r="Q354" s="6"/>
      <c r="R354" s="6"/>
      <c r="S354" s="6"/>
      <c r="T354" s="6"/>
      <c r="U354" s="6"/>
      <c r="V354" s="6"/>
      <c r="W354" s="6"/>
      <c r="X354" s="6"/>
      <c r="Y354" s="6"/>
      <c r="Z354" s="6"/>
    </row>
    <row r="355" spans="1:26" ht="18" customHeight="1" x14ac:dyDescent="0.3">
      <c r="A355" s="152"/>
      <c r="B355" s="128"/>
      <c r="C355" s="152"/>
      <c r="D355" s="154"/>
      <c r="E355" s="154"/>
      <c r="F355" s="152"/>
      <c r="G355" s="128"/>
      <c r="H355" s="128"/>
      <c r="I355" s="144" t="str">
        <f>IF(H355="","",IFERROR(INDEX('12 P6 activities'!$B$7:$B$206,MATCH(H355,'12 P6 activities'!$A$7:$A$206,0)),"⚠ not in P6 list"))</f>
        <v/>
      </c>
      <c r="J355" s="144" t="str">
        <f>IF(H355="","",IFERROR(INDEX('12 P6 activities'!$C$7:$C$206,MATCH(H355,'12 P6 activities'!$A$7:$A$206,0)),"⚠ not in P6 list"))</f>
        <v/>
      </c>
      <c r="K355" s="128"/>
      <c r="L355" s="6"/>
      <c r="M355" s="6"/>
      <c r="N355" s="6"/>
      <c r="O355" s="6"/>
      <c r="P355" s="6"/>
      <c r="Q355" s="6"/>
      <c r="R355" s="6"/>
      <c r="S355" s="6"/>
      <c r="T355" s="6"/>
      <c r="U355" s="6"/>
      <c r="V355" s="6"/>
      <c r="W355" s="6"/>
      <c r="X355" s="6"/>
      <c r="Y355" s="6"/>
      <c r="Z355" s="6"/>
    </row>
    <row r="356" spans="1:26" ht="18" customHeight="1" x14ac:dyDescent="0.3">
      <c r="A356" s="152"/>
      <c r="B356" s="128"/>
      <c r="C356" s="152"/>
      <c r="D356" s="154"/>
      <c r="E356" s="154"/>
      <c r="F356" s="152"/>
      <c r="G356" s="128"/>
      <c r="H356" s="128"/>
      <c r="I356" s="144" t="str">
        <f>IF(H356="","",IFERROR(INDEX('12 P6 activities'!$B$7:$B$206,MATCH(H356,'12 P6 activities'!$A$7:$A$206,0)),"⚠ not in P6 list"))</f>
        <v/>
      </c>
      <c r="J356" s="144" t="str">
        <f>IF(H356="","",IFERROR(INDEX('12 P6 activities'!$C$7:$C$206,MATCH(H356,'12 P6 activities'!$A$7:$A$206,0)),"⚠ not in P6 list"))</f>
        <v/>
      </c>
      <c r="K356" s="128"/>
      <c r="L356" s="6"/>
      <c r="M356" s="6"/>
      <c r="N356" s="6"/>
      <c r="O356" s="6"/>
      <c r="P356" s="6"/>
      <c r="Q356" s="6"/>
      <c r="R356" s="6"/>
      <c r="S356" s="6"/>
      <c r="T356" s="6"/>
      <c r="U356" s="6"/>
      <c r="V356" s="6"/>
      <c r="W356" s="6"/>
      <c r="X356" s="6"/>
      <c r="Y356" s="6"/>
      <c r="Z356" s="6"/>
    </row>
    <row r="357" spans="1:26" ht="18" customHeight="1" x14ac:dyDescent="0.3">
      <c r="A357" s="152"/>
      <c r="B357" s="128"/>
      <c r="C357" s="152"/>
      <c r="D357" s="154"/>
      <c r="E357" s="154"/>
      <c r="F357" s="152"/>
      <c r="G357" s="128"/>
      <c r="H357" s="128"/>
      <c r="I357" s="144" t="str">
        <f>IF(H357="","",IFERROR(INDEX('12 P6 activities'!$B$7:$B$206,MATCH(H357,'12 P6 activities'!$A$7:$A$206,0)),"⚠ not in P6 list"))</f>
        <v/>
      </c>
      <c r="J357" s="144" t="str">
        <f>IF(H357="","",IFERROR(INDEX('12 P6 activities'!$C$7:$C$206,MATCH(H357,'12 P6 activities'!$A$7:$A$206,0)),"⚠ not in P6 list"))</f>
        <v/>
      </c>
      <c r="K357" s="128"/>
      <c r="L357" s="6"/>
      <c r="M357" s="6"/>
      <c r="N357" s="6"/>
      <c r="O357" s="6"/>
      <c r="P357" s="6"/>
      <c r="Q357" s="6"/>
      <c r="R357" s="6"/>
      <c r="S357" s="6"/>
      <c r="T357" s="6"/>
      <c r="U357" s="6"/>
      <c r="V357" s="6"/>
      <c r="W357" s="6"/>
      <c r="X357" s="6"/>
      <c r="Y357" s="6"/>
      <c r="Z357" s="6"/>
    </row>
    <row r="358" spans="1:26" ht="18" customHeight="1" x14ac:dyDescent="0.3">
      <c r="A358" s="152"/>
      <c r="B358" s="128"/>
      <c r="C358" s="152"/>
      <c r="D358" s="154"/>
      <c r="E358" s="154"/>
      <c r="F358" s="152"/>
      <c r="G358" s="128"/>
      <c r="H358" s="128"/>
      <c r="I358" s="144" t="str">
        <f>IF(H358="","",IFERROR(INDEX('12 P6 activities'!$B$7:$B$206,MATCH(H358,'12 P6 activities'!$A$7:$A$206,0)),"⚠ not in P6 list"))</f>
        <v/>
      </c>
      <c r="J358" s="144" t="str">
        <f>IF(H358="","",IFERROR(INDEX('12 P6 activities'!$C$7:$C$206,MATCH(H358,'12 P6 activities'!$A$7:$A$206,0)),"⚠ not in P6 list"))</f>
        <v/>
      </c>
      <c r="K358" s="128"/>
      <c r="L358" s="6"/>
      <c r="M358" s="6"/>
      <c r="N358" s="6"/>
      <c r="O358" s="6"/>
      <c r="P358" s="6"/>
      <c r="Q358" s="6"/>
      <c r="R358" s="6"/>
      <c r="S358" s="6"/>
      <c r="T358" s="6"/>
      <c r="U358" s="6"/>
      <c r="V358" s="6"/>
      <c r="W358" s="6"/>
      <c r="X358" s="6"/>
      <c r="Y358" s="6"/>
      <c r="Z358" s="6"/>
    </row>
    <row r="359" spans="1:26" ht="18" customHeight="1" x14ac:dyDescent="0.3">
      <c r="A359" s="152"/>
      <c r="B359" s="128"/>
      <c r="C359" s="152"/>
      <c r="D359" s="154"/>
      <c r="E359" s="154"/>
      <c r="F359" s="152"/>
      <c r="G359" s="128"/>
      <c r="H359" s="128"/>
      <c r="I359" s="144" t="str">
        <f>IF(H359="","",IFERROR(INDEX('12 P6 activities'!$B$7:$B$206,MATCH(H359,'12 P6 activities'!$A$7:$A$206,0)),"⚠ not in P6 list"))</f>
        <v/>
      </c>
      <c r="J359" s="144" t="str">
        <f>IF(H359="","",IFERROR(INDEX('12 P6 activities'!$C$7:$C$206,MATCH(H359,'12 P6 activities'!$A$7:$A$206,0)),"⚠ not in P6 list"))</f>
        <v/>
      </c>
      <c r="K359" s="128"/>
      <c r="L359" s="6"/>
      <c r="M359" s="6"/>
      <c r="N359" s="6"/>
      <c r="O359" s="6"/>
      <c r="P359" s="6"/>
      <c r="Q359" s="6"/>
      <c r="R359" s="6"/>
      <c r="S359" s="6"/>
      <c r="T359" s="6"/>
      <c r="U359" s="6"/>
      <c r="V359" s="6"/>
      <c r="W359" s="6"/>
      <c r="X359" s="6"/>
      <c r="Y359" s="6"/>
      <c r="Z359" s="6"/>
    </row>
    <row r="360" spans="1:26" ht="18" customHeight="1" x14ac:dyDescent="0.3">
      <c r="A360" s="152"/>
      <c r="B360" s="128"/>
      <c r="C360" s="152"/>
      <c r="D360" s="154"/>
      <c r="E360" s="154"/>
      <c r="F360" s="152"/>
      <c r="G360" s="128"/>
      <c r="H360" s="128"/>
      <c r="I360" s="144" t="str">
        <f>IF(H360="","",IFERROR(INDEX('12 P6 activities'!$B$7:$B$206,MATCH(H360,'12 P6 activities'!$A$7:$A$206,0)),"⚠ not in P6 list"))</f>
        <v/>
      </c>
      <c r="J360" s="144" t="str">
        <f>IF(H360="","",IFERROR(INDEX('12 P6 activities'!$C$7:$C$206,MATCH(H360,'12 P6 activities'!$A$7:$A$206,0)),"⚠ not in P6 list"))</f>
        <v/>
      </c>
      <c r="K360" s="128"/>
      <c r="L360" s="6"/>
      <c r="M360" s="6"/>
      <c r="N360" s="6"/>
      <c r="O360" s="6"/>
      <c r="P360" s="6"/>
      <c r="Q360" s="6"/>
      <c r="R360" s="6"/>
      <c r="S360" s="6"/>
      <c r="T360" s="6"/>
      <c r="U360" s="6"/>
      <c r="V360" s="6"/>
      <c r="W360" s="6"/>
      <c r="X360" s="6"/>
      <c r="Y360" s="6"/>
      <c r="Z360" s="6"/>
    </row>
    <row r="361" spans="1:26" ht="18" customHeight="1" x14ac:dyDescent="0.3">
      <c r="A361" s="152"/>
      <c r="B361" s="128"/>
      <c r="C361" s="152"/>
      <c r="D361" s="154"/>
      <c r="E361" s="154"/>
      <c r="F361" s="152"/>
      <c r="G361" s="128"/>
      <c r="H361" s="128"/>
      <c r="I361" s="144" t="str">
        <f>IF(H361="","",IFERROR(INDEX('12 P6 activities'!$B$7:$B$206,MATCH(H361,'12 P6 activities'!$A$7:$A$206,0)),"⚠ not in P6 list"))</f>
        <v/>
      </c>
      <c r="J361" s="144" t="str">
        <f>IF(H361="","",IFERROR(INDEX('12 P6 activities'!$C$7:$C$206,MATCH(H361,'12 P6 activities'!$A$7:$A$206,0)),"⚠ not in P6 list"))</f>
        <v/>
      </c>
      <c r="K361" s="128"/>
      <c r="L361" s="6"/>
      <c r="M361" s="6"/>
      <c r="N361" s="6"/>
      <c r="O361" s="6"/>
      <c r="P361" s="6"/>
      <c r="Q361" s="6"/>
      <c r="R361" s="6"/>
      <c r="S361" s="6"/>
      <c r="T361" s="6"/>
      <c r="U361" s="6"/>
      <c r="V361" s="6"/>
      <c r="W361" s="6"/>
      <c r="X361" s="6"/>
      <c r="Y361" s="6"/>
      <c r="Z361" s="6"/>
    </row>
    <row r="362" spans="1:26" ht="18" customHeight="1" x14ac:dyDescent="0.3">
      <c r="A362" s="152"/>
      <c r="B362" s="128"/>
      <c r="C362" s="152"/>
      <c r="D362" s="154"/>
      <c r="E362" s="154"/>
      <c r="F362" s="152"/>
      <c r="G362" s="128"/>
      <c r="H362" s="128"/>
      <c r="I362" s="144" t="str">
        <f>IF(H362="","",IFERROR(INDEX('12 P6 activities'!$B$7:$B$206,MATCH(H362,'12 P6 activities'!$A$7:$A$206,0)),"⚠ not in P6 list"))</f>
        <v/>
      </c>
      <c r="J362" s="144" t="str">
        <f>IF(H362="","",IFERROR(INDEX('12 P6 activities'!$C$7:$C$206,MATCH(H362,'12 P6 activities'!$A$7:$A$206,0)),"⚠ not in P6 list"))</f>
        <v/>
      </c>
      <c r="K362" s="128"/>
      <c r="L362" s="6"/>
      <c r="M362" s="6"/>
      <c r="N362" s="6"/>
      <c r="O362" s="6"/>
      <c r="P362" s="6"/>
      <c r="Q362" s="6"/>
      <c r="R362" s="6"/>
      <c r="S362" s="6"/>
      <c r="T362" s="6"/>
      <c r="U362" s="6"/>
      <c r="V362" s="6"/>
      <c r="W362" s="6"/>
      <c r="X362" s="6"/>
      <c r="Y362" s="6"/>
      <c r="Z362" s="6"/>
    </row>
    <row r="363" spans="1:26" ht="18" customHeight="1" x14ac:dyDescent="0.3">
      <c r="A363" s="152"/>
      <c r="B363" s="128"/>
      <c r="C363" s="152"/>
      <c r="D363" s="154"/>
      <c r="E363" s="154"/>
      <c r="F363" s="152"/>
      <c r="G363" s="128"/>
      <c r="H363" s="128"/>
      <c r="I363" s="144" t="str">
        <f>IF(H363="","",IFERROR(INDEX('12 P6 activities'!$B$7:$B$206,MATCH(H363,'12 P6 activities'!$A$7:$A$206,0)),"⚠ not in P6 list"))</f>
        <v/>
      </c>
      <c r="J363" s="144" t="str">
        <f>IF(H363="","",IFERROR(INDEX('12 P6 activities'!$C$7:$C$206,MATCH(H363,'12 P6 activities'!$A$7:$A$206,0)),"⚠ not in P6 list"))</f>
        <v/>
      </c>
      <c r="K363" s="128"/>
      <c r="L363" s="6"/>
      <c r="M363" s="6"/>
      <c r="N363" s="6"/>
      <c r="O363" s="6"/>
      <c r="P363" s="6"/>
      <c r="Q363" s="6"/>
      <c r="R363" s="6"/>
      <c r="S363" s="6"/>
      <c r="T363" s="6"/>
      <c r="U363" s="6"/>
      <c r="V363" s="6"/>
      <c r="W363" s="6"/>
      <c r="X363" s="6"/>
      <c r="Y363" s="6"/>
      <c r="Z363" s="6"/>
    </row>
    <row r="364" spans="1:26" ht="18" customHeight="1" x14ac:dyDescent="0.3">
      <c r="A364" s="152"/>
      <c r="B364" s="128"/>
      <c r="C364" s="152"/>
      <c r="D364" s="154"/>
      <c r="E364" s="154"/>
      <c r="F364" s="152"/>
      <c r="G364" s="128"/>
      <c r="H364" s="128"/>
      <c r="I364" s="144" t="str">
        <f>IF(H364="","",IFERROR(INDEX('12 P6 activities'!$B$7:$B$206,MATCH(H364,'12 P6 activities'!$A$7:$A$206,0)),"⚠ not in P6 list"))</f>
        <v/>
      </c>
      <c r="J364" s="144" t="str">
        <f>IF(H364="","",IFERROR(INDEX('12 P6 activities'!$C$7:$C$206,MATCH(H364,'12 P6 activities'!$A$7:$A$206,0)),"⚠ not in P6 list"))</f>
        <v/>
      </c>
      <c r="K364" s="128"/>
      <c r="L364" s="6"/>
      <c r="M364" s="6"/>
      <c r="N364" s="6"/>
      <c r="O364" s="6"/>
      <c r="P364" s="6"/>
      <c r="Q364" s="6"/>
      <c r="R364" s="6"/>
      <c r="S364" s="6"/>
      <c r="T364" s="6"/>
      <c r="U364" s="6"/>
      <c r="V364" s="6"/>
      <c r="W364" s="6"/>
      <c r="X364" s="6"/>
      <c r="Y364" s="6"/>
      <c r="Z364" s="6"/>
    </row>
    <row r="365" spans="1:26" ht="18" customHeight="1" x14ac:dyDescent="0.3">
      <c r="A365" s="152"/>
      <c r="B365" s="128"/>
      <c r="C365" s="152"/>
      <c r="D365" s="154"/>
      <c r="E365" s="154"/>
      <c r="F365" s="152"/>
      <c r="G365" s="128"/>
      <c r="H365" s="128"/>
      <c r="I365" s="144" t="str">
        <f>IF(H365="","",IFERROR(INDEX('12 P6 activities'!$B$7:$B$206,MATCH(H365,'12 P6 activities'!$A$7:$A$206,0)),"⚠ not in P6 list"))</f>
        <v/>
      </c>
      <c r="J365" s="144" t="str">
        <f>IF(H365="","",IFERROR(INDEX('12 P6 activities'!$C$7:$C$206,MATCH(H365,'12 P6 activities'!$A$7:$A$206,0)),"⚠ not in P6 list"))</f>
        <v/>
      </c>
      <c r="K365" s="128"/>
      <c r="L365" s="6"/>
      <c r="M365" s="6"/>
      <c r="N365" s="6"/>
      <c r="O365" s="6"/>
      <c r="P365" s="6"/>
      <c r="Q365" s="6"/>
      <c r="R365" s="6"/>
      <c r="S365" s="6"/>
      <c r="T365" s="6"/>
      <c r="U365" s="6"/>
      <c r="V365" s="6"/>
      <c r="W365" s="6"/>
      <c r="X365" s="6"/>
      <c r="Y365" s="6"/>
      <c r="Z365" s="6"/>
    </row>
    <row r="366" spans="1:26" ht="18" customHeight="1" x14ac:dyDescent="0.3">
      <c r="A366" s="152"/>
      <c r="B366" s="128"/>
      <c r="C366" s="152"/>
      <c r="D366" s="154"/>
      <c r="E366" s="154"/>
      <c r="F366" s="152"/>
      <c r="G366" s="128"/>
      <c r="H366" s="128"/>
      <c r="I366" s="144" t="str">
        <f>IF(H366="","",IFERROR(INDEX('12 P6 activities'!$B$7:$B$206,MATCH(H366,'12 P6 activities'!$A$7:$A$206,0)),"⚠ not in P6 list"))</f>
        <v/>
      </c>
      <c r="J366" s="144" t="str">
        <f>IF(H366="","",IFERROR(INDEX('12 P6 activities'!$C$7:$C$206,MATCH(H366,'12 P6 activities'!$A$7:$A$206,0)),"⚠ not in P6 list"))</f>
        <v/>
      </c>
      <c r="K366" s="128"/>
      <c r="L366" s="6"/>
      <c r="M366" s="6"/>
      <c r="N366" s="6"/>
      <c r="O366" s="6"/>
      <c r="P366" s="6"/>
      <c r="Q366" s="6"/>
      <c r="R366" s="6"/>
      <c r="S366" s="6"/>
      <c r="T366" s="6"/>
      <c r="U366" s="6"/>
      <c r="V366" s="6"/>
      <c r="W366" s="6"/>
      <c r="X366" s="6"/>
      <c r="Y366" s="6"/>
      <c r="Z366" s="6"/>
    </row>
    <row r="367" spans="1:26" ht="18" customHeight="1" x14ac:dyDescent="0.3">
      <c r="A367" s="152"/>
      <c r="B367" s="128"/>
      <c r="C367" s="152"/>
      <c r="D367" s="154"/>
      <c r="E367" s="154"/>
      <c r="F367" s="152"/>
      <c r="G367" s="128"/>
      <c r="H367" s="128"/>
      <c r="I367" s="144" t="str">
        <f>IF(H367="","",IFERROR(INDEX('12 P6 activities'!$B$7:$B$206,MATCH(H367,'12 P6 activities'!$A$7:$A$206,0)),"⚠ not in P6 list"))</f>
        <v/>
      </c>
      <c r="J367" s="144" t="str">
        <f>IF(H367="","",IFERROR(INDEX('12 P6 activities'!$C$7:$C$206,MATCH(H367,'12 P6 activities'!$A$7:$A$206,0)),"⚠ not in P6 list"))</f>
        <v/>
      </c>
      <c r="K367" s="128"/>
      <c r="L367" s="6"/>
      <c r="M367" s="6"/>
      <c r="N367" s="6"/>
      <c r="O367" s="6"/>
      <c r="P367" s="6"/>
      <c r="Q367" s="6"/>
      <c r="R367" s="6"/>
      <c r="S367" s="6"/>
      <c r="T367" s="6"/>
      <c r="U367" s="6"/>
      <c r="V367" s="6"/>
      <c r="W367" s="6"/>
      <c r="X367" s="6"/>
      <c r="Y367" s="6"/>
      <c r="Z367" s="6"/>
    </row>
    <row r="368" spans="1:26" ht="18" customHeight="1" x14ac:dyDescent="0.3">
      <c r="A368" s="152"/>
      <c r="B368" s="128"/>
      <c r="C368" s="152"/>
      <c r="D368" s="154"/>
      <c r="E368" s="154"/>
      <c r="F368" s="152"/>
      <c r="G368" s="128"/>
      <c r="H368" s="128"/>
      <c r="I368" s="144" t="str">
        <f>IF(H368="","",IFERROR(INDEX('12 P6 activities'!$B$7:$B$206,MATCH(H368,'12 P6 activities'!$A$7:$A$206,0)),"⚠ not in P6 list"))</f>
        <v/>
      </c>
      <c r="J368" s="144" t="str">
        <f>IF(H368="","",IFERROR(INDEX('12 P6 activities'!$C$7:$C$206,MATCH(H368,'12 P6 activities'!$A$7:$A$206,0)),"⚠ not in P6 list"))</f>
        <v/>
      </c>
      <c r="K368" s="128"/>
      <c r="L368" s="6"/>
      <c r="M368" s="6"/>
      <c r="N368" s="6"/>
      <c r="O368" s="6"/>
      <c r="P368" s="6"/>
      <c r="Q368" s="6"/>
      <c r="R368" s="6"/>
      <c r="S368" s="6"/>
      <c r="T368" s="6"/>
      <c r="U368" s="6"/>
      <c r="V368" s="6"/>
      <c r="W368" s="6"/>
      <c r="X368" s="6"/>
      <c r="Y368" s="6"/>
      <c r="Z368" s="6"/>
    </row>
    <row r="369" spans="1:26" ht="18" customHeight="1" x14ac:dyDescent="0.3">
      <c r="A369" s="152"/>
      <c r="B369" s="128"/>
      <c r="C369" s="152"/>
      <c r="D369" s="154"/>
      <c r="E369" s="154"/>
      <c r="F369" s="152"/>
      <c r="G369" s="128"/>
      <c r="H369" s="128"/>
      <c r="I369" s="144" t="str">
        <f>IF(H369="","",IFERROR(INDEX('12 P6 activities'!$B$7:$B$206,MATCH(H369,'12 P6 activities'!$A$7:$A$206,0)),"⚠ not in P6 list"))</f>
        <v/>
      </c>
      <c r="J369" s="144" t="str">
        <f>IF(H369="","",IFERROR(INDEX('12 P6 activities'!$C$7:$C$206,MATCH(H369,'12 P6 activities'!$A$7:$A$206,0)),"⚠ not in P6 list"))</f>
        <v/>
      </c>
      <c r="K369" s="128"/>
      <c r="L369" s="6"/>
      <c r="M369" s="6"/>
      <c r="N369" s="6"/>
      <c r="O369" s="6"/>
      <c r="P369" s="6"/>
      <c r="Q369" s="6"/>
      <c r="R369" s="6"/>
      <c r="S369" s="6"/>
      <c r="T369" s="6"/>
      <c r="U369" s="6"/>
      <c r="V369" s="6"/>
      <c r="W369" s="6"/>
      <c r="X369" s="6"/>
      <c r="Y369" s="6"/>
      <c r="Z369" s="6"/>
    </row>
    <row r="370" spans="1:26" ht="18" customHeight="1" x14ac:dyDescent="0.3">
      <c r="A370" s="152"/>
      <c r="B370" s="128"/>
      <c r="C370" s="152"/>
      <c r="D370" s="154"/>
      <c r="E370" s="154"/>
      <c r="F370" s="152"/>
      <c r="G370" s="128"/>
      <c r="H370" s="128"/>
      <c r="I370" s="144" t="str">
        <f>IF(H370="","",IFERROR(INDEX('12 P6 activities'!$B$7:$B$206,MATCH(H370,'12 P6 activities'!$A$7:$A$206,0)),"⚠ not in P6 list"))</f>
        <v/>
      </c>
      <c r="J370" s="144" t="str">
        <f>IF(H370="","",IFERROR(INDEX('12 P6 activities'!$C$7:$C$206,MATCH(H370,'12 P6 activities'!$A$7:$A$206,0)),"⚠ not in P6 list"))</f>
        <v/>
      </c>
      <c r="K370" s="128"/>
      <c r="L370" s="6"/>
      <c r="M370" s="6"/>
      <c r="N370" s="6"/>
      <c r="O370" s="6"/>
      <c r="P370" s="6"/>
      <c r="Q370" s="6"/>
      <c r="R370" s="6"/>
      <c r="S370" s="6"/>
      <c r="T370" s="6"/>
      <c r="U370" s="6"/>
      <c r="V370" s="6"/>
      <c r="W370" s="6"/>
      <c r="X370" s="6"/>
      <c r="Y370" s="6"/>
      <c r="Z370" s="6"/>
    </row>
    <row r="371" spans="1:26" ht="18" customHeight="1" x14ac:dyDescent="0.3">
      <c r="A371" s="152"/>
      <c r="B371" s="128"/>
      <c r="C371" s="152"/>
      <c r="D371" s="154"/>
      <c r="E371" s="154"/>
      <c r="F371" s="152"/>
      <c r="G371" s="128"/>
      <c r="H371" s="128"/>
      <c r="I371" s="144" t="str">
        <f>IF(H371="","",IFERROR(INDEX('12 P6 activities'!$B$7:$B$206,MATCH(H371,'12 P6 activities'!$A$7:$A$206,0)),"⚠ not in P6 list"))</f>
        <v/>
      </c>
      <c r="J371" s="144" t="str">
        <f>IF(H371="","",IFERROR(INDEX('12 P6 activities'!$C$7:$C$206,MATCH(H371,'12 P6 activities'!$A$7:$A$206,0)),"⚠ not in P6 list"))</f>
        <v/>
      </c>
      <c r="K371" s="128"/>
      <c r="L371" s="6"/>
      <c r="M371" s="6"/>
      <c r="N371" s="6"/>
      <c r="O371" s="6"/>
      <c r="P371" s="6"/>
      <c r="Q371" s="6"/>
      <c r="R371" s="6"/>
      <c r="S371" s="6"/>
      <c r="T371" s="6"/>
      <c r="U371" s="6"/>
      <c r="V371" s="6"/>
      <c r="W371" s="6"/>
      <c r="X371" s="6"/>
      <c r="Y371" s="6"/>
      <c r="Z371" s="6"/>
    </row>
    <row r="372" spans="1:26" ht="18" customHeight="1" x14ac:dyDescent="0.3">
      <c r="A372" s="152"/>
      <c r="B372" s="128"/>
      <c r="C372" s="152"/>
      <c r="D372" s="154"/>
      <c r="E372" s="154"/>
      <c r="F372" s="152"/>
      <c r="G372" s="128"/>
      <c r="H372" s="128"/>
      <c r="I372" s="144" t="str">
        <f>IF(H372="","",IFERROR(INDEX('12 P6 activities'!$B$7:$B$206,MATCH(H372,'12 P6 activities'!$A$7:$A$206,0)),"⚠ not in P6 list"))</f>
        <v/>
      </c>
      <c r="J372" s="144" t="str">
        <f>IF(H372="","",IFERROR(INDEX('12 P6 activities'!$C$7:$C$206,MATCH(H372,'12 P6 activities'!$A$7:$A$206,0)),"⚠ not in P6 list"))</f>
        <v/>
      </c>
      <c r="K372" s="128"/>
      <c r="L372" s="6"/>
      <c r="M372" s="6"/>
      <c r="N372" s="6"/>
      <c r="O372" s="6"/>
      <c r="P372" s="6"/>
      <c r="Q372" s="6"/>
      <c r="R372" s="6"/>
      <c r="S372" s="6"/>
      <c r="T372" s="6"/>
      <c r="U372" s="6"/>
      <c r="V372" s="6"/>
      <c r="W372" s="6"/>
      <c r="X372" s="6"/>
      <c r="Y372" s="6"/>
      <c r="Z372" s="6"/>
    </row>
    <row r="373" spans="1:26" ht="18" customHeight="1" x14ac:dyDescent="0.3">
      <c r="A373" s="152"/>
      <c r="B373" s="128"/>
      <c r="C373" s="152"/>
      <c r="D373" s="154"/>
      <c r="E373" s="154"/>
      <c r="F373" s="152"/>
      <c r="G373" s="128"/>
      <c r="H373" s="128"/>
      <c r="I373" s="144" t="str">
        <f>IF(H373="","",IFERROR(INDEX('12 P6 activities'!$B$7:$B$206,MATCH(H373,'12 P6 activities'!$A$7:$A$206,0)),"⚠ not in P6 list"))</f>
        <v/>
      </c>
      <c r="J373" s="144" t="str">
        <f>IF(H373="","",IFERROR(INDEX('12 P6 activities'!$C$7:$C$206,MATCH(H373,'12 P6 activities'!$A$7:$A$206,0)),"⚠ not in P6 list"))</f>
        <v/>
      </c>
      <c r="K373" s="128"/>
      <c r="L373" s="6"/>
      <c r="M373" s="6"/>
      <c r="N373" s="6"/>
      <c r="O373" s="6"/>
      <c r="P373" s="6"/>
      <c r="Q373" s="6"/>
      <c r="R373" s="6"/>
      <c r="S373" s="6"/>
      <c r="T373" s="6"/>
      <c r="U373" s="6"/>
      <c r="V373" s="6"/>
      <c r="W373" s="6"/>
      <c r="X373" s="6"/>
      <c r="Y373" s="6"/>
      <c r="Z373" s="6"/>
    </row>
    <row r="374" spans="1:26" ht="18" customHeight="1" x14ac:dyDescent="0.3">
      <c r="A374" s="152"/>
      <c r="B374" s="128"/>
      <c r="C374" s="152"/>
      <c r="D374" s="154"/>
      <c r="E374" s="154"/>
      <c r="F374" s="152"/>
      <c r="G374" s="128"/>
      <c r="H374" s="128"/>
      <c r="I374" s="144" t="str">
        <f>IF(H374="","",IFERROR(INDEX('12 P6 activities'!$B$7:$B$206,MATCH(H374,'12 P6 activities'!$A$7:$A$206,0)),"⚠ not in P6 list"))</f>
        <v/>
      </c>
      <c r="J374" s="144" t="str">
        <f>IF(H374="","",IFERROR(INDEX('12 P6 activities'!$C$7:$C$206,MATCH(H374,'12 P6 activities'!$A$7:$A$206,0)),"⚠ not in P6 list"))</f>
        <v/>
      </c>
      <c r="K374" s="128"/>
      <c r="L374" s="6"/>
      <c r="M374" s="6"/>
      <c r="N374" s="6"/>
      <c r="O374" s="6"/>
      <c r="P374" s="6"/>
      <c r="Q374" s="6"/>
      <c r="R374" s="6"/>
      <c r="S374" s="6"/>
      <c r="T374" s="6"/>
      <c r="U374" s="6"/>
      <c r="V374" s="6"/>
      <c r="W374" s="6"/>
      <c r="X374" s="6"/>
      <c r="Y374" s="6"/>
      <c r="Z374" s="6"/>
    </row>
    <row r="375" spans="1:26" ht="18" customHeight="1" x14ac:dyDescent="0.3">
      <c r="A375" s="152"/>
      <c r="B375" s="128"/>
      <c r="C375" s="152"/>
      <c r="D375" s="154"/>
      <c r="E375" s="154"/>
      <c r="F375" s="152"/>
      <c r="G375" s="128"/>
      <c r="H375" s="128"/>
      <c r="I375" s="144" t="str">
        <f>IF(H375="","",IFERROR(INDEX('12 P6 activities'!$B$7:$B$206,MATCH(H375,'12 P6 activities'!$A$7:$A$206,0)),"⚠ not in P6 list"))</f>
        <v/>
      </c>
      <c r="J375" s="144" t="str">
        <f>IF(H375="","",IFERROR(INDEX('12 P6 activities'!$C$7:$C$206,MATCH(H375,'12 P6 activities'!$A$7:$A$206,0)),"⚠ not in P6 list"))</f>
        <v/>
      </c>
      <c r="K375" s="128"/>
      <c r="L375" s="6"/>
      <c r="M375" s="6"/>
      <c r="N375" s="6"/>
      <c r="O375" s="6"/>
      <c r="P375" s="6"/>
      <c r="Q375" s="6"/>
      <c r="R375" s="6"/>
      <c r="S375" s="6"/>
      <c r="T375" s="6"/>
      <c r="U375" s="6"/>
      <c r="V375" s="6"/>
      <c r="W375" s="6"/>
      <c r="X375" s="6"/>
      <c r="Y375" s="6"/>
      <c r="Z375" s="6"/>
    </row>
    <row r="376" spans="1:26" ht="18" customHeight="1" x14ac:dyDescent="0.3">
      <c r="A376" s="152"/>
      <c r="B376" s="128"/>
      <c r="C376" s="152"/>
      <c r="D376" s="154"/>
      <c r="E376" s="154"/>
      <c r="F376" s="152"/>
      <c r="G376" s="128"/>
      <c r="H376" s="128"/>
      <c r="I376" s="144" t="str">
        <f>IF(H376="","",IFERROR(INDEX('12 P6 activities'!$B$7:$B$206,MATCH(H376,'12 P6 activities'!$A$7:$A$206,0)),"⚠ not in P6 list"))</f>
        <v/>
      </c>
      <c r="J376" s="144" t="str">
        <f>IF(H376="","",IFERROR(INDEX('12 P6 activities'!$C$7:$C$206,MATCH(H376,'12 P6 activities'!$A$7:$A$206,0)),"⚠ not in P6 list"))</f>
        <v/>
      </c>
      <c r="K376" s="128"/>
      <c r="L376" s="6"/>
      <c r="M376" s="6"/>
      <c r="N376" s="6"/>
      <c r="O376" s="6"/>
      <c r="P376" s="6"/>
      <c r="Q376" s="6"/>
      <c r="R376" s="6"/>
      <c r="S376" s="6"/>
      <c r="T376" s="6"/>
      <c r="U376" s="6"/>
      <c r="V376" s="6"/>
      <c r="W376" s="6"/>
      <c r="X376" s="6"/>
      <c r="Y376" s="6"/>
      <c r="Z376" s="6"/>
    </row>
    <row r="377" spans="1:26" ht="18" customHeight="1" x14ac:dyDescent="0.3">
      <c r="A377" s="152"/>
      <c r="B377" s="128"/>
      <c r="C377" s="152"/>
      <c r="D377" s="154"/>
      <c r="E377" s="154"/>
      <c r="F377" s="152"/>
      <c r="G377" s="128"/>
      <c r="H377" s="128"/>
      <c r="I377" s="144" t="str">
        <f>IF(H377="","",IFERROR(INDEX('12 P6 activities'!$B$7:$B$206,MATCH(H377,'12 P6 activities'!$A$7:$A$206,0)),"⚠ not in P6 list"))</f>
        <v/>
      </c>
      <c r="J377" s="144" t="str">
        <f>IF(H377="","",IFERROR(INDEX('12 P6 activities'!$C$7:$C$206,MATCH(H377,'12 P6 activities'!$A$7:$A$206,0)),"⚠ not in P6 list"))</f>
        <v/>
      </c>
      <c r="K377" s="128"/>
      <c r="L377" s="6"/>
      <c r="M377" s="6"/>
      <c r="N377" s="6"/>
      <c r="O377" s="6"/>
      <c r="P377" s="6"/>
      <c r="Q377" s="6"/>
      <c r="R377" s="6"/>
      <c r="S377" s="6"/>
      <c r="T377" s="6"/>
      <c r="U377" s="6"/>
      <c r="V377" s="6"/>
      <c r="W377" s="6"/>
      <c r="X377" s="6"/>
      <c r="Y377" s="6"/>
      <c r="Z377" s="6"/>
    </row>
    <row r="378" spans="1:26" ht="18" customHeight="1" x14ac:dyDescent="0.3">
      <c r="A378" s="152"/>
      <c r="B378" s="128"/>
      <c r="C378" s="152"/>
      <c r="D378" s="154"/>
      <c r="E378" s="154"/>
      <c r="F378" s="152"/>
      <c r="G378" s="128"/>
      <c r="H378" s="128"/>
      <c r="I378" s="144" t="str">
        <f>IF(H378="","",IFERROR(INDEX('12 P6 activities'!$B$7:$B$206,MATCH(H378,'12 P6 activities'!$A$7:$A$206,0)),"⚠ not in P6 list"))</f>
        <v/>
      </c>
      <c r="J378" s="144" t="str">
        <f>IF(H378="","",IFERROR(INDEX('12 P6 activities'!$C$7:$C$206,MATCH(H378,'12 P6 activities'!$A$7:$A$206,0)),"⚠ not in P6 list"))</f>
        <v/>
      </c>
      <c r="K378" s="128"/>
      <c r="L378" s="6"/>
      <c r="M378" s="6"/>
      <c r="N378" s="6"/>
      <c r="O378" s="6"/>
      <c r="P378" s="6"/>
      <c r="Q378" s="6"/>
      <c r="R378" s="6"/>
      <c r="S378" s="6"/>
      <c r="T378" s="6"/>
      <c r="U378" s="6"/>
      <c r="V378" s="6"/>
      <c r="W378" s="6"/>
      <c r="X378" s="6"/>
      <c r="Y378" s="6"/>
      <c r="Z378" s="6"/>
    </row>
    <row r="379" spans="1:26" ht="18" customHeight="1" x14ac:dyDescent="0.3">
      <c r="A379" s="152"/>
      <c r="B379" s="128"/>
      <c r="C379" s="152"/>
      <c r="D379" s="154"/>
      <c r="E379" s="154"/>
      <c r="F379" s="152"/>
      <c r="G379" s="128"/>
      <c r="H379" s="128"/>
      <c r="I379" s="144" t="str">
        <f>IF(H379="","",IFERROR(INDEX('12 P6 activities'!$B$7:$B$206,MATCH(H379,'12 P6 activities'!$A$7:$A$206,0)),"⚠ not in P6 list"))</f>
        <v/>
      </c>
      <c r="J379" s="144" t="str">
        <f>IF(H379="","",IFERROR(INDEX('12 P6 activities'!$C$7:$C$206,MATCH(H379,'12 P6 activities'!$A$7:$A$206,0)),"⚠ not in P6 list"))</f>
        <v/>
      </c>
      <c r="K379" s="128"/>
      <c r="L379" s="6"/>
      <c r="M379" s="6"/>
      <c r="N379" s="6"/>
      <c r="O379" s="6"/>
      <c r="P379" s="6"/>
      <c r="Q379" s="6"/>
      <c r="R379" s="6"/>
      <c r="S379" s="6"/>
      <c r="T379" s="6"/>
      <c r="U379" s="6"/>
      <c r="V379" s="6"/>
      <c r="W379" s="6"/>
      <c r="X379" s="6"/>
      <c r="Y379" s="6"/>
      <c r="Z379" s="6"/>
    </row>
    <row r="380" spans="1:26" ht="18" customHeight="1" x14ac:dyDescent="0.3">
      <c r="A380" s="152"/>
      <c r="B380" s="128"/>
      <c r="C380" s="152"/>
      <c r="D380" s="154"/>
      <c r="E380" s="154"/>
      <c r="F380" s="152"/>
      <c r="G380" s="128"/>
      <c r="H380" s="128"/>
      <c r="I380" s="144" t="str">
        <f>IF(H380="","",IFERROR(INDEX('12 P6 activities'!$B$7:$B$206,MATCH(H380,'12 P6 activities'!$A$7:$A$206,0)),"⚠ not in P6 list"))</f>
        <v/>
      </c>
      <c r="J380" s="144" t="str">
        <f>IF(H380="","",IFERROR(INDEX('12 P6 activities'!$C$7:$C$206,MATCH(H380,'12 P6 activities'!$A$7:$A$206,0)),"⚠ not in P6 list"))</f>
        <v/>
      </c>
      <c r="K380" s="128"/>
      <c r="L380" s="6"/>
      <c r="M380" s="6"/>
      <c r="N380" s="6"/>
      <c r="O380" s="6"/>
      <c r="P380" s="6"/>
      <c r="Q380" s="6"/>
      <c r="R380" s="6"/>
      <c r="S380" s="6"/>
      <c r="T380" s="6"/>
      <c r="U380" s="6"/>
      <c r="V380" s="6"/>
      <c r="W380" s="6"/>
      <c r="X380" s="6"/>
      <c r="Y380" s="6"/>
      <c r="Z380" s="6"/>
    </row>
    <row r="381" spans="1:26" ht="18" customHeight="1" x14ac:dyDescent="0.3">
      <c r="A381" s="152"/>
      <c r="B381" s="128"/>
      <c r="C381" s="152"/>
      <c r="D381" s="154"/>
      <c r="E381" s="154"/>
      <c r="F381" s="152"/>
      <c r="G381" s="128"/>
      <c r="H381" s="128"/>
      <c r="I381" s="144" t="str">
        <f>IF(H381="","",IFERROR(INDEX('12 P6 activities'!$B$7:$B$206,MATCH(H381,'12 P6 activities'!$A$7:$A$206,0)),"⚠ not in P6 list"))</f>
        <v/>
      </c>
      <c r="J381" s="144" t="str">
        <f>IF(H381="","",IFERROR(INDEX('12 P6 activities'!$C$7:$C$206,MATCH(H381,'12 P6 activities'!$A$7:$A$206,0)),"⚠ not in P6 list"))</f>
        <v/>
      </c>
      <c r="K381" s="128"/>
      <c r="L381" s="6"/>
      <c r="M381" s="6"/>
      <c r="N381" s="6"/>
      <c r="O381" s="6"/>
      <c r="P381" s="6"/>
      <c r="Q381" s="6"/>
      <c r="R381" s="6"/>
      <c r="S381" s="6"/>
      <c r="T381" s="6"/>
      <c r="U381" s="6"/>
      <c r="V381" s="6"/>
      <c r="W381" s="6"/>
      <c r="X381" s="6"/>
      <c r="Y381" s="6"/>
      <c r="Z381" s="6"/>
    </row>
    <row r="382" spans="1:26" ht="18" customHeight="1" x14ac:dyDescent="0.3">
      <c r="A382" s="152"/>
      <c r="B382" s="128"/>
      <c r="C382" s="152"/>
      <c r="D382" s="154"/>
      <c r="E382" s="154"/>
      <c r="F382" s="152"/>
      <c r="G382" s="128"/>
      <c r="H382" s="128"/>
      <c r="I382" s="144" t="str">
        <f>IF(H382="","",IFERROR(INDEX('12 P6 activities'!$B$7:$B$206,MATCH(H382,'12 P6 activities'!$A$7:$A$206,0)),"⚠ not in P6 list"))</f>
        <v/>
      </c>
      <c r="J382" s="144" t="str">
        <f>IF(H382="","",IFERROR(INDEX('12 P6 activities'!$C$7:$C$206,MATCH(H382,'12 P6 activities'!$A$7:$A$206,0)),"⚠ not in P6 list"))</f>
        <v/>
      </c>
      <c r="K382" s="128"/>
      <c r="L382" s="6"/>
      <c r="M382" s="6"/>
      <c r="N382" s="6"/>
      <c r="O382" s="6"/>
      <c r="P382" s="6"/>
      <c r="Q382" s="6"/>
      <c r="R382" s="6"/>
      <c r="S382" s="6"/>
      <c r="T382" s="6"/>
      <c r="U382" s="6"/>
      <c r="V382" s="6"/>
      <c r="W382" s="6"/>
      <c r="X382" s="6"/>
      <c r="Y382" s="6"/>
      <c r="Z382" s="6"/>
    </row>
    <row r="383" spans="1:26" ht="18" customHeight="1" x14ac:dyDescent="0.3">
      <c r="A383" s="152"/>
      <c r="B383" s="128"/>
      <c r="C383" s="152"/>
      <c r="D383" s="154"/>
      <c r="E383" s="154"/>
      <c r="F383" s="152"/>
      <c r="G383" s="128"/>
      <c r="H383" s="128"/>
      <c r="I383" s="144" t="str">
        <f>IF(H383="","",IFERROR(INDEX('12 P6 activities'!$B$7:$B$206,MATCH(H383,'12 P6 activities'!$A$7:$A$206,0)),"⚠ not in P6 list"))</f>
        <v/>
      </c>
      <c r="J383" s="144" t="str">
        <f>IF(H383="","",IFERROR(INDEX('12 P6 activities'!$C$7:$C$206,MATCH(H383,'12 P6 activities'!$A$7:$A$206,0)),"⚠ not in P6 list"))</f>
        <v/>
      </c>
      <c r="K383" s="128"/>
      <c r="L383" s="6"/>
      <c r="M383" s="6"/>
      <c r="N383" s="6"/>
      <c r="O383" s="6"/>
      <c r="P383" s="6"/>
      <c r="Q383" s="6"/>
      <c r="R383" s="6"/>
      <c r="S383" s="6"/>
      <c r="T383" s="6"/>
      <c r="U383" s="6"/>
      <c r="V383" s="6"/>
      <c r="W383" s="6"/>
      <c r="X383" s="6"/>
      <c r="Y383" s="6"/>
      <c r="Z383" s="6"/>
    </row>
    <row r="384" spans="1:26" ht="18" customHeight="1" x14ac:dyDescent="0.3">
      <c r="A384" s="152"/>
      <c r="B384" s="128"/>
      <c r="C384" s="152"/>
      <c r="D384" s="154"/>
      <c r="E384" s="154"/>
      <c r="F384" s="152"/>
      <c r="G384" s="128"/>
      <c r="H384" s="128"/>
      <c r="I384" s="144" t="str">
        <f>IF(H384="","",IFERROR(INDEX('12 P6 activities'!$B$7:$B$206,MATCH(H384,'12 P6 activities'!$A$7:$A$206,0)),"⚠ not in P6 list"))</f>
        <v/>
      </c>
      <c r="J384" s="144" t="str">
        <f>IF(H384="","",IFERROR(INDEX('12 P6 activities'!$C$7:$C$206,MATCH(H384,'12 P6 activities'!$A$7:$A$206,0)),"⚠ not in P6 list"))</f>
        <v/>
      </c>
      <c r="K384" s="128"/>
      <c r="L384" s="6"/>
      <c r="M384" s="6"/>
      <c r="N384" s="6"/>
      <c r="O384" s="6"/>
      <c r="P384" s="6"/>
      <c r="Q384" s="6"/>
      <c r="R384" s="6"/>
      <c r="S384" s="6"/>
      <c r="T384" s="6"/>
      <c r="U384" s="6"/>
      <c r="V384" s="6"/>
      <c r="W384" s="6"/>
      <c r="X384" s="6"/>
      <c r="Y384" s="6"/>
      <c r="Z384" s="6"/>
    </row>
    <row r="385" spans="1:26" ht="18" customHeight="1" x14ac:dyDescent="0.3">
      <c r="A385" s="152"/>
      <c r="B385" s="128"/>
      <c r="C385" s="152"/>
      <c r="D385" s="154"/>
      <c r="E385" s="154"/>
      <c r="F385" s="152"/>
      <c r="G385" s="128"/>
      <c r="H385" s="128"/>
      <c r="I385" s="144" t="str">
        <f>IF(H385="","",IFERROR(INDEX('12 P6 activities'!$B$7:$B$206,MATCH(H385,'12 P6 activities'!$A$7:$A$206,0)),"⚠ not in P6 list"))</f>
        <v/>
      </c>
      <c r="J385" s="144" t="str">
        <f>IF(H385="","",IFERROR(INDEX('12 P6 activities'!$C$7:$C$206,MATCH(H385,'12 P6 activities'!$A$7:$A$206,0)),"⚠ not in P6 list"))</f>
        <v/>
      </c>
      <c r="K385" s="128"/>
      <c r="L385" s="6"/>
      <c r="M385" s="6"/>
      <c r="N385" s="6"/>
      <c r="O385" s="6"/>
      <c r="P385" s="6"/>
      <c r="Q385" s="6"/>
      <c r="R385" s="6"/>
      <c r="S385" s="6"/>
      <c r="T385" s="6"/>
      <c r="U385" s="6"/>
      <c r="V385" s="6"/>
      <c r="W385" s="6"/>
      <c r="X385" s="6"/>
      <c r="Y385" s="6"/>
      <c r="Z385" s="6"/>
    </row>
    <row r="386" spans="1:26" ht="18" customHeight="1" x14ac:dyDescent="0.3">
      <c r="A386" s="152"/>
      <c r="B386" s="128"/>
      <c r="C386" s="152"/>
      <c r="D386" s="154"/>
      <c r="E386" s="154"/>
      <c r="F386" s="152"/>
      <c r="G386" s="128"/>
      <c r="H386" s="128"/>
      <c r="I386" s="144" t="str">
        <f>IF(H386="","",IFERROR(INDEX('12 P6 activities'!$B$7:$B$206,MATCH(H386,'12 P6 activities'!$A$7:$A$206,0)),"⚠ not in P6 list"))</f>
        <v/>
      </c>
      <c r="J386" s="144" t="str">
        <f>IF(H386="","",IFERROR(INDEX('12 P6 activities'!$C$7:$C$206,MATCH(H386,'12 P6 activities'!$A$7:$A$206,0)),"⚠ not in P6 list"))</f>
        <v/>
      </c>
      <c r="K386" s="128"/>
      <c r="L386" s="6"/>
      <c r="M386" s="6"/>
      <c r="N386" s="6"/>
      <c r="O386" s="6"/>
      <c r="P386" s="6"/>
      <c r="Q386" s="6"/>
      <c r="R386" s="6"/>
      <c r="S386" s="6"/>
      <c r="T386" s="6"/>
      <c r="U386" s="6"/>
      <c r="V386" s="6"/>
      <c r="W386" s="6"/>
      <c r="X386" s="6"/>
      <c r="Y386" s="6"/>
      <c r="Z386" s="6"/>
    </row>
    <row r="387" spans="1:26" ht="18" customHeight="1" x14ac:dyDescent="0.3">
      <c r="A387" s="152"/>
      <c r="B387" s="128"/>
      <c r="C387" s="152"/>
      <c r="D387" s="154"/>
      <c r="E387" s="154"/>
      <c r="F387" s="152"/>
      <c r="G387" s="128"/>
      <c r="H387" s="128"/>
      <c r="I387" s="144" t="str">
        <f>IF(H387="","",IFERROR(INDEX('12 P6 activities'!$B$7:$B$206,MATCH(H387,'12 P6 activities'!$A$7:$A$206,0)),"⚠ not in P6 list"))</f>
        <v/>
      </c>
      <c r="J387" s="144" t="str">
        <f>IF(H387="","",IFERROR(INDEX('12 P6 activities'!$C$7:$C$206,MATCH(H387,'12 P6 activities'!$A$7:$A$206,0)),"⚠ not in P6 list"))</f>
        <v/>
      </c>
      <c r="K387" s="128"/>
      <c r="L387" s="6"/>
      <c r="M387" s="6"/>
      <c r="N387" s="6"/>
      <c r="O387" s="6"/>
      <c r="P387" s="6"/>
      <c r="Q387" s="6"/>
      <c r="R387" s="6"/>
      <c r="S387" s="6"/>
      <c r="T387" s="6"/>
      <c r="U387" s="6"/>
      <c r="V387" s="6"/>
      <c r="W387" s="6"/>
      <c r="X387" s="6"/>
      <c r="Y387" s="6"/>
      <c r="Z387" s="6"/>
    </row>
    <row r="388" spans="1:26" ht="18" customHeight="1" x14ac:dyDescent="0.3">
      <c r="A388" s="152"/>
      <c r="B388" s="128"/>
      <c r="C388" s="152"/>
      <c r="D388" s="154"/>
      <c r="E388" s="154"/>
      <c r="F388" s="152"/>
      <c r="G388" s="128"/>
      <c r="H388" s="128"/>
      <c r="I388" s="144" t="str">
        <f>IF(H388="","",IFERROR(INDEX('12 P6 activities'!$B$7:$B$206,MATCH(H388,'12 P6 activities'!$A$7:$A$206,0)),"⚠ not in P6 list"))</f>
        <v/>
      </c>
      <c r="J388" s="144" t="str">
        <f>IF(H388="","",IFERROR(INDEX('12 P6 activities'!$C$7:$C$206,MATCH(H388,'12 P6 activities'!$A$7:$A$206,0)),"⚠ not in P6 list"))</f>
        <v/>
      </c>
      <c r="K388" s="128"/>
      <c r="L388" s="6"/>
      <c r="M388" s="6"/>
      <c r="N388" s="6"/>
      <c r="O388" s="6"/>
      <c r="P388" s="6"/>
      <c r="Q388" s="6"/>
      <c r="R388" s="6"/>
      <c r="S388" s="6"/>
      <c r="T388" s="6"/>
      <c r="U388" s="6"/>
      <c r="V388" s="6"/>
      <c r="W388" s="6"/>
      <c r="X388" s="6"/>
      <c r="Y388" s="6"/>
      <c r="Z388" s="6"/>
    </row>
    <row r="389" spans="1:26" ht="18" customHeight="1" x14ac:dyDescent="0.3">
      <c r="A389" s="152"/>
      <c r="B389" s="128"/>
      <c r="C389" s="152"/>
      <c r="D389" s="154"/>
      <c r="E389" s="154"/>
      <c r="F389" s="152"/>
      <c r="G389" s="128"/>
      <c r="H389" s="128"/>
      <c r="I389" s="144" t="str">
        <f>IF(H389="","",IFERROR(INDEX('12 P6 activities'!$B$7:$B$206,MATCH(H389,'12 P6 activities'!$A$7:$A$206,0)),"⚠ not in P6 list"))</f>
        <v/>
      </c>
      <c r="J389" s="144" t="str">
        <f>IF(H389="","",IFERROR(INDEX('12 P6 activities'!$C$7:$C$206,MATCH(H389,'12 P6 activities'!$A$7:$A$206,0)),"⚠ not in P6 list"))</f>
        <v/>
      </c>
      <c r="K389" s="128"/>
      <c r="L389" s="6"/>
      <c r="M389" s="6"/>
      <c r="N389" s="6"/>
      <c r="O389" s="6"/>
      <c r="P389" s="6"/>
      <c r="Q389" s="6"/>
      <c r="R389" s="6"/>
      <c r="S389" s="6"/>
      <c r="T389" s="6"/>
      <c r="U389" s="6"/>
      <c r="V389" s="6"/>
      <c r="W389" s="6"/>
      <c r="X389" s="6"/>
      <c r="Y389" s="6"/>
      <c r="Z389" s="6"/>
    </row>
    <row r="390" spans="1:26" ht="18" customHeight="1" x14ac:dyDescent="0.3">
      <c r="A390" s="152"/>
      <c r="B390" s="128"/>
      <c r="C390" s="152"/>
      <c r="D390" s="154"/>
      <c r="E390" s="154"/>
      <c r="F390" s="152"/>
      <c r="G390" s="128"/>
      <c r="H390" s="128"/>
      <c r="I390" s="144" t="str">
        <f>IF(H390="","",IFERROR(INDEX('12 P6 activities'!$B$7:$B$206,MATCH(H390,'12 P6 activities'!$A$7:$A$206,0)),"⚠ not in P6 list"))</f>
        <v/>
      </c>
      <c r="J390" s="144" t="str">
        <f>IF(H390="","",IFERROR(INDEX('12 P6 activities'!$C$7:$C$206,MATCH(H390,'12 P6 activities'!$A$7:$A$206,0)),"⚠ not in P6 list"))</f>
        <v/>
      </c>
      <c r="K390" s="128"/>
      <c r="L390" s="6"/>
      <c r="M390" s="6"/>
      <c r="N390" s="6"/>
      <c r="O390" s="6"/>
      <c r="P390" s="6"/>
      <c r="Q390" s="6"/>
      <c r="R390" s="6"/>
      <c r="S390" s="6"/>
      <c r="T390" s="6"/>
      <c r="U390" s="6"/>
      <c r="V390" s="6"/>
      <c r="W390" s="6"/>
      <c r="X390" s="6"/>
      <c r="Y390" s="6"/>
      <c r="Z390" s="6"/>
    </row>
    <row r="391" spans="1:26" ht="18" customHeight="1" x14ac:dyDescent="0.3">
      <c r="A391" s="152"/>
      <c r="B391" s="128"/>
      <c r="C391" s="152"/>
      <c r="D391" s="154"/>
      <c r="E391" s="154"/>
      <c r="F391" s="152"/>
      <c r="G391" s="128"/>
      <c r="H391" s="128"/>
      <c r="I391" s="144" t="str">
        <f>IF(H391="","",IFERROR(INDEX('12 P6 activities'!$B$7:$B$206,MATCH(H391,'12 P6 activities'!$A$7:$A$206,0)),"⚠ not in P6 list"))</f>
        <v/>
      </c>
      <c r="J391" s="144" t="str">
        <f>IF(H391="","",IFERROR(INDEX('12 P6 activities'!$C$7:$C$206,MATCH(H391,'12 P6 activities'!$A$7:$A$206,0)),"⚠ not in P6 list"))</f>
        <v/>
      </c>
      <c r="K391" s="128"/>
      <c r="L391" s="6"/>
      <c r="M391" s="6"/>
      <c r="N391" s="6"/>
      <c r="O391" s="6"/>
      <c r="P391" s="6"/>
      <c r="Q391" s="6"/>
      <c r="R391" s="6"/>
      <c r="S391" s="6"/>
      <c r="T391" s="6"/>
      <c r="U391" s="6"/>
      <c r="V391" s="6"/>
      <c r="W391" s="6"/>
      <c r="X391" s="6"/>
      <c r="Y391" s="6"/>
      <c r="Z391" s="6"/>
    </row>
    <row r="392" spans="1:26" ht="18" customHeight="1" x14ac:dyDescent="0.3">
      <c r="A392" s="152"/>
      <c r="B392" s="128"/>
      <c r="C392" s="152"/>
      <c r="D392" s="154"/>
      <c r="E392" s="154"/>
      <c r="F392" s="152"/>
      <c r="G392" s="128"/>
      <c r="H392" s="128"/>
      <c r="I392" s="144" t="str">
        <f>IF(H392="","",IFERROR(INDEX('12 P6 activities'!$B$7:$B$206,MATCH(H392,'12 P6 activities'!$A$7:$A$206,0)),"⚠ not in P6 list"))</f>
        <v/>
      </c>
      <c r="J392" s="144" t="str">
        <f>IF(H392="","",IFERROR(INDEX('12 P6 activities'!$C$7:$C$206,MATCH(H392,'12 P6 activities'!$A$7:$A$206,0)),"⚠ not in P6 list"))</f>
        <v/>
      </c>
      <c r="K392" s="128"/>
      <c r="L392" s="6"/>
      <c r="M392" s="6"/>
      <c r="N392" s="6"/>
      <c r="O392" s="6"/>
      <c r="P392" s="6"/>
      <c r="Q392" s="6"/>
      <c r="R392" s="6"/>
      <c r="S392" s="6"/>
      <c r="T392" s="6"/>
      <c r="U392" s="6"/>
      <c r="V392" s="6"/>
      <c r="W392" s="6"/>
      <c r="X392" s="6"/>
      <c r="Y392" s="6"/>
      <c r="Z392" s="6"/>
    </row>
    <row r="393" spans="1:26" ht="18" customHeight="1" x14ac:dyDescent="0.3">
      <c r="A393" s="152"/>
      <c r="B393" s="128"/>
      <c r="C393" s="152"/>
      <c r="D393" s="154"/>
      <c r="E393" s="154"/>
      <c r="F393" s="152"/>
      <c r="G393" s="128"/>
      <c r="H393" s="128"/>
      <c r="I393" s="144" t="str">
        <f>IF(H393="","",IFERROR(INDEX('12 P6 activities'!$B$7:$B$206,MATCH(H393,'12 P6 activities'!$A$7:$A$206,0)),"⚠ not in P6 list"))</f>
        <v/>
      </c>
      <c r="J393" s="144" t="str">
        <f>IF(H393="","",IFERROR(INDEX('12 P6 activities'!$C$7:$C$206,MATCH(H393,'12 P6 activities'!$A$7:$A$206,0)),"⚠ not in P6 list"))</f>
        <v/>
      </c>
      <c r="K393" s="128"/>
      <c r="L393" s="6"/>
      <c r="M393" s="6"/>
      <c r="N393" s="6"/>
      <c r="O393" s="6"/>
      <c r="P393" s="6"/>
      <c r="Q393" s="6"/>
      <c r="R393" s="6"/>
      <c r="S393" s="6"/>
      <c r="T393" s="6"/>
      <c r="U393" s="6"/>
      <c r="V393" s="6"/>
      <c r="W393" s="6"/>
      <c r="X393" s="6"/>
      <c r="Y393" s="6"/>
      <c r="Z393" s="6"/>
    </row>
    <row r="394" spans="1:26" ht="18" customHeight="1" x14ac:dyDescent="0.3">
      <c r="A394" s="152"/>
      <c r="B394" s="128"/>
      <c r="C394" s="152"/>
      <c r="D394" s="154"/>
      <c r="E394" s="154"/>
      <c r="F394" s="152"/>
      <c r="G394" s="128"/>
      <c r="H394" s="128"/>
      <c r="I394" s="144" t="str">
        <f>IF(H394="","",IFERROR(INDEX('12 P6 activities'!$B$7:$B$206,MATCH(H394,'12 P6 activities'!$A$7:$A$206,0)),"⚠ not in P6 list"))</f>
        <v/>
      </c>
      <c r="J394" s="144" t="str">
        <f>IF(H394="","",IFERROR(INDEX('12 P6 activities'!$C$7:$C$206,MATCH(H394,'12 P6 activities'!$A$7:$A$206,0)),"⚠ not in P6 list"))</f>
        <v/>
      </c>
      <c r="K394" s="128"/>
      <c r="L394" s="6"/>
      <c r="M394" s="6"/>
      <c r="N394" s="6"/>
      <c r="O394" s="6"/>
      <c r="P394" s="6"/>
      <c r="Q394" s="6"/>
      <c r="R394" s="6"/>
      <c r="S394" s="6"/>
      <c r="T394" s="6"/>
      <c r="U394" s="6"/>
      <c r="V394" s="6"/>
      <c r="W394" s="6"/>
      <c r="X394" s="6"/>
      <c r="Y394" s="6"/>
      <c r="Z394" s="6"/>
    </row>
    <row r="395" spans="1:26" ht="18" customHeight="1" x14ac:dyDescent="0.3">
      <c r="A395" s="152"/>
      <c r="B395" s="128"/>
      <c r="C395" s="152"/>
      <c r="D395" s="154"/>
      <c r="E395" s="154"/>
      <c r="F395" s="152"/>
      <c r="G395" s="128"/>
      <c r="H395" s="128"/>
      <c r="I395" s="144" t="str">
        <f>IF(H395="","",IFERROR(INDEX('12 P6 activities'!$B$7:$B$206,MATCH(H395,'12 P6 activities'!$A$7:$A$206,0)),"⚠ not in P6 list"))</f>
        <v/>
      </c>
      <c r="J395" s="144" t="str">
        <f>IF(H395="","",IFERROR(INDEX('12 P6 activities'!$C$7:$C$206,MATCH(H395,'12 P6 activities'!$A$7:$A$206,0)),"⚠ not in P6 list"))</f>
        <v/>
      </c>
      <c r="K395" s="128"/>
      <c r="L395" s="6"/>
      <c r="M395" s="6"/>
      <c r="N395" s="6"/>
      <c r="O395" s="6"/>
      <c r="P395" s="6"/>
      <c r="Q395" s="6"/>
      <c r="R395" s="6"/>
      <c r="S395" s="6"/>
      <c r="T395" s="6"/>
      <c r="U395" s="6"/>
      <c r="V395" s="6"/>
      <c r="W395" s="6"/>
      <c r="X395" s="6"/>
      <c r="Y395" s="6"/>
      <c r="Z395" s="6"/>
    </row>
    <row r="396" spans="1:26" ht="18" customHeight="1" x14ac:dyDescent="0.3">
      <c r="A396" s="152"/>
      <c r="B396" s="128"/>
      <c r="C396" s="152"/>
      <c r="D396" s="154"/>
      <c r="E396" s="154"/>
      <c r="F396" s="152"/>
      <c r="G396" s="128"/>
      <c r="H396" s="128"/>
      <c r="I396" s="144" t="str">
        <f>IF(H396="","",IFERROR(INDEX('12 P6 activities'!$B$7:$B$206,MATCH(H396,'12 P6 activities'!$A$7:$A$206,0)),"⚠ not in P6 list"))</f>
        <v/>
      </c>
      <c r="J396" s="144" t="str">
        <f>IF(H396="","",IFERROR(INDEX('12 P6 activities'!$C$7:$C$206,MATCH(H396,'12 P6 activities'!$A$7:$A$206,0)),"⚠ not in P6 list"))</f>
        <v/>
      </c>
      <c r="K396" s="128"/>
      <c r="L396" s="6"/>
      <c r="M396" s="6"/>
      <c r="N396" s="6"/>
      <c r="O396" s="6"/>
      <c r="P396" s="6"/>
      <c r="Q396" s="6"/>
      <c r="R396" s="6"/>
      <c r="S396" s="6"/>
      <c r="T396" s="6"/>
      <c r="U396" s="6"/>
      <c r="V396" s="6"/>
      <c r="W396" s="6"/>
      <c r="X396" s="6"/>
      <c r="Y396" s="6"/>
      <c r="Z396" s="6"/>
    </row>
    <row r="397" spans="1:26" ht="18" customHeight="1" x14ac:dyDescent="0.3">
      <c r="A397" s="152"/>
      <c r="B397" s="128"/>
      <c r="C397" s="152"/>
      <c r="D397" s="154"/>
      <c r="E397" s="154"/>
      <c r="F397" s="152"/>
      <c r="G397" s="128"/>
      <c r="H397" s="128"/>
      <c r="I397" s="144" t="str">
        <f>IF(H397="","",IFERROR(INDEX('12 P6 activities'!$B$7:$B$206,MATCH(H397,'12 P6 activities'!$A$7:$A$206,0)),"⚠ not in P6 list"))</f>
        <v/>
      </c>
      <c r="J397" s="144" t="str">
        <f>IF(H397="","",IFERROR(INDEX('12 P6 activities'!$C$7:$C$206,MATCH(H397,'12 P6 activities'!$A$7:$A$206,0)),"⚠ not in P6 list"))</f>
        <v/>
      </c>
      <c r="K397" s="128"/>
      <c r="L397" s="6"/>
      <c r="M397" s="6"/>
      <c r="N397" s="6"/>
      <c r="O397" s="6"/>
      <c r="P397" s="6"/>
      <c r="Q397" s="6"/>
      <c r="R397" s="6"/>
      <c r="S397" s="6"/>
      <c r="T397" s="6"/>
      <c r="U397" s="6"/>
      <c r="V397" s="6"/>
      <c r="W397" s="6"/>
      <c r="X397" s="6"/>
      <c r="Y397" s="6"/>
      <c r="Z397" s="6"/>
    </row>
    <row r="398" spans="1:26" ht="18" customHeight="1" x14ac:dyDescent="0.3">
      <c r="A398" s="152"/>
      <c r="B398" s="128"/>
      <c r="C398" s="152"/>
      <c r="D398" s="154"/>
      <c r="E398" s="154"/>
      <c r="F398" s="152"/>
      <c r="G398" s="128"/>
      <c r="H398" s="128"/>
      <c r="I398" s="144" t="str">
        <f>IF(H398="","",IFERROR(INDEX('12 P6 activities'!$B$7:$B$206,MATCH(H398,'12 P6 activities'!$A$7:$A$206,0)),"⚠ not in P6 list"))</f>
        <v/>
      </c>
      <c r="J398" s="144" t="str">
        <f>IF(H398="","",IFERROR(INDEX('12 P6 activities'!$C$7:$C$206,MATCH(H398,'12 P6 activities'!$A$7:$A$206,0)),"⚠ not in P6 list"))</f>
        <v/>
      </c>
      <c r="K398" s="128"/>
      <c r="L398" s="6"/>
      <c r="M398" s="6"/>
      <c r="N398" s="6"/>
      <c r="O398" s="6"/>
      <c r="P398" s="6"/>
      <c r="Q398" s="6"/>
      <c r="R398" s="6"/>
      <c r="S398" s="6"/>
      <c r="T398" s="6"/>
      <c r="U398" s="6"/>
      <c r="V398" s="6"/>
      <c r="W398" s="6"/>
      <c r="X398" s="6"/>
      <c r="Y398" s="6"/>
      <c r="Z398" s="6"/>
    </row>
    <row r="399" spans="1:26" ht="18" customHeight="1" x14ac:dyDescent="0.3">
      <c r="A399" s="152"/>
      <c r="B399" s="128"/>
      <c r="C399" s="152"/>
      <c r="D399" s="154"/>
      <c r="E399" s="154"/>
      <c r="F399" s="152"/>
      <c r="G399" s="128"/>
      <c r="H399" s="128"/>
      <c r="I399" s="144" t="str">
        <f>IF(H399="","",IFERROR(INDEX('12 P6 activities'!$B$7:$B$206,MATCH(H399,'12 P6 activities'!$A$7:$A$206,0)),"⚠ not in P6 list"))</f>
        <v/>
      </c>
      <c r="J399" s="144" t="str">
        <f>IF(H399="","",IFERROR(INDEX('12 P6 activities'!$C$7:$C$206,MATCH(H399,'12 P6 activities'!$A$7:$A$206,0)),"⚠ not in P6 list"))</f>
        <v/>
      </c>
      <c r="K399" s="128"/>
      <c r="L399" s="6"/>
      <c r="M399" s="6"/>
      <c r="N399" s="6"/>
      <c r="O399" s="6"/>
      <c r="P399" s="6"/>
      <c r="Q399" s="6"/>
      <c r="R399" s="6"/>
      <c r="S399" s="6"/>
      <c r="T399" s="6"/>
      <c r="U399" s="6"/>
      <c r="V399" s="6"/>
      <c r="W399" s="6"/>
      <c r="X399" s="6"/>
      <c r="Y399" s="6"/>
      <c r="Z399" s="6"/>
    </row>
    <row r="400" spans="1:26" ht="18" customHeight="1" x14ac:dyDescent="0.3">
      <c r="A400" s="152"/>
      <c r="B400" s="128"/>
      <c r="C400" s="152"/>
      <c r="D400" s="154"/>
      <c r="E400" s="154"/>
      <c r="F400" s="152"/>
      <c r="G400" s="128"/>
      <c r="H400" s="128"/>
      <c r="I400" s="144" t="str">
        <f>IF(H400="","",IFERROR(INDEX('12 P6 activities'!$B$7:$B$206,MATCH(H400,'12 P6 activities'!$A$7:$A$206,0)),"⚠ not in P6 list"))</f>
        <v/>
      </c>
      <c r="J400" s="144" t="str">
        <f>IF(H400="","",IFERROR(INDEX('12 P6 activities'!$C$7:$C$206,MATCH(H400,'12 P6 activities'!$A$7:$A$206,0)),"⚠ not in P6 list"))</f>
        <v/>
      </c>
      <c r="K400" s="128"/>
      <c r="L400" s="6"/>
      <c r="M400" s="6"/>
      <c r="N400" s="6"/>
      <c r="O400" s="6"/>
      <c r="P400" s="6"/>
      <c r="Q400" s="6"/>
      <c r="R400" s="6"/>
      <c r="S400" s="6"/>
      <c r="T400" s="6"/>
      <c r="U400" s="6"/>
      <c r="V400" s="6"/>
      <c r="W400" s="6"/>
      <c r="X400" s="6"/>
      <c r="Y400" s="6"/>
      <c r="Z400" s="6"/>
    </row>
    <row r="401" spans="1:26" ht="18" customHeight="1" x14ac:dyDescent="0.3">
      <c r="A401" s="152"/>
      <c r="B401" s="128"/>
      <c r="C401" s="152"/>
      <c r="D401" s="154"/>
      <c r="E401" s="154"/>
      <c r="F401" s="152"/>
      <c r="G401" s="128"/>
      <c r="H401" s="128"/>
      <c r="I401" s="144" t="str">
        <f>IF(H401="","",IFERROR(INDEX('12 P6 activities'!$B$7:$B$206,MATCH(H401,'12 P6 activities'!$A$7:$A$206,0)),"⚠ not in P6 list"))</f>
        <v/>
      </c>
      <c r="J401" s="144" t="str">
        <f>IF(H401="","",IFERROR(INDEX('12 P6 activities'!$C$7:$C$206,MATCH(H401,'12 P6 activities'!$A$7:$A$206,0)),"⚠ not in P6 list"))</f>
        <v/>
      </c>
      <c r="K401" s="128"/>
      <c r="L401" s="6"/>
      <c r="M401" s="6"/>
      <c r="N401" s="6"/>
      <c r="O401" s="6"/>
      <c r="P401" s="6"/>
      <c r="Q401" s="6"/>
      <c r="R401" s="6"/>
      <c r="S401" s="6"/>
      <c r="T401" s="6"/>
      <c r="U401" s="6"/>
      <c r="V401" s="6"/>
      <c r="W401" s="6"/>
      <c r="X401" s="6"/>
      <c r="Y401" s="6"/>
      <c r="Z401" s="6"/>
    </row>
    <row r="402" spans="1:26" ht="18" customHeight="1" x14ac:dyDescent="0.3">
      <c r="A402" s="152"/>
      <c r="B402" s="128"/>
      <c r="C402" s="152"/>
      <c r="D402" s="154"/>
      <c r="E402" s="154"/>
      <c r="F402" s="152"/>
      <c r="G402" s="128"/>
      <c r="H402" s="128"/>
      <c r="I402" s="144" t="str">
        <f>IF(H402="","",IFERROR(INDEX('12 P6 activities'!$B$7:$B$206,MATCH(H402,'12 P6 activities'!$A$7:$A$206,0)),"⚠ not in P6 list"))</f>
        <v/>
      </c>
      <c r="J402" s="144" t="str">
        <f>IF(H402="","",IFERROR(INDEX('12 P6 activities'!$C$7:$C$206,MATCH(H402,'12 P6 activities'!$A$7:$A$206,0)),"⚠ not in P6 list"))</f>
        <v/>
      </c>
      <c r="K402" s="128"/>
      <c r="L402" s="6"/>
      <c r="M402" s="6"/>
      <c r="N402" s="6"/>
      <c r="O402" s="6"/>
      <c r="P402" s="6"/>
      <c r="Q402" s="6"/>
      <c r="R402" s="6"/>
      <c r="S402" s="6"/>
      <c r="T402" s="6"/>
      <c r="U402" s="6"/>
      <c r="V402" s="6"/>
      <c r="W402" s="6"/>
      <c r="X402" s="6"/>
      <c r="Y402" s="6"/>
      <c r="Z402" s="6"/>
    </row>
    <row r="403" spans="1:26" ht="18" customHeight="1" x14ac:dyDescent="0.3">
      <c r="A403" s="152"/>
      <c r="B403" s="128"/>
      <c r="C403" s="152"/>
      <c r="D403" s="154"/>
      <c r="E403" s="154"/>
      <c r="F403" s="152"/>
      <c r="G403" s="128"/>
      <c r="H403" s="128"/>
      <c r="I403" s="144" t="str">
        <f>IF(H403="","",IFERROR(INDEX('12 P6 activities'!$B$7:$B$206,MATCH(H403,'12 P6 activities'!$A$7:$A$206,0)),"⚠ not in P6 list"))</f>
        <v/>
      </c>
      <c r="J403" s="144" t="str">
        <f>IF(H403="","",IFERROR(INDEX('12 P6 activities'!$C$7:$C$206,MATCH(H403,'12 P6 activities'!$A$7:$A$206,0)),"⚠ not in P6 list"))</f>
        <v/>
      </c>
      <c r="K403" s="128"/>
      <c r="L403" s="6"/>
      <c r="M403" s="6"/>
      <c r="N403" s="6"/>
      <c r="O403" s="6"/>
      <c r="P403" s="6"/>
      <c r="Q403" s="6"/>
      <c r="R403" s="6"/>
      <c r="S403" s="6"/>
      <c r="T403" s="6"/>
      <c r="U403" s="6"/>
      <c r="V403" s="6"/>
      <c r="W403" s="6"/>
      <c r="X403" s="6"/>
      <c r="Y403" s="6"/>
      <c r="Z403" s="6"/>
    </row>
    <row r="404" spans="1:26" ht="18" customHeight="1" x14ac:dyDescent="0.3">
      <c r="A404" s="152"/>
      <c r="B404" s="128"/>
      <c r="C404" s="152"/>
      <c r="D404" s="154"/>
      <c r="E404" s="154"/>
      <c r="F404" s="152"/>
      <c r="G404" s="128"/>
      <c r="H404" s="128"/>
      <c r="I404" s="144" t="str">
        <f>IF(H404="","",IFERROR(INDEX('12 P6 activities'!$B$7:$B$206,MATCH(H404,'12 P6 activities'!$A$7:$A$206,0)),"⚠ not in P6 list"))</f>
        <v/>
      </c>
      <c r="J404" s="144" t="str">
        <f>IF(H404="","",IFERROR(INDEX('12 P6 activities'!$C$7:$C$206,MATCH(H404,'12 P6 activities'!$A$7:$A$206,0)),"⚠ not in P6 list"))</f>
        <v/>
      </c>
      <c r="K404" s="128"/>
      <c r="L404" s="6"/>
      <c r="M404" s="6"/>
      <c r="N404" s="6"/>
      <c r="O404" s="6"/>
      <c r="P404" s="6"/>
      <c r="Q404" s="6"/>
      <c r="R404" s="6"/>
      <c r="S404" s="6"/>
      <c r="T404" s="6"/>
      <c r="U404" s="6"/>
      <c r="V404" s="6"/>
      <c r="W404" s="6"/>
      <c r="X404" s="6"/>
      <c r="Y404" s="6"/>
      <c r="Z404" s="6"/>
    </row>
    <row r="405" spans="1:26" ht="18" customHeight="1" x14ac:dyDescent="0.3">
      <c r="A405" s="152"/>
      <c r="B405" s="128"/>
      <c r="C405" s="152"/>
      <c r="D405" s="154"/>
      <c r="E405" s="154"/>
      <c r="F405" s="152"/>
      <c r="G405" s="128"/>
      <c r="H405" s="128"/>
      <c r="I405" s="144" t="str">
        <f>IF(H405="","",IFERROR(INDEX('12 P6 activities'!$B$7:$B$206,MATCH(H405,'12 P6 activities'!$A$7:$A$206,0)),"⚠ not in P6 list"))</f>
        <v/>
      </c>
      <c r="J405" s="144" t="str">
        <f>IF(H405="","",IFERROR(INDEX('12 P6 activities'!$C$7:$C$206,MATCH(H405,'12 P6 activities'!$A$7:$A$206,0)),"⚠ not in P6 list"))</f>
        <v/>
      </c>
      <c r="K405" s="128"/>
      <c r="L405" s="6"/>
      <c r="M405" s="6"/>
      <c r="N405" s="6"/>
      <c r="O405" s="6"/>
      <c r="P405" s="6"/>
      <c r="Q405" s="6"/>
      <c r="R405" s="6"/>
      <c r="S405" s="6"/>
      <c r="T405" s="6"/>
      <c r="U405" s="6"/>
      <c r="V405" s="6"/>
      <c r="W405" s="6"/>
      <c r="X405" s="6"/>
      <c r="Y405" s="6"/>
      <c r="Z405" s="6"/>
    </row>
    <row r="406" spans="1:26" ht="18" customHeight="1" x14ac:dyDescent="0.3">
      <c r="A406" s="152"/>
      <c r="B406" s="128"/>
      <c r="C406" s="152"/>
      <c r="D406" s="154"/>
      <c r="E406" s="154"/>
      <c r="F406" s="152"/>
      <c r="G406" s="128"/>
      <c r="H406" s="128"/>
      <c r="I406" s="144" t="str">
        <f>IF(H406="","",IFERROR(INDEX('12 P6 activities'!$B$7:$B$206,MATCH(H406,'12 P6 activities'!$A$7:$A$206,0)),"⚠ not in P6 list"))</f>
        <v/>
      </c>
      <c r="J406" s="144" t="str">
        <f>IF(H406="","",IFERROR(INDEX('12 P6 activities'!$C$7:$C$206,MATCH(H406,'12 P6 activities'!$A$7:$A$206,0)),"⚠ not in P6 list"))</f>
        <v/>
      </c>
      <c r="K406" s="128"/>
      <c r="L406" s="6"/>
      <c r="M406" s="6"/>
      <c r="N406" s="6"/>
      <c r="O406" s="6"/>
      <c r="P406" s="6"/>
      <c r="Q406" s="6"/>
      <c r="R406" s="6"/>
      <c r="S406" s="6"/>
      <c r="T406" s="6"/>
      <c r="U406" s="6"/>
      <c r="V406" s="6"/>
      <c r="W406" s="6"/>
      <c r="X406" s="6"/>
      <c r="Y406" s="6"/>
      <c r="Z406" s="6"/>
    </row>
    <row r="407" spans="1:26" ht="18" customHeight="1" x14ac:dyDescent="0.3">
      <c r="A407" s="152"/>
      <c r="B407" s="128"/>
      <c r="C407" s="152"/>
      <c r="D407" s="154"/>
      <c r="E407" s="154"/>
      <c r="F407" s="152"/>
      <c r="G407" s="128"/>
      <c r="H407" s="128"/>
      <c r="I407" s="144" t="str">
        <f>IF(H407="","",IFERROR(INDEX('12 P6 activities'!$B$7:$B$206,MATCH(H407,'12 P6 activities'!$A$7:$A$206,0)),"⚠ not in P6 list"))</f>
        <v/>
      </c>
      <c r="J407" s="144" t="str">
        <f>IF(H407="","",IFERROR(INDEX('12 P6 activities'!$C$7:$C$206,MATCH(H407,'12 P6 activities'!$A$7:$A$206,0)),"⚠ not in P6 list"))</f>
        <v/>
      </c>
      <c r="K407" s="128"/>
      <c r="L407" s="6"/>
      <c r="M407" s="6"/>
      <c r="N407" s="6"/>
      <c r="O407" s="6"/>
      <c r="P407" s="6"/>
      <c r="Q407" s="6"/>
      <c r="R407" s="6"/>
      <c r="S407" s="6"/>
      <c r="T407" s="6"/>
      <c r="U407" s="6"/>
      <c r="V407" s="6"/>
      <c r="W407" s="6"/>
      <c r="X407" s="6"/>
      <c r="Y407" s="6"/>
      <c r="Z407" s="6"/>
    </row>
    <row r="408" spans="1:26" ht="18" customHeight="1" x14ac:dyDescent="0.3">
      <c r="A408" s="152"/>
      <c r="B408" s="128"/>
      <c r="C408" s="152"/>
      <c r="D408" s="154"/>
      <c r="E408" s="154"/>
      <c r="F408" s="152"/>
      <c r="G408" s="128"/>
      <c r="H408" s="128"/>
      <c r="I408" s="144" t="str">
        <f>IF(H408="","",IFERROR(INDEX('12 P6 activities'!$B$7:$B$206,MATCH(H408,'12 P6 activities'!$A$7:$A$206,0)),"⚠ not in P6 list"))</f>
        <v/>
      </c>
      <c r="J408" s="144" t="str">
        <f>IF(H408="","",IFERROR(INDEX('12 P6 activities'!$C$7:$C$206,MATCH(H408,'12 P6 activities'!$A$7:$A$206,0)),"⚠ not in P6 list"))</f>
        <v/>
      </c>
      <c r="K408" s="128"/>
      <c r="L408" s="6"/>
      <c r="M408" s="6"/>
      <c r="N408" s="6"/>
      <c r="O408" s="6"/>
      <c r="P408" s="6"/>
      <c r="Q408" s="6"/>
      <c r="R408" s="6"/>
      <c r="S408" s="6"/>
      <c r="T408" s="6"/>
      <c r="U408" s="6"/>
      <c r="V408" s="6"/>
      <c r="W408" s="6"/>
      <c r="X408" s="6"/>
      <c r="Y408" s="6"/>
      <c r="Z408" s="6"/>
    </row>
    <row r="409" spans="1:26" ht="18" customHeight="1" x14ac:dyDescent="0.3">
      <c r="A409" s="152"/>
      <c r="B409" s="128"/>
      <c r="C409" s="152"/>
      <c r="D409" s="154"/>
      <c r="E409" s="154"/>
      <c r="F409" s="152"/>
      <c r="G409" s="128"/>
      <c r="H409" s="128"/>
      <c r="I409" s="144" t="str">
        <f>IF(H409="","",IFERROR(INDEX('12 P6 activities'!$B$7:$B$206,MATCH(H409,'12 P6 activities'!$A$7:$A$206,0)),"⚠ not in P6 list"))</f>
        <v/>
      </c>
      <c r="J409" s="144" t="str">
        <f>IF(H409="","",IFERROR(INDEX('12 P6 activities'!$C$7:$C$206,MATCH(H409,'12 P6 activities'!$A$7:$A$206,0)),"⚠ not in P6 list"))</f>
        <v/>
      </c>
      <c r="K409" s="128"/>
      <c r="L409" s="6"/>
      <c r="M409" s="6"/>
      <c r="N409" s="6"/>
      <c r="O409" s="6"/>
      <c r="P409" s="6"/>
      <c r="Q409" s="6"/>
      <c r="R409" s="6"/>
      <c r="S409" s="6"/>
      <c r="T409" s="6"/>
      <c r="U409" s="6"/>
      <c r="V409" s="6"/>
      <c r="W409" s="6"/>
      <c r="X409" s="6"/>
      <c r="Y409" s="6"/>
      <c r="Z409" s="6"/>
    </row>
    <row r="410" spans="1:26" ht="18" customHeight="1" x14ac:dyDescent="0.3">
      <c r="A410" s="152"/>
      <c r="B410" s="128"/>
      <c r="C410" s="152"/>
      <c r="D410" s="154"/>
      <c r="E410" s="154"/>
      <c r="F410" s="152"/>
      <c r="G410" s="128"/>
      <c r="H410" s="128"/>
      <c r="I410" s="144" t="str">
        <f>IF(H410="","",IFERROR(INDEX('12 P6 activities'!$B$7:$B$206,MATCH(H410,'12 P6 activities'!$A$7:$A$206,0)),"⚠ not in P6 list"))</f>
        <v/>
      </c>
      <c r="J410" s="144" t="str">
        <f>IF(H410="","",IFERROR(INDEX('12 P6 activities'!$C$7:$C$206,MATCH(H410,'12 P6 activities'!$A$7:$A$206,0)),"⚠ not in P6 list"))</f>
        <v/>
      </c>
      <c r="K410" s="128"/>
      <c r="L410" s="6"/>
      <c r="M410" s="6"/>
      <c r="N410" s="6"/>
      <c r="O410" s="6"/>
      <c r="P410" s="6"/>
      <c r="Q410" s="6"/>
      <c r="R410" s="6"/>
      <c r="S410" s="6"/>
      <c r="T410" s="6"/>
      <c r="U410" s="6"/>
      <c r="V410" s="6"/>
      <c r="W410" s="6"/>
      <c r="X410" s="6"/>
      <c r="Y410" s="6"/>
      <c r="Z410" s="6"/>
    </row>
    <row r="411" spans="1:26" ht="18" customHeight="1" x14ac:dyDescent="0.3">
      <c r="A411" s="152"/>
      <c r="B411" s="128"/>
      <c r="C411" s="152"/>
      <c r="D411" s="154"/>
      <c r="E411" s="154"/>
      <c r="F411" s="152"/>
      <c r="G411" s="128"/>
      <c r="H411" s="128"/>
      <c r="I411" s="144" t="str">
        <f>IF(H411="","",IFERROR(INDEX('12 P6 activities'!$B$7:$B$206,MATCH(H411,'12 P6 activities'!$A$7:$A$206,0)),"⚠ not in P6 list"))</f>
        <v/>
      </c>
      <c r="J411" s="144" t="str">
        <f>IF(H411="","",IFERROR(INDEX('12 P6 activities'!$C$7:$C$206,MATCH(H411,'12 P6 activities'!$A$7:$A$206,0)),"⚠ not in P6 list"))</f>
        <v/>
      </c>
      <c r="K411" s="128"/>
      <c r="L411" s="6"/>
      <c r="M411" s="6"/>
      <c r="N411" s="6"/>
      <c r="O411" s="6"/>
      <c r="P411" s="6"/>
      <c r="Q411" s="6"/>
      <c r="R411" s="6"/>
      <c r="S411" s="6"/>
      <c r="T411" s="6"/>
      <c r="U411" s="6"/>
      <c r="V411" s="6"/>
      <c r="W411" s="6"/>
      <c r="X411" s="6"/>
      <c r="Y411" s="6"/>
      <c r="Z411" s="6"/>
    </row>
    <row r="412" spans="1:26" ht="18" customHeight="1" x14ac:dyDescent="0.3">
      <c r="A412" s="152"/>
      <c r="B412" s="128"/>
      <c r="C412" s="152"/>
      <c r="D412" s="154"/>
      <c r="E412" s="154"/>
      <c r="F412" s="152"/>
      <c r="G412" s="128"/>
      <c r="H412" s="128"/>
      <c r="I412" s="144" t="str">
        <f>IF(H412="","",IFERROR(INDEX('12 P6 activities'!$B$7:$B$206,MATCH(H412,'12 P6 activities'!$A$7:$A$206,0)),"⚠ not in P6 list"))</f>
        <v/>
      </c>
      <c r="J412" s="144" t="str">
        <f>IF(H412="","",IFERROR(INDEX('12 P6 activities'!$C$7:$C$206,MATCH(H412,'12 P6 activities'!$A$7:$A$206,0)),"⚠ not in P6 list"))</f>
        <v/>
      </c>
      <c r="K412" s="128"/>
      <c r="L412" s="6"/>
      <c r="M412" s="6"/>
      <c r="N412" s="6"/>
      <c r="O412" s="6"/>
      <c r="P412" s="6"/>
      <c r="Q412" s="6"/>
      <c r="R412" s="6"/>
      <c r="S412" s="6"/>
      <c r="T412" s="6"/>
      <c r="U412" s="6"/>
      <c r="V412" s="6"/>
      <c r="W412" s="6"/>
      <c r="X412" s="6"/>
      <c r="Y412" s="6"/>
      <c r="Z412" s="6"/>
    </row>
    <row r="413" spans="1:26" ht="18" customHeight="1" x14ac:dyDescent="0.3">
      <c r="A413" s="152"/>
      <c r="B413" s="128"/>
      <c r="C413" s="152"/>
      <c r="D413" s="154"/>
      <c r="E413" s="154"/>
      <c r="F413" s="152"/>
      <c r="G413" s="128"/>
      <c r="H413" s="128"/>
      <c r="I413" s="144" t="str">
        <f>IF(H413="","",IFERROR(INDEX('12 P6 activities'!$B$7:$B$206,MATCH(H413,'12 P6 activities'!$A$7:$A$206,0)),"⚠ not in P6 list"))</f>
        <v/>
      </c>
      <c r="J413" s="144" t="str">
        <f>IF(H413="","",IFERROR(INDEX('12 P6 activities'!$C$7:$C$206,MATCH(H413,'12 P6 activities'!$A$7:$A$206,0)),"⚠ not in P6 list"))</f>
        <v/>
      </c>
      <c r="K413" s="128"/>
      <c r="L413" s="6"/>
      <c r="M413" s="6"/>
      <c r="N413" s="6"/>
      <c r="O413" s="6"/>
      <c r="P413" s="6"/>
      <c r="Q413" s="6"/>
      <c r="R413" s="6"/>
      <c r="S413" s="6"/>
      <c r="T413" s="6"/>
      <c r="U413" s="6"/>
      <c r="V413" s="6"/>
      <c r="W413" s="6"/>
      <c r="X413" s="6"/>
      <c r="Y413" s="6"/>
      <c r="Z413" s="6"/>
    </row>
    <row r="414" spans="1:26" ht="18" customHeight="1" x14ac:dyDescent="0.3">
      <c r="A414" s="152"/>
      <c r="B414" s="128"/>
      <c r="C414" s="152"/>
      <c r="D414" s="154"/>
      <c r="E414" s="154"/>
      <c r="F414" s="152"/>
      <c r="G414" s="128"/>
      <c r="H414" s="128"/>
      <c r="I414" s="144" t="str">
        <f>IF(H414="","",IFERROR(INDEX('12 P6 activities'!$B$7:$B$206,MATCH(H414,'12 P6 activities'!$A$7:$A$206,0)),"⚠ not in P6 list"))</f>
        <v/>
      </c>
      <c r="J414" s="144" t="str">
        <f>IF(H414="","",IFERROR(INDEX('12 P6 activities'!$C$7:$C$206,MATCH(H414,'12 P6 activities'!$A$7:$A$206,0)),"⚠ not in P6 list"))</f>
        <v/>
      </c>
      <c r="K414" s="128"/>
      <c r="L414" s="6"/>
      <c r="M414" s="6"/>
      <c r="N414" s="6"/>
      <c r="O414" s="6"/>
      <c r="P414" s="6"/>
      <c r="Q414" s="6"/>
      <c r="R414" s="6"/>
      <c r="S414" s="6"/>
      <c r="T414" s="6"/>
      <c r="U414" s="6"/>
      <c r="V414" s="6"/>
      <c r="W414" s="6"/>
      <c r="X414" s="6"/>
      <c r="Y414" s="6"/>
      <c r="Z414" s="6"/>
    </row>
    <row r="415" spans="1:26" ht="18" customHeight="1" x14ac:dyDescent="0.3">
      <c r="A415" s="152"/>
      <c r="B415" s="128"/>
      <c r="C415" s="152"/>
      <c r="D415" s="154"/>
      <c r="E415" s="154"/>
      <c r="F415" s="152"/>
      <c r="G415" s="128"/>
      <c r="H415" s="128"/>
      <c r="I415" s="144" t="str">
        <f>IF(H415="","",IFERROR(INDEX('12 P6 activities'!$B$7:$B$206,MATCH(H415,'12 P6 activities'!$A$7:$A$206,0)),"⚠ not in P6 list"))</f>
        <v/>
      </c>
      <c r="J415" s="144" t="str">
        <f>IF(H415="","",IFERROR(INDEX('12 P6 activities'!$C$7:$C$206,MATCH(H415,'12 P6 activities'!$A$7:$A$206,0)),"⚠ not in P6 list"))</f>
        <v/>
      </c>
      <c r="K415" s="128"/>
      <c r="L415" s="6"/>
      <c r="M415" s="6"/>
      <c r="N415" s="6"/>
      <c r="O415" s="6"/>
      <c r="P415" s="6"/>
      <c r="Q415" s="6"/>
      <c r="R415" s="6"/>
      <c r="S415" s="6"/>
      <c r="T415" s="6"/>
      <c r="U415" s="6"/>
      <c r="V415" s="6"/>
      <c r="W415" s="6"/>
      <c r="X415" s="6"/>
      <c r="Y415" s="6"/>
      <c r="Z415" s="6"/>
    </row>
    <row r="416" spans="1:26" ht="18" customHeight="1" x14ac:dyDescent="0.3">
      <c r="A416" s="152"/>
      <c r="B416" s="128"/>
      <c r="C416" s="152"/>
      <c r="D416" s="154"/>
      <c r="E416" s="154"/>
      <c r="F416" s="152"/>
      <c r="G416" s="128"/>
      <c r="H416" s="128"/>
      <c r="I416" s="144" t="str">
        <f>IF(H416="","",IFERROR(INDEX('12 P6 activities'!$B$7:$B$206,MATCH(H416,'12 P6 activities'!$A$7:$A$206,0)),"⚠ not in P6 list"))</f>
        <v/>
      </c>
      <c r="J416" s="144" t="str">
        <f>IF(H416="","",IFERROR(INDEX('12 P6 activities'!$C$7:$C$206,MATCH(H416,'12 P6 activities'!$A$7:$A$206,0)),"⚠ not in P6 list"))</f>
        <v/>
      </c>
      <c r="K416" s="128"/>
      <c r="L416" s="6"/>
      <c r="M416" s="6"/>
      <c r="N416" s="6"/>
      <c r="O416" s="6"/>
      <c r="P416" s="6"/>
      <c r="Q416" s="6"/>
      <c r="R416" s="6"/>
      <c r="S416" s="6"/>
      <c r="T416" s="6"/>
      <c r="U416" s="6"/>
      <c r="V416" s="6"/>
      <c r="W416" s="6"/>
      <c r="X416" s="6"/>
      <c r="Y416" s="6"/>
      <c r="Z416" s="6"/>
    </row>
    <row r="417" spans="1:26" ht="18" customHeight="1" x14ac:dyDescent="0.3">
      <c r="A417" s="152"/>
      <c r="B417" s="128"/>
      <c r="C417" s="152"/>
      <c r="D417" s="154"/>
      <c r="E417" s="154"/>
      <c r="F417" s="152"/>
      <c r="G417" s="128"/>
      <c r="H417" s="128"/>
      <c r="I417" s="144" t="str">
        <f>IF(H417="","",IFERROR(INDEX('12 P6 activities'!$B$7:$B$206,MATCH(H417,'12 P6 activities'!$A$7:$A$206,0)),"⚠ not in P6 list"))</f>
        <v/>
      </c>
      <c r="J417" s="144" t="str">
        <f>IF(H417="","",IFERROR(INDEX('12 P6 activities'!$C$7:$C$206,MATCH(H417,'12 P6 activities'!$A$7:$A$206,0)),"⚠ not in P6 list"))</f>
        <v/>
      </c>
      <c r="K417" s="128"/>
      <c r="L417" s="6"/>
      <c r="M417" s="6"/>
      <c r="N417" s="6"/>
      <c r="O417" s="6"/>
      <c r="P417" s="6"/>
      <c r="Q417" s="6"/>
      <c r="R417" s="6"/>
      <c r="S417" s="6"/>
      <c r="T417" s="6"/>
      <c r="U417" s="6"/>
      <c r="V417" s="6"/>
      <c r="W417" s="6"/>
      <c r="X417" s="6"/>
      <c r="Y417" s="6"/>
      <c r="Z417" s="6"/>
    </row>
    <row r="418" spans="1:26" ht="18" customHeight="1" x14ac:dyDescent="0.3">
      <c r="A418" s="152"/>
      <c r="B418" s="128"/>
      <c r="C418" s="152"/>
      <c r="D418" s="154"/>
      <c r="E418" s="154"/>
      <c r="F418" s="152"/>
      <c r="G418" s="128"/>
      <c r="H418" s="128"/>
      <c r="I418" s="144" t="str">
        <f>IF(H418="","",IFERROR(INDEX('12 P6 activities'!$B$7:$B$206,MATCH(H418,'12 P6 activities'!$A$7:$A$206,0)),"⚠ not in P6 list"))</f>
        <v/>
      </c>
      <c r="J418" s="144" t="str">
        <f>IF(H418="","",IFERROR(INDEX('12 P6 activities'!$C$7:$C$206,MATCH(H418,'12 P6 activities'!$A$7:$A$206,0)),"⚠ not in P6 list"))</f>
        <v/>
      </c>
      <c r="K418" s="128"/>
      <c r="L418" s="6"/>
      <c r="M418" s="6"/>
      <c r="N418" s="6"/>
      <c r="O418" s="6"/>
      <c r="P418" s="6"/>
      <c r="Q418" s="6"/>
      <c r="R418" s="6"/>
      <c r="S418" s="6"/>
      <c r="T418" s="6"/>
      <c r="U418" s="6"/>
      <c r="V418" s="6"/>
      <c r="W418" s="6"/>
      <c r="X418" s="6"/>
      <c r="Y418" s="6"/>
      <c r="Z418" s="6"/>
    </row>
    <row r="419" spans="1:26" ht="18" customHeight="1" x14ac:dyDescent="0.3">
      <c r="A419" s="152"/>
      <c r="B419" s="128"/>
      <c r="C419" s="152"/>
      <c r="D419" s="154"/>
      <c r="E419" s="154"/>
      <c r="F419" s="152"/>
      <c r="G419" s="128"/>
      <c r="H419" s="128"/>
      <c r="I419" s="144" t="str">
        <f>IF(H419="","",IFERROR(INDEX('12 P6 activities'!$B$7:$B$206,MATCH(H419,'12 P6 activities'!$A$7:$A$206,0)),"⚠ not in P6 list"))</f>
        <v/>
      </c>
      <c r="J419" s="144" t="str">
        <f>IF(H419="","",IFERROR(INDEX('12 P6 activities'!$C$7:$C$206,MATCH(H419,'12 P6 activities'!$A$7:$A$206,0)),"⚠ not in P6 list"))</f>
        <v/>
      </c>
      <c r="K419" s="128"/>
      <c r="L419" s="6"/>
      <c r="M419" s="6"/>
      <c r="N419" s="6"/>
      <c r="O419" s="6"/>
      <c r="P419" s="6"/>
      <c r="Q419" s="6"/>
      <c r="R419" s="6"/>
      <c r="S419" s="6"/>
      <c r="T419" s="6"/>
      <c r="U419" s="6"/>
      <c r="V419" s="6"/>
      <c r="W419" s="6"/>
      <c r="X419" s="6"/>
      <c r="Y419" s="6"/>
      <c r="Z419" s="6"/>
    </row>
    <row r="420" spans="1:26" ht="18" customHeight="1" x14ac:dyDescent="0.3">
      <c r="A420" s="152"/>
      <c r="B420" s="128"/>
      <c r="C420" s="152"/>
      <c r="D420" s="154"/>
      <c r="E420" s="154"/>
      <c r="F420" s="152"/>
      <c r="G420" s="128"/>
      <c r="H420" s="128"/>
      <c r="I420" s="144" t="str">
        <f>IF(H420="","",IFERROR(INDEX('12 P6 activities'!$B$7:$B$206,MATCH(H420,'12 P6 activities'!$A$7:$A$206,0)),"⚠ not in P6 list"))</f>
        <v/>
      </c>
      <c r="J420" s="144" t="str">
        <f>IF(H420="","",IFERROR(INDEX('12 P6 activities'!$C$7:$C$206,MATCH(H420,'12 P6 activities'!$A$7:$A$206,0)),"⚠ not in P6 list"))</f>
        <v/>
      </c>
      <c r="K420" s="128"/>
      <c r="L420" s="6"/>
      <c r="M420" s="6"/>
      <c r="N420" s="6"/>
      <c r="O420" s="6"/>
      <c r="P420" s="6"/>
      <c r="Q420" s="6"/>
      <c r="R420" s="6"/>
      <c r="S420" s="6"/>
      <c r="T420" s="6"/>
      <c r="U420" s="6"/>
      <c r="V420" s="6"/>
      <c r="W420" s="6"/>
      <c r="X420" s="6"/>
      <c r="Y420" s="6"/>
      <c r="Z420" s="6"/>
    </row>
    <row r="421" spans="1:26" ht="18" customHeight="1" x14ac:dyDescent="0.3">
      <c r="A421" s="152"/>
      <c r="B421" s="128"/>
      <c r="C421" s="152"/>
      <c r="D421" s="154"/>
      <c r="E421" s="154"/>
      <c r="F421" s="152"/>
      <c r="G421" s="128"/>
      <c r="H421" s="128"/>
      <c r="I421" s="144" t="str">
        <f>IF(H421="","",IFERROR(INDEX('12 P6 activities'!$B$7:$B$206,MATCH(H421,'12 P6 activities'!$A$7:$A$206,0)),"⚠ not in P6 list"))</f>
        <v/>
      </c>
      <c r="J421" s="144" t="str">
        <f>IF(H421="","",IFERROR(INDEX('12 P6 activities'!$C$7:$C$206,MATCH(H421,'12 P6 activities'!$A$7:$A$206,0)),"⚠ not in P6 list"))</f>
        <v/>
      </c>
      <c r="K421" s="128"/>
      <c r="L421" s="6"/>
      <c r="M421" s="6"/>
      <c r="N421" s="6"/>
      <c r="O421" s="6"/>
      <c r="P421" s="6"/>
      <c r="Q421" s="6"/>
      <c r="R421" s="6"/>
      <c r="S421" s="6"/>
      <c r="T421" s="6"/>
      <c r="U421" s="6"/>
      <c r="V421" s="6"/>
      <c r="W421" s="6"/>
      <c r="X421" s="6"/>
      <c r="Y421" s="6"/>
      <c r="Z421" s="6"/>
    </row>
    <row r="422" spans="1:26" ht="18" customHeight="1" x14ac:dyDescent="0.3">
      <c r="A422" s="152"/>
      <c r="B422" s="128"/>
      <c r="C422" s="152"/>
      <c r="D422" s="154"/>
      <c r="E422" s="154"/>
      <c r="F422" s="152"/>
      <c r="G422" s="128"/>
      <c r="H422" s="128"/>
      <c r="I422" s="144" t="str">
        <f>IF(H422="","",IFERROR(INDEX('12 P6 activities'!$B$7:$B$206,MATCH(H422,'12 P6 activities'!$A$7:$A$206,0)),"⚠ not in P6 list"))</f>
        <v/>
      </c>
      <c r="J422" s="144" t="str">
        <f>IF(H422="","",IFERROR(INDEX('12 P6 activities'!$C$7:$C$206,MATCH(H422,'12 P6 activities'!$A$7:$A$206,0)),"⚠ not in P6 list"))</f>
        <v/>
      </c>
      <c r="K422" s="128"/>
      <c r="L422" s="6"/>
      <c r="M422" s="6"/>
      <c r="N422" s="6"/>
      <c r="O422" s="6"/>
      <c r="P422" s="6"/>
      <c r="Q422" s="6"/>
      <c r="R422" s="6"/>
      <c r="S422" s="6"/>
      <c r="T422" s="6"/>
      <c r="U422" s="6"/>
      <c r="V422" s="6"/>
      <c r="W422" s="6"/>
      <c r="X422" s="6"/>
      <c r="Y422" s="6"/>
      <c r="Z422" s="6"/>
    </row>
    <row r="423" spans="1:26" ht="18" customHeight="1" x14ac:dyDescent="0.3">
      <c r="A423" s="152"/>
      <c r="B423" s="128"/>
      <c r="C423" s="152"/>
      <c r="D423" s="154"/>
      <c r="E423" s="154"/>
      <c r="F423" s="152"/>
      <c r="G423" s="128"/>
      <c r="H423" s="128"/>
      <c r="I423" s="144" t="str">
        <f>IF(H423="","",IFERROR(INDEX('12 P6 activities'!$B$7:$B$206,MATCH(H423,'12 P6 activities'!$A$7:$A$206,0)),"⚠ not in P6 list"))</f>
        <v/>
      </c>
      <c r="J423" s="144" t="str">
        <f>IF(H423="","",IFERROR(INDEX('12 P6 activities'!$C$7:$C$206,MATCH(H423,'12 P6 activities'!$A$7:$A$206,0)),"⚠ not in P6 list"))</f>
        <v/>
      </c>
      <c r="K423" s="128"/>
      <c r="L423" s="6"/>
      <c r="M423" s="6"/>
      <c r="N423" s="6"/>
      <c r="O423" s="6"/>
      <c r="P423" s="6"/>
      <c r="Q423" s="6"/>
      <c r="R423" s="6"/>
      <c r="S423" s="6"/>
      <c r="T423" s="6"/>
      <c r="U423" s="6"/>
      <c r="V423" s="6"/>
      <c r="W423" s="6"/>
      <c r="X423" s="6"/>
      <c r="Y423" s="6"/>
      <c r="Z423" s="6"/>
    </row>
    <row r="424" spans="1:26" ht="18" customHeight="1" x14ac:dyDescent="0.3">
      <c r="A424" s="152"/>
      <c r="B424" s="128"/>
      <c r="C424" s="152"/>
      <c r="D424" s="154"/>
      <c r="E424" s="154"/>
      <c r="F424" s="152"/>
      <c r="G424" s="128"/>
      <c r="H424" s="128"/>
      <c r="I424" s="144" t="str">
        <f>IF(H424="","",IFERROR(INDEX('12 P6 activities'!$B$7:$B$206,MATCH(H424,'12 P6 activities'!$A$7:$A$206,0)),"⚠ not in P6 list"))</f>
        <v/>
      </c>
      <c r="J424" s="144" t="str">
        <f>IF(H424="","",IFERROR(INDEX('12 P6 activities'!$C$7:$C$206,MATCH(H424,'12 P6 activities'!$A$7:$A$206,0)),"⚠ not in P6 list"))</f>
        <v/>
      </c>
      <c r="K424" s="128"/>
      <c r="L424" s="6"/>
      <c r="M424" s="6"/>
      <c r="N424" s="6"/>
      <c r="O424" s="6"/>
      <c r="P424" s="6"/>
      <c r="Q424" s="6"/>
      <c r="R424" s="6"/>
      <c r="S424" s="6"/>
      <c r="T424" s="6"/>
      <c r="U424" s="6"/>
      <c r="V424" s="6"/>
      <c r="W424" s="6"/>
      <c r="X424" s="6"/>
      <c r="Y424" s="6"/>
      <c r="Z424" s="6"/>
    </row>
    <row r="425" spans="1:26" ht="18" customHeight="1" x14ac:dyDescent="0.3">
      <c r="A425" s="152"/>
      <c r="B425" s="128"/>
      <c r="C425" s="152"/>
      <c r="D425" s="154"/>
      <c r="E425" s="154"/>
      <c r="F425" s="152"/>
      <c r="G425" s="128"/>
      <c r="H425" s="128"/>
      <c r="I425" s="144" t="str">
        <f>IF(H425="","",IFERROR(INDEX('12 P6 activities'!$B$7:$B$206,MATCH(H425,'12 P6 activities'!$A$7:$A$206,0)),"⚠ not in P6 list"))</f>
        <v/>
      </c>
      <c r="J425" s="144" t="str">
        <f>IF(H425="","",IFERROR(INDEX('12 P6 activities'!$C$7:$C$206,MATCH(H425,'12 P6 activities'!$A$7:$A$206,0)),"⚠ not in P6 list"))</f>
        <v/>
      </c>
      <c r="K425" s="128"/>
      <c r="L425" s="6"/>
      <c r="M425" s="6"/>
      <c r="N425" s="6"/>
      <c r="O425" s="6"/>
      <c r="P425" s="6"/>
      <c r="Q425" s="6"/>
      <c r="R425" s="6"/>
      <c r="S425" s="6"/>
      <c r="T425" s="6"/>
      <c r="U425" s="6"/>
      <c r="V425" s="6"/>
      <c r="W425" s="6"/>
      <c r="X425" s="6"/>
      <c r="Y425" s="6"/>
      <c r="Z425" s="6"/>
    </row>
    <row r="426" spans="1:26" ht="18" customHeight="1" x14ac:dyDescent="0.3">
      <c r="A426" s="152"/>
      <c r="B426" s="128"/>
      <c r="C426" s="152"/>
      <c r="D426" s="154"/>
      <c r="E426" s="154"/>
      <c r="F426" s="152"/>
      <c r="G426" s="128"/>
      <c r="H426" s="128"/>
      <c r="I426" s="144" t="str">
        <f>IF(H426="","",IFERROR(INDEX('12 P6 activities'!$B$7:$B$206,MATCH(H426,'12 P6 activities'!$A$7:$A$206,0)),"⚠ not in P6 list"))</f>
        <v/>
      </c>
      <c r="J426" s="144" t="str">
        <f>IF(H426="","",IFERROR(INDEX('12 P6 activities'!$C$7:$C$206,MATCH(H426,'12 P6 activities'!$A$7:$A$206,0)),"⚠ not in P6 list"))</f>
        <v/>
      </c>
      <c r="K426" s="128"/>
      <c r="L426" s="6"/>
      <c r="M426" s="6"/>
      <c r="N426" s="6"/>
      <c r="O426" s="6"/>
      <c r="P426" s="6"/>
      <c r="Q426" s="6"/>
      <c r="R426" s="6"/>
      <c r="S426" s="6"/>
      <c r="T426" s="6"/>
      <c r="U426" s="6"/>
      <c r="V426" s="6"/>
      <c r="W426" s="6"/>
      <c r="X426" s="6"/>
      <c r="Y426" s="6"/>
      <c r="Z426" s="6"/>
    </row>
    <row r="427" spans="1:26" ht="18" customHeight="1" x14ac:dyDescent="0.3">
      <c r="A427" s="152"/>
      <c r="B427" s="128"/>
      <c r="C427" s="152"/>
      <c r="D427" s="154"/>
      <c r="E427" s="154"/>
      <c r="F427" s="152"/>
      <c r="G427" s="128"/>
      <c r="H427" s="128"/>
      <c r="I427" s="144" t="str">
        <f>IF(H427="","",IFERROR(INDEX('12 P6 activities'!$B$7:$B$206,MATCH(H427,'12 P6 activities'!$A$7:$A$206,0)),"⚠ not in P6 list"))</f>
        <v/>
      </c>
      <c r="J427" s="144" t="str">
        <f>IF(H427="","",IFERROR(INDEX('12 P6 activities'!$C$7:$C$206,MATCH(H427,'12 P6 activities'!$A$7:$A$206,0)),"⚠ not in P6 list"))</f>
        <v/>
      </c>
      <c r="K427" s="128"/>
      <c r="L427" s="6"/>
      <c r="M427" s="6"/>
      <c r="N427" s="6"/>
      <c r="O427" s="6"/>
      <c r="P427" s="6"/>
      <c r="Q427" s="6"/>
      <c r="R427" s="6"/>
      <c r="S427" s="6"/>
      <c r="T427" s="6"/>
      <c r="U427" s="6"/>
      <c r="V427" s="6"/>
      <c r="W427" s="6"/>
      <c r="X427" s="6"/>
      <c r="Y427" s="6"/>
      <c r="Z427" s="6"/>
    </row>
    <row r="428" spans="1:26" ht="18" customHeight="1" x14ac:dyDescent="0.3">
      <c r="A428" s="152"/>
      <c r="B428" s="128"/>
      <c r="C428" s="152"/>
      <c r="D428" s="154"/>
      <c r="E428" s="154"/>
      <c r="F428" s="152"/>
      <c r="G428" s="128"/>
      <c r="H428" s="128"/>
      <c r="I428" s="144" t="str">
        <f>IF(H428="","",IFERROR(INDEX('12 P6 activities'!$B$7:$B$206,MATCH(H428,'12 P6 activities'!$A$7:$A$206,0)),"⚠ not in P6 list"))</f>
        <v/>
      </c>
      <c r="J428" s="144" t="str">
        <f>IF(H428="","",IFERROR(INDEX('12 P6 activities'!$C$7:$C$206,MATCH(H428,'12 P6 activities'!$A$7:$A$206,0)),"⚠ not in P6 list"))</f>
        <v/>
      </c>
      <c r="K428" s="128"/>
      <c r="L428" s="6"/>
      <c r="M428" s="6"/>
      <c r="N428" s="6"/>
      <c r="O428" s="6"/>
      <c r="P428" s="6"/>
      <c r="Q428" s="6"/>
      <c r="R428" s="6"/>
      <c r="S428" s="6"/>
      <c r="T428" s="6"/>
      <c r="U428" s="6"/>
      <c r="V428" s="6"/>
      <c r="W428" s="6"/>
      <c r="X428" s="6"/>
      <c r="Y428" s="6"/>
      <c r="Z428" s="6"/>
    </row>
    <row r="429" spans="1:26" ht="18" customHeight="1" x14ac:dyDescent="0.3">
      <c r="A429" s="152"/>
      <c r="B429" s="128"/>
      <c r="C429" s="152"/>
      <c r="D429" s="154"/>
      <c r="E429" s="154"/>
      <c r="F429" s="152"/>
      <c r="G429" s="128"/>
      <c r="H429" s="128"/>
      <c r="I429" s="144" t="str">
        <f>IF(H429="","",IFERROR(INDEX('12 P6 activities'!$B$7:$B$206,MATCH(H429,'12 P6 activities'!$A$7:$A$206,0)),"⚠ not in P6 list"))</f>
        <v/>
      </c>
      <c r="J429" s="144" t="str">
        <f>IF(H429="","",IFERROR(INDEX('12 P6 activities'!$C$7:$C$206,MATCH(H429,'12 P6 activities'!$A$7:$A$206,0)),"⚠ not in P6 list"))</f>
        <v/>
      </c>
      <c r="K429" s="128"/>
      <c r="L429" s="6"/>
      <c r="M429" s="6"/>
      <c r="N429" s="6"/>
      <c r="O429" s="6"/>
      <c r="P429" s="6"/>
      <c r="Q429" s="6"/>
      <c r="R429" s="6"/>
      <c r="S429" s="6"/>
      <c r="T429" s="6"/>
      <c r="U429" s="6"/>
      <c r="V429" s="6"/>
      <c r="W429" s="6"/>
      <c r="X429" s="6"/>
      <c r="Y429" s="6"/>
      <c r="Z429" s="6"/>
    </row>
    <row r="430" spans="1:26" ht="18" customHeight="1" x14ac:dyDescent="0.3">
      <c r="A430" s="152"/>
      <c r="B430" s="128"/>
      <c r="C430" s="152"/>
      <c r="D430" s="154"/>
      <c r="E430" s="154"/>
      <c r="F430" s="152"/>
      <c r="G430" s="128"/>
      <c r="H430" s="128"/>
      <c r="I430" s="144" t="str">
        <f>IF(H430="","",IFERROR(INDEX('12 P6 activities'!$B$7:$B$206,MATCH(H430,'12 P6 activities'!$A$7:$A$206,0)),"⚠ not in P6 list"))</f>
        <v/>
      </c>
      <c r="J430" s="144" t="str">
        <f>IF(H430="","",IFERROR(INDEX('12 P6 activities'!$C$7:$C$206,MATCH(H430,'12 P6 activities'!$A$7:$A$206,0)),"⚠ not in P6 list"))</f>
        <v/>
      </c>
      <c r="K430" s="128"/>
      <c r="L430" s="6"/>
      <c r="M430" s="6"/>
      <c r="N430" s="6"/>
      <c r="O430" s="6"/>
      <c r="P430" s="6"/>
      <c r="Q430" s="6"/>
      <c r="R430" s="6"/>
      <c r="S430" s="6"/>
      <c r="T430" s="6"/>
      <c r="U430" s="6"/>
      <c r="V430" s="6"/>
      <c r="W430" s="6"/>
      <c r="X430" s="6"/>
      <c r="Y430" s="6"/>
      <c r="Z430" s="6"/>
    </row>
    <row r="431" spans="1:26" ht="18" customHeight="1" x14ac:dyDescent="0.3">
      <c r="A431" s="152"/>
      <c r="B431" s="128"/>
      <c r="C431" s="152"/>
      <c r="D431" s="154"/>
      <c r="E431" s="154"/>
      <c r="F431" s="152"/>
      <c r="G431" s="128"/>
      <c r="H431" s="128"/>
      <c r="I431" s="144" t="str">
        <f>IF(H431="","",IFERROR(INDEX('12 P6 activities'!$B$7:$B$206,MATCH(H431,'12 P6 activities'!$A$7:$A$206,0)),"⚠ not in P6 list"))</f>
        <v/>
      </c>
      <c r="J431" s="144" t="str">
        <f>IF(H431="","",IFERROR(INDEX('12 P6 activities'!$C$7:$C$206,MATCH(H431,'12 P6 activities'!$A$7:$A$206,0)),"⚠ not in P6 list"))</f>
        <v/>
      </c>
      <c r="K431" s="128"/>
      <c r="L431" s="6"/>
      <c r="M431" s="6"/>
      <c r="N431" s="6"/>
      <c r="O431" s="6"/>
      <c r="P431" s="6"/>
      <c r="Q431" s="6"/>
      <c r="R431" s="6"/>
      <c r="S431" s="6"/>
      <c r="T431" s="6"/>
      <c r="U431" s="6"/>
      <c r="V431" s="6"/>
      <c r="W431" s="6"/>
      <c r="X431" s="6"/>
      <c r="Y431" s="6"/>
      <c r="Z431" s="6"/>
    </row>
    <row r="432" spans="1:26" ht="18" customHeight="1" x14ac:dyDescent="0.3">
      <c r="A432" s="152"/>
      <c r="B432" s="128"/>
      <c r="C432" s="152"/>
      <c r="D432" s="154"/>
      <c r="E432" s="154"/>
      <c r="F432" s="152"/>
      <c r="G432" s="128"/>
      <c r="H432" s="128"/>
      <c r="I432" s="144" t="str">
        <f>IF(H432="","",IFERROR(INDEX('12 P6 activities'!$B$7:$B$206,MATCH(H432,'12 P6 activities'!$A$7:$A$206,0)),"⚠ not in P6 list"))</f>
        <v/>
      </c>
      <c r="J432" s="144" t="str">
        <f>IF(H432="","",IFERROR(INDEX('12 P6 activities'!$C$7:$C$206,MATCH(H432,'12 P6 activities'!$A$7:$A$206,0)),"⚠ not in P6 list"))</f>
        <v/>
      </c>
      <c r="K432" s="128"/>
      <c r="L432" s="6"/>
      <c r="M432" s="6"/>
      <c r="N432" s="6"/>
      <c r="O432" s="6"/>
      <c r="P432" s="6"/>
      <c r="Q432" s="6"/>
      <c r="R432" s="6"/>
      <c r="S432" s="6"/>
      <c r="T432" s="6"/>
      <c r="U432" s="6"/>
      <c r="V432" s="6"/>
      <c r="W432" s="6"/>
      <c r="X432" s="6"/>
      <c r="Y432" s="6"/>
      <c r="Z432" s="6"/>
    </row>
    <row r="433" spans="1:26" ht="18" customHeight="1" x14ac:dyDescent="0.3">
      <c r="A433" s="152"/>
      <c r="B433" s="128"/>
      <c r="C433" s="152"/>
      <c r="D433" s="154"/>
      <c r="E433" s="154"/>
      <c r="F433" s="152"/>
      <c r="G433" s="128"/>
      <c r="H433" s="128"/>
      <c r="I433" s="144" t="str">
        <f>IF(H433="","",IFERROR(INDEX('12 P6 activities'!$B$7:$B$206,MATCH(H433,'12 P6 activities'!$A$7:$A$206,0)),"⚠ not in P6 list"))</f>
        <v/>
      </c>
      <c r="J433" s="144" t="str">
        <f>IF(H433="","",IFERROR(INDEX('12 P6 activities'!$C$7:$C$206,MATCH(H433,'12 P6 activities'!$A$7:$A$206,0)),"⚠ not in P6 list"))</f>
        <v/>
      </c>
      <c r="K433" s="128"/>
      <c r="L433" s="6"/>
      <c r="M433" s="6"/>
      <c r="N433" s="6"/>
      <c r="O433" s="6"/>
      <c r="P433" s="6"/>
      <c r="Q433" s="6"/>
      <c r="R433" s="6"/>
      <c r="S433" s="6"/>
      <c r="T433" s="6"/>
      <c r="U433" s="6"/>
      <c r="V433" s="6"/>
      <c r="W433" s="6"/>
      <c r="X433" s="6"/>
      <c r="Y433" s="6"/>
      <c r="Z433" s="6"/>
    </row>
    <row r="434" spans="1:26" ht="18" customHeight="1" x14ac:dyDescent="0.3">
      <c r="A434" s="152"/>
      <c r="B434" s="128"/>
      <c r="C434" s="152"/>
      <c r="D434" s="154"/>
      <c r="E434" s="154"/>
      <c r="F434" s="152"/>
      <c r="G434" s="128"/>
      <c r="H434" s="128"/>
      <c r="I434" s="144" t="str">
        <f>IF(H434="","",IFERROR(INDEX('12 P6 activities'!$B$7:$B$206,MATCH(H434,'12 P6 activities'!$A$7:$A$206,0)),"⚠ not in P6 list"))</f>
        <v/>
      </c>
      <c r="J434" s="144" t="str">
        <f>IF(H434="","",IFERROR(INDEX('12 P6 activities'!$C$7:$C$206,MATCH(H434,'12 P6 activities'!$A$7:$A$206,0)),"⚠ not in P6 list"))</f>
        <v/>
      </c>
      <c r="K434" s="128"/>
      <c r="L434" s="6"/>
      <c r="M434" s="6"/>
      <c r="N434" s="6"/>
      <c r="O434" s="6"/>
      <c r="P434" s="6"/>
      <c r="Q434" s="6"/>
      <c r="R434" s="6"/>
      <c r="S434" s="6"/>
      <c r="T434" s="6"/>
      <c r="U434" s="6"/>
      <c r="V434" s="6"/>
      <c r="W434" s="6"/>
      <c r="X434" s="6"/>
      <c r="Y434" s="6"/>
      <c r="Z434" s="6"/>
    </row>
    <row r="435" spans="1:26" ht="18" customHeight="1" x14ac:dyDescent="0.3">
      <c r="A435" s="152"/>
      <c r="B435" s="128"/>
      <c r="C435" s="152"/>
      <c r="D435" s="154"/>
      <c r="E435" s="154"/>
      <c r="F435" s="152"/>
      <c r="G435" s="128"/>
      <c r="H435" s="128"/>
      <c r="I435" s="144" t="str">
        <f>IF(H435="","",IFERROR(INDEX('12 P6 activities'!$B$7:$B$206,MATCH(H435,'12 P6 activities'!$A$7:$A$206,0)),"⚠ not in P6 list"))</f>
        <v/>
      </c>
      <c r="J435" s="144" t="str">
        <f>IF(H435="","",IFERROR(INDEX('12 P6 activities'!$C$7:$C$206,MATCH(H435,'12 P6 activities'!$A$7:$A$206,0)),"⚠ not in P6 list"))</f>
        <v/>
      </c>
      <c r="K435" s="128"/>
      <c r="L435" s="6"/>
      <c r="M435" s="6"/>
      <c r="N435" s="6"/>
      <c r="O435" s="6"/>
      <c r="P435" s="6"/>
      <c r="Q435" s="6"/>
      <c r="R435" s="6"/>
      <c r="S435" s="6"/>
      <c r="T435" s="6"/>
      <c r="U435" s="6"/>
      <c r="V435" s="6"/>
      <c r="W435" s="6"/>
      <c r="X435" s="6"/>
      <c r="Y435" s="6"/>
      <c r="Z435" s="6"/>
    </row>
    <row r="436" spans="1:26" ht="18" customHeight="1" x14ac:dyDescent="0.3">
      <c r="A436" s="152"/>
      <c r="B436" s="128"/>
      <c r="C436" s="152"/>
      <c r="D436" s="154"/>
      <c r="E436" s="154"/>
      <c r="F436" s="152"/>
      <c r="G436" s="128"/>
      <c r="H436" s="128"/>
      <c r="I436" s="144" t="str">
        <f>IF(H436="","",IFERROR(INDEX('12 P6 activities'!$B$7:$B$206,MATCH(H436,'12 P6 activities'!$A$7:$A$206,0)),"⚠ not in P6 list"))</f>
        <v/>
      </c>
      <c r="J436" s="144" t="str">
        <f>IF(H436="","",IFERROR(INDEX('12 P6 activities'!$C$7:$C$206,MATCH(H436,'12 P6 activities'!$A$7:$A$206,0)),"⚠ not in P6 list"))</f>
        <v/>
      </c>
      <c r="K436" s="128"/>
      <c r="L436" s="6"/>
      <c r="M436" s="6"/>
      <c r="N436" s="6"/>
      <c r="O436" s="6"/>
      <c r="P436" s="6"/>
      <c r="Q436" s="6"/>
      <c r="R436" s="6"/>
      <c r="S436" s="6"/>
      <c r="T436" s="6"/>
      <c r="U436" s="6"/>
      <c r="V436" s="6"/>
      <c r="W436" s="6"/>
      <c r="X436" s="6"/>
      <c r="Y436" s="6"/>
      <c r="Z436" s="6"/>
    </row>
    <row r="437" spans="1:26" ht="18" customHeight="1" x14ac:dyDescent="0.3">
      <c r="A437" s="152"/>
      <c r="B437" s="128"/>
      <c r="C437" s="152"/>
      <c r="D437" s="154"/>
      <c r="E437" s="154"/>
      <c r="F437" s="152"/>
      <c r="G437" s="128"/>
      <c r="H437" s="128"/>
      <c r="I437" s="144" t="str">
        <f>IF(H437="","",IFERROR(INDEX('12 P6 activities'!$B$7:$B$206,MATCH(H437,'12 P6 activities'!$A$7:$A$206,0)),"⚠ not in P6 list"))</f>
        <v/>
      </c>
      <c r="J437" s="144" t="str">
        <f>IF(H437="","",IFERROR(INDEX('12 P6 activities'!$C$7:$C$206,MATCH(H437,'12 P6 activities'!$A$7:$A$206,0)),"⚠ not in P6 list"))</f>
        <v/>
      </c>
      <c r="K437" s="128"/>
      <c r="L437" s="6"/>
      <c r="M437" s="6"/>
      <c r="N437" s="6"/>
      <c r="O437" s="6"/>
      <c r="P437" s="6"/>
      <c r="Q437" s="6"/>
      <c r="R437" s="6"/>
      <c r="S437" s="6"/>
      <c r="T437" s="6"/>
      <c r="U437" s="6"/>
      <c r="V437" s="6"/>
      <c r="W437" s="6"/>
      <c r="X437" s="6"/>
      <c r="Y437" s="6"/>
      <c r="Z437" s="6"/>
    </row>
    <row r="438" spans="1:26" ht="18" customHeight="1" x14ac:dyDescent="0.3">
      <c r="A438" s="152"/>
      <c r="B438" s="128"/>
      <c r="C438" s="152"/>
      <c r="D438" s="154"/>
      <c r="E438" s="154"/>
      <c r="F438" s="152"/>
      <c r="G438" s="128"/>
      <c r="H438" s="128"/>
      <c r="I438" s="144" t="str">
        <f>IF(H438="","",IFERROR(INDEX('12 P6 activities'!$B$7:$B$206,MATCH(H438,'12 P6 activities'!$A$7:$A$206,0)),"⚠ not in P6 list"))</f>
        <v/>
      </c>
      <c r="J438" s="144" t="str">
        <f>IF(H438="","",IFERROR(INDEX('12 P6 activities'!$C$7:$C$206,MATCH(H438,'12 P6 activities'!$A$7:$A$206,0)),"⚠ not in P6 list"))</f>
        <v/>
      </c>
      <c r="K438" s="128"/>
      <c r="L438" s="6"/>
      <c r="M438" s="6"/>
      <c r="N438" s="6"/>
      <c r="O438" s="6"/>
      <c r="P438" s="6"/>
      <c r="Q438" s="6"/>
      <c r="R438" s="6"/>
      <c r="S438" s="6"/>
      <c r="T438" s="6"/>
      <c r="U438" s="6"/>
      <c r="V438" s="6"/>
      <c r="W438" s="6"/>
      <c r="X438" s="6"/>
      <c r="Y438" s="6"/>
      <c r="Z438" s="6"/>
    </row>
    <row r="439" spans="1:26" ht="18" customHeight="1" x14ac:dyDescent="0.3">
      <c r="A439" s="152"/>
      <c r="B439" s="128"/>
      <c r="C439" s="152"/>
      <c r="D439" s="154"/>
      <c r="E439" s="154"/>
      <c r="F439" s="152"/>
      <c r="G439" s="128"/>
      <c r="H439" s="128"/>
      <c r="I439" s="144" t="str">
        <f>IF(H439="","",IFERROR(INDEX('12 P6 activities'!$B$7:$B$206,MATCH(H439,'12 P6 activities'!$A$7:$A$206,0)),"⚠ not in P6 list"))</f>
        <v/>
      </c>
      <c r="J439" s="144" t="str">
        <f>IF(H439="","",IFERROR(INDEX('12 P6 activities'!$C$7:$C$206,MATCH(H439,'12 P6 activities'!$A$7:$A$206,0)),"⚠ not in P6 list"))</f>
        <v/>
      </c>
      <c r="K439" s="128"/>
      <c r="L439" s="6"/>
      <c r="M439" s="6"/>
      <c r="N439" s="6"/>
      <c r="O439" s="6"/>
      <c r="P439" s="6"/>
      <c r="Q439" s="6"/>
      <c r="R439" s="6"/>
      <c r="S439" s="6"/>
      <c r="T439" s="6"/>
      <c r="U439" s="6"/>
      <c r="V439" s="6"/>
      <c r="W439" s="6"/>
      <c r="X439" s="6"/>
      <c r="Y439" s="6"/>
      <c r="Z439" s="6"/>
    </row>
    <row r="440" spans="1:26" ht="18" customHeight="1" x14ac:dyDescent="0.3">
      <c r="A440" s="152"/>
      <c r="B440" s="128"/>
      <c r="C440" s="152"/>
      <c r="D440" s="154"/>
      <c r="E440" s="154"/>
      <c r="F440" s="152"/>
      <c r="G440" s="128"/>
      <c r="H440" s="128"/>
      <c r="I440" s="144" t="str">
        <f>IF(H440="","",IFERROR(INDEX('12 P6 activities'!$B$7:$B$206,MATCH(H440,'12 P6 activities'!$A$7:$A$206,0)),"⚠ not in P6 list"))</f>
        <v/>
      </c>
      <c r="J440" s="144" t="str">
        <f>IF(H440="","",IFERROR(INDEX('12 P6 activities'!$C$7:$C$206,MATCH(H440,'12 P6 activities'!$A$7:$A$206,0)),"⚠ not in P6 list"))</f>
        <v/>
      </c>
      <c r="K440" s="128"/>
      <c r="L440" s="6"/>
      <c r="M440" s="6"/>
      <c r="N440" s="6"/>
      <c r="O440" s="6"/>
      <c r="P440" s="6"/>
      <c r="Q440" s="6"/>
      <c r="R440" s="6"/>
      <c r="S440" s="6"/>
      <c r="T440" s="6"/>
      <c r="U440" s="6"/>
      <c r="V440" s="6"/>
      <c r="W440" s="6"/>
      <c r="X440" s="6"/>
      <c r="Y440" s="6"/>
      <c r="Z440" s="6"/>
    </row>
    <row r="441" spans="1:26" ht="18" customHeight="1" x14ac:dyDescent="0.3">
      <c r="A441" s="152"/>
      <c r="B441" s="128"/>
      <c r="C441" s="152"/>
      <c r="D441" s="154"/>
      <c r="E441" s="154"/>
      <c r="F441" s="152"/>
      <c r="G441" s="128"/>
      <c r="H441" s="128"/>
      <c r="I441" s="144" t="str">
        <f>IF(H441="","",IFERROR(INDEX('12 P6 activities'!$B$7:$B$206,MATCH(H441,'12 P6 activities'!$A$7:$A$206,0)),"⚠ not in P6 list"))</f>
        <v/>
      </c>
      <c r="J441" s="144" t="str">
        <f>IF(H441="","",IFERROR(INDEX('12 P6 activities'!$C$7:$C$206,MATCH(H441,'12 P6 activities'!$A$7:$A$206,0)),"⚠ not in P6 list"))</f>
        <v/>
      </c>
      <c r="K441" s="128"/>
      <c r="L441" s="6"/>
      <c r="M441" s="6"/>
      <c r="N441" s="6"/>
      <c r="O441" s="6"/>
      <c r="P441" s="6"/>
      <c r="Q441" s="6"/>
      <c r="R441" s="6"/>
      <c r="S441" s="6"/>
      <c r="T441" s="6"/>
      <c r="U441" s="6"/>
      <c r="V441" s="6"/>
      <c r="W441" s="6"/>
      <c r="X441" s="6"/>
      <c r="Y441" s="6"/>
      <c r="Z441" s="6"/>
    </row>
    <row r="442" spans="1:26" ht="18" customHeight="1" x14ac:dyDescent="0.3">
      <c r="A442" s="152"/>
      <c r="B442" s="128"/>
      <c r="C442" s="152"/>
      <c r="D442" s="154"/>
      <c r="E442" s="154"/>
      <c r="F442" s="152"/>
      <c r="G442" s="128"/>
      <c r="H442" s="128"/>
      <c r="I442" s="144" t="str">
        <f>IF(H442="","",IFERROR(INDEX('12 P6 activities'!$B$7:$B$206,MATCH(H442,'12 P6 activities'!$A$7:$A$206,0)),"⚠ not in P6 list"))</f>
        <v/>
      </c>
      <c r="J442" s="144" t="str">
        <f>IF(H442="","",IFERROR(INDEX('12 P6 activities'!$C$7:$C$206,MATCH(H442,'12 P6 activities'!$A$7:$A$206,0)),"⚠ not in P6 list"))</f>
        <v/>
      </c>
      <c r="K442" s="128"/>
      <c r="L442" s="6"/>
      <c r="M442" s="6"/>
      <c r="N442" s="6"/>
      <c r="O442" s="6"/>
      <c r="P442" s="6"/>
      <c r="Q442" s="6"/>
      <c r="R442" s="6"/>
      <c r="S442" s="6"/>
      <c r="T442" s="6"/>
      <c r="U442" s="6"/>
      <c r="V442" s="6"/>
      <c r="W442" s="6"/>
      <c r="X442" s="6"/>
      <c r="Y442" s="6"/>
      <c r="Z442" s="6"/>
    </row>
    <row r="443" spans="1:26" ht="18" customHeight="1" x14ac:dyDescent="0.3">
      <c r="A443" s="152"/>
      <c r="B443" s="128"/>
      <c r="C443" s="152"/>
      <c r="D443" s="154"/>
      <c r="E443" s="154"/>
      <c r="F443" s="152"/>
      <c r="G443" s="128"/>
      <c r="H443" s="128"/>
      <c r="I443" s="144" t="str">
        <f>IF(H443="","",IFERROR(INDEX('12 P6 activities'!$B$7:$B$206,MATCH(H443,'12 P6 activities'!$A$7:$A$206,0)),"⚠ not in P6 list"))</f>
        <v/>
      </c>
      <c r="J443" s="144" t="str">
        <f>IF(H443="","",IFERROR(INDEX('12 P6 activities'!$C$7:$C$206,MATCH(H443,'12 P6 activities'!$A$7:$A$206,0)),"⚠ not in P6 list"))</f>
        <v/>
      </c>
      <c r="K443" s="128"/>
      <c r="L443" s="6"/>
      <c r="M443" s="6"/>
      <c r="N443" s="6"/>
      <c r="O443" s="6"/>
      <c r="P443" s="6"/>
      <c r="Q443" s="6"/>
      <c r="R443" s="6"/>
      <c r="S443" s="6"/>
      <c r="T443" s="6"/>
      <c r="U443" s="6"/>
      <c r="V443" s="6"/>
      <c r="W443" s="6"/>
      <c r="X443" s="6"/>
      <c r="Y443" s="6"/>
      <c r="Z443" s="6"/>
    </row>
    <row r="444" spans="1:26" ht="18" customHeight="1" x14ac:dyDescent="0.3">
      <c r="A444" s="152"/>
      <c r="B444" s="128"/>
      <c r="C444" s="152"/>
      <c r="D444" s="154"/>
      <c r="E444" s="154"/>
      <c r="F444" s="152"/>
      <c r="G444" s="128"/>
      <c r="H444" s="128"/>
      <c r="I444" s="144" t="str">
        <f>IF(H444="","",IFERROR(INDEX('12 P6 activities'!$B$7:$B$206,MATCH(H444,'12 P6 activities'!$A$7:$A$206,0)),"⚠ not in P6 list"))</f>
        <v/>
      </c>
      <c r="J444" s="144" t="str">
        <f>IF(H444="","",IFERROR(INDEX('12 P6 activities'!$C$7:$C$206,MATCH(H444,'12 P6 activities'!$A$7:$A$206,0)),"⚠ not in P6 list"))</f>
        <v/>
      </c>
      <c r="K444" s="128"/>
      <c r="L444" s="6"/>
      <c r="M444" s="6"/>
      <c r="N444" s="6"/>
      <c r="O444" s="6"/>
      <c r="P444" s="6"/>
      <c r="Q444" s="6"/>
      <c r="R444" s="6"/>
      <c r="S444" s="6"/>
      <c r="T444" s="6"/>
      <c r="U444" s="6"/>
      <c r="V444" s="6"/>
      <c r="W444" s="6"/>
      <c r="X444" s="6"/>
      <c r="Y444" s="6"/>
      <c r="Z444" s="6"/>
    </row>
    <row r="445" spans="1:26" ht="18" customHeight="1" x14ac:dyDescent="0.3">
      <c r="A445" s="152"/>
      <c r="B445" s="128"/>
      <c r="C445" s="152"/>
      <c r="D445" s="154"/>
      <c r="E445" s="154"/>
      <c r="F445" s="152"/>
      <c r="G445" s="128"/>
      <c r="H445" s="128"/>
      <c r="I445" s="144" t="str">
        <f>IF(H445="","",IFERROR(INDEX('12 P6 activities'!$B$7:$B$206,MATCH(H445,'12 P6 activities'!$A$7:$A$206,0)),"⚠ not in P6 list"))</f>
        <v/>
      </c>
      <c r="J445" s="144" t="str">
        <f>IF(H445="","",IFERROR(INDEX('12 P6 activities'!$C$7:$C$206,MATCH(H445,'12 P6 activities'!$A$7:$A$206,0)),"⚠ not in P6 list"))</f>
        <v/>
      </c>
      <c r="K445" s="128"/>
      <c r="L445" s="6"/>
      <c r="M445" s="6"/>
      <c r="N445" s="6"/>
      <c r="O445" s="6"/>
      <c r="P445" s="6"/>
      <c r="Q445" s="6"/>
      <c r="R445" s="6"/>
      <c r="S445" s="6"/>
      <c r="T445" s="6"/>
      <c r="U445" s="6"/>
      <c r="V445" s="6"/>
      <c r="W445" s="6"/>
      <c r="X445" s="6"/>
      <c r="Y445" s="6"/>
      <c r="Z445" s="6"/>
    </row>
    <row r="446" spans="1:26" ht="18" customHeight="1" x14ac:dyDescent="0.3">
      <c r="A446" s="152"/>
      <c r="B446" s="128"/>
      <c r="C446" s="152"/>
      <c r="D446" s="154"/>
      <c r="E446" s="154"/>
      <c r="F446" s="152"/>
      <c r="G446" s="128"/>
      <c r="H446" s="128"/>
      <c r="I446" s="144" t="str">
        <f>IF(H446="","",IFERROR(INDEX('12 P6 activities'!$B$7:$B$206,MATCH(H446,'12 P6 activities'!$A$7:$A$206,0)),"⚠ not in P6 list"))</f>
        <v/>
      </c>
      <c r="J446" s="144" t="str">
        <f>IF(H446="","",IFERROR(INDEX('12 P6 activities'!$C$7:$C$206,MATCH(H446,'12 P6 activities'!$A$7:$A$206,0)),"⚠ not in P6 list"))</f>
        <v/>
      </c>
      <c r="K446" s="128"/>
      <c r="L446" s="6"/>
      <c r="M446" s="6"/>
      <c r="N446" s="6"/>
      <c r="O446" s="6"/>
      <c r="P446" s="6"/>
      <c r="Q446" s="6"/>
      <c r="R446" s="6"/>
      <c r="S446" s="6"/>
      <c r="T446" s="6"/>
      <c r="U446" s="6"/>
      <c r="V446" s="6"/>
      <c r="W446" s="6"/>
      <c r="X446" s="6"/>
      <c r="Y446" s="6"/>
      <c r="Z446" s="6"/>
    </row>
    <row r="447" spans="1:26" ht="18" customHeight="1" x14ac:dyDescent="0.3">
      <c r="A447" s="152"/>
      <c r="B447" s="128"/>
      <c r="C447" s="152"/>
      <c r="D447" s="154"/>
      <c r="E447" s="154"/>
      <c r="F447" s="152"/>
      <c r="G447" s="128"/>
      <c r="H447" s="128"/>
      <c r="I447" s="144" t="str">
        <f>IF(H447="","",IFERROR(INDEX('12 P6 activities'!$B$7:$B$206,MATCH(H447,'12 P6 activities'!$A$7:$A$206,0)),"⚠ not in P6 list"))</f>
        <v/>
      </c>
      <c r="J447" s="144" t="str">
        <f>IF(H447="","",IFERROR(INDEX('12 P6 activities'!$C$7:$C$206,MATCH(H447,'12 P6 activities'!$A$7:$A$206,0)),"⚠ not in P6 list"))</f>
        <v/>
      </c>
      <c r="K447" s="128"/>
      <c r="L447" s="6"/>
      <c r="M447" s="6"/>
      <c r="N447" s="6"/>
      <c r="O447" s="6"/>
      <c r="P447" s="6"/>
      <c r="Q447" s="6"/>
      <c r="R447" s="6"/>
      <c r="S447" s="6"/>
      <c r="T447" s="6"/>
      <c r="U447" s="6"/>
      <c r="V447" s="6"/>
      <c r="W447" s="6"/>
      <c r="X447" s="6"/>
      <c r="Y447" s="6"/>
      <c r="Z447" s="6"/>
    </row>
    <row r="448" spans="1:26" ht="18" customHeight="1" x14ac:dyDescent="0.3">
      <c r="A448" s="152"/>
      <c r="B448" s="128"/>
      <c r="C448" s="152"/>
      <c r="D448" s="154"/>
      <c r="E448" s="154"/>
      <c r="F448" s="152"/>
      <c r="G448" s="128"/>
      <c r="H448" s="128"/>
      <c r="I448" s="144" t="str">
        <f>IF(H448="","",IFERROR(INDEX('12 P6 activities'!$B$7:$B$206,MATCH(H448,'12 P6 activities'!$A$7:$A$206,0)),"⚠ not in P6 list"))</f>
        <v/>
      </c>
      <c r="J448" s="144" t="str">
        <f>IF(H448="","",IFERROR(INDEX('12 P6 activities'!$C$7:$C$206,MATCH(H448,'12 P6 activities'!$A$7:$A$206,0)),"⚠ not in P6 list"))</f>
        <v/>
      </c>
      <c r="K448" s="128"/>
      <c r="L448" s="6"/>
      <c r="M448" s="6"/>
      <c r="N448" s="6"/>
      <c r="O448" s="6"/>
      <c r="P448" s="6"/>
      <c r="Q448" s="6"/>
      <c r="R448" s="6"/>
      <c r="S448" s="6"/>
      <c r="T448" s="6"/>
      <c r="U448" s="6"/>
      <c r="V448" s="6"/>
      <c r="W448" s="6"/>
      <c r="X448" s="6"/>
      <c r="Y448" s="6"/>
      <c r="Z448" s="6"/>
    </row>
    <row r="449" spans="1:26" ht="18" customHeight="1" x14ac:dyDescent="0.3">
      <c r="A449" s="152"/>
      <c r="B449" s="128"/>
      <c r="C449" s="152"/>
      <c r="D449" s="154"/>
      <c r="E449" s="154"/>
      <c r="F449" s="152"/>
      <c r="G449" s="128"/>
      <c r="H449" s="128"/>
      <c r="I449" s="144" t="str">
        <f>IF(H449="","",IFERROR(INDEX('12 P6 activities'!$B$7:$B$206,MATCH(H449,'12 P6 activities'!$A$7:$A$206,0)),"⚠ not in P6 list"))</f>
        <v/>
      </c>
      <c r="J449" s="144" t="str">
        <f>IF(H449="","",IFERROR(INDEX('12 P6 activities'!$C$7:$C$206,MATCH(H449,'12 P6 activities'!$A$7:$A$206,0)),"⚠ not in P6 list"))</f>
        <v/>
      </c>
      <c r="K449" s="128"/>
      <c r="L449" s="6"/>
      <c r="M449" s="6"/>
      <c r="N449" s="6"/>
      <c r="O449" s="6"/>
      <c r="P449" s="6"/>
      <c r="Q449" s="6"/>
      <c r="R449" s="6"/>
      <c r="S449" s="6"/>
      <c r="T449" s="6"/>
      <c r="U449" s="6"/>
      <c r="V449" s="6"/>
      <c r="W449" s="6"/>
      <c r="X449" s="6"/>
      <c r="Y449" s="6"/>
      <c r="Z449" s="6"/>
    </row>
    <row r="450" spans="1:26" ht="18" customHeight="1" x14ac:dyDescent="0.3">
      <c r="A450" s="152"/>
      <c r="B450" s="128"/>
      <c r="C450" s="152"/>
      <c r="D450" s="154"/>
      <c r="E450" s="154"/>
      <c r="F450" s="152"/>
      <c r="G450" s="128"/>
      <c r="H450" s="128"/>
      <c r="I450" s="144" t="str">
        <f>IF(H450="","",IFERROR(INDEX('12 P6 activities'!$B$7:$B$206,MATCH(H450,'12 P6 activities'!$A$7:$A$206,0)),"⚠ not in P6 list"))</f>
        <v/>
      </c>
      <c r="J450" s="144" t="str">
        <f>IF(H450="","",IFERROR(INDEX('12 P6 activities'!$C$7:$C$206,MATCH(H450,'12 P6 activities'!$A$7:$A$206,0)),"⚠ not in P6 list"))</f>
        <v/>
      </c>
      <c r="K450" s="128"/>
      <c r="L450" s="6"/>
      <c r="M450" s="6"/>
      <c r="N450" s="6"/>
      <c r="O450" s="6"/>
      <c r="P450" s="6"/>
      <c r="Q450" s="6"/>
      <c r="R450" s="6"/>
      <c r="S450" s="6"/>
      <c r="T450" s="6"/>
      <c r="U450" s="6"/>
      <c r="V450" s="6"/>
      <c r="W450" s="6"/>
      <c r="X450" s="6"/>
      <c r="Y450" s="6"/>
      <c r="Z450" s="6"/>
    </row>
    <row r="451" spans="1:26" ht="18" customHeight="1" x14ac:dyDescent="0.3">
      <c r="A451" s="152"/>
      <c r="B451" s="128"/>
      <c r="C451" s="152"/>
      <c r="D451" s="154"/>
      <c r="E451" s="154"/>
      <c r="F451" s="152"/>
      <c r="G451" s="128"/>
      <c r="H451" s="128"/>
      <c r="I451" s="144" t="str">
        <f>IF(H451="","",IFERROR(INDEX('12 P6 activities'!$B$7:$B$206,MATCH(H451,'12 P6 activities'!$A$7:$A$206,0)),"⚠ not in P6 list"))</f>
        <v/>
      </c>
      <c r="J451" s="144" t="str">
        <f>IF(H451="","",IFERROR(INDEX('12 P6 activities'!$C$7:$C$206,MATCH(H451,'12 P6 activities'!$A$7:$A$206,0)),"⚠ not in P6 list"))</f>
        <v/>
      </c>
      <c r="K451" s="128"/>
      <c r="L451" s="6"/>
      <c r="M451" s="6"/>
      <c r="N451" s="6"/>
      <c r="O451" s="6"/>
      <c r="P451" s="6"/>
      <c r="Q451" s="6"/>
      <c r="R451" s="6"/>
      <c r="S451" s="6"/>
      <c r="T451" s="6"/>
      <c r="U451" s="6"/>
      <c r="V451" s="6"/>
      <c r="W451" s="6"/>
      <c r="X451" s="6"/>
      <c r="Y451" s="6"/>
      <c r="Z451" s="6"/>
    </row>
    <row r="452" spans="1:26" ht="18" customHeight="1" x14ac:dyDescent="0.3">
      <c r="A452" s="152"/>
      <c r="B452" s="128"/>
      <c r="C452" s="152"/>
      <c r="D452" s="154"/>
      <c r="E452" s="154"/>
      <c r="F452" s="152"/>
      <c r="G452" s="128"/>
      <c r="H452" s="128"/>
      <c r="I452" s="144" t="str">
        <f>IF(H452="","",IFERROR(INDEX('12 P6 activities'!$B$7:$B$206,MATCH(H452,'12 P6 activities'!$A$7:$A$206,0)),"⚠ not in P6 list"))</f>
        <v/>
      </c>
      <c r="J452" s="144" t="str">
        <f>IF(H452="","",IFERROR(INDEX('12 P6 activities'!$C$7:$C$206,MATCH(H452,'12 P6 activities'!$A$7:$A$206,0)),"⚠ not in P6 list"))</f>
        <v/>
      </c>
      <c r="K452" s="128"/>
      <c r="L452" s="6"/>
      <c r="M452" s="6"/>
      <c r="N452" s="6"/>
      <c r="O452" s="6"/>
      <c r="P452" s="6"/>
      <c r="Q452" s="6"/>
      <c r="R452" s="6"/>
      <c r="S452" s="6"/>
      <c r="T452" s="6"/>
      <c r="U452" s="6"/>
      <c r="V452" s="6"/>
      <c r="W452" s="6"/>
      <c r="X452" s="6"/>
      <c r="Y452" s="6"/>
      <c r="Z452" s="6"/>
    </row>
    <row r="453" spans="1:26" ht="18" customHeight="1" x14ac:dyDescent="0.3">
      <c r="A453" s="152"/>
      <c r="B453" s="128"/>
      <c r="C453" s="152"/>
      <c r="D453" s="154"/>
      <c r="E453" s="154"/>
      <c r="F453" s="152"/>
      <c r="G453" s="128"/>
      <c r="H453" s="128"/>
      <c r="I453" s="144" t="str">
        <f>IF(H453="","",IFERROR(INDEX('12 P6 activities'!$B$7:$B$206,MATCH(H453,'12 P6 activities'!$A$7:$A$206,0)),"⚠ not in P6 list"))</f>
        <v/>
      </c>
      <c r="J453" s="144" t="str">
        <f>IF(H453="","",IFERROR(INDEX('12 P6 activities'!$C$7:$C$206,MATCH(H453,'12 P6 activities'!$A$7:$A$206,0)),"⚠ not in P6 list"))</f>
        <v/>
      </c>
      <c r="K453" s="128"/>
      <c r="L453" s="6"/>
      <c r="M453" s="6"/>
      <c r="N453" s="6"/>
      <c r="O453" s="6"/>
      <c r="P453" s="6"/>
      <c r="Q453" s="6"/>
      <c r="R453" s="6"/>
      <c r="S453" s="6"/>
      <c r="T453" s="6"/>
      <c r="U453" s="6"/>
      <c r="V453" s="6"/>
      <c r="W453" s="6"/>
      <c r="X453" s="6"/>
      <c r="Y453" s="6"/>
      <c r="Z453" s="6"/>
    </row>
    <row r="454" spans="1:26" ht="18" customHeight="1" x14ac:dyDescent="0.3">
      <c r="A454" s="152"/>
      <c r="B454" s="128"/>
      <c r="C454" s="152"/>
      <c r="D454" s="154"/>
      <c r="E454" s="154"/>
      <c r="F454" s="152"/>
      <c r="G454" s="128"/>
      <c r="H454" s="128"/>
      <c r="I454" s="144" t="str">
        <f>IF(H454="","",IFERROR(INDEX('12 P6 activities'!$B$7:$B$206,MATCH(H454,'12 P6 activities'!$A$7:$A$206,0)),"⚠ not in P6 list"))</f>
        <v/>
      </c>
      <c r="J454" s="144" t="str">
        <f>IF(H454="","",IFERROR(INDEX('12 P6 activities'!$C$7:$C$206,MATCH(H454,'12 P6 activities'!$A$7:$A$206,0)),"⚠ not in P6 list"))</f>
        <v/>
      </c>
      <c r="K454" s="128"/>
      <c r="L454" s="6"/>
      <c r="M454" s="6"/>
      <c r="N454" s="6"/>
      <c r="O454" s="6"/>
      <c r="P454" s="6"/>
      <c r="Q454" s="6"/>
      <c r="R454" s="6"/>
      <c r="S454" s="6"/>
      <c r="T454" s="6"/>
      <c r="U454" s="6"/>
      <c r="V454" s="6"/>
      <c r="W454" s="6"/>
      <c r="X454" s="6"/>
      <c r="Y454" s="6"/>
      <c r="Z454" s="6"/>
    </row>
    <row r="455" spans="1:26" ht="18" customHeight="1" x14ac:dyDescent="0.3">
      <c r="A455" s="152"/>
      <c r="B455" s="128"/>
      <c r="C455" s="152"/>
      <c r="D455" s="154"/>
      <c r="E455" s="154"/>
      <c r="F455" s="152"/>
      <c r="G455" s="128"/>
      <c r="H455" s="128"/>
      <c r="I455" s="144" t="str">
        <f>IF(H455="","",IFERROR(INDEX('12 P6 activities'!$B$7:$B$206,MATCH(H455,'12 P6 activities'!$A$7:$A$206,0)),"⚠ not in P6 list"))</f>
        <v/>
      </c>
      <c r="J455" s="144" t="str">
        <f>IF(H455="","",IFERROR(INDEX('12 P6 activities'!$C$7:$C$206,MATCH(H455,'12 P6 activities'!$A$7:$A$206,0)),"⚠ not in P6 list"))</f>
        <v/>
      </c>
      <c r="K455" s="128"/>
      <c r="L455" s="6"/>
      <c r="M455" s="6"/>
      <c r="N455" s="6"/>
      <c r="O455" s="6"/>
      <c r="P455" s="6"/>
      <c r="Q455" s="6"/>
      <c r="R455" s="6"/>
      <c r="S455" s="6"/>
      <c r="T455" s="6"/>
      <c r="U455" s="6"/>
      <c r="V455" s="6"/>
      <c r="W455" s="6"/>
      <c r="X455" s="6"/>
      <c r="Y455" s="6"/>
      <c r="Z455" s="6"/>
    </row>
    <row r="456" spans="1:26" ht="18" customHeight="1" x14ac:dyDescent="0.3">
      <c r="A456" s="152"/>
      <c r="B456" s="128"/>
      <c r="C456" s="152"/>
      <c r="D456" s="154"/>
      <c r="E456" s="154"/>
      <c r="F456" s="152"/>
      <c r="G456" s="128"/>
      <c r="H456" s="128"/>
      <c r="I456" s="144" t="str">
        <f>IF(H456="","",IFERROR(INDEX('12 P6 activities'!$B$7:$B$206,MATCH(H456,'12 P6 activities'!$A$7:$A$206,0)),"⚠ not in P6 list"))</f>
        <v/>
      </c>
      <c r="J456" s="144" t="str">
        <f>IF(H456="","",IFERROR(INDEX('12 P6 activities'!$C$7:$C$206,MATCH(H456,'12 P6 activities'!$A$7:$A$206,0)),"⚠ not in P6 list"))</f>
        <v/>
      </c>
      <c r="K456" s="128"/>
      <c r="L456" s="6"/>
      <c r="M456" s="6"/>
      <c r="N456" s="6"/>
      <c r="O456" s="6"/>
      <c r="P456" s="6"/>
      <c r="Q456" s="6"/>
      <c r="R456" s="6"/>
      <c r="S456" s="6"/>
      <c r="T456" s="6"/>
      <c r="U456" s="6"/>
      <c r="V456" s="6"/>
      <c r="W456" s="6"/>
      <c r="X456" s="6"/>
      <c r="Y456" s="6"/>
      <c r="Z456" s="6"/>
    </row>
    <row r="457" spans="1:26" ht="18" customHeight="1" x14ac:dyDescent="0.3">
      <c r="A457" s="152"/>
      <c r="B457" s="128"/>
      <c r="C457" s="152"/>
      <c r="D457" s="154"/>
      <c r="E457" s="154"/>
      <c r="F457" s="152"/>
      <c r="G457" s="128"/>
      <c r="H457" s="128"/>
      <c r="I457" s="144" t="str">
        <f>IF(H457="","",IFERROR(INDEX('12 P6 activities'!$B$7:$B$206,MATCH(H457,'12 P6 activities'!$A$7:$A$206,0)),"⚠ not in P6 list"))</f>
        <v/>
      </c>
      <c r="J457" s="144" t="str">
        <f>IF(H457="","",IFERROR(INDEX('12 P6 activities'!$C$7:$C$206,MATCH(H457,'12 P6 activities'!$A$7:$A$206,0)),"⚠ not in P6 list"))</f>
        <v/>
      </c>
      <c r="K457" s="128"/>
      <c r="L457" s="6"/>
      <c r="M457" s="6"/>
      <c r="N457" s="6"/>
      <c r="O457" s="6"/>
      <c r="P457" s="6"/>
      <c r="Q457" s="6"/>
      <c r="R457" s="6"/>
      <c r="S457" s="6"/>
      <c r="T457" s="6"/>
      <c r="U457" s="6"/>
      <c r="V457" s="6"/>
      <c r="W457" s="6"/>
      <c r="X457" s="6"/>
      <c r="Y457" s="6"/>
      <c r="Z457" s="6"/>
    </row>
    <row r="458" spans="1:26" ht="18" customHeight="1" x14ac:dyDescent="0.3">
      <c r="A458" s="152"/>
      <c r="B458" s="128"/>
      <c r="C458" s="152"/>
      <c r="D458" s="154"/>
      <c r="E458" s="154"/>
      <c r="F458" s="152"/>
      <c r="G458" s="128"/>
      <c r="H458" s="128"/>
      <c r="I458" s="144" t="str">
        <f>IF(H458="","",IFERROR(INDEX('12 P6 activities'!$B$7:$B$206,MATCH(H458,'12 P6 activities'!$A$7:$A$206,0)),"⚠ not in P6 list"))</f>
        <v/>
      </c>
      <c r="J458" s="144" t="str">
        <f>IF(H458="","",IFERROR(INDEX('12 P6 activities'!$C$7:$C$206,MATCH(H458,'12 P6 activities'!$A$7:$A$206,0)),"⚠ not in P6 list"))</f>
        <v/>
      </c>
      <c r="K458" s="128"/>
      <c r="L458" s="6"/>
      <c r="M458" s="6"/>
      <c r="N458" s="6"/>
      <c r="O458" s="6"/>
      <c r="P458" s="6"/>
      <c r="Q458" s="6"/>
      <c r="R458" s="6"/>
      <c r="S458" s="6"/>
      <c r="T458" s="6"/>
      <c r="U458" s="6"/>
      <c r="V458" s="6"/>
      <c r="W458" s="6"/>
      <c r="X458" s="6"/>
      <c r="Y458" s="6"/>
      <c r="Z458" s="6"/>
    </row>
    <row r="459" spans="1:26" ht="18" customHeight="1" x14ac:dyDescent="0.3">
      <c r="A459" s="152"/>
      <c r="B459" s="128"/>
      <c r="C459" s="152"/>
      <c r="D459" s="154"/>
      <c r="E459" s="154"/>
      <c r="F459" s="152"/>
      <c r="G459" s="128"/>
      <c r="H459" s="128"/>
      <c r="I459" s="144" t="str">
        <f>IF(H459="","",IFERROR(INDEX('12 P6 activities'!$B$7:$B$206,MATCH(H459,'12 P6 activities'!$A$7:$A$206,0)),"⚠ not in P6 list"))</f>
        <v/>
      </c>
      <c r="J459" s="144" t="str">
        <f>IF(H459="","",IFERROR(INDEX('12 P6 activities'!$C$7:$C$206,MATCH(H459,'12 P6 activities'!$A$7:$A$206,0)),"⚠ not in P6 list"))</f>
        <v/>
      </c>
      <c r="K459" s="128"/>
      <c r="L459" s="6"/>
      <c r="M459" s="6"/>
      <c r="N459" s="6"/>
      <c r="O459" s="6"/>
      <c r="P459" s="6"/>
      <c r="Q459" s="6"/>
      <c r="R459" s="6"/>
      <c r="S459" s="6"/>
      <c r="T459" s="6"/>
      <c r="U459" s="6"/>
      <c r="V459" s="6"/>
      <c r="W459" s="6"/>
      <c r="X459" s="6"/>
      <c r="Y459" s="6"/>
      <c r="Z459" s="6"/>
    </row>
    <row r="460" spans="1:26" ht="18" customHeight="1" x14ac:dyDescent="0.3">
      <c r="A460" s="152"/>
      <c r="B460" s="128"/>
      <c r="C460" s="152"/>
      <c r="D460" s="154"/>
      <c r="E460" s="154"/>
      <c r="F460" s="152"/>
      <c r="G460" s="128"/>
      <c r="H460" s="128"/>
      <c r="I460" s="144" t="str">
        <f>IF(H460="","",IFERROR(INDEX('12 P6 activities'!$B$7:$B$206,MATCH(H460,'12 P6 activities'!$A$7:$A$206,0)),"⚠ not in P6 list"))</f>
        <v/>
      </c>
      <c r="J460" s="144" t="str">
        <f>IF(H460="","",IFERROR(INDEX('12 P6 activities'!$C$7:$C$206,MATCH(H460,'12 P6 activities'!$A$7:$A$206,0)),"⚠ not in P6 list"))</f>
        <v/>
      </c>
      <c r="K460" s="128"/>
      <c r="L460" s="6"/>
      <c r="M460" s="6"/>
      <c r="N460" s="6"/>
      <c r="O460" s="6"/>
      <c r="P460" s="6"/>
      <c r="Q460" s="6"/>
      <c r="R460" s="6"/>
      <c r="S460" s="6"/>
      <c r="T460" s="6"/>
      <c r="U460" s="6"/>
      <c r="V460" s="6"/>
      <c r="W460" s="6"/>
      <c r="X460" s="6"/>
      <c r="Y460" s="6"/>
      <c r="Z460" s="6"/>
    </row>
    <row r="461" spans="1:26" ht="18" customHeight="1" x14ac:dyDescent="0.3">
      <c r="A461" s="152"/>
      <c r="B461" s="128"/>
      <c r="C461" s="152"/>
      <c r="D461" s="154"/>
      <c r="E461" s="154"/>
      <c r="F461" s="152"/>
      <c r="G461" s="128"/>
      <c r="H461" s="128"/>
      <c r="I461" s="144" t="str">
        <f>IF(H461="","",IFERROR(INDEX('12 P6 activities'!$B$7:$B$206,MATCH(H461,'12 P6 activities'!$A$7:$A$206,0)),"⚠ not in P6 list"))</f>
        <v/>
      </c>
      <c r="J461" s="144" t="str">
        <f>IF(H461="","",IFERROR(INDEX('12 P6 activities'!$C$7:$C$206,MATCH(H461,'12 P6 activities'!$A$7:$A$206,0)),"⚠ not in P6 list"))</f>
        <v/>
      </c>
      <c r="K461" s="128"/>
      <c r="L461" s="6"/>
      <c r="M461" s="6"/>
      <c r="N461" s="6"/>
      <c r="O461" s="6"/>
      <c r="P461" s="6"/>
      <c r="Q461" s="6"/>
      <c r="R461" s="6"/>
      <c r="S461" s="6"/>
      <c r="T461" s="6"/>
      <c r="U461" s="6"/>
      <c r="V461" s="6"/>
      <c r="W461" s="6"/>
      <c r="X461" s="6"/>
      <c r="Y461" s="6"/>
      <c r="Z461" s="6"/>
    </row>
    <row r="462" spans="1:26" ht="18" customHeight="1" x14ac:dyDescent="0.3">
      <c r="A462" s="152"/>
      <c r="B462" s="128"/>
      <c r="C462" s="152"/>
      <c r="D462" s="154"/>
      <c r="E462" s="154"/>
      <c r="F462" s="152"/>
      <c r="G462" s="128"/>
      <c r="H462" s="128"/>
      <c r="I462" s="144" t="str">
        <f>IF(H462="","",IFERROR(INDEX('12 P6 activities'!$B$7:$B$206,MATCH(H462,'12 P6 activities'!$A$7:$A$206,0)),"⚠ not in P6 list"))</f>
        <v/>
      </c>
      <c r="J462" s="144" t="str">
        <f>IF(H462="","",IFERROR(INDEX('12 P6 activities'!$C$7:$C$206,MATCH(H462,'12 P6 activities'!$A$7:$A$206,0)),"⚠ not in P6 list"))</f>
        <v/>
      </c>
      <c r="K462" s="128"/>
      <c r="L462" s="6"/>
      <c r="M462" s="6"/>
      <c r="N462" s="6"/>
      <c r="O462" s="6"/>
      <c r="P462" s="6"/>
      <c r="Q462" s="6"/>
      <c r="R462" s="6"/>
      <c r="S462" s="6"/>
      <c r="T462" s="6"/>
      <c r="U462" s="6"/>
      <c r="V462" s="6"/>
      <c r="W462" s="6"/>
      <c r="X462" s="6"/>
      <c r="Y462" s="6"/>
      <c r="Z462" s="6"/>
    </row>
    <row r="463" spans="1:26" ht="18" customHeight="1" x14ac:dyDescent="0.3">
      <c r="A463" s="152"/>
      <c r="B463" s="128"/>
      <c r="C463" s="152"/>
      <c r="D463" s="154"/>
      <c r="E463" s="154"/>
      <c r="F463" s="152"/>
      <c r="G463" s="128"/>
      <c r="H463" s="128"/>
      <c r="I463" s="144" t="str">
        <f>IF(H463="","",IFERROR(INDEX('12 P6 activities'!$B$7:$B$206,MATCH(H463,'12 P6 activities'!$A$7:$A$206,0)),"⚠ not in P6 list"))</f>
        <v/>
      </c>
      <c r="J463" s="144" t="str">
        <f>IF(H463="","",IFERROR(INDEX('12 P6 activities'!$C$7:$C$206,MATCH(H463,'12 P6 activities'!$A$7:$A$206,0)),"⚠ not in P6 list"))</f>
        <v/>
      </c>
      <c r="K463" s="128"/>
      <c r="L463" s="6"/>
      <c r="M463" s="6"/>
      <c r="N463" s="6"/>
      <c r="O463" s="6"/>
      <c r="P463" s="6"/>
      <c r="Q463" s="6"/>
      <c r="R463" s="6"/>
      <c r="S463" s="6"/>
      <c r="T463" s="6"/>
      <c r="U463" s="6"/>
      <c r="V463" s="6"/>
      <c r="W463" s="6"/>
      <c r="X463" s="6"/>
      <c r="Y463" s="6"/>
      <c r="Z463" s="6"/>
    </row>
    <row r="464" spans="1:26" ht="18" customHeight="1" x14ac:dyDescent="0.3">
      <c r="A464" s="152"/>
      <c r="B464" s="128"/>
      <c r="C464" s="152"/>
      <c r="D464" s="154"/>
      <c r="E464" s="154"/>
      <c r="F464" s="152"/>
      <c r="G464" s="128"/>
      <c r="H464" s="128"/>
      <c r="I464" s="144" t="str">
        <f>IF(H464="","",IFERROR(INDEX('12 P6 activities'!$B$7:$B$206,MATCH(H464,'12 P6 activities'!$A$7:$A$206,0)),"⚠ not in P6 list"))</f>
        <v/>
      </c>
      <c r="J464" s="144" t="str">
        <f>IF(H464="","",IFERROR(INDEX('12 P6 activities'!$C$7:$C$206,MATCH(H464,'12 P6 activities'!$A$7:$A$206,0)),"⚠ not in P6 list"))</f>
        <v/>
      </c>
      <c r="K464" s="128"/>
      <c r="L464" s="6"/>
      <c r="M464" s="6"/>
      <c r="N464" s="6"/>
      <c r="O464" s="6"/>
      <c r="P464" s="6"/>
      <c r="Q464" s="6"/>
      <c r="R464" s="6"/>
      <c r="S464" s="6"/>
      <c r="T464" s="6"/>
      <c r="U464" s="6"/>
      <c r="V464" s="6"/>
      <c r="W464" s="6"/>
      <c r="X464" s="6"/>
      <c r="Y464" s="6"/>
      <c r="Z464" s="6"/>
    </row>
    <row r="465" spans="1:26" ht="18" customHeight="1" x14ac:dyDescent="0.3">
      <c r="A465" s="152"/>
      <c r="B465" s="128"/>
      <c r="C465" s="152"/>
      <c r="D465" s="154"/>
      <c r="E465" s="154"/>
      <c r="F465" s="152"/>
      <c r="G465" s="128"/>
      <c r="H465" s="128"/>
      <c r="I465" s="144" t="str">
        <f>IF(H465="","",IFERROR(INDEX('12 P6 activities'!$B$7:$B$206,MATCH(H465,'12 P6 activities'!$A$7:$A$206,0)),"⚠ not in P6 list"))</f>
        <v/>
      </c>
      <c r="J465" s="144" t="str">
        <f>IF(H465="","",IFERROR(INDEX('12 P6 activities'!$C$7:$C$206,MATCH(H465,'12 P6 activities'!$A$7:$A$206,0)),"⚠ not in P6 list"))</f>
        <v/>
      </c>
      <c r="K465" s="128"/>
      <c r="L465" s="6"/>
      <c r="M465" s="6"/>
      <c r="N465" s="6"/>
      <c r="O465" s="6"/>
      <c r="P465" s="6"/>
      <c r="Q465" s="6"/>
      <c r="R465" s="6"/>
      <c r="S465" s="6"/>
      <c r="T465" s="6"/>
      <c r="U465" s="6"/>
      <c r="V465" s="6"/>
      <c r="W465" s="6"/>
      <c r="X465" s="6"/>
      <c r="Y465" s="6"/>
      <c r="Z465" s="6"/>
    </row>
    <row r="466" spans="1:26" ht="18" customHeight="1" x14ac:dyDescent="0.3">
      <c r="A466" s="152"/>
      <c r="B466" s="128"/>
      <c r="C466" s="152"/>
      <c r="D466" s="154"/>
      <c r="E466" s="154"/>
      <c r="F466" s="152"/>
      <c r="G466" s="128"/>
      <c r="H466" s="128"/>
      <c r="I466" s="144" t="str">
        <f>IF(H466="","",IFERROR(INDEX('12 P6 activities'!$B$7:$B$206,MATCH(H466,'12 P6 activities'!$A$7:$A$206,0)),"⚠ not in P6 list"))</f>
        <v/>
      </c>
      <c r="J466" s="144" t="str">
        <f>IF(H466="","",IFERROR(INDEX('12 P6 activities'!$C$7:$C$206,MATCH(H466,'12 P6 activities'!$A$7:$A$206,0)),"⚠ not in P6 list"))</f>
        <v/>
      </c>
      <c r="K466" s="128"/>
      <c r="L466" s="6"/>
      <c r="M466" s="6"/>
      <c r="N466" s="6"/>
      <c r="O466" s="6"/>
      <c r="P466" s="6"/>
      <c r="Q466" s="6"/>
      <c r="R466" s="6"/>
      <c r="S466" s="6"/>
      <c r="T466" s="6"/>
      <c r="U466" s="6"/>
      <c r="V466" s="6"/>
      <c r="W466" s="6"/>
      <c r="X466" s="6"/>
      <c r="Y466" s="6"/>
      <c r="Z466" s="6"/>
    </row>
    <row r="467" spans="1:26" ht="18" customHeight="1" x14ac:dyDescent="0.3">
      <c r="A467" s="152"/>
      <c r="B467" s="128"/>
      <c r="C467" s="152"/>
      <c r="D467" s="154"/>
      <c r="E467" s="154"/>
      <c r="F467" s="152"/>
      <c r="G467" s="128"/>
      <c r="H467" s="128"/>
      <c r="I467" s="144" t="str">
        <f>IF(H467="","",IFERROR(INDEX('12 P6 activities'!$B$7:$B$206,MATCH(H467,'12 P6 activities'!$A$7:$A$206,0)),"⚠ not in P6 list"))</f>
        <v/>
      </c>
      <c r="J467" s="144" t="str">
        <f>IF(H467="","",IFERROR(INDEX('12 P6 activities'!$C$7:$C$206,MATCH(H467,'12 P6 activities'!$A$7:$A$206,0)),"⚠ not in P6 list"))</f>
        <v/>
      </c>
      <c r="K467" s="128"/>
      <c r="L467" s="6"/>
      <c r="M467" s="6"/>
      <c r="N467" s="6"/>
      <c r="O467" s="6"/>
      <c r="P467" s="6"/>
      <c r="Q467" s="6"/>
      <c r="R467" s="6"/>
      <c r="S467" s="6"/>
      <c r="T467" s="6"/>
      <c r="U467" s="6"/>
      <c r="V467" s="6"/>
      <c r="W467" s="6"/>
      <c r="X467" s="6"/>
      <c r="Y467" s="6"/>
      <c r="Z467" s="6"/>
    </row>
    <row r="468" spans="1:26" ht="18" customHeight="1" x14ac:dyDescent="0.3">
      <c r="A468" s="152"/>
      <c r="B468" s="128"/>
      <c r="C468" s="152"/>
      <c r="D468" s="154"/>
      <c r="E468" s="154"/>
      <c r="F468" s="152"/>
      <c r="G468" s="128"/>
      <c r="H468" s="128"/>
      <c r="I468" s="144" t="str">
        <f>IF(H468="","",IFERROR(INDEX('12 P6 activities'!$B$7:$B$206,MATCH(H468,'12 P6 activities'!$A$7:$A$206,0)),"⚠ not in P6 list"))</f>
        <v/>
      </c>
      <c r="J468" s="144" t="str">
        <f>IF(H468="","",IFERROR(INDEX('12 P6 activities'!$C$7:$C$206,MATCH(H468,'12 P6 activities'!$A$7:$A$206,0)),"⚠ not in P6 list"))</f>
        <v/>
      </c>
      <c r="K468" s="128"/>
      <c r="L468" s="6"/>
      <c r="M468" s="6"/>
      <c r="N468" s="6"/>
      <c r="O468" s="6"/>
      <c r="P468" s="6"/>
      <c r="Q468" s="6"/>
      <c r="R468" s="6"/>
      <c r="S468" s="6"/>
      <c r="T468" s="6"/>
      <c r="U468" s="6"/>
      <c r="V468" s="6"/>
      <c r="W468" s="6"/>
      <c r="X468" s="6"/>
      <c r="Y468" s="6"/>
      <c r="Z468" s="6"/>
    </row>
    <row r="469" spans="1:26" ht="18" customHeight="1" x14ac:dyDescent="0.3">
      <c r="A469" s="152"/>
      <c r="B469" s="128"/>
      <c r="C469" s="152"/>
      <c r="D469" s="154"/>
      <c r="E469" s="154"/>
      <c r="F469" s="152"/>
      <c r="G469" s="128"/>
      <c r="H469" s="128"/>
      <c r="I469" s="144" t="str">
        <f>IF(H469="","",IFERROR(INDEX('12 P6 activities'!$B$7:$B$206,MATCH(H469,'12 P6 activities'!$A$7:$A$206,0)),"⚠ not in P6 list"))</f>
        <v/>
      </c>
      <c r="J469" s="144" t="str">
        <f>IF(H469="","",IFERROR(INDEX('12 P6 activities'!$C$7:$C$206,MATCH(H469,'12 P6 activities'!$A$7:$A$206,0)),"⚠ not in P6 list"))</f>
        <v/>
      </c>
      <c r="K469" s="128"/>
      <c r="L469" s="6"/>
      <c r="M469" s="6"/>
      <c r="N469" s="6"/>
      <c r="O469" s="6"/>
      <c r="P469" s="6"/>
      <c r="Q469" s="6"/>
      <c r="R469" s="6"/>
      <c r="S469" s="6"/>
      <c r="T469" s="6"/>
      <c r="U469" s="6"/>
      <c r="V469" s="6"/>
      <c r="W469" s="6"/>
      <c r="X469" s="6"/>
      <c r="Y469" s="6"/>
      <c r="Z469" s="6"/>
    </row>
    <row r="470" spans="1:26" ht="18" customHeight="1" x14ac:dyDescent="0.3">
      <c r="A470" s="152"/>
      <c r="B470" s="128"/>
      <c r="C470" s="152"/>
      <c r="D470" s="154"/>
      <c r="E470" s="154"/>
      <c r="F470" s="152"/>
      <c r="G470" s="128"/>
      <c r="H470" s="128"/>
      <c r="I470" s="144" t="str">
        <f>IF(H470="","",IFERROR(INDEX('12 P6 activities'!$B$7:$B$206,MATCH(H470,'12 P6 activities'!$A$7:$A$206,0)),"⚠ not in P6 list"))</f>
        <v/>
      </c>
      <c r="J470" s="144" t="str">
        <f>IF(H470="","",IFERROR(INDEX('12 P6 activities'!$C$7:$C$206,MATCH(H470,'12 P6 activities'!$A$7:$A$206,0)),"⚠ not in P6 list"))</f>
        <v/>
      </c>
      <c r="K470" s="128"/>
      <c r="L470" s="6"/>
      <c r="M470" s="6"/>
      <c r="N470" s="6"/>
      <c r="O470" s="6"/>
      <c r="P470" s="6"/>
      <c r="Q470" s="6"/>
      <c r="R470" s="6"/>
      <c r="S470" s="6"/>
      <c r="T470" s="6"/>
      <c r="U470" s="6"/>
      <c r="V470" s="6"/>
      <c r="W470" s="6"/>
      <c r="X470" s="6"/>
      <c r="Y470" s="6"/>
      <c r="Z470" s="6"/>
    </row>
    <row r="471" spans="1:26" ht="18" customHeight="1" x14ac:dyDescent="0.3">
      <c r="A471" s="152"/>
      <c r="B471" s="128"/>
      <c r="C471" s="152"/>
      <c r="D471" s="154"/>
      <c r="E471" s="154"/>
      <c r="F471" s="152"/>
      <c r="G471" s="128"/>
      <c r="H471" s="128"/>
      <c r="I471" s="144" t="str">
        <f>IF(H471="","",IFERROR(INDEX('12 P6 activities'!$B$7:$B$206,MATCH(H471,'12 P6 activities'!$A$7:$A$206,0)),"⚠ not in P6 list"))</f>
        <v/>
      </c>
      <c r="J471" s="144" t="str">
        <f>IF(H471="","",IFERROR(INDEX('12 P6 activities'!$C$7:$C$206,MATCH(H471,'12 P6 activities'!$A$7:$A$206,0)),"⚠ not in P6 list"))</f>
        <v/>
      </c>
      <c r="K471" s="128"/>
      <c r="L471" s="6"/>
      <c r="M471" s="6"/>
      <c r="N471" s="6"/>
      <c r="O471" s="6"/>
      <c r="P471" s="6"/>
      <c r="Q471" s="6"/>
      <c r="R471" s="6"/>
      <c r="S471" s="6"/>
      <c r="T471" s="6"/>
      <c r="U471" s="6"/>
      <c r="V471" s="6"/>
      <c r="W471" s="6"/>
      <c r="X471" s="6"/>
      <c r="Y471" s="6"/>
      <c r="Z471" s="6"/>
    </row>
    <row r="472" spans="1:26" ht="18" customHeight="1" x14ac:dyDescent="0.3">
      <c r="A472" s="152"/>
      <c r="B472" s="128"/>
      <c r="C472" s="152"/>
      <c r="D472" s="154"/>
      <c r="E472" s="154"/>
      <c r="F472" s="152"/>
      <c r="G472" s="128"/>
      <c r="H472" s="128"/>
      <c r="I472" s="144" t="str">
        <f>IF(H472="","",IFERROR(INDEX('12 P6 activities'!$B$7:$B$206,MATCH(H472,'12 P6 activities'!$A$7:$A$206,0)),"⚠ not in P6 list"))</f>
        <v/>
      </c>
      <c r="J472" s="144" t="str">
        <f>IF(H472="","",IFERROR(INDEX('12 P6 activities'!$C$7:$C$206,MATCH(H472,'12 P6 activities'!$A$7:$A$206,0)),"⚠ not in P6 list"))</f>
        <v/>
      </c>
      <c r="K472" s="128"/>
      <c r="L472" s="6"/>
      <c r="M472" s="6"/>
      <c r="N472" s="6"/>
      <c r="O472" s="6"/>
      <c r="P472" s="6"/>
      <c r="Q472" s="6"/>
      <c r="R472" s="6"/>
      <c r="S472" s="6"/>
      <c r="T472" s="6"/>
      <c r="U472" s="6"/>
      <c r="V472" s="6"/>
      <c r="W472" s="6"/>
      <c r="X472" s="6"/>
      <c r="Y472" s="6"/>
      <c r="Z472" s="6"/>
    </row>
    <row r="473" spans="1:26" ht="18" customHeight="1" x14ac:dyDescent="0.3">
      <c r="A473" s="152"/>
      <c r="B473" s="128"/>
      <c r="C473" s="152"/>
      <c r="D473" s="154"/>
      <c r="E473" s="154"/>
      <c r="F473" s="152"/>
      <c r="G473" s="128"/>
      <c r="H473" s="128"/>
      <c r="I473" s="144" t="str">
        <f>IF(H473="","",IFERROR(INDEX('12 P6 activities'!$B$7:$B$206,MATCH(H473,'12 P6 activities'!$A$7:$A$206,0)),"⚠ not in P6 list"))</f>
        <v/>
      </c>
      <c r="J473" s="144" t="str">
        <f>IF(H473="","",IFERROR(INDEX('12 P6 activities'!$C$7:$C$206,MATCH(H473,'12 P6 activities'!$A$7:$A$206,0)),"⚠ not in P6 list"))</f>
        <v/>
      </c>
      <c r="K473" s="128"/>
      <c r="L473" s="6"/>
      <c r="M473" s="6"/>
      <c r="N473" s="6"/>
      <c r="O473" s="6"/>
      <c r="P473" s="6"/>
      <c r="Q473" s="6"/>
      <c r="R473" s="6"/>
      <c r="S473" s="6"/>
      <c r="T473" s="6"/>
      <c r="U473" s="6"/>
      <c r="V473" s="6"/>
      <c r="W473" s="6"/>
      <c r="X473" s="6"/>
      <c r="Y473" s="6"/>
      <c r="Z473" s="6"/>
    </row>
    <row r="474" spans="1:26" ht="18" customHeight="1" x14ac:dyDescent="0.3">
      <c r="A474" s="152"/>
      <c r="B474" s="128"/>
      <c r="C474" s="152"/>
      <c r="D474" s="154"/>
      <c r="E474" s="154"/>
      <c r="F474" s="152"/>
      <c r="G474" s="128"/>
      <c r="H474" s="128"/>
      <c r="I474" s="144" t="str">
        <f>IF(H474="","",IFERROR(INDEX('12 P6 activities'!$B$7:$B$206,MATCH(H474,'12 P6 activities'!$A$7:$A$206,0)),"⚠ not in P6 list"))</f>
        <v/>
      </c>
      <c r="J474" s="144" t="str">
        <f>IF(H474="","",IFERROR(INDEX('12 P6 activities'!$C$7:$C$206,MATCH(H474,'12 P6 activities'!$A$7:$A$206,0)),"⚠ not in P6 list"))</f>
        <v/>
      </c>
      <c r="K474" s="128"/>
      <c r="L474" s="6"/>
      <c r="M474" s="6"/>
      <c r="N474" s="6"/>
      <c r="O474" s="6"/>
      <c r="P474" s="6"/>
      <c r="Q474" s="6"/>
      <c r="R474" s="6"/>
      <c r="S474" s="6"/>
      <c r="T474" s="6"/>
      <c r="U474" s="6"/>
      <c r="V474" s="6"/>
      <c r="W474" s="6"/>
      <c r="X474" s="6"/>
      <c r="Y474" s="6"/>
      <c r="Z474" s="6"/>
    </row>
    <row r="475" spans="1:26" ht="18" customHeight="1" x14ac:dyDescent="0.3">
      <c r="A475" s="152"/>
      <c r="B475" s="128"/>
      <c r="C475" s="152"/>
      <c r="D475" s="154"/>
      <c r="E475" s="154"/>
      <c r="F475" s="152"/>
      <c r="G475" s="128"/>
      <c r="H475" s="128"/>
      <c r="I475" s="144" t="str">
        <f>IF(H475="","",IFERROR(INDEX('12 P6 activities'!$B$7:$B$206,MATCH(H475,'12 P6 activities'!$A$7:$A$206,0)),"⚠ not in P6 list"))</f>
        <v/>
      </c>
      <c r="J475" s="144" t="str">
        <f>IF(H475="","",IFERROR(INDEX('12 P6 activities'!$C$7:$C$206,MATCH(H475,'12 P6 activities'!$A$7:$A$206,0)),"⚠ not in P6 list"))</f>
        <v/>
      </c>
      <c r="K475" s="128"/>
      <c r="L475" s="6"/>
      <c r="M475" s="6"/>
      <c r="N475" s="6"/>
      <c r="O475" s="6"/>
      <c r="P475" s="6"/>
      <c r="Q475" s="6"/>
      <c r="R475" s="6"/>
      <c r="S475" s="6"/>
      <c r="T475" s="6"/>
      <c r="U475" s="6"/>
      <c r="V475" s="6"/>
      <c r="W475" s="6"/>
      <c r="X475" s="6"/>
      <c r="Y475" s="6"/>
      <c r="Z475" s="6"/>
    </row>
    <row r="476" spans="1:26" ht="18" customHeight="1" x14ac:dyDescent="0.3">
      <c r="A476" s="152"/>
      <c r="B476" s="128"/>
      <c r="C476" s="152"/>
      <c r="D476" s="154"/>
      <c r="E476" s="154"/>
      <c r="F476" s="152"/>
      <c r="G476" s="128"/>
      <c r="H476" s="128"/>
      <c r="I476" s="144" t="str">
        <f>IF(H476="","",IFERROR(INDEX('12 P6 activities'!$B$7:$B$206,MATCH(H476,'12 P6 activities'!$A$7:$A$206,0)),"⚠ not in P6 list"))</f>
        <v/>
      </c>
      <c r="J476" s="144" t="str">
        <f>IF(H476="","",IFERROR(INDEX('12 P6 activities'!$C$7:$C$206,MATCH(H476,'12 P6 activities'!$A$7:$A$206,0)),"⚠ not in P6 list"))</f>
        <v/>
      </c>
      <c r="K476" s="128"/>
      <c r="L476" s="6"/>
      <c r="M476" s="6"/>
      <c r="N476" s="6"/>
      <c r="O476" s="6"/>
      <c r="P476" s="6"/>
      <c r="Q476" s="6"/>
      <c r="R476" s="6"/>
      <c r="S476" s="6"/>
      <c r="T476" s="6"/>
      <c r="U476" s="6"/>
      <c r="V476" s="6"/>
      <c r="W476" s="6"/>
      <c r="X476" s="6"/>
      <c r="Y476" s="6"/>
      <c r="Z476" s="6"/>
    </row>
    <row r="477" spans="1:26" ht="18" customHeight="1" x14ac:dyDescent="0.3">
      <c r="A477" s="152"/>
      <c r="B477" s="128"/>
      <c r="C477" s="152"/>
      <c r="D477" s="154"/>
      <c r="E477" s="154"/>
      <c r="F477" s="152"/>
      <c r="G477" s="128"/>
      <c r="H477" s="128"/>
      <c r="I477" s="144" t="str">
        <f>IF(H477="","",IFERROR(INDEX('12 P6 activities'!$B$7:$B$206,MATCH(H477,'12 P6 activities'!$A$7:$A$206,0)),"⚠ not in P6 list"))</f>
        <v/>
      </c>
      <c r="J477" s="144" t="str">
        <f>IF(H477="","",IFERROR(INDEX('12 P6 activities'!$C$7:$C$206,MATCH(H477,'12 P6 activities'!$A$7:$A$206,0)),"⚠ not in P6 list"))</f>
        <v/>
      </c>
      <c r="K477" s="128"/>
      <c r="L477" s="6"/>
      <c r="M477" s="6"/>
      <c r="N477" s="6"/>
      <c r="O477" s="6"/>
      <c r="P477" s="6"/>
      <c r="Q477" s="6"/>
      <c r="R477" s="6"/>
      <c r="S477" s="6"/>
      <c r="T477" s="6"/>
      <c r="U477" s="6"/>
      <c r="V477" s="6"/>
      <c r="W477" s="6"/>
      <c r="X477" s="6"/>
      <c r="Y477" s="6"/>
      <c r="Z477" s="6"/>
    </row>
    <row r="478" spans="1:26" ht="18" customHeight="1" x14ac:dyDescent="0.3">
      <c r="A478" s="152"/>
      <c r="B478" s="128"/>
      <c r="C478" s="152"/>
      <c r="D478" s="154"/>
      <c r="E478" s="154"/>
      <c r="F478" s="152"/>
      <c r="G478" s="128"/>
      <c r="H478" s="128"/>
      <c r="I478" s="144" t="str">
        <f>IF(H478="","",IFERROR(INDEX('12 P6 activities'!$B$7:$B$206,MATCH(H478,'12 P6 activities'!$A$7:$A$206,0)),"⚠ not in P6 list"))</f>
        <v/>
      </c>
      <c r="J478" s="144" t="str">
        <f>IF(H478="","",IFERROR(INDEX('12 P6 activities'!$C$7:$C$206,MATCH(H478,'12 P6 activities'!$A$7:$A$206,0)),"⚠ not in P6 list"))</f>
        <v/>
      </c>
      <c r="K478" s="128"/>
      <c r="L478" s="6"/>
      <c r="M478" s="6"/>
      <c r="N478" s="6"/>
      <c r="O478" s="6"/>
      <c r="P478" s="6"/>
      <c r="Q478" s="6"/>
      <c r="R478" s="6"/>
      <c r="S478" s="6"/>
      <c r="T478" s="6"/>
      <c r="U478" s="6"/>
      <c r="V478" s="6"/>
      <c r="W478" s="6"/>
      <c r="X478" s="6"/>
      <c r="Y478" s="6"/>
      <c r="Z478" s="6"/>
    </row>
    <row r="479" spans="1:26" ht="18" customHeight="1" x14ac:dyDescent="0.3">
      <c r="A479" s="152"/>
      <c r="B479" s="128"/>
      <c r="C479" s="152"/>
      <c r="D479" s="154"/>
      <c r="E479" s="154"/>
      <c r="F479" s="152"/>
      <c r="G479" s="128"/>
      <c r="H479" s="128"/>
      <c r="I479" s="144" t="str">
        <f>IF(H479="","",IFERROR(INDEX('12 P6 activities'!$B$7:$B$206,MATCH(H479,'12 P6 activities'!$A$7:$A$206,0)),"⚠ not in P6 list"))</f>
        <v/>
      </c>
      <c r="J479" s="144" t="str">
        <f>IF(H479="","",IFERROR(INDEX('12 P6 activities'!$C$7:$C$206,MATCH(H479,'12 P6 activities'!$A$7:$A$206,0)),"⚠ not in P6 list"))</f>
        <v/>
      </c>
      <c r="K479" s="128"/>
      <c r="L479" s="6"/>
      <c r="M479" s="6"/>
      <c r="N479" s="6"/>
      <c r="O479" s="6"/>
      <c r="P479" s="6"/>
      <c r="Q479" s="6"/>
      <c r="R479" s="6"/>
      <c r="S479" s="6"/>
      <c r="T479" s="6"/>
      <c r="U479" s="6"/>
      <c r="V479" s="6"/>
      <c r="W479" s="6"/>
      <c r="X479" s="6"/>
      <c r="Y479" s="6"/>
      <c r="Z479" s="6"/>
    </row>
    <row r="480" spans="1:26" ht="18" customHeight="1" x14ac:dyDescent="0.3">
      <c r="A480" s="152"/>
      <c r="B480" s="128"/>
      <c r="C480" s="152"/>
      <c r="D480" s="154"/>
      <c r="E480" s="154"/>
      <c r="F480" s="152"/>
      <c r="G480" s="128"/>
      <c r="H480" s="128"/>
      <c r="I480" s="144" t="str">
        <f>IF(H480="","",IFERROR(INDEX('12 P6 activities'!$B$7:$B$206,MATCH(H480,'12 P6 activities'!$A$7:$A$206,0)),"⚠ not in P6 list"))</f>
        <v/>
      </c>
      <c r="J480" s="144" t="str">
        <f>IF(H480="","",IFERROR(INDEX('12 P6 activities'!$C$7:$C$206,MATCH(H480,'12 P6 activities'!$A$7:$A$206,0)),"⚠ not in P6 list"))</f>
        <v/>
      </c>
      <c r="K480" s="128"/>
      <c r="L480" s="6"/>
      <c r="M480" s="6"/>
      <c r="N480" s="6"/>
      <c r="O480" s="6"/>
      <c r="P480" s="6"/>
      <c r="Q480" s="6"/>
      <c r="R480" s="6"/>
      <c r="S480" s="6"/>
      <c r="T480" s="6"/>
      <c r="U480" s="6"/>
      <c r="V480" s="6"/>
      <c r="W480" s="6"/>
      <c r="X480" s="6"/>
      <c r="Y480" s="6"/>
      <c r="Z480" s="6"/>
    </row>
    <row r="481" spans="1:26" ht="18" customHeight="1" x14ac:dyDescent="0.3">
      <c r="A481" s="152"/>
      <c r="B481" s="128"/>
      <c r="C481" s="152"/>
      <c r="D481" s="154"/>
      <c r="E481" s="154"/>
      <c r="F481" s="152"/>
      <c r="G481" s="128"/>
      <c r="H481" s="128"/>
      <c r="I481" s="144" t="str">
        <f>IF(H481="","",IFERROR(INDEX('12 P6 activities'!$B$7:$B$206,MATCH(H481,'12 P6 activities'!$A$7:$A$206,0)),"⚠ not in P6 list"))</f>
        <v/>
      </c>
      <c r="J481" s="144" t="str">
        <f>IF(H481="","",IFERROR(INDEX('12 P6 activities'!$C$7:$C$206,MATCH(H481,'12 P6 activities'!$A$7:$A$206,0)),"⚠ not in P6 list"))</f>
        <v/>
      </c>
      <c r="K481" s="128"/>
      <c r="L481" s="6"/>
      <c r="M481" s="6"/>
      <c r="N481" s="6"/>
      <c r="O481" s="6"/>
      <c r="P481" s="6"/>
      <c r="Q481" s="6"/>
      <c r="R481" s="6"/>
      <c r="S481" s="6"/>
      <c r="T481" s="6"/>
      <c r="U481" s="6"/>
      <c r="V481" s="6"/>
      <c r="W481" s="6"/>
      <c r="X481" s="6"/>
      <c r="Y481" s="6"/>
      <c r="Z481" s="6"/>
    </row>
    <row r="482" spans="1:26" ht="18" customHeight="1" x14ac:dyDescent="0.3">
      <c r="A482" s="152"/>
      <c r="B482" s="128"/>
      <c r="C482" s="152"/>
      <c r="D482" s="154"/>
      <c r="E482" s="154"/>
      <c r="F482" s="152"/>
      <c r="G482" s="128"/>
      <c r="H482" s="128"/>
      <c r="I482" s="144" t="str">
        <f>IF(H482="","",IFERROR(INDEX('12 P6 activities'!$B$7:$B$206,MATCH(H482,'12 P6 activities'!$A$7:$A$206,0)),"⚠ not in P6 list"))</f>
        <v/>
      </c>
      <c r="J482" s="144" t="str">
        <f>IF(H482="","",IFERROR(INDEX('12 P6 activities'!$C$7:$C$206,MATCH(H482,'12 P6 activities'!$A$7:$A$206,0)),"⚠ not in P6 list"))</f>
        <v/>
      </c>
      <c r="K482" s="128"/>
      <c r="L482" s="6"/>
      <c r="M482" s="6"/>
      <c r="N482" s="6"/>
      <c r="O482" s="6"/>
      <c r="P482" s="6"/>
      <c r="Q482" s="6"/>
      <c r="R482" s="6"/>
      <c r="S482" s="6"/>
      <c r="T482" s="6"/>
      <c r="U482" s="6"/>
      <c r="V482" s="6"/>
      <c r="W482" s="6"/>
      <c r="X482" s="6"/>
      <c r="Y482" s="6"/>
      <c r="Z482" s="6"/>
    </row>
    <row r="483" spans="1:26" ht="18" customHeight="1" x14ac:dyDescent="0.3">
      <c r="A483" s="152"/>
      <c r="B483" s="128"/>
      <c r="C483" s="152"/>
      <c r="D483" s="154"/>
      <c r="E483" s="154"/>
      <c r="F483" s="152"/>
      <c r="G483" s="128"/>
      <c r="H483" s="128"/>
      <c r="I483" s="144" t="str">
        <f>IF(H483="","",IFERROR(INDEX('12 P6 activities'!$B$7:$B$206,MATCH(H483,'12 P6 activities'!$A$7:$A$206,0)),"⚠ not in P6 list"))</f>
        <v/>
      </c>
      <c r="J483" s="144" t="str">
        <f>IF(H483="","",IFERROR(INDEX('12 P6 activities'!$C$7:$C$206,MATCH(H483,'12 P6 activities'!$A$7:$A$206,0)),"⚠ not in P6 list"))</f>
        <v/>
      </c>
      <c r="K483" s="128"/>
      <c r="L483" s="6"/>
      <c r="M483" s="6"/>
      <c r="N483" s="6"/>
      <c r="O483" s="6"/>
      <c r="P483" s="6"/>
      <c r="Q483" s="6"/>
      <c r="R483" s="6"/>
      <c r="S483" s="6"/>
      <c r="T483" s="6"/>
      <c r="U483" s="6"/>
      <c r="V483" s="6"/>
      <c r="W483" s="6"/>
      <c r="X483" s="6"/>
      <c r="Y483" s="6"/>
      <c r="Z483" s="6"/>
    </row>
    <row r="484" spans="1:26" ht="18" customHeight="1" x14ac:dyDescent="0.3">
      <c r="A484" s="152"/>
      <c r="B484" s="128"/>
      <c r="C484" s="152"/>
      <c r="D484" s="154"/>
      <c r="E484" s="154"/>
      <c r="F484" s="152"/>
      <c r="G484" s="128"/>
      <c r="H484" s="128"/>
      <c r="I484" s="144" t="str">
        <f>IF(H484="","",IFERROR(INDEX('12 P6 activities'!$B$7:$B$206,MATCH(H484,'12 P6 activities'!$A$7:$A$206,0)),"⚠ not in P6 list"))</f>
        <v/>
      </c>
      <c r="J484" s="144" t="str">
        <f>IF(H484="","",IFERROR(INDEX('12 P6 activities'!$C$7:$C$206,MATCH(H484,'12 P6 activities'!$A$7:$A$206,0)),"⚠ not in P6 list"))</f>
        <v/>
      </c>
      <c r="K484" s="128"/>
      <c r="L484" s="6"/>
      <c r="M484" s="6"/>
      <c r="N484" s="6"/>
      <c r="O484" s="6"/>
      <c r="P484" s="6"/>
      <c r="Q484" s="6"/>
      <c r="R484" s="6"/>
      <c r="S484" s="6"/>
      <c r="T484" s="6"/>
      <c r="U484" s="6"/>
      <c r="V484" s="6"/>
      <c r="W484" s="6"/>
      <c r="X484" s="6"/>
      <c r="Y484" s="6"/>
      <c r="Z484" s="6"/>
    </row>
    <row r="485" spans="1:26" ht="18" customHeight="1" x14ac:dyDescent="0.3">
      <c r="A485" s="152"/>
      <c r="B485" s="128"/>
      <c r="C485" s="152"/>
      <c r="D485" s="154"/>
      <c r="E485" s="154"/>
      <c r="F485" s="152"/>
      <c r="G485" s="128"/>
      <c r="H485" s="128"/>
      <c r="I485" s="144" t="str">
        <f>IF(H485="","",IFERROR(INDEX('12 P6 activities'!$B$7:$B$206,MATCH(H485,'12 P6 activities'!$A$7:$A$206,0)),"⚠ not in P6 list"))</f>
        <v/>
      </c>
      <c r="J485" s="144" t="str">
        <f>IF(H485="","",IFERROR(INDEX('12 P6 activities'!$C$7:$C$206,MATCH(H485,'12 P6 activities'!$A$7:$A$206,0)),"⚠ not in P6 list"))</f>
        <v/>
      </c>
      <c r="K485" s="128"/>
      <c r="L485" s="6"/>
      <c r="M485" s="6"/>
      <c r="N485" s="6"/>
      <c r="O485" s="6"/>
      <c r="P485" s="6"/>
      <c r="Q485" s="6"/>
      <c r="R485" s="6"/>
      <c r="S485" s="6"/>
      <c r="T485" s="6"/>
      <c r="U485" s="6"/>
      <c r="V485" s="6"/>
      <c r="W485" s="6"/>
      <c r="X485" s="6"/>
      <c r="Y485" s="6"/>
      <c r="Z485" s="6"/>
    </row>
    <row r="486" spans="1:26" ht="18" customHeight="1" x14ac:dyDescent="0.3">
      <c r="A486" s="152"/>
      <c r="B486" s="128"/>
      <c r="C486" s="152"/>
      <c r="D486" s="154"/>
      <c r="E486" s="154"/>
      <c r="F486" s="152"/>
      <c r="G486" s="128"/>
      <c r="H486" s="128"/>
      <c r="I486" s="144" t="str">
        <f>IF(H486="","",IFERROR(INDEX('12 P6 activities'!$B$7:$B$206,MATCH(H486,'12 P6 activities'!$A$7:$A$206,0)),"⚠ not in P6 list"))</f>
        <v/>
      </c>
      <c r="J486" s="144" t="str">
        <f>IF(H486="","",IFERROR(INDEX('12 P6 activities'!$C$7:$C$206,MATCH(H486,'12 P6 activities'!$A$7:$A$206,0)),"⚠ not in P6 list"))</f>
        <v/>
      </c>
      <c r="K486" s="128"/>
      <c r="L486" s="6"/>
      <c r="M486" s="6"/>
      <c r="N486" s="6"/>
      <c r="O486" s="6"/>
      <c r="P486" s="6"/>
      <c r="Q486" s="6"/>
      <c r="R486" s="6"/>
      <c r="S486" s="6"/>
      <c r="T486" s="6"/>
      <c r="U486" s="6"/>
      <c r="V486" s="6"/>
      <c r="W486" s="6"/>
      <c r="X486" s="6"/>
      <c r="Y486" s="6"/>
      <c r="Z486" s="6"/>
    </row>
    <row r="487" spans="1:26" ht="18" customHeight="1" x14ac:dyDescent="0.3">
      <c r="A487" s="152"/>
      <c r="B487" s="128"/>
      <c r="C487" s="152"/>
      <c r="D487" s="154"/>
      <c r="E487" s="154"/>
      <c r="F487" s="152"/>
      <c r="G487" s="128"/>
      <c r="H487" s="128"/>
      <c r="I487" s="144" t="str">
        <f>IF(H487="","",IFERROR(INDEX('12 P6 activities'!$B$7:$B$206,MATCH(H487,'12 P6 activities'!$A$7:$A$206,0)),"⚠ not in P6 list"))</f>
        <v/>
      </c>
      <c r="J487" s="144" t="str">
        <f>IF(H487="","",IFERROR(INDEX('12 P6 activities'!$C$7:$C$206,MATCH(H487,'12 P6 activities'!$A$7:$A$206,0)),"⚠ not in P6 list"))</f>
        <v/>
      </c>
      <c r="K487" s="128"/>
      <c r="L487" s="6"/>
      <c r="M487" s="6"/>
      <c r="N487" s="6"/>
      <c r="O487" s="6"/>
      <c r="P487" s="6"/>
      <c r="Q487" s="6"/>
      <c r="R487" s="6"/>
      <c r="S487" s="6"/>
      <c r="T487" s="6"/>
      <c r="U487" s="6"/>
      <c r="V487" s="6"/>
      <c r="W487" s="6"/>
      <c r="X487" s="6"/>
      <c r="Y487" s="6"/>
      <c r="Z487" s="6"/>
    </row>
    <row r="488" spans="1:26" ht="18" customHeight="1" x14ac:dyDescent="0.3">
      <c r="A488" s="152"/>
      <c r="B488" s="128"/>
      <c r="C488" s="152"/>
      <c r="D488" s="154"/>
      <c r="E488" s="154"/>
      <c r="F488" s="152"/>
      <c r="G488" s="128"/>
      <c r="H488" s="128"/>
      <c r="I488" s="144" t="str">
        <f>IF(H488="","",IFERROR(INDEX('12 P6 activities'!$B$7:$B$206,MATCH(H488,'12 P6 activities'!$A$7:$A$206,0)),"⚠ not in P6 list"))</f>
        <v/>
      </c>
      <c r="J488" s="144" t="str">
        <f>IF(H488="","",IFERROR(INDEX('12 P6 activities'!$C$7:$C$206,MATCH(H488,'12 P6 activities'!$A$7:$A$206,0)),"⚠ not in P6 list"))</f>
        <v/>
      </c>
      <c r="K488" s="128"/>
      <c r="L488" s="6"/>
      <c r="M488" s="6"/>
      <c r="N488" s="6"/>
      <c r="O488" s="6"/>
      <c r="P488" s="6"/>
      <c r="Q488" s="6"/>
      <c r="R488" s="6"/>
      <c r="S488" s="6"/>
      <c r="T488" s="6"/>
      <c r="U488" s="6"/>
      <c r="V488" s="6"/>
      <c r="W488" s="6"/>
      <c r="X488" s="6"/>
      <c r="Y488" s="6"/>
      <c r="Z488" s="6"/>
    </row>
    <row r="489" spans="1:26" ht="18" customHeight="1" x14ac:dyDescent="0.3">
      <c r="A489" s="152"/>
      <c r="B489" s="128"/>
      <c r="C489" s="152"/>
      <c r="D489" s="154"/>
      <c r="E489" s="154"/>
      <c r="F489" s="152"/>
      <c r="G489" s="128"/>
      <c r="H489" s="128"/>
      <c r="I489" s="144" t="str">
        <f>IF(H489="","",IFERROR(INDEX('12 P6 activities'!$B$7:$B$206,MATCH(H489,'12 P6 activities'!$A$7:$A$206,0)),"⚠ not in P6 list"))</f>
        <v/>
      </c>
      <c r="J489" s="144" t="str">
        <f>IF(H489="","",IFERROR(INDEX('12 P6 activities'!$C$7:$C$206,MATCH(H489,'12 P6 activities'!$A$7:$A$206,0)),"⚠ not in P6 list"))</f>
        <v/>
      </c>
      <c r="K489" s="128"/>
      <c r="L489" s="6"/>
      <c r="M489" s="6"/>
      <c r="N489" s="6"/>
      <c r="O489" s="6"/>
      <c r="P489" s="6"/>
      <c r="Q489" s="6"/>
      <c r="R489" s="6"/>
      <c r="S489" s="6"/>
      <c r="T489" s="6"/>
      <c r="U489" s="6"/>
      <c r="V489" s="6"/>
      <c r="W489" s="6"/>
      <c r="X489" s="6"/>
      <c r="Y489" s="6"/>
      <c r="Z489" s="6"/>
    </row>
    <row r="490" spans="1:26" ht="18" customHeight="1" x14ac:dyDescent="0.3">
      <c r="A490" s="152"/>
      <c r="B490" s="128"/>
      <c r="C490" s="152"/>
      <c r="D490" s="154"/>
      <c r="E490" s="154"/>
      <c r="F490" s="152"/>
      <c r="G490" s="128"/>
      <c r="H490" s="128"/>
      <c r="I490" s="144" t="str">
        <f>IF(H490="","",IFERROR(INDEX('12 P6 activities'!$B$7:$B$206,MATCH(H490,'12 P6 activities'!$A$7:$A$206,0)),"⚠ not in P6 list"))</f>
        <v/>
      </c>
      <c r="J490" s="144" t="str">
        <f>IF(H490="","",IFERROR(INDEX('12 P6 activities'!$C$7:$C$206,MATCH(H490,'12 P6 activities'!$A$7:$A$206,0)),"⚠ not in P6 list"))</f>
        <v/>
      </c>
      <c r="K490" s="128"/>
      <c r="L490" s="6"/>
      <c r="M490" s="6"/>
      <c r="N490" s="6"/>
      <c r="O490" s="6"/>
      <c r="P490" s="6"/>
      <c r="Q490" s="6"/>
      <c r="R490" s="6"/>
      <c r="S490" s="6"/>
      <c r="T490" s="6"/>
      <c r="U490" s="6"/>
      <c r="V490" s="6"/>
      <c r="W490" s="6"/>
      <c r="X490" s="6"/>
      <c r="Y490" s="6"/>
      <c r="Z490" s="6"/>
    </row>
    <row r="491" spans="1:26" ht="18" customHeight="1" x14ac:dyDescent="0.3">
      <c r="A491" s="152"/>
      <c r="B491" s="128"/>
      <c r="C491" s="152"/>
      <c r="D491" s="154"/>
      <c r="E491" s="154"/>
      <c r="F491" s="152"/>
      <c r="G491" s="128"/>
      <c r="H491" s="128"/>
      <c r="I491" s="144" t="str">
        <f>IF(H491="","",IFERROR(INDEX('12 P6 activities'!$B$7:$B$206,MATCH(H491,'12 P6 activities'!$A$7:$A$206,0)),"⚠ not in P6 list"))</f>
        <v/>
      </c>
      <c r="J491" s="144" t="str">
        <f>IF(H491="","",IFERROR(INDEX('12 P6 activities'!$C$7:$C$206,MATCH(H491,'12 P6 activities'!$A$7:$A$206,0)),"⚠ not in P6 list"))</f>
        <v/>
      </c>
      <c r="K491" s="128"/>
      <c r="L491" s="6"/>
      <c r="M491" s="6"/>
      <c r="N491" s="6"/>
      <c r="O491" s="6"/>
      <c r="P491" s="6"/>
      <c r="Q491" s="6"/>
      <c r="R491" s="6"/>
      <c r="S491" s="6"/>
      <c r="T491" s="6"/>
      <c r="U491" s="6"/>
      <c r="V491" s="6"/>
      <c r="W491" s="6"/>
      <c r="X491" s="6"/>
      <c r="Y491" s="6"/>
      <c r="Z491" s="6"/>
    </row>
    <row r="492" spans="1:26" ht="18" customHeight="1" x14ac:dyDescent="0.3">
      <c r="A492" s="152"/>
      <c r="B492" s="128"/>
      <c r="C492" s="152"/>
      <c r="D492" s="154"/>
      <c r="E492" s="154"/>
      <c r="F492" s="152"/>
      <c r="G492" s="128"/>
      <c r="H492" s="128"/>
      <c r="I492" s="144" t="str">
        <f>IF(H492="","",IFERROR(INDEX('12 P6 activities'!$B$7:$B$206,MATCH(H492,'12 P6 activities'!$A$7:$A$206,0)),"⚠ not in P6 list"))</f>
        <v/>
      </c>
      <c r="J492" s="144" t="str">
        <f>IF(H492="","",IFERROR(INDEX('12 P6 activities'!$C$7:$C$206,MATCH(H492,'12 P6 activities'!$A$7:$A$206,0)),"⚠ not in P6 list"))</f>
        <v/>
      </c>
      <c r="K492" s="128"/>
      <c r="L492" s="6"/>
      <c r="M492" s="6"/>
      <c r="N492" s="6"/>
      <c r="O492" s="6"/>
      <c r="P492" s="6"/>
      <c r="Q492" s="6"/>
      <c r="R492" s="6"/>
      <c r="S492" s="6"/>
      <c r="T492" s="6"/>
      <c r="U492" s="6"/>
      <c r="V492" s="6"/>
      <c r="W492" s="6"/>
      <c r="X492" s="6"/>
      <c r="Y492" s="6"/>
      <c r="Z492" s="6"/>
    </row>
    <row r="493" spans="1:26" ht="18" customHeight="1" x14ac:dyDescent="0.3">
      <c r="A493" s="152"/>
      <c r="B493" s="128"/>
      <c r="C493" s="152"/>
      <c r="D493" s="154"/>
      <c r="E493" s="154"/>
      <c r="F493" s="152"/>
      <c r="G493" s="128"/>
      <c r="H493" s="128"/>
      <c r="I493" s="144" t="str">
        <f>IF(H493="","",IFERROR(INDEX('12 P6 activities'!$B$7:$B$206,MATCH(H493,'12 P6 activities'!$A$7:$A$206,0)),"⚠ not in P6 list"))</f>
        <v/>
      </c>
      <c r="J493" s="144" t="str">
        <f>IF(H493="","",IFERROR(INDEX('12 P6 activities'!$C$7:$C$206,MATCH(H493,'12 P6 activities'!$A$7:$A$206,0)),"⚠ not in P6 list"))</f>
        <v/>
      </c>
      <c r="K493" s="128"/>
      <c r="L493" s="6"/>
      <c r="M493" s="6"/>
      <c r="N493" s="6"/>
      <c r="O493" s="6"/>
      <c r="P493" s="6"/>
      <c r="Q493" s="6"/>
      <c r="R493" s="6"/>
      <c r="S493" s="6"/>
      <c r="T493" s="6"/>
      <c r="U493" s="6"/>
      <c r="V493" s="6"/>
      <c r="W493" s="6"/>
      <c r="X493" s="6"/>
      <c r="Y493" s="6"/>
      <c r="Z493" s="6"/>
    </row>
    <row r="494" spans="1:26" ht="18" customHeight="1" x14ac:dyDescent="0.3">
      <c r="A494" s="152"/>
      <c r="B494" s="128"/>
      <c r="C494" s="152"/>
      <c r="D494" s="154"/>
      <c r="E494" s="154"/>
      <c r="F494" s="152"/>
      <c r="G494" s="128"/>
      <c r="H494" s="128"/>
      <c r="I494" s="144" t="str">
        <f>IF(H494="","",IFERROR(INDEX('12 P6 activities'!$B$7:$B$206,MATCH(H494,'12 P6 activities'!$A$7:$A$206,0)),"⚠ not in P6 list"))</f>
        <v/>
      </c>
      <c r="J494" s="144" t="str">
        <f>IF(H494="","",IFERROR(INDEX('12 P6 activities'!$C$7:$C$206,MATCH(H494,'12 P6 activities'!$A$7:$A$206,0)),"⚠ not in P6 list"))</f>
        <v/>
      </c>
      <c r="K494" s="128"/>
      <c r="L494" s="6"/>
      <c r="M494" s="6"/>
      <c r="N494" s="6"/>
      <c r="O494" s="6"/>
      <c r="P494" s="6"/>
      <c r="Q494" s="6"/>
      <c r="R494" s="6"/>
      <c r="S494" s="6"/>
      <c r="T494" s="6"/>
      <c r="U494" s="6"/>
      <c r="V494" s="6"/>
      <c r="W494" s="6"/>
      <c r="X494" s="6"/>
      <c r="Y494" s="6"/>
      <c r="Z494" s="6"/>
    </row>
    <row r="495" spans="1:26" ht="18" customHeight="1" x14ac:dyDescent="0.3">
      <c r="A495" s="152"/>
      <c r="B495" s="128"/>
      <c r="C495" s="152"/>
      <c r="D495" s="154"/>
      <c r="E495" s="154"/>
      <c r="F495" s="152"/>
      <c r="G495" s="128"/>
      <c r="H495" s="128"/>
      <c r="I495" s="144" t="str">
        <f>IF(H495="","",IFERROR(INDEX('12 P6 activities'!$B$7:$B$206,MATCH(H495,'12 P6 activities'!$A$7:$A$206,0)),"⚠ not in P6 list"))</f>
        <v/>
      </c>
      <c r="J495" s="144" t="str">
        <f>IF(H495="","",IFERROR(INDEX('12 P6 activities'!$C$7:$C$206,MATCH(H495,'12 P6 activities'!$A$7:$A$206,0)),"⚠ not in P6 list"))</f>
        <v/>
      </c>
      <c r="K495" s="128"/>
      <c r="L495" s="6"/>
      <c r="M495" s="6"/>
      <c r="N495" s="6"/>
      <c r="O495" s="6"/>
      <c r="P495" s="6"/>
      <c r="Q495" s="6"/>
      <c r="R495" s="6"/>
      <c r="S495" s="6"/>
      <c r="T495" s="6"/>
      <c r="U495" s="6"/>
      <c r="V495" s="6"/>
      <c r="W495" s="6"/>
      <c r="X495" s="6"/>
      <c r="Y495" s="6"/>
      <c r="Z495" s="6"/>
    </row>
    <row r="496" spans="1:26" ht="18" customHeight="1" x14ac:dyDescent="0.3">
      <c r="A496" s="152"/>
      <c r="B496" s="128"/>
      <c r="C496" s="152"/>
      <c r="D496" s="154"/>
      <c r="E496" s="154"/>
      <c r="F496" s="152"/>
      <c r="G496" s="128"/>
      <c r="H496" s="128"/>
      <c r="I496" s="144" t="str">
        <f>IF(H496="","",IFERROR(INDEX('12 P6 activities'!$B$7:$B$206,MATCH(H496,'12 P6 activities'!$A$7:$A$206,0)),"⚠ not in P6 list"))</f>
        <v/>
      </c>
      <c r="J496" s="144" t="str">
        <f>IF(H496="","",IFERROR(INDEX('12 P6 activities'!$C$7:$C$206,MATCH(H496,'12 P6 activities'!$A$7:$A$206,0)),"⚠ not in P6 list"))</f>
        <v/>
      </c>
      <c r="K496" s="128"/>
      <c r="L496" s="6"/>
      <c r="M496" s="6"/>
      <c r="N496" s="6"/>
      <c r="O496" s="6"/>
      <c r="P496" s="6"/>
      <c r="Q496" s="6"/>
      <c r="R496" s="6"/>
      <c r="S496" s="6"/>
      <c r="T496" s="6"/>
      <c r="U496" s="6"/>
      <c r="V496" s="6"/>
      <c r="W496" s="6"/>
      <c r="X496" s="6"/>
      <c r="Y496" s="6"/>
      <c r="Z496" s="6"/>
    </row>
    <row r="497" spans="1:26" ht="18" customHeight="1" x14ac:dyDescent="0.3">
      <c r="A497" s="152"/>
      <c r="B497" s="128"/>
      <c r="C497" s="152"/>
      <c r="D497" s="154"/>
      <c r="E497" s="154"/>
      <c r="F497" s="152"/>
      <c r="G497" s="128"/>
      <c r="H497" s="128"/>
      <c r="I497" s="144" t="str">
        <f>IF(H497="","",IFERROR(INDEX('12 P6 activities'!$B$7:$B$206,MATCH(H497,'12 P6 activities'!$A$7:$A$206,0)),"⚠ not in P6 list"))</f>
        <v/>
      </c>
      <c r="J497" s="144" t="str">
        <f>IF(H497="","",IFERROR(INDEX('12 P6 activities'!$C$7:$C$206,MATCH(H497,'12 P6 activities'!$A$7:$A$206,0)),"⚠ not in P6 list"))</f>
        <v/>
      </c>
      <c r="K497" s="128"/>
      <c r="L497" s="6"/>
      <c r="M497" s="6"/>
      <c r="N497" s="6"/>
      <c r="O497" s="6"/>
      <c r="P497" s="6"/>
      <c r="Q497" s="6"/>
      <c r="R497" s="6"/>
      <c r="S497" s="6"/>
      <c r="T497" s="6"/>
      <c r="U497" s="6"/>
      <c r="V497" s="6"/>
      <c r="W497" s="6"/>
      <c r="X497" s="6"/>
      <c r="Y497" s="6"/>
      <c r="Z497" s="6"/>
    </row>
    <row r="498" spans="1:26" ht="18" customHeight="1" x14ac:dyDescent="0.3">
      <c r="A498" s="152"/>
      <c r="B498" s="128"/>
      <c r="C498" s="152"/>
      <c r="D498" s="154"/>
      <c r="E498" s="154"/>
      <c r="F498" s="152"/>
      <c r="G498" s="128"/>
      <c r="H498" s="128"/>
      <c r="I498" s="144" t="str">
        <f>IF(H498="","",IFERROR(INDEX('12 P6 activities'!$B$7:$B$206,MATCH(H498,'12 P6 activities'!$A$7:$A$206,0)),"⚠ not in P6 list"))</f>
        <v/>
      </c>
      <c r="J498" s="144" t="str">
        <f>IF(H498="","",IFERROR(INDEX('12 P6 activities'!$C$7:$C$206,MATCH(H498,'12 P6 activities'!$A$7:$A$206,0)),"⚠ not in P6 list"))</f>
        <v/>
      </c>
      <c r="K498" s="128"/>
      <c r="L498" s="6"/>
      <c r="M498" s="6"/>
      <c r="N498" s="6"/>
      <c r="O498" s="6"/>
      <c r="P498" s="6"/>
      <c r="Q498" s="6"/>
      <c r="R498" s="6"/>
      <c r="S498" s="6"/>
      <c r="T498" s="6"/>
      <c r="U498" s="6"/>
      <c r="V498" s="6"/>
      <c r="W498" s="6"/>
      <c r="X498" s="6"/>
      <c r="Y498" s="6"/>
      <c r="Z498" s="6"/>
    </row>
    <row r="499" spans="1:26" ht="18" customHeight="1" x14ac:dyDescent="0.3">
      <c r="A499" s="152"/>
      <c r="B499" s="128"/>
      <c r="C499" s="152"/>
      <c r="D499" s="154"/>
      <c r="E499" s="154"/>
      <c r="F499" s="152"/>
      <c r="G499" s="128"/>
      <c r="H499" s="128"/>
      <c r="I499" s="144" t="str">
        <f>IF(H499="","",IFERROR(INDEX('12 P6 activities'!$B$7:$B$206,MATCH(H499,'12 P6 activities'!$A$7:$A$206,0)),"⚠ not in P6 list"))</f>
        <v/>
      </c>
      <c r="J499" s="144" t="str">
        <f>IF(H499="","",IFERROR(INDEX('12 P6 activities'!$C$7:$C$206,MATCH(H499,'12 P6 activities'!$A$7:$A$206,0)),"⚠ not in P6 list"))</f>
        <v/>
      </c>
      <c r="K499" s="128"/>
      <c r="L499" s="6"/>
      <c r="M499" s="6"/>
      <c r="N499" s="6"/>
      <c r="O499" s="6"/>
      <c r="P499" s="6"/>
      <c r="Q499" s="6"/>
      <c r="R499" s="6"/>
      <c r="S499" s="6"/>
      <c r="T499" s="6"/>
      <c r="U499" s="6"/>
      <c r="V499" s="6"/>
      <c r="W499" s="6"/>
      <c r="X499" s="6"/>
      <c r="Y499" s="6"/>
      <c r="Z499" s="6"/>
    </row>
    <row r="500" spans="1:26" ht="18" customHeight="1" x14ac:dyDescent="0.3">
      <c r="A500" s="152"/>
      <c r="B500" s="128"/>
      <c r="C500" s="152"/>
      <c r="D500" s="154"/>
      <c r="E500" s="154"/>
      <c r="F500" s="152"/>
      <c r="G500" s="128"/>
      <c r="H500" s="128"/>
      <c r="I500" s="144" t="str">
        <f>IF(H500="","",IFERROR(INDEX('12 P6 activities'!$B$7:$B$206,MATCH(H500,'12 P6 activities'!$A$7:$A$206,0)),"⚠ not in P6 list"))</f>
        <v/>
      </c>
      <c r="J500" s="144" t="str">
        <f>IF(H500="","",IFERROR(INDEX('12 P6 activities'!$C$7:$C$206,MATCH(H500,'12 P6 activities'!$A$7:$A$206,0)),"⚠ not in P6 list"))</f>
        <v/>
      </c>
      <c r="K500" s="128"/>
      <c r="L500" s="6"/>
      <c r="M500" s="6"/>
      <c r="N500" s="6"/>
      <c r="O500" s="6"/>
      <c r="P500" s="6"/>
      <c r="Q500" s="6"/>
      <c r="R500" s="6"/>
      <c r="S500" s="6"/>
      <c r="T500" s="6"/>
      <c r="U500" s="6"/>
      <c r="V500" s="6"/>
      <c r="W500" s="6"/>
      <c r="X500" s="6"/>
      <c r="Y500" s="6"/>
      <c r="Z500" s="6"/>
    </row>
    <row r="501" spans="1:26" ht="18" customHeight="1" x14ac:dyDescent="0.3">
      <c r="A501" s="152"/>
      <c r="B501" s="128"/>
      <c r="C501" s="152"/>
      <c r="D501" s="154"/>
      <c r="E501" s="154"/>
      <c r="F501" s="152"/>
      <c r="G501" s="128"/>
      <c r="H501" s="128"/>
      <c r="I501" s="144" t="str">
        <f>IF(H501="","",IFERROR(INDEX('12 P6 activities'!$B$7:$B$206,MATCH(H501,'12 P6 activities'!$A$7:$A$206,0)),"⚠ not in P6 list"))</f>
        <v/>
      </c>
      <c r="J501" s="144" t="str">
        <f>IF(H501="","",IFERROR(INDEX('12 P6 activities'!$C$7:$C$206,MATCH(H501,'12 P6 activities'!$A$7:$A$206,0)),"⚠ not in P6 list"))</f>
        <v/>
      </c>
      <c r="K501" s="128"/>
      <c r="L501" s="6"/>
      <c r="M501" s="6"/>
      <c r="N501" s="6"/>
      <c r="O501" s="6"/>
      <c r="P501" s="6"/>
      <c r="Q501" s="6"/>
      <c r="R501" s="6"/>
      <c r="S501" s="6"/>
      <c r="T501" s="6"/>
      <c r="U501" s="6"/>
      <c r="V501" s="6"/>
      <c r="W501" s="6"/>
      <c r="X501" s="6"/>
      <c r="Y501" s="6"/>
      <c r="Z501" s="6"/>
    </row>
    <row r="502" spans="1:26" ht="18" customHeight="1" x14ac:dyDescent="0.3">
      <c r="A502" s="152"/>
      <c r="B502" s="128"/>
      <c r="C502" s="152"/>
      <c r="D502" s="154"/>
      <c r="E502" s="154"/>
      <c r="F502" s="152"/>
      <c r="G502" s="128"/>
      <c r="H502" s="128"/>
      <c r="I502" s="144" t="str">
        <f>IF(H502="","",IFERROR(INDEX('12 P6 activities'!$B$7:$B$206,MATCH(H502,'12 P6 activities'!$A$7:$A$206,0)),"⚠ not in P6 list"))</f>
        <v/>
      </c>
      <c r="J502" s="144" t="str">
        <f>IF(H502="","",IFERROR(INDEX('12 P6 activities'!$C$7:$C$206,MATCH(H502,'12 P6 activities'!$A$7:$A$206,0)),"⚠ not in P6 list"))</f>
        <v/>
      </c>
      <c r="K502" s="128"/>
      <c r="L502" s="6"/>
      <c r="M502" s="6"/>
      <c r="N502" s="6"/>
      <c r="O502" s="6"/>
      <c r="P502" s="6"/>
      <c r="Q502" s="6"/>
      <c r="R502" s="6"/>
      <c r="S502" s="6"/>
      <c r="T502" s="6"/>
      <c r="U502" s="6"/>
      <c r="V502" s="6"/>
      <c r="W502" s="6"/>
      <c r="X502" s="6"/>
      <c r="Y502" s="6"/>
      <c r="Z502" s="6"/>
    </row>
    <row r="503" spans="1:26" ht="18" customHeight="1" x14ac:dyDescent="0.3">
      <c r="A503" s="152"/>
      <c r="B503" s="128"/>
      <c r="C503" s="152"/>
      <c r="D503" s="154"/>
      <c r="E503" s="154"/>
      <c r="F503" s="152"/>
      <c r="G503" s="128"/>
      <c r="H503" s="128"/>
      <c r="I503" s="144" t="str">
        <f>IF(H503="","",IFERROR(INDEX('12 P6 activities'!$B$7:$B$206,MATCH(H503,'12 P6 activities'!$A$7:$A$206,0)),"⚠ not in P6 list"))</f>
        <v/>
      </c>
      <c r="J503" s="144" t="str">
        <f>IF(H503="","",IFERROR(INDEX('12 P6 activities'!$C$7:$C$206,MATCH(H503,'12 P6 activities'!$A$7:$A$206,0)),"⚠ not in P6 list"))</f>
        <v/>
      </c>
      <c r="K503" s="128"/>
      <c r="L503" s="6"/>
      <c r="M503" s="6"/>
      <c r="N503" s="6"/>
      <c r="O503" s="6"/>
      <c r="P503" s="6"/>
      <c r="Q503" s="6"/>
      <c r="R503" s="6"/>
      <c r="S503" s="6"/>
      <c r="T503" s="6"/>
      <c r="U503" s="6"/>
      <c r="V503" s="6"/>
      <c r="W503" s="6"/>
      <c r="X503" s="6"/>
      <c r="Y503" s="6"/>
      <c r="Z503" s="6"/>
    </row>
    <row r="504" spans="1:26" ht="18" customHeight="1" x14ac:dyDescent="0.3">
      <c r="A504" s="152"/>
      <c r="B504" s="128"/>
      <c r="C504" s="152"/>
      <c r="D504" s="154"/>
      <c r="E504" s="154"/>
      <c r="F504" s="152"/>
      <c r="G504" s="128"/>
      <c r="H504" s="128"/>
      <c r="I504" s="144" t="str">
        <f>IF(H504="","",IFERROR(INDEX('12 P6 activities'!$B$7:$B$206,MATCH(H504,'12 P6 activities'!$A$7:$A$206,0)),"⚠ not in P6 list"))</f>
        <v/>
      </c>
      <c r="J504" s="144" t="str">
        <f>IF(H504="","",IFERROR(INDEX('12 P6 activities'!$C$7:$C$206,MATCH(H504,'12 P6 activities'!$A$7:$A$206,0)),"⚠ not in P6 list"))</f>
        <v/>
      </c>
      <c r="K504" s="128"/>
      <c r="L504" s="6"/>
      <c r="M504" s="6"/>
      <c r="N504" s="6"/>
      <c r="O504" s="6"/>
      <c r="P504" s="6"/>
      <c r="Q504" s="6"/>
      <c r="R504" s="6"/>
      <c r="S504" s="6"/>
      <c r="T504" s="6"/>
      <c r="U504" s="6"/>
      <c r="V504" s="6"/>
      <c r="W504" s="6"/>
      <c r="X504" s="6"/>
      <c r="Y504" s="6"/>
      <c r="Z504" s="6"/>
    </row>
    <row r="505" spans="1:26" ht="18" customHeight="1" x14ac:dyDescent="0.3">
      <c r="A505" s="152"/>
      <c r="B505" s="128"/>
      <c r="C505" s="152"/>
      <c r="D505" s="154"/>
      <c r="E505" s="154"/>
      <c r="F505" s="152"/>
      <c r="G505" s="128"/>
      <c r="H505" s="128"/>
      <c r="I505" s="144" t="str">
        <f>IF(H505="","",IFERROR(INDEX('12 P6 activities'!$B$7:$B$206,MATCH(H505,'12 P6 activities'!$A$7:$A$206,0)),"⚠ not in P6 list"))</f>
        <v/>
      </c>
      <c r="J505" s="144" t="str">
        <f>IF(H505="","",IFERROR(INDEX('12 P6 activities'!$C$7:$C$206,MATCH(H505,'12 P6 activities'!$A$7:$A$206,0)),"⚠ not in P6 list"))</f>
        <v/>
      </c>
      <c r="K505" s="128"/>
      <c r="L505" s="6"/>
      <c r="M505" s="6"/>
      <c r="N505" s="6"/>
      <c r="O505" s="6"/>
      <c r="P505" s="6"/>
      <c r="Q505" s="6"/>
      <c r="R505" s="6"/>
      <c r="S505" s="6"/>
      <c r="T505" s="6"/>
      <c r="U505" s="6"/>
      <c r="V505" s="6"/>
      <c r="W505" s="6"/>
      <c r="X505" s="6"/>
      <c r="Y505" s="6"/>
      <c r="Z505" s="6"/>
    </row>
    <row r="506" spans="1:26" ht="18" customHeight="1" x14ac:dyDescent="0.3">
      <c r="A506" s="152"/>
      <c r="B506" s="128"/>
      <c r="C506" s="152"/>
      <c r="D506" s="154"/>
      <c r="E506" s="154"/>
      <c r="F506" s="152"/>
      <c r="G506" s="128"/>
      <c r="H506" s="128"/>
      <c r="I506" s="144" t="str">
        <f>IF(H506="","",IFERROR(INDEX('12 P6 activities'!$B$7:$B$206,MATCH(H506,'12 P6 activities'!$A$7:$A$206,0)),"⚠ not in P6 list"))</f>
        <v/>
      </c>
      <c r="J506" s="144" t="str">
        <f>IF(H506="","",IFERROR(INDEX('12 P6 activities'!$C$7:$C$206,MATCH(H506,'12 P6 activities'!$A$7:$A$206,0)),"⚠ not in P6 list"))</f>
        <v/>
      </c>
      <c r="K506" s="128"/>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I7:I506">
    <cfRule type="containsText" dxfId="15" priority="1" operator="containsText" text="not in P6">
      <formula>NOT(ISERROR(SEARCH("not in P6",I7)))</formula>
    </cfRule>
  </conditionalFormatting>
  <conditionalFormatting sqref="J7:J506">
    <cfRule type="containsText" dxfId="14" priority="2" operator="containsText" text="not in P6">
      <formula>NOT(ISERROR(SEARCH("not in P6",J7)))</formula>
    </cfRule>
  </conditionalFormatting>
  <dataValidations count="3">
    <dataValidation type="decimal" allowBlank="1" showInputMessage="1" showErrorMessage="1" sqref="D7:D506" xr:uid="{097F506E-9C99-468B-8668-24F2DD7E2177}">
      <formula1>0</formula1>
      <formula2>100000</formula2>
    </dataValidation>
    <dataValidation type="date" operator="greaterThan" allowBlank="1" showInputMessage="1" showErrorMessage="1" sqref="A7:A506" xr:uid="{0AE262EB-9CFC-49BC-B457-38F3434EB796}">
      <formula1>43831</formula1>
    </dataValidation>
    <dataValidation type="list" allowBlank="1" showInputMessage="1" showErrorMessage="1" sqref="G7:G506" xr:uid="{71DBA123-532B-4FF9-B991-AB4664C3A3D6}">
      <formula1>"Y,N"</formula1>
    </dataValidation>
  </dataValidations>
  <printOptions horizontalCentered="1"/>
  <pageMargins left="0.4" right="0.4" top="0.5" bottom="0.5" header="0.5" footer="0.5"/>
  <pageSetup paperSize="9" scale="10" orientation="landscape"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8FF06A87-FD31-4C0C-A194-737CE3F41C0B}">
          <x14:formula1>
            <xm:f>'12 P6 activities'!$A$7:$A$206</xm:f>
          </x14:formula1>
          <xm:sqref>H7:H506</xm:sqref>
        </x14:dataValidation>
        <x14:dataValidation type="list" allowBlank="1" showInputMessage="1" showErrorMessage="1" xr:uid="{2BC547F5-9B0A-45CE-AA12-86268F994ECA}">
          <x14:formula1>
            <xm:f>'14 Setup'!$R$12:$R$26</xm:f>
          </x14:formula1>
          <xm:sqref>B7:B506</xm:sqref>
        </x14:dataValidation>
        <x14:dataValidation type="list" allowBlank="1" showInputMessage="1" showErrorMessage="1" xr:uid="{9B02448F-B7E5-4585-A080-60D494C388FD}">
          <x14:formula1>
            <xm:f>'14 Setup'!$T$12:$T$26</xm:f>
          </x14:formula1>
          <xm:sqref>C7:C506</xm:sqref>
        </x14:dataValidation>
        <x14:dataValidation type="list" allowBlank="1" showInputMessage="1" showErrorMessage="1" xr:uid="{D7038D3E-A494-46ED-9F9B-D12769963E5E}">
          <x14:formula1>
            <xm:f>'14 Setup'!$L$12:$L$26</xm:f>
          </x14:formula1>
          <xm:sqref>E7:E506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46CB-ECDE-40F7-B54C-4D5C0AF6D2AB}">
  <sheetPr>
    <tabColor rgb="FF15803D"/>
    <pageSetUpPr fitToPage="1"/>
  </sheetPr>
  <dimension ref="A1:Z1000"/>
  <sheetViews>
    <sheetView showGridLines="0" workbookViewId="0">
      <pane ySplit="6" topLeftCell="A7" activePane="bottomLeft" state="frozen"/>
      <selection pane="bottomLeft" activeCell="D24" sqref="A23:D24"/>
    </sheetView>
  </sheetViews>
  <sheetFormatPr defaultRowHeight="14.4" x14ac:dyDescent="0.3"/>
  <cols>
    <col min="1" max="1" width="15.77734375" customWidth="1"/>
    <col min="2" max="2" width="18.5546875" customWidth="1"/>
    <col min="3" max="3" width="70.33203125" customWidth="1"/>
    <col min="4" max="4" width="24.109375" customWidth="1"/>
    <col min="5" max="5" width="10.21875" customWidth="1"/>
    <col min="6" max="6" width="24.109375" customWidth="1"/>
    <col min="7" max="7" width="48.109375" customWidth="1"/>
    <col min="8" max="8" width="42.5546875" customWidth="1"/>
    <col min="9" max="9" width="3.6640625" customWidth="1"/>
    <col min="10" max="10" width="14.77734375" customWidth="1"/>
    <col min="11" max="11" width="16.6640625" customWidth="1"/>
    <col min="12" max="12" width="35.21875" customWidth="1"/>
    <col min="13" max="13" width="24.109375" customWidth="1"/>
    <col min="14" max="14" width="13" customWidth="1"/>
    <col min="15" max="15" width="8.33203125" customWidth="1"/>
    <col min="16" max="16" width="14.77734375" customWidth="1"/>
    <col min="17" max="17" width="42.5546875" customWidth="1"/>
  </cols>
  <sheetData>
    <row r="1" spans="1:26" ht="28.05" customHeight="1" x14ac:dyDescent="0.4">
      <c r="A1" s="112" t="s">
        <v>351</v>
      </c>
      <c r="B1" s="6"/>
      <c r="C1" s="6"/>
      <c r="D1" s="6"/>
      <c r="E1" s="6"/>
      <c r="F1" s="6"/>
      <c r="G1" s="176" t="s">
        <v>32</v>
      </c>
      <c r="H1" s="113"/>
      <c r="I1" s="6"/>
      <c r="J1" s="6"/>
      <c r="K1" s="6"/>
      <c r="L1" s="6"/>
      <c r="M1" s="6"/>
      <c r="N1" s="6"/>
      <c r="O1" s="6"/>
      <c r="P1" s="6"/>
      <c r="Q1" s="6"/>
      <c r="R1" s="6"/>
      <c r="S1" s="6"/>
      <c r="T1" s="6"/>
      <c r="U1" s="6"/>
      <c r="V1" s="6"/>
      <c r="W1" s="6"/>
      <c r="X1" s="6"/>
      <c r="Y1" s="6"/>
      <c r="Z1" s="6"/>
    </row>
    <row r="2" spans="1:26" x14ac:dyDescent="0.3">
      <c r="A2" s="114" t="s">
        <v>352</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348</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16"/>
      <c r="B4" s="116"/>
      <c r="C4" s="116"/>
      <c r="D4" s="116"/>
      <c r="E4" s="116"/>
      <c r="F4" s="116"/>
      <c r="G4" s="116"/>
      <c r="H4" s="11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42</v>
      </c>
      <c r="B6" s="141" t="s">
        <v>129</v>
      </c>
      <c r="C6" s="141" t="s">
        <v>130</v>
      </c>
      <c r="D6" s="141" t="s">
        <v>101</v>
      </c>
      <c r="E6" s="141" t="s">
        <v>131</v>
      </c>
      <c r="F6" s="141" t="s">
        <v>201</v>
      </c>
      <c r="G6" s="141" t="s">
        <v>202</v>
      </c>
      <c r="H6" s="141"/>
      <c r="I6" s="141"/>
      <c r="J6" s="6"/>
      <c r="K6" s="6"/>
      <c r="L6" s="6"/>
      <c r="M6" s="6"/>
      <c r="N6" s="6"/>
      <c r="O6" s="6"/>
      <c r="P6" s="6"/>
      <c r="Q6" s="6"/>
      <c r="R6" s="6"/>
      <c r="S6" s="6"/>
      <c r="T6" s="6"/>
      <c r="U6" s="6"/>
      <c r="V6" s="6"/>
      <c r="W6" s="6"/>
      <c r="X6" s="6"/>
      <c r="Y6" s="6"/>
      <c r="Z6" s="6"/>
    </row>
    <row r="7" spans="1:26" ht="18" customHeight="1" x14ac:dyDescent="0.3">
      <c r="A7" s="152"/>
      <c r="B7" s="128"/>
      <c r="C7" s="152"/>
      <c r="D7" s="128"/>
      <c r="E7" s="124"/>
      <c r="F7" s="152"/>
      <c r="G7" s="128"/>
      <c r="H7" s="146"/>
      <c r="I7" s="146"/>
      <c r="J7" s="6"/>
      <c r="K7" s="6"/>
      <c r="L7" s="6"/>
      <c r="M7" s="6"/>
      <c r="N7" s="6"/>
      <c r="O7" s="6"/>
      <c r="P7" s="6"/>
      <c r="Q7" s="6"/>
      <c r="R7" s="6"/>
      <c r="S7" s="6"/>
      <c r="T7" s="6"/>
      <c r="U7" s="6"/>
      <c r="V7" s="6"/>
      <c r="W7" s="6"/>
      <c r="X7" s="6"/>
      <c r="Y7" s="6"/>
      <c r="Z7" s="6"/>
    </row>
    <row r="8" spans="1:26" ht="18" customHeight="1" x14ac:dyDescent="0.3">
      <c r="A8" s="152"/>
      <c r="B8" s="128"/>
      <c r="C8" s="152"/>
      <c r="D8" s="128"/>
      <c r="E8" s="124"/>
      <c r="F8" s="152"/>
      <c r="G8" s="128"/>
      <c r="H8" s="146"/>
      <c r="I8" s="146"/>
      <c r="J8" s="6"/>
      <c r="K8" s="6"/>
      <c r="L8" s="6"/>
      <c r="M8" s="6"/>
      <c r="N8" s="6"/>
      <c r="O8" s="6"/>
      <c r="P8" s="6"/>
      <c r="Q8" s="6"/>
      <c r="R8" s="6"/>
      <c r="S8" s="6"/>
      <c r="T8" s="6"/>
      <c r="U8" s="6"/>
      <c r="V8" s="6"/>
      <c r="W8" s="6"/>
      <c r="X8" s="6"/>
      <c r="Y8" s="6"/>
      <c r="Z8" s="6"/>
    </row>
    <row r="9" spans="1:26" ht="18" customHeight="1" x14ac:dyDescent="0.3">
      <c r="A9" s="152"/>
      <c r="B9" s="128"/>
      <c r="C9" s="152"/>
      <c r="D9" s="128"/>
      <c r="E9" s="124"/>
      <c r="F9" s="152"/>
      <c r="G9" s="128"/>
      <c r="H9" s="146"/>
      <c r="I9" s="146"/>
      <c r="J9" s="6"/>
      <c r="K9" s="6"/>
      <c r="L9" s="6"/>
      <c r="M9" s="6"/>
      <c r="N9" s="6"/>
      <c r="O9" s="6"/>
      <c r="P9" s="6"/>
      <c r="Q9" s="6"/>
      <c r="R9" s="6"/>
      <c r="S9" s="6"/>
      <c r="T9" s="6"/>
      <c r="U9" s="6"/>
      <c r="V9" s="6"/>
      <c r="W9" s="6"/>
      <c r="X9" s="6"/>
      <c r="Y9" s="6"/>
      <c r="Z9" s="6"/>
    </row>
    <row r="10" spans="1:26" ht="18" customHeight="1" x14ac:dyDescent="0.3">
      <c r="A10" s="152"/>
      <c r="B10" s="128"/>
      <c r="C10" s="152"/>
      <c r="D10" s="128"/>
      <c r="E10" s="124"/>
      <c r="F10" s="152"/>
      <c r="G10" s="128"/>
      <c r="H10" s="146"/>
      <c r="I10" s="146"/>
      <c r="J10" s="6"/>
      <c r="K10" s="6"/>
      <c r="L10" s="6"/>
      <c r="M10" s="6"/>
      <c r="N10" s="6"/>
      <c r="O10" s="6"/>
      <c r="P10" s="6"/>
      <c r="Q10" s="6"/>
      <c r="R10" s="6"/>
      <c r="S10" s="6"/>
      <c r="T10" s="6"/>
      <c r="U10" s="6"/>
      <c r="V10" s="6"/>
      <c r="W10" s="6"/>
      <c r="X10" s="6"/>
      <c r="Y10" s="6"/>
      <c r="Z10" s="6"/>
    </row>
    <row r="11" spans="1:26" ht="18" customHeight="1" x14ac:dyDescent="0.3">
      <c r="A11" s="152"/>
      <c r="B11" s="128"/>
      <c r="C11" s="152"/>
      <c r="D11" s="128"/>
      <c r="E11" s="124"/>
      <c r="F11" s="152"/>
      <c r="G11" s="128"/>
      <c r="H11" s="146"/>
      <c r="I11" s="146"/>
      <c r="J11" s="6"/>
      <c r="K11" s="6"/>
      <c r="L11" s="6"/>
      <c r="M11" s="6"/>
      <c r="N11" s="6"/>
      <c r="O11" s="6"/>
      <c r="P11" s="6"/>
      <c r="Q11" s="6"/>
      <c r="R11" s="6"/>
      <c r="S11" s="6"/>
      <c r="T11" s="6"/>
      <c r="U11" s="6"/>
      <c r="V11" s="6"/>
      <c r="W11" s="6"/>
      <c r="X11" s="6"/>
      <c r="Y11" s="6"/>
      <c r="Z11" s="6"/>
    </row>
    <row r="12" spans="1:26" ht="18" customHeight="1" x14ac:dyDescent="0.3">
      <c r="A12" s="152"/>
      <c r="B12" s="128"/>
      <c r="C12" s="152"/>
      <c r="D12" s="128"/>
      <c r="E12" s="124"/>
      <c r="F12" s="152"/>
      <c r="G12" s="128"/>
      <c r="H12" s="146"/>
      <c r="I12" s="146"/>
      <c r="J12" s="6"/>
      <c r="K12" s="6"/>
      <c r="L12" s="6"/>
      <c r="M12" s="6"/>
      <c r="N12" s="6"/>
      <c r="O12" s="6"/>
      <c r="P12" s="6"/>
      <c r="Q12" s="6"/>
      <c r="R12" s="6"/>
      <c r="S12" s="6"/>
      <c r="T12" s="6"/>
      <c r="U12" s="6"/>
      <c r="V12" s="6"/>
      <c r="W12" s="6"/>
      <c r="X12" s="6"/>
      <c r="Y12" s="6"/>
      <c r="Z12" s="6"/>
    </row>
    <row r="13" spans="1:26" ht="18" customHeight="1" x14ac:dyDescent="0.3">
      <c r="A13" s="152"/>
      <c r="B13" s="128"/>
      <c r="C13" s="152"/>
      <c r="D13" s="128"/>
      <c r="E13" s="124"/>
      <c r="F13" s="152"/>
      <c r="G13" s="128"/>
      <c r="H13" s="146"/>
      <c r="I13" s="146"/>
      <c r="J13" s="6"/>
      <c r="K13" s="6"/>
      <c r="L13" s="6"/>
      <c r="M13" s="6"/>
      <c r="N13" s="6"/>
      <c r="O13" s="6"/>
      <c r="P13" s="6"/>
      <c r="Q13" s="6"/>
      <c r="R13" s="6"/>
      <c r="S13" s="6"/>
      <c r="T13" s="6"/>
      <c r="U13" s="6"/>
      <c r="V13" s="6"/>
      <c r="W13" s="6"/>
      <c r="X13" s="6"/>
      <c r="Y13" s="6"/>
      <c r="Z13" s="6"/>
    </row>
    <row r="14" spans="1:26" ht="18" customHeight="1" x14ac:dyDescent="0.3">
      <c r="A14" s="152"/>
      <c r="B14" s="128"/>
      <c r="C14" s="152"/>
      <c r="D14" s="128"/>
      <c r="E14" s="124"/>
      <c r="F14" s="152"/>
      <c r="G14" s="128"/>
      <c r="H14" s="146"/>
      <c r="I14" s="146"/>
      <c r="J14" s="6"/>
      <c r="K14" s="6"/>
      <c r="L14" s="6"/>
      <c r="M14" s="6"/>
      <c r="N14" s="6"/>
      <c r="O14" s="6"/>
      <c r="P14" s="6"/>
      <c r="Q14" s="6"/>
      <c r="R14" s="6"/>
      <c r="S14" s="6"/>
      <c r="T14" s="6"/>
      <c r="U14" s="6"/>
      <c r="V14" s="6"/>
      <c r="W14" s="6"/>
      <c r="X14" s="6"/>
      <c r="Y14" s="6"/>
      <c r="Z14" s="6"/>
    </row>
    <row r="15" spans="1:26" ht="18" customHeight="1" x14ac:dyDescent="0.3">
      <c r="A15" s="152"/>
      <c r="B15" s="128"/>
      <c r="C15" s="152"/>
      <c r="D15" s="128"/>
      <c r="E15" s="124"/>
      <c r="F15" s="152"/>
      <c r="G15" s="128"/>
      <c r="H15" s="146"/>
      <c r="I15" s="146"/>
      <c r="J15" s="6"/>
      <c r="K15" s="6"/>
      <c r="L15" s="6"/>
      <c r="M15" s="6"/>
      <c r="N15" s="6"/>
      <c r="O15" s="6"/>
      <c r="P15" s="6"/>
      <c r="Q15" s="6"/>
      <c r="R15" s="6"/>
      <c r="S15" s="6"/>
      <c r="T15" s="6"/>
      <c r="U15" s="6"/>
      <c r="V15" s="6"/>
      <c r="W15" s="6"/>
      <c r="X15" s="6"/>
      <c r="Y15" s="6"/>
      <c r="Z15" s="6"/>
    </row>
    <row r="16" spans="1:26" ht="18" customHeight="1" x14ac:dyDescent="0.3">
      <c r="A16" s="152"/>
      <c r="B16" s="128"/>
      <c r="C16" s="152"/>
      <c r="D16" s="128"/>
      <c r="E16" s="124"/>
      <c r="F16" s="152"/>
      <c r="G16" s="128"/>
      <c r="H16" s="146"/>
      <c r="I16" s="146"/>
      <c r="J16" s="6"/>
      <c r="K16" s="6"/>
      <c r="L16" s="6"/>
      <c r="M16" s="6"/>
      <c r="N16" s="6"/>
      <c r="O16" s="6"/>
      <c r="P16" s="6"/>
      <c r="Q16" s="6"/>
      <c r="R16" s="6"/>
      <c r="S16" s="6"/>
      <c r="T16" s="6"/>
      <c r="U16" s="6"/>
      <c r="V16" s="6"/>
      <c r="W16" s="6"/>
      <c r="X16" s="6"/>
      <c r="Y16" s="6"/>
      <c r="Z16" s="6"/>
    </row>
    <row r="17" spans="1:26" ht="18" customHeight="1" x14ac:dyDescent="0.3">
      <c r="A17" s="152"/>
      <c r="B17" s="128"/>
      <c r="C17" s="152"/>
      <c r="D17" s="128"/>
      <c r="E17" s="124"/>
      <c r="F17" s="152"/>
      <c r="G17" s="128"/>
      <c r="H17" s="146"/>
      <c r="I17" s="146"/>
      <c r="J17" s="6"/>
      <c r="K17" s="6"/>
      <c r="L17" s="6"/>
      <c r="M17" s="6"/>
      <c r="N17" s="6"/>
      <c r="O17" s="6"/>
      <c r="P17" s="6"/>
      <c r="Q17" s="6"/>
      <c r="R17" s="6"/>
      <c r="S17" s="6"/>
      <c r="T17" s="6"/>
      <c r="U17" s="6"/>
      <c r="V17" s="6"/>
      <c r="W17" s="6"/>
      <c r="X17" s="6"/>
      <c r="Y17" s="6"/>
      <c r="Z17" s="6"/>
    </row>
    <row r="18" spans="1:26" ht="18" customHeight="1" x14ac:dyDescent="0.3">
      <c r="A18" s="152"/>
      <c r="B18" s="128"/>
      <c r="C18" s="152"/>
      <c r="D18" s="128"/>
      <c r="E18" s="124"/>
      <c r="F18" s="152"/>
      <c r="G18" s="128"/>
      <c r="H18" s="146"/>
      <c r="I18" s="146"/>
      <c r="J18" s="6"/>
      <c r="K18" s="6"/>
      <c r="L18" s="6"/>
      <c r="M18" s="6"/>
      <c r="N18" s="6"/>
      <c r="O18" s="6"/>
      <c r="P18" s="6"/>
      <c r="Q18" s="6"/>
      <c r="R18" s="6"/>
      <c r="S18" s="6"/>
      <c r="T18" s="6"/>
      <c r="U18" s="6"/>
      <c r="V18" s="6"/>
      <c r="W18" s="6"/>
      <c r="X18" s="6"/>
      <c r="Y18" s="6"/>
      <c r="Z18" s="6"/>
    </row>
    <row r="19" spans="1:26" ht="18" customHeight="1" x14ac:dyDescent="0.3">
      <c r="A19" s="152"/>
      <c r="B19" s="128"/>
      <c r="C19" s="152"/>
      <c r="D19" s="128"/>
      <c r="E19" s="124"/>
      <c r="F19" s="152"/>
      <c r="G19" s="128"/>
      <c r="H19" s="146"/>
      <c r="I19" s="146"/>
      <c r="J19" s="6"/>
      <c r="K19" s="6"/>
      <c r="L19" s="6"/>
      <c r="M19" s="6"/>
      <c r="N19" s="6"/>
      <c r="O19" s="6"/>
      <c r="P19" s="6"/>
      <c r="Q19" s="6"/>
      <c r="R19" s="6"/>
      <c r="S19" s="6"/>
      <c r="T19" s="6"/>
      <c r="U19" s="6"/>
      <c r="V19" s="6"/>
      <c r="W19" s="6"/>
      <c r="X19" s="6"/>
      <c r="Y19" s="6"/>
      <c r="Z19" s="6"/>
    </row>
    <row r="20" spans="1:26" ht="18" customHeight="1" x14ac:dyDescent="0.3">
      <c r="A20" s="152"/>
      <c r="B20" s="128"/>
      <c r="C20" s="152"/>
      <c r="D20" s="128"/>
      <c r="E20" s="124"/>
      <c r="F20" s="152"/>
      <c r="G20" s="128"/>
      <c r="H20" s="146"/>
      <c r="I20" s="146"/>
      <c r="J20" s="6"/>
      <c r="K20" s="6"/>
      <c r="L20" s="6"/>
      <c r="M20" s="6"/>
      <c r="N20" s="6"/>
      <c r="O20" s="6"/>
      <c r="P20" s="6"/>
      <c r="Q20" s="6"/>
      <c r="R20" s="6"/>
      <c r="S20" s="6"/>
      <c r="T20" s="6"/>
      <c r="U20" s="6"/>
      <c r="V20" s="6"/>
      <c r="W20" s="6"/>
      <c r="X20" s="6"/>
      <c r="Y20" s="6"/>
      <c r="Z20" s="6"/>
    </row>
    <row r="21" spans="1:26" ht="18" customHeight="1" x14ac:dyDescent="0.3">
      <c r="A21" s="152"/>
      <c r="B21" s="128"/>
      <c r="C21" s="152"/>
      <c r="D21" s="128"/>
      <c r="E21" s="124"/>
      <c r="F21" s="152"/>
      <c r="G21" s="128"/>
      <c r="H21" s="146"/>
      <c r="I21" s="146"/>
      <c r="J21" s="6"/>
      <c r="K21" s="6"/>
      <c r="L21" s="6"/>
      <c r="M21" s="6"/>
      <c r="N21" s="6"/>
      <c r="O21" s="6"/>
      <c r="P21" s="6"/>
      <c r="Q21" s="6"/>
      <c r="R21" s="6"/>
      <c r="S21" s="6"/>
      <c r="T21" s="6"/>
      <c r="U21" s="6"/>
      <c r="V21" s="6"/>
      <c r="W21" s="6"/>
      <c r="X21" s="6"/>
      <c r="Y21" s="6"/>
      <c r="Z21" s="6"/>
    </row>
    <row r="22" spans="1:26" ht="18" customHeight="1" x14ac:dyDescent="0.3">
      <c r="A22" s="152"/>
      <c r="B22" s="128"/>
      <c r="C22" s="152"/>
      <c r="D22" s="128"/>
      <c r="E22" s="124"/>
      <c r="F22" s="152"/>
      <c r="G22" s="128"/>
      <c r="H22" s="146"/>
      <c r="I22" s="146"/>
      <c r="J22" s="6"/>
      <c r="K22" s="6"/>
      <c r="L22" s="6"/>
      <c r="M22" s="6"/>
      <c r="N22" s="6"/>
      <c r="O22" s="6"/>
      <c r="P22" s="6"/>
      <c r="Q22" s="6"/>
      <c r="R22" s="6"/>
      <c r="S22" s="6"/>
      <c r="T22" s="6"/>
      <c r="U22" s="6"/>
      <c r="V22" s="6"/>
      <c r="W22" s="6"/>
      <c r="X22" s="6"/>
      <c r="Y22" s="6"/>
      <c r="Z22" s="6"/>
    </row>
    <row r="23" spans="1:26" ht="18" customHeight="1" x14ac:dyDescent="0.3">
      <c r="A23" s="152"/>
      <c r="B23" s="128"/>
      <c r="C23" s="152"/>
      <c r="D23" s="128"/>
      <c r="E23" s="124"/>
      <c r="F23" s="152"/>
      <c r="G23" s="128"/>
      <c r="H23" s="146"/>
      <c r="I23" s="146"/>
      <c r="J23" s="6"/>
      <c r="K23" s="6"/>
      <c r="L23" s="6"/>
      <c r="M23" s="6"/>
      <c r="N23" s="6"/>
      <c r="O23" s="6"/>
      <c r="P23" s="6"/>
      <c r="Q23" s="6"/>
      <c r="R23" s="6"/>
      <c r="S23" s="6"/>
      <c r="T23" s="6"/>
      <c r="U23" s="6"/>
      <c r="V23" s="6"/>
      <c r="W23" s="6"/>
      <c r="X23" s="6"/>
      <c r="Y23" s="6"/>
      <c r="Z23" s="6"/>
    </row>
    <row r="24" spans="1:26" ht="18" customHeight="1" x14ac:dyDescent="0.3">
      <c r="A24" s="152"/>
      <c r="B24" s="128"/>
      <c r="C24" s="152"/>
      <c r="D24" s="128"/>
      <c r="E24" s="124"/>
      <c r="F24" s="152"/>
      <c r="G24" s="128"/>
      <c r="H24" s="146"/>
      <c r="I24" s="146"/>
      <c r="J24" s="6"/>
      <c r="K24" s="6"/>
      <c r="L24" s="6"/>
      <c r="M24" s="6"/>
      <c r="N24" s="6"/>
      <c r="O24" s="6"/>
      <c r="P24" s="6"/>
      <c r="Q24" s="6"/>
      <c r="R24" s="6"/>
      <c r="S24" s="6"/>
      <c r="T24" s="6"/>
      <c r="U24" s="6"/>
      <c r="V24" s="6"/>
      <c r="W24" s="6"/>
      <c r="X24" s="6"/>
      <c r="Y24" s="6"/>
      <c r="Z24" s="6"/>
    </row>
    <row r="25" spans="1:26" ht="18" customHeight="1" x14ac:dyDescent="0.3">
      <c r="A25" s="152"/>
      <c r="B25" s="128"/>
      <c r="C25" s="152"/>
      <c r="D25" s="128"/>
      <c r="E25" s="124"/>
      <c r="F25" s="152"/>
      <c r="G25" s="128"/>
      <c r="H25" s="146"/>
      <c r="I25" s="146"/>
      <c r="J25" s="6"/>
      <c r="K25" s="6"/>
      <c r="L25" s="6"/>
      <c r="M25" s="6"/>
      <c r="N25" s="6"/>
      <c r="O25" s="6"/>
      <c r="P25" s="6"/>
      <c r="Q25" s="6"/>
      <c r="R25" s="6"/>
      <c r="S25" s="6"/>
      <c r="T25" s="6"/>
      <c r="U25" s="6"/>
      <c r="V25" s="6"/>
      <c r="W25" s="6"/>
      <c r="X25" s="6"/>
      <c r="Y25" s="6"/>
      <c r="Z25" s="6"/>
    </row>
    <row r="26" spans="1:26" ht="18" customHeight="1" x14ac:dyDescent="0.3">
      <c r="A26" s="152"/>
      <c r="B26" s="128"/>
      <c r="C26" s="152"/>
      <c r="D26" s="128"/>
      <c r="E26" s="124"/>
      <c r="F26" s="152"/>
      <c r="G26" s="128"/>
      <c r="H26" s="146"/>
      <c r="I26" s="146"/>
      <c r="J26" s="6"/>
      <c r="K26" s="6"/>
      <c r="L26" s="6"/>
      <c r="M26" s="6"/>
      <c r="N26" s="6"/>
      <c r="O26" s="6"/>
      <c r="P26" s="6"/>
      <c r="Q26" s="6"/>
      <c r="R26" s="6"/>
      <c r="S26" s="6"/>
      <c r="T26" s="6"/>
      <c r="U26" s="6"/>
      <c r="V26" s="6"/>
      <c r="W26" s="6"/>
      <c r="X26" s="6"/>
      <c r="Y26" s="6"/>
      <c r="Z26" s="6"/>
    </row>
    <row r="27" spans="1:26" ht="18" customHeight="1" x14ac:dyDescent="0.3">
      <c r="A27" s="152"/>
      <c r="B27" s="128"/>
      <c r="C27" s="152"/>
      <c r="D27" s="128"/>
      <c r="E27" s="124"/>
      <c r="F27" s="152"/>
      <c r="G27" s="128"/>
      <c r="H27" s="146"/>
      <c r="I27" s="146"/>
      <c r="J27" s="6"/>
      <c r="K27" s="6"/>
      <c r="L27" s="6"/>
      <c r="M27" s="6"/>
      <c r="N27" s="6"/>
      <c r="O27" s="6"/>
      <c r="P27" s="6"/>
      <c r="Q27" s="6"/>
      <c r="R27" s="6"/>
      <c r="S27" s="6"/>
      <c r="T27" s="6"/>
      <c r="U27" s="6"/>
      <c r="V27" s="6"/>
      <c r="W27" s="6"/>
      <c r="X27" s="6"/>
      <c r="Y27" s="6"/>
      <c r="Z27" s="6"/>
    </row>
    <row r="28" spans="1:26" ht="18" customHeight="1" x14ac:dyDescent="0.3">
      <c r="A28" s="152"/>
      <c r="B28" s="128"/>
      <c r="C28" s="152"/>
      <c r="D28" s="128"/>
      <c r="E28" s="124"/>
      <c r="F28" s="152"/>
      <c r="G28" s="128"/>
      <c r="H28" s="146"/>
      <c r="I28" s="146"/>
      <c r="J28" s="6"/>
      <c r="K28" s="6"/>
      <c r="L28" s="6"/>
      <c r="M28" s="6"/>
      <c r="N28" s="6"/>
      <c r="O28" s="6"/>
      <c r="P28" s="6"/>
      <c r="Q28" s="6"/>
      <c r="R28" s="6"/>
      <c r="S28" s="6"/>
      <c r="T28" s="6"/>
      <c r="U28" s="6"/>
      <c r="V28" s="6"/>
      <c r="W28" s="6"/>
      <c r="X28" s="6"/>
      <c r="Y28" s="6"/>
      <c r="Z28" s="6"/>
    </row>
    <row r="29" spans="1:26" ht="18" customHeight="1" x14ac:dyDescent="0.3">
      <c r="A29" s="152"/>
      <c r="B29" s="128"/>
      <c r="C29" s="152"/>
      <c r="D29" s="128"/>
      <c r="E29" s="124"/>
      <c r="F29" s="152"/>
      <c r="G29" s="128"/>
      <c r="H29" s="146"/>
      <c r="I29" s="146"/>
      <c r="J29" s="6"/>
      <c r="K29" s="6"/>
      <c r="L29" s="6"/>
      <c r="M29" s="6"/>
      <c r="N29" s="6"/>
      <c r="O29" s="6"/>
      <c r="P29" s="6"/>
      <c r="Q29" s="6"/>
      <c r="R29" s="6"/>
      <c r="S29" s="6"/>
      <c r="T29" s="6"/>
      <c r="U29" s="6"/>
      <c r="V29" s="6"/>
      <c r="W29" s="6"/>
      <c r="X29" s="6"/>
      <c r="Y29" s="6"/>
      <c r="Z29" s="6"/>
    </row>
    <row r="30" spans="1:26" ht="18" customHeight="1" x14ac:dyDescent="0.3">
      <c r="A30" s="152"/>
      <c r="B30" s="128"/>
      <c r="C30" s="152"/>
      <c r="D30" s="128"/>
      <c r="E30" s="124"/>
      <c r="F30" s="152"/>
      <c r="G30" s="128"/>
      <c r="H30" s="146"/>
      <c r="I30" s="146"/>
      <c r="J30" s="6"/>
      <c r="K30" s="6"/>
      <c r="L30" s="6"/>
      <c r="M30" s="6"/>
      <c r="N30" s="6"/>
      <c r="O30" s="6"/>
      <c r="P30" s="6"/>
      <c r="Q30" s="6"/>
      <c r="R30" s="6"/>
      <c r="S30" s="6"/>
      <c r="T30" s="6"/>
      <c r="U30" s="6"/>
      <c r="V30" s="6"/>
      <c r="W30" s="6"/>
      <c r="X30" s="6"/>
      <c r="Y30" s="6"/>
      <c r="Z30" s="6"/>
    </row>
    <row r="31" spans="1:26" ht="18" customHeight="1" x14ac:dyDescent="0.3">
      <c r="A31" s="152"/>
      <c r="B31" s="128"/>
      <c r="C31" s="152"/>
      <c r="D31" s="128"/>
      <c r="E31" s="124"/>
      <c r="F31" s="152"/>
      <c r="G31" s="128"/>
      <c r="H31" s="146"/>
      <c r="I31" s="146"/>
      <c r="J31" s="6"/>
      <c r="K31" s="6"/>
      <c r="L31" s="6"/>
      <c r="M31" s="6"/>
      <c r="N31" s="6"/>
      <c r="O31" s="6"/>
      <c r="P31" s="6"/>
      <c r="Q31" s="6"/>
      <c r="R31" s="6"/>
      <c r="S31" s="6"/>
      <c r="T31" s="6"/>
      <c r="U31" s="6"/>
      <c r="V31" s="6"/>
      <c r="W31" s="6"/>
      <c r="X31" s="6"/>
      <c r="Y31" s="6"/>
      <c r="Z31" s="6"/>
    </row>
    <row r="32" spans="1:26" ht="18" customHeight="1" x14ac:dyDescent="0.3">
      <c r="A32" s="152"/>
      <c r="B32" s="128"/>
      <c r="C32" s="152"/>
      <c r="D32" s="128"/>
      <c r="E32" s="124"/>
      <c r="F32" s="152"/>
      <c r="G32" s="128"/>
      <c r="H32" s="146"/>
      <c r="I32" s="146"/>
      <c r="J32" s="6"/>
      <c r="K32" s="6"/>
      <c r="L32" s="6"/>
      <c r="M32" s="6"/>
      <c r="N32" s="6"/>
      <c r="O32" s="6"/>
      <c r="P32" s="6"/>
      <c r="Q32" s="6"/>
      <c r="R32" s="6"/>
      <c r="S32" s="6"/>
      <c r="T32" s="6"/>
      <c r="U32" s="6"/>
      <c r="V32" s="6"/>
      <c r="W32" s="6"/>
      <c r="X32" s="6"/>
      <c r="Y32" s="6"/>
      <c r="Z32" s="6"/>
    </row>
    <row r="33" spans="1:26" ht="18" customHeight="1" x14ac:dyDescent="0.3">
      <c r="A33" s="152"/>
      <c r="B33" s="128"/>
      <c r="C33" s="152"/>
      <c r="D33" s="128"/>
      <c r="E33" s="124"/>
      <c r="F33" s="152"/>
      <c r="G33" s="128"/>
      <c r="H33" s="146"/>
      <c r="I33" s="146"/>
      <c r="J33" s="6"/>
      <c r="K33" s="6"/>
      <c r="L33" s="6"/>
      <c r="M33" s="6"/>
      <c r="N33" s="6"/>
      <c r="O33" s="6"/>
      <c r="P33" s="6"/>
      <c r="Q33" s="6"/>
      <c r="R33" s="6"/>
      <c r="S33" s="6"/>
      <c r="T33" s="6"/>
      <c r="U33" s="6"/>
      <c r="V33" s="6"/>
      <c r="W33" s="6"/>
      <c r="X33" s="6"/>
      <c r="Y33" s="6"/>
      <c r="Z33" s="6"/>
    </row>
    <row r="34" spans="1:26" ht="18" customHeight="1" x14ac:dyDescent="0.3">
      <c r="A34" s="152"/>
      <c r="B34" s="128"/>
      <c r="C34" s="152"/>
      <c r="D34" s="128"/>
      <c r="E34" s="124"/>
      <c r="F34" s="152"/>
      <c r="G34" s="128"/>
      <c r="H34" s="146"/>
      <c r="I34" s="146"/>
      <c r="J34" s="6"/>
      <c r="K34" s="6"/>
      <c r="L34" s="6"/>
      <c r="M34" s="6"/>
      <c r="N34" s="6"/>
      <c r="O34" s="6"/>
      <c r="P34" s="6"/>
      <c r="Q34" s="6"/>
      <c r="R34" s="6"/>
      <c r="S34" s="6"/>
      <c r="T34" s="6"/>
      <c r="U34" s="6"/>
      <c r="V34" s="6"/>
      <c r="W34" s="6"/>
      <c r="X34" s="6"/>
      <c r="Y34" s="6"/>
      <c r="Z34" s="6"/>
    </row>
    <row r="35" spans="1:26" ht="18" customHeight="1" x14ac:dyDescent="0.3">
      <c r="A35" s="152"/>
      <c r="B35" s="128"/>
      <c r="C35" s="152"/>
      <c r="D35" s="128"/>
      <c r="E35" s="124"/>
      <c r="F35" s="152"/>
      <c r="G35" s="128"/>
      <c r="H35" s="146"/>
      <c r="I35" s="146"/>
      <c r="J35" s="6"/>
      <c r="K35" s="6"/>
      <c r="L35" s="6"/>
      <c r="M35" s="6"/>
      <c r="N35" s="6"/>
      <c r="O35" s="6"/>
      <c r="P35" s="6"/>
      <c r="Q35" s="6"/>
      <c r="R35" s="6"/>
      <c r="S35" s="6"/>
      <c r="T35" s="6"/>
      <c r="U35" s="6"/>
      <c r="V35" s="6"/>
      <c r="W35" s="6"/>
      <c r="X35" s="6"/>
      <c r="Y35" s="6"/>
      <c r="Z35" s="6"/>
    </row>
    <row r="36" spans="1:26" ht="18" customHeight="1" x14ac:dyDescent="0.3">
      <c r="A36" s="152"/>
      <c r="B36" s="128"/>
      <c r="C36" s="152"/>
      <c r="D36" s="128"/>
      <c r="E36" s="124"/>
      <c r="F36" s="152"/>
      <c r="G36" s="128"/>
      <c r="H36" s="146"/>
      <c r="I36" s="146"/>
      <c r="J36" s="6"/>
      <c r="K36" s="6"/>
      <c r="L36" s="6"/>
      <c r="M36" s="6"/>
      <c r="N36" s="6"/>
      <c r="O36" s="6"/>
      <c r="P36" s="6"/>
      <c r="Q36" s="6"/>
      <c r="R36" s="6"/>
      <c r="S36" s="6"/>
      <c r="T36" s="6"/>
      <c r="U36" s="6"/>
      <c r="V36" s="6"/>
      <c r="W36" s="6"/>
      <c r="X36" s="6"/>
      <c r="Y36" s="6"/>
      <c r="Z36" s="6"/>
    </row>
    <row r="37" spans="1:26" ht="18" customHeight="1" x14ac:dyDescent="0.3">
      <c r="A37" s="152"/>
      <c r="B37" s="128"/>
      <c r="C37" s="152"/>
      <c r="D37" s="128"/>
      <c r="E37" s="124"/>
      <c r="F37" s="152"/>
      <c r="G37" s="128"/>
      <c r="H37" s="146"/>
      <c r="I37" s="146"/>
      <c r="J37" s="6"/>
      <c r="K37" s="6"/>
      <c r="L37" s="6"/>
      <c r="M37" s="6"/>
      <c r="N37" s="6"/>
      <c r="O37" s="6"/>
      <c r="P37" s="6"/>
      <c r="Q37" s="6"/>
      <c r="R37" s="6"/>
      <c r="S37" s="6"/>
      <c r="T37" s="6"/>
      <c r="U37" s="6"/>
      <c r="V37" s="6"/>
      <c r="W37" s="6"/>
      <c r="X37" s="6"/>
      <c r="Y37" s="6"/>
      <c r="Z37" s="6"/>
    </row>
    <row r="38" spans="1:26" ht="18" customHeight="1" x14ac:dyDescent="0.3">
      <c r="A38" s="152"/>
      <c r="B38" s="128"/>
      <c r="C38" s="152"/>
      <c r="D38" s="128"/>
      <c r="E38" s="124"/>
      <c r="F38" s="152"/>
      <c r="G38" s="128"/>
      <c r="H38" s="146"/>
      <c r="I38" s="146"/>
      <c r="J38" s="6"/>
      <c r="K38" s="6"/>
      <c r="L38" s="6"/>
      <c r="M38" s="6"/>
      <c r="N38" s="6"/>
      <c r="O38" s="6"/>
      <c r="P38" s="6"/>
      <c r="Q38" s="6"/>
      <c r="R38" s="6"/>
      <c r="S38" s="6"/>
      <c r="T38" s="6"/>
      <c r="U38" s="6"/>
      <c r="V38" s="6"/>
      <c r="W38" s="6"/>
      <c r="X38" s="6"/>
      <c r="Y38" s="6"/>
      <c r="Z38" s="6"/>
    </row>
    <row r="39" spans="1:26" ht="18" customHeight="1" x14ac:dyDescent="0.3">
      <c r="A39" s="152"/>
      <c r="B39" s="128"/>
      <c r="C39" s="152"/>
      <c r="D39" s="128"/>
      <c r="E39" s="124"/>
      <c r="F39" s="152"/>
      <c r="G39" s="128"/>
      <c r="H39" s="146"/>
      <c r="I39" s="146"/>
      <c r="J39" s="6"/>
      <c r="K39" s="6"/>
      <c r="L39" s="6"/>
      <c r="M39" s="6"/>
      <c r="N39" s="6"/>
      <c r="O39" s="6"/>
      <c r="P39" s="6"/>
      <c r="Q39" s="6"/>
      <c r="R39" s="6"/>
      <c r="S39" s="6"/>
      <c r="T39" s="6"/>
      <c r="U39" s="6"/>
      <c r="V39" s="6"/>
      <c r="W39" s="6"/>
      <c r="X39" s="6"/>
      <c r="Y39" s="6"/>
      <c r="Z39" s="6"/>
    </row>
    <row r="40" spans="1:26" ht="18" customHeight="1" x14ac:dyDescent="0.3">
      <c r="A40" s="152"/>
      <c r="B40" s="128"/>
      <c r="C40" s="152"/>
      <c r="D40" s="128"/>
      <c r="E40" s="124"/>
      <c r="F40" s="152"/>
      <c r="G40" s="128"/>
      <c r="H40" s="146"/>
      <c r="I40" s="146"/>
      <c r="J40" s="6"/>
      <c r="K40" s="6"/>
      <c r="L40" s="6"/>
      <c r="M40" s="6"/>
      <c r="N40" s="6"/>
      <c r="O40" s="6"/>
      <c r="P40" s="6"/>
      <c r="Q40" s="6"/>
      <c r="R40" s="6"/>
      <c r="S40" s="6"/>
      <c r="T40" s="6"/>
      <c r="U40" s="6"/>
      <c r="V40" s="6"/>
      <c r="W40" s="6"/>
      <c r="X40" s="6"/>
      <c r="Y40" s="6"/>
      <c r="Z40" s="6"/>
    </row>
    <row r="41" spans="1:26" ht="18" customHeight="1" x14ac:dyDescent="0.3">
      <c r="A41" s="152"/>
      <c r="B41" s="128"/>
      <c r="C41" s="152"/>
      <c r="D41" s="128"/>
      <c r="E41" s="124"/>
      <c r="F41" s="152"/>
      <c r="G41" s="128"/>
      <c r="H41" s="146"/>
      <c r="I41" s="146"/>
      <c r="J41" s="6"/>
      <c r="K41" s="6"/>
      <c r="L41" s="6"/>
      <c r="M41" s="6"/>
      <c r="N41" s="6"/>
      <c r="O41" s="6"/>
      <c r="P41" s="6"/>
      <c r="Q41" s="6"/>
      <c r="R41" s="6"/>
      <c r="S41" s="6"/>
      <c r="T41" s="6"/>
      <c r="U41" s="6"/>
      <c r="V41" s="6"/>
      <c r="W41" s="6"/>
      <c r="X41" s="6"/>
      <c r="Y41" s="6"/>
      <c r="Z41" s="6"/>
    </row>
    <row r="42" spans="1:26" ht="18" customHeight="1" x14ac:dyDescent="0.3">
      <c r="A42" s="152"/>
      <c r="B42" s="128"/>
      <c r="C42" s="152"/>
      <c r="D42" s="128"/>
      <c r="E42" s="124"/>
      <c r="F42" s="152"/>
      <c r="G42" s="128"/>
      <c r="H42" s="146"/>
      <c r="I42" s="146"/>
      <c r="J42" s="6"/>
      <c r="K42" s="6"/>
      <c r="L42" s="6"/>
      <c r="M42" s="6"/>
      <c r="N42" s="6"/>
      <c r="O42" s="6"/>
      <c r="P42" s="6"/>
      <c r="Q42" s="6"/>
      <c r="R42" s="6"/>
      <c r="S42" s="6"/>
      <c r="T42" s="6"/>
      <c r="U42" s="6"/>
      <c r="V42" s="6"/>
      <c r="W42" s="6"/>
      <c r="X42" s="6"/>
      <c r="Y42" s="6"/>
      <c r="Z42" s="6"/>
    </row>
    <row r="43" spans="1:26" ht="18" customHeight="1" x14ac:dyDescent="0.3">
      <c r="A43" s="152"/>
      <c r="B43" s="128"/>
      <c r="C43" s="152"/>
      <c r="D43" s="128"/>
      <c r="E43" s="124"/>
      <c r="F43" s="152"/>
      <c r="G43" s="128"/>
      <c r="H43" s="146"/>
      <c r="I43" s="146"/>
      <c r="J43" s="6"/>
      <c r="K43" s="6"/>
      <c r="L43" s="6"/>
      <c r="M43" s="6"/>
      <c r="N43" s="6"/>
      <c r="O43" s="6"/>
      <c r="P43" s="6"/>
      <c r="Q43" s="6"/>
      <c r="R43" s="6"/>
      <c r="S43" s="6"/>
      <c r="T43" s="6"/>
      <c r="U43" s="6"/>
      <c r="V43" s="6"/>
      <c r="W43" s="6"/>
      <c r="X43" s="6"/>
      <c r="Y43" s="6"/>
      <c r="Z43" s="6"/>
    </row>
    <row r="44" spans="1:26" ht="18" customHeight="1" x14ac:dyDescent="0.3">
      <c r="A44" s="152"/>
      <c r="B44" s="128"/>
      <c r="C44" s="152"/>
      <c r="D44" s="128"/>
      <c r="E44" s="124"/>
      <c r="F44" s="152"/>
      <c r="G44" s="128"/>
      <c r="H44" s="146"/>
      <c r="I44" s="146"/>
      <c r="J44" s="6"/>
      <c r="K44" s="6"/>
      <c r="L44" s="6"/>
      <c r="M44" s="6"/>
      <c r="N44" s="6"/>
      <c r="O44" s="6"/>
      <c r="P44" s="6"/>
      <c r="Q44" s="6"/>
      <c r="R44" s="6"/>
      <c r="S44" s="6"/>
      <c r="T44" s="6"/>
      <c r="U44" s="6"/>
      <c r="V44" s="6"/>
      <c r="W44" s="6"/>
      <c r="X44" s="6"/>
      <c r="Y44" s="6"/>
      <c r="Z44" s="6"/>
    </row>
    <row r="45" spans="1:26" ht="18" customHeight="1" x14ac:dyDescent="0.3">
      <c r="A45" s="152"/>
      <c r="B45" s="128"/>
      <c r="C45" s="152"/>
      <c r="D45" s="128"/>
      <c r="E45" s="124"/>
      <c r="F45" s="152"/>
      <c r="G45" s="128"/>
      <c r="H45" s="146"/>
      <c r="I45" s="146"/>
      <c r="J45" s="6"/>
      <c r="K45" s="6"/>
      <c r="L45" s="6"/>
      <c r="M45" s="6"/>
      <c r="N45" s="6"/>
      <c r="O45" s="6"/>
      <c r="P45" s="6"/>
      <c r="Q45" s="6"/>
      <c r="R45" s="6"/>
      <c r="S45" s="6"/>
      <c r="T45" s="6"/>
      <c r="U45" s="6"/>
      <c r="V45" s="6"/>
      <c r="W45" s="6"/>
      <c r="X45" s="6"/>
      <c r="Y45" s="6"/>
      <c r="Z45" s="6"/>
    </row>
    <row r="46" spans="1:26" ht="18" customHeight="1" x14ac:dyDescent="0.3">
      <c r="A46" s="152"/>
      <c r="B46" s="128"/>
      <c r="C46" s="152"/>
      <c r="D46" s="128"/>
      <c r="E46" s="124"/>
      <c r="F46" s="152"/>
      <c r="G46" s="128"/>
      <c r="H46" s="146"/>
      <c r="I46" s="146"/>
      <c r="J46" s="6"/>
      <c r="K46" s="6"/>
      <c r="L46" s="6"/>
      <c r="M46" s="6"/>
      <c r="N46" s="6"/>
      <c r="O46" s="6"/>
      <c r="P46" s="6"/>
      <c r="Q46" s="6"/>
      <c r="R46" s="6"/>
      <c r="S46" s="6"/>
      <c r="T46" s="6"/>
      <c r="U46" s="6"/>
      <c r="V46" s="6"/>
      <c r="W46" s="6"/>
      <c r="X46" s="6"/>
      <c r="Y46" s="6"/>
      <c r="Z46" s="6"/>
    </row>
    <row r="47" spans="1:26" ht="18" customHeight="1" x14ac:dyDescent="0.3">
      <c r="A47" s="152"/>
      <c r="B47" s="128"/>
      <c r="C47" s="152"/>
      <c r="D47" s="128"/>
      <c r="E47" s="124"/>
      <c r="F47" s="152"/>
      <c r="G47" s="128"/>
      <c r="H47" s="146"/>
      <c r="I47" s="146"/>
      <c r="J47" s="6"/>
      <c r="K47" s="6"/>
      <c r="L47" s="6"/>
      <c r="M47" s="6"/>
      <c r="N47" s="6"/>
      <c r="O47" s="6"/>
      <c r="P47" s="6"/>
      <c r="Q47" s="6"/>
      <c r="R47" s="6"/>
      <c r="S47" s="6"/>
      <c r="T47" s="6"/>
      <c r="U47" s="6"/>
      <c r="V47" s="6"/>
      <c r="W47" s="6"/>
      <c r="X47" s="6"/>
      <c r="Y47" s="6"/>
      <c r="Z47" s="6"/>
    </row>
    <row r="48" spans="1:26" ht="18" customHeight="1" x14ac:dyDescent="0.3">
      <c r="A48" s="152"/>
      <c r="B48" s="128"/>
      <c r="C48" s="152"/>
      <c r="D48" s="128"/>
      <c r="E48" s="124"/>
      <c r="F48" s="152"/>
      <c r="G48" s="128"/>
      <c r="H48" s="146"/>
      <c r="I48" s="146"/>
      <c r="J48" s="6"/>
      <c r="K48" s="6"/>
      <c r="L48" s="6"/>
      <c r="M48" s="6"/>
      <c r="N48" s="6"/>
      <c r="O48" s="6"/>
      <c r="P48" s="6"/>
      <c r="Q48" s="6"/>
      <c r="R48" s="6"/>
      <c r="S48" s="6"/>
      <c r="T48" s="6"/>
      <c r="U48" s="6"/>
      <c r="V48" s="6"/>
      <c r="W48" s="6"/>
      <c r="X48" s="6"/>
      <c r="Y48" s="6"/>
      <c r="Z48" s="6"/>
    </row>
    <row r="49" spans="1:26" ht="18" customHeight="1" x14ac:dyDescent="0.3">
      <c r="A49" s="152"/>
      <c r="B49" s="128"/>
      <c r="C49" s="152"/>
      <c r="D49" s="128"/>
      <c r="E49" s="124"/>
      <c r="F49" s="152"/>
      <c r="G49" s="128"/>
      <c r="H49" s="146"/>
      <c r="I49" s="146"/>
      <c r="J49" s="6"/>
      <c r="K49" s="6"/>
      <c r="L49" s="6"/>
      <c r="M49" s="6"/>
      <c r="N49" s="6"/>
      <c r="O49" s="6"/>
      <c r="P49" s="6"/>
      <c r="Q49" s="6"/>
      <c r="R49" s="6"/>
      <c r="S49" s="6"/>
      <c r="T49" s="6"/>
      <c r="U49" s="6"/>
      <c r="V49" s="6"/>
      <c r="W49" s="6"/>
      <c r="X49" s="6"/>
      <c r="Y49" s="6"/>
      <c r="Z49" s="6"/>
    </row>
    <row r="50" spans="1:26" ht="18" customHeight="1" x14ac:dyDescent="0.3">
      <c r="A50" s="152"/>
      <c r="B50" s="128"/>
      <c r="C50" s="152"/>
      <c r="D50" s="128"/>
      <c r="E50" s="124"/>
      <c r="F50" s="152"/>
      <c r="G50" s="128"/>
      <c r="H50" s="146"/>
      <c r="I50" s="146"/>
      <c r="J50" s="6"/>
      <c r="K50" s="6"/>
      <c r="L50" s="6"/>
      <c r="M50" s="6"/>
      <c r="N50" s="6"/>
      <c r="O50" s="6"/>
      <c r="P50" s="6"/>
      <c r="Q50" s="6"/>
      <c r="R50" s="6"/>
      <c r="S50" s="6"/>
      <c r="T50" s="6"/>
      <c r="U50" s="6"/>
      <c r="V50" s="6"/>
      <c r="W50" s="6"/>
      <c r="X50" s="6"/>
      <c r="Y50" s="6"/>
      <c r="Z50" s="6"/>
    </row>
    <row r="51" spans="1:26" ht="18" customHeight="1" x14ac:dyDescent="0.3">
      <c r="A51" s="152"/>
      <c r="B51" s="128"/>
      <c r="C51" s="152"/>
      <c r="D51" s="128"/>
      <c r="E51" s="124"/>
      <c r="F51" s="152"/>
      <c r="G51" s="128"/>
      <c r="H51" s="146"/>
      <c r="I51" s="146"/>
      <c r="J51" s="6"/>
      <c r="K51" s="6"/>
      <c r="L51" s="6"/>
      <c r="M51" s="6"/>
      <c r="N51" s="6"/>
      <c r="O51" s="6"/>
      <c r="P51" s="6"/>
      <c r="Q51" s="6"/>
      <c r="R51" s="6"/>
      <c r="S51" s="6"/>
      <c r="T51" s="6"/>
      <c r="U51" s="6"/>
      <c r="V51" s="6"/>
      <c r="W51" s="6"/>
      <c r="X51" s="6"/>
      <c r="Y51" s="6"/>
      <c r="Z51" s="6"/>
    </row>
    <row r="52" spans="1:26" ht="18" customHeight="1" x14ac:dyDescent="0.3">
      <c r="A52" s="152"/>
      <c r="B52" s="128"/>
      <c r="C52" s="152"/>
      <c r="D52" s="128"/>
      <c r="E52" s="124"/>
      <c r="F52" s="152"/>
      <c r="G52" s="128"/>
      <c r="H52" s="146"/>
      <c r="I52" s="146"/>
      <c r="J52" s="6"/>
      <c r="K52" s="6"/>
      <c r="L52" s="6"/>
      <c r="M52" s="6"/>
      <c r="N52" s="6"/>
      <c r="O52" s="6"/>
      <c r="P52" s="6"/>
      <c r="Q52" s="6"/>
      <c r="R52" s="6"/>
      <c r="S52" s="6"/>
      <c r="T52" s="6"/>
      <c r="U52" s="6"/>
      <c r="V52" s="6"/>
      <c r="W52" s="6"/>
      <c r="X52" s="6"/>
      <c r="Y52" s="6"/>
      <c r="Z52" s="6"/>
    </row>
    <row r="53" spans="1:26" ht="18" customHeight="1" x14ac:dyDescent="0.3">
      <c r="A53" s="152"/>
      <c r="B53" s="128"/>
      <c r="C53" s="152"/>
      <c r="D53" s="128"/>
      <c r="E53" s="124"/>
      <c r="F53" s="152"/>
      <c r="G53" s="128"/>
      <c r="H53" s="146"/>
      <c r="I53" s="146"/>
      <c r="J53" s="6"/>
      <c r="K53" s="6"/>
      <c r="L53" s="6"/>
      <c r="M53" s="6"/>
      <c r="N53" s="6"/>
      <c r="O53" s="6"/>
      <c r="P53" s="6"/>
      <c r="Q53" s="6"/>
      <c r="R53" s="6"/>
      <c r="S53" s="6"/>
      <c r="T53" s="6"/>
      <c r="U53" s="6"/>
      <c r="V53" s="6"/>
      <c r="W53" s="6"/>
      <c r="X53" s="6"/>
      <c r="Y53" s="6"/>
      <c r="Z53" s="6"/>
    </row>
    <row r="54" spans="1:26" ht="18" customHeight="1" x14ac:dyDescent="0.3">
      <c r="A54" s="152"/>
      <c r="B54" s="128"/>
      <c r="C54" s="152"/>
      <c r="D54" s="128"/>
      <c r="E54" s="124"/>
      <c r="F54" s="152"/>
      <c r="G54" s="128"/>
      <c r="H54" s="146"/>
      <c r="I54" s="146"/>
      <c r="J54" s="6"/>
      <c r="K54" s="6"/>
      <c r="L54" s="6"/>
      <c r="M54" s="6"/>
      <c r="N54" s="6"/>
      <c r="O54" s="6"/>
      <c r="P54" s="6"/>
      <c r="Q54" s="6"/>
      <c r="R54" s="6"/>
      <c r="S54" s="6"/>
      <c r="T54" s="6"/>
      <c r="U54" s="6"/>
      <c r="V54" s="6"/>
      <c r="W54" s="6"/>
      <c r="X54" s="6"/>
      <c r="Y54" s="6"/>
      <c r="Z54" s="6"/>
    </row>
    <row r="55" spans="1:26" ht="18" customHeight="1" x14ac:dyDescent="0.3">
      <c r="A55" s="152"/>
      <c r="B55" s="128"/>
      <c r="C55" s="152"/>
      <c r="D55" s="128"/>
      <c r="E55" s="124"/>
      <c r="F55" s="152"/>
      <c r="G55" s="128"/>
      <c r="H55" s="146"/>
      <c r="I55" s="146"/>
      <c r="J55" s="6"/>
      <c r="K55" s="6"/>
      <c r="L55" s="6"/>
      <c r="M55" s="6"/>
      <c r="N55" s="6"/>
      <c r="O55" s="6"/>
      <c r="P55" s="6"/>
      <c r="Q55" s="6"/>
      <c r="R55" s="6"/>
      <c r="S55" s="6"/>
      <c r="T55" s="6"/>
      <c r="U55" s="6"/>
      <c r="V55" s="6"/>
      <c r="W55" s="6"/>
      <c r="X55" s="6"/>
      <c r="Y55" s="6"/>
      <c r="Z55" s="6"/>
    </row>
    <row r="56" spans="1:26" ht="18" customHeight="1" x14ac:dyDescent="0.3">
      <c r="A56" s="152"/>
      <c r="B56" s="128"/>
      <c r="C56" s="152"/>
      <c r="D56" s="128"/>
      <c r="E56" s="124"/>
      <c r="F56" s="152"/>
      <c r="G56" s="128"/>
      <c r="H56" s="146"/>
      <c r="I56" s="146"/>
      <c r="J56" s="6"/>
      <c r="K56" s="6"/>
      <c r="L56" s="6"/>
      <c r="M56" s="6"/>
      <c r="N56" s="6"/>
      <c r="O56" s="6"/>
      <c r="P56" s="6"/>
      <c r="Q56" s="6"/>
      <c r="R56" s="6"/>
      <c r="S56" s="6"/>
      <c r="T56" s="6"/>
      <c r="U56" s="6"/>
      <c r="V56" s="6"/>
      <c r="W56" s="6"/>
      <c r="X56" s="6"/>
      <c r="Y56" s="6"/>
      <c r="Z56" s="6"/>
    </row>
    <row r="57" spans="1:26" ht="18" customHeight="1" x14ac:dyDescent="0.3">
      <c r="A57" s="152"/>
      <c r="B57" s="128"/>
      <c r="C57" s="152"/>
      <c r="D57" s="128"/>
      <c r="E57" s="124"/>
      <c r="F57" s="152"/>
      <c r="G57" s="128"/>
      <c r="H57" s="146"/>
      <c r="I57" s="146"/>
      <c r="J57" s="6"/>
      <c r="K57" s="6"/>
      <c r="L57" s="6"/>
      <c r="M57" s="6"/>
      <c r="N57" s="6"/>
      <c r="O57" s="6"/>
      <c r="P57" s="6"/>
      <c r="Q57" s="6"/>
      <c r="R57" s="6"/>
      <c r="S57" s="6"/>
      <c r="T57" s="6"/>
      <c r="U57" s="6"/>
      <c r="V57" s="6"/>
      <c r="W57" s="6"/>
      <c r="X57" s="6"/>
      <c r="Y57" s="6"/>
      <c r="Z57" s="6"/>
    </row>
    <row r="58" spans="1:26" ht="18" customHeight="1" x14ac:dyDescent="0.3">
      <c r="A58" s="152"/>
      <c r="B58" s="128"/>
      <c r="C58" s="152"/>
      <c r="D58" s="128"/>
      <c r="E58" s="124"/>
      <c r="F58" s="152"/>
      <c r="G58" s="128"/>
      <c r="H58" s="146"/>
      <c r="I58" s="146"/>
      <c r="J58" s="6"/>
      <c r="K58" s="6"/>
      <c r="L58" s="6"/>
      <c r="M58" s="6"/>
      <c r="N58" s="6"/>
      <c r="O58" s="6"/>
      <c r="P58" s="6"/>
      <c r="Q58" s="6"/>
      <c r="R58" s="6"/>
      <c r="S58" s="6"/>
      <c r="T58" s="6"/>
      <c r="U58" s="6"/>
      <c r="V58" s="6"/>
      <c r="W58" s="6"/>
      <c r="X58" s="6"/>
      <c r="Y58" s="6"/>
      <c r="Z58" s="6"/>
    </row>
    <row r="59" spans="1:26" ht="18" customHeight="1" x14ac:dyDescent="0.3">
      <c r="A59" s="152"/>
      <c r="B59" s="128"/>
      <c r="C59" s="152"/>
      <c r="D59" s="128"/>
      <c r="E59" s="124"/>
      <c r="F59" s="152"/>
      <c r="G59" s="128"/>
      <c r="H59" s="146"/>
      <c r="I59" s="146"/>
      <c r="J59" s="6"/>
      <c r="K59" s="6"/>
      <c r="L59" s="6"/>
      <c r="M59" s="6"/>
      <c r="N59" s="6"/>
      <c r="O59" s="6"/>
      <c r="P59" s="6"/>
      <c r="Q59" s="6"/>
      <c r="R59" s="6"/>
      <c r="S59" s="6"/>
      <c r="T59" s="6"/>
      <c r="U59" s="6"/>
      <c r="V59" s="6"/>
      <c r="W59" s="6"/>
      <c r="X59" s="6"/>
      <c r="Y59" s="6"/>
      <c r="Z59" s="6"/>
    </row>
    <row r="60" spans="1:26" ht="18" customHeight="1" x14ac:dyDescent="0.3">
      <c r="A60" s="152"/>
      <c r="B60" s="128"/>
      <c r="C60" s="152"/>
      <c r="D60" s="128"/>
      <c r="E60" s="124"/>
      <c r="F60" s="152"/>
      <c r="G60" s="128"/>
      <c r="H60" s="146"/>
      <c r="I60" s="146"/>
      <c r="J60" s="6"/>
      <c r="K60" s="6"/>
      <c r="L60" s="6"/>
      <c r="M60" s="6"/>
      <c r="N60" s="6"/>
      <c r="O60" s="6"/>
      <c r="P60" s="6"/>
      <c r="Q60" s="6"/>
      <c r="R60" s="6"/>
      <c r="S60" s="6"/>
      <c r="T60" s="6"/>
      <c r="U60" s="6"/>
      <c r="V60" s="6"/>
      <c r="W60" s="6"/>
      <c r="X60" s="6"/>
      <c r="Y60" s="6"/>
      <c r="Z60" s="6"/>
    </row>
    <row r="61" spans="1:26" ht="18" customHeight="1" x14ac:dyDescent="0.3">
      <c r="A61" s="152"/>
      <c r="B61" s="128"/>
      <c r="C61" s="152"/>
      <c r="D61" s="128"/>
      <c r="E61" s="124"/>
      <c r="F61" s="152"/>
      <c r="G61" s="128"/>
      <c r="H61" s="146"/>
      <c r="I61" s="146"/>
      <c r="J61" s="6"/>
      <c r="K61" s="6"/>
      <c r="L61" s="6"/>
      <c r="M61" s="6"/>
      <c r="N61" s="6"/>
      <c r="O61" s="6"/>
      <c r="P61" s="6"/>
      <c r="Q61" s="6"/>
      <c r="R61" s="6"/>
      <c r="S61" s="6"/>
      <c r="T61" s="6"/>
      <c r="U61" s="6"/>
      <c r="V61" s="6"/>
      <c r="W61" s="6"/>
      <c r="X61" s="6"/>
      <c r="Y61" s="6"/>
      <c r="Z61" s="6"/>
    </row>
    <row r="62" spans="1:26" ht="18" customHeight="1" x14ac:dyDescent="0.3">
      <c r="A62" s="152"/>
      <c r="B62" s="128"/>
      <c r="C62" s="152"/>
      <c r="D62" s="128"/>
      <c r="E62" s="124"/>
      <c r="F62" s="152"/>
      <c r="G62" s="128"/>
      <c r="H62" s="146"/>
      <c r="I62" s="146"/>
      <c r="J62" s="6"/>
      <c r="K62" s="6"/>
      <c r="L62" s="6"/>
      <c r="M62" s="6"/>
      <c r="N62" s="6"/>
      <c r="O62" s="6"/>
      <c r="P62" s="6"/>
      <c r="Q62" s="6"/>
      <c r="R62" s="6"/>
      <c r="S62" s="6"/>
      <c r="T62" s="6"/>
      <c r="U62" s="6"/>
      <c r="V62" s="6"/>
      <c r="W62" s="6"/>
      <c r="X62" s="6"/>
      <c r="Y62" s="6"/>
      <c r="Z62" s="6"/>
    </row>
    <row r="63" spans="1:26" ht="18" customHeight="1" x14ac:dyDescent="0.3">
      <c r="A63" s="152"/>
      <c r="B63" s="128"/>
      <c r="C63" s="152"/>
      <c r="D63" s="128"/>
      <c r="E63" s="124"/>
      <c r="F63" s="152"/>
      <c r="G63" s="128"/>
      <c r="H63" s="146"/>
      <c r="I63" s="146"/>
      <c r="J63" s="6"/>
      <c r="K63" s="6"/>
      <c r="L63" s="6"/>
      <c r="M63" s="6"/>
      <c r="N63" s="6"/>
      <c r="O63" s="6"/>
      <c r="P63" s="6"/>
      <c r="Q63" s="6"/>
      <c r="R63" s="6"/>
      <c r="S63" s="6"/>
      <c r="T63" s="6"/>
      <c r="U63" s="6"/>
      <c r="V63" s="6"/>
      <c r="W63" s="6"/>
      <c r="X63" s="6"/>
      <c r="Y63" s="6"/>
      <c r="Z63" s="6"/>
    </row>
    <row r="64" spans="1:26" ht="18" customHeight="1" x14ac:dyDescent="0.3">
      <c r="A64" s="152"/>
      <c r="B64" s="128"/>
      <c r="C64" s="152"/>
      <c r="D64" s="128"/>
      <c r="E64" s="124"/>
      <c r="F64" s="152"/>
      <c r="G64" s="128"/>
      <c r="H64" s="146"/>
      <c r="I64" s="146"/>
      <c r="J64" s="6"/>
      <c r="K64" s="6"/>
      <c r="L64" s="6"/>
      <c r="M64" s="6"/>
      <c r="N64" s="6"/>
      <c r="O64" s="6"/>
      <c r="P64" s="6"/>
      <c r="Q64" s="6"/>
      <c r="R64" s="6"/>
      <c r="S64" s="6"/>
      <c r="T64" s="6"/>
      <c r="U64" s="6"/>
      <c r="V64" s="6"/>
      <c r="W64" s="6"/>
      <c r="X64" s="6"/>
      <c r="Y64" s="6"/>
      <c r="Z64" s="6"/>
    </row>
    <row r="65" spans="1:26" ht="18" customHeight="1" x14ac:dyDescent="0.3">
      <c r="A65" s="152"/>
      <c r="B65" s="128"/>
      <c r="C65" s="152"/>
      <c r="D65" s="128"/>
      <c r="E65" s="124"/>
      <c r="F65" s="152"/>
      <c r="G65" s="128"/>
      <c r="H65" s="146"/>
      <c r="I65" s="146"/>
      <c r="J65" s="6"/>
      <c r="K65" s="6"/>
      <c r="L65" s="6"/>
      <c r="M65" s="6"/>
      <c r="N65" s="6"/>
      <c r="O65" s="6"/>
      <c r="P65" s="6"/>
      <c r="Q65" s="6"/>
      <c r="R65" s="6"/>
      <c r="S65" s="6"/>
      <c r="T65" s="6"/>
      <c r="U65" s="6"/>
      <c r="V65" s="6"/>
      <c r="W65" s="6"/>
      <c r="X65" s="6"/>
      <c r="Y65" s="6"/>
      <c r="Z65" s="6"/>
    </row>
    <row r="66" spans="1:26" ht="18" customHeight="1" x14ac:dyDescent="0.3">
      <c r="A66" s="152"/>
      <c r="B66" s="128"/>
      <c r="C66" s="152"/>
      <c r="D66" s="128"/>
      <c r="E66" s="124"/>
      <c r="F66" s="152"/>
      <c r="G66" s="128"/>
      <c r="H66" s="146"/>
      <c r="I66" s="146"/>
      <c r="J66" s="6"/>
      <c r="K66" s="6"/>
      <c r="L66" s="6"/>
      <c r="M66" s="6"/>
      <c r="N66" s="6"/>
      <c r="O66" s="6"/>
      <c r="P66" s="6"/>
      <c r="Q66" s="6"/>
      <c r="R66" s="6"/>
      <c r="S66" s="6"/>
      <c r="T66" s="6"/>
      <c r="U66" s="6"/>
      <c r="V66" s="6"/>
      <c r="W66" s="6"/>
      <c r="X66" s="6"/>
      <c r="Y66" s="6"/>
      <c r="Z66" s="6"/>
    </row>
    <row r="67" spans="1:26" ht="18" customHeight="1" x14ac:dyDescent="0.3">
      <c r="A67" s="152"/>
      <c r="B67" s="128"/>
      <c r="C67" s="152"/>
      <c r="D67" s="128"/>
      <c r="E67" s="124"/>
      <c r="F67" s="152"/>
      <c r="G67" s="128"/>
      <c r="H67" s="146"/>
      <c r="I67" s="146"/>
      <c r="J67" s="6"/>
      <c r="K67" s="6"/>
      <c r="L67" s="6"/>
      <c r="M67" s="6"/>
      <c r="N67" s="6"/>
      <c r="O67" s="6"/>
      <c r="P67" s="6"/>
      <c r="Q67" s="6"/>
      <c r="R67" s="6"/>
      <c r="S67" s="6"/>
      <c r="T67" s="6"/>
      <c r="U67" s="6"/>
      <c r="V67" s="6"/>
      <c r="W67" s="6"/>
      <c r="X67" s="6"/>
      <c r="Y67" s="6"/>
      <c r="Z67" s="6"/>
    </row>
    <row r="68" spans="1:26" ht="18" customHeight="1" x14ac:dyDescent="0.3">
      <c r="A68" s="152"/>
      <c r="B68" s="128"/>
      <c r="C68" s="152"/>
      <c r="D68" s="128"/>
      <c r="E68" s="124"/>
      <c r="F68" s="152"/>
      <c r="G68" s="128"/>
      <c r="H68" s="146"/>
      <c r="I68" s="146"/>
      <c r="J68" s="6"/>
      <c r="K68" s="6"/>
      <c r="L68" s="6"/>
      <c r="M68" s="6"/>
      <c r="N68" s="6"/>
      <c r="O68" s="6"/>
      <c r="P68" s="6"/>
      <c r="Q68" s="6"/>
      <c r="R68" s="6"/>
      <c r="S68" s="6"/>
      <c r="T68" s="6"/>
      <c r="U68" s="6"/>
      <c r="V68" s="6"/>
      <c r="W68" s="6"/>
      <c r="X68" s="6"/>
      <c r="Y68" s="6"/>
      <c r="Z68" s="6"/>
    </row>
    <row r="69" spans="1:26" ht="18" customHeight="1" x14ac:dyDescent="0.3">
      <c r="A69" s="152"/>
      <c r="B69" s="128"/>
      <c r="C69" s="152"/>
      <c r="D69" s="128"/>
      <c r="E69" s="124"/>
      <c r="F69" s="152"/>
      <c r="G69" s="128"/>
      <c r="H69" s="146"/>
      <c r="I69" s="146"/>
      <c r="J69" s="6"/>
      <c r="K69" s="6"/>
      <c r="L69" s="6"/>
      <c r="M69" s="6"/>
      <c r="N69" s="6"/>
      <c r="O69" s="6"/>
      <c r="P69" s="6"/>
      <c r="Q69" s="6"/>
      <c r="R69" s="6"/>
      <c r="S69" s="6"/>
      <c r="T69" s="6"/>
      <c r="U69" s="6"/>
      <c r="V69" s="6"/>
      <c r="W69" s="6"/>
      <c r="X69" s="6"/>
      <c r="Y69" s="6"/>
      <c r="Z69" s="6"/>
    </row>
    <row r="70" spans="1:26" ht="18" customHeight="1" x14ac:dyDescent="0.3">
      <c r="A70" s="152"/>
      <c r="B70" s="128"/>
      <c r="C70" s="152"/>
      <c r="D70" s="128"/>
      <c r="E70" s="124"/>
      <c r="F70" s="152"/>
      <c r="G70" s="128"/>
      <c r="H70" s="146"/>
      <c r="I70" s="146"/>
      <c r="J70" s="6"/>
      <c r="K70" s="6"/>
      <c r="L70" s="6"/>
      <c r="M70" s="6"/>
      <c r="N70" s="6"/>
      <c r="O70" s="6"/>
      <c r="P70" s="6"/>
      <c r="Q70" s="6"/>
      <c r="R70" s="6"/>
      <c r="S70" s="6"/>
      <c r="T70" s="6"/>
      <c r="U70" s="6"/>
      <c r="V70" s="6"/>
      <c r="W70" s="6"/>
      <c r="X70" s="6"/>
      <c r="Y70" s="6"/>
      <c r="Z70" s="6"/>
    </row>
    <row r="71" spans="1:26" ht="18" customHeight="1" x14ac:dyDescent="0.3">
      <c r="A71" s="152"/>
      <c r="B71" s="128"/>
      <c r="C71" s="152"/>
      <c r="D71" s="128"/>
      <c r="E71" s="124"/>
      <c r="F71" s="152"/>
      <c r="G71" s="128"/>
      <c r="H71" s="146"/>
      <c r="I71" s="146"/>
      <c r="J71" s="6"/>
      <c r="K71" s="6"/>
      <c r="L71" s="6"/>
      <c r="M71" s="6"/>
      <c r="N71" s="6"/>
      <c r="O71" s="6"/>
      <c r="P71" s="6"/>
      <c r="Q71" s="6"/>
      <c r="R71" s="6"/>
      <c r="S71" s="6"/>
      <c r="T71" s="6"/>
      <c r="U71" s="6"/>
      <c r="V71" s="6"/>
      <c r="W71" s="6"/>
      <c r="X71" s="6"/>
      <c r="Y71" s="6"/>
      <c r="Z71" s="6"/>
    </row>
    <row r="72" spans="1:26" ht="18" customHeight="1" x14ac:dyDescent="0.3">
      <c r="A72" s="152"/>
      <c r="B72" s="128"/>
      <c r="C72" s="152"/>
      <c r="D72" s="128"/>
      <c r="E72" s="124"/>
      <c r="F72" s="152"/>
      <c r="G72" s="128"/>
      <c r="H72" s="146"/>
      <c r="I72" s="146"/>
      <c r="J72" s="6"/>
      <c r="K72" s="6"/>
      <c r="L72" s="6"/>
      <c r="M72" s="6"/>
      <c r="N72" s="6"/>
      <c r="O72" s="6"/>
      <c r="P72" s="6"/>
      <c r="Q72" s="6"/>
      <c r="R72" s="6"/>
      <c r="S72" s="6"/>
      <c r="T72" s="6"/>
      <c r="U72" s="6"/>
      <c r="V72" s="6"/>
      <c r="W72" s="6"/>
      <c r="X72" s="6"/>
      <c r="Y72" s="6"/>
      <c r="Z72" s="6"/>
    </row>
    <row r="73" spans="1:26" ht="18" customHeight="1" x14ac:dyDescent="0.3">
      <c r="A73" s="152"/>
      <c r="B73" s="128"/>
      <c r="C73" s="152"/>
      <c r="D73" s="128"/>
      <c r="E73" s="124"/>
      <c r="F73" s="152"/>
      <c r="G73" s="128"/>
      <c r="H73" s="146"/>
      <c r="I73" s="146"/>
      <c r="J73" s="6"/>
      <c r="K73" s="6"/>
      <c r="L73" s="6"/>
      <c r="M73" s="6"/>
      <c r="N73" s="6"/>
      <c r="O73" s="6"/>
      <c r="P73" s="6"/>
      <c r="Q73" s="6"/>
      <c r="R73" s="6"/>
      <c r="S73" s="6"/>
      <c r="T73" s="6"/>
      <c r="U73" s="6"/>
      <c r="V73" s="6"/>
      <c r="W73" s="6"/>
      <c r="X73" s="6"/>
      <c r="Y73" s="6"/>
      <c r="Z73" s="6"/>
    </row>
    <row r="74" spans="1:26" ht="18" customHeight="1" x14ac:dyDescent="0.3">
      <c r="A74" s="152"/>
      <c r="B74" s="128"/>
      <c r="C74" s="152"/>
      <c r="D74" s="128"/>
      <c r="E74" s="124"/>
      <c r="F74" s="152"/>
      <c r="G74" s="128"/>
      <c r="H74" s="146"/>
      <c r="I74" s="146"/>
      <c r="J74" s="6"/>
      <c r="K74" s="6"/>
      <c r="L74" s="6"/>
      <c r="M74" s="6"/>
      <c r="N74" s="6"/>
      <c r="O74" s="6"/>
      <c r="P74" s="6"/>
      <c r="Q74" s="6"/>
      <c r="R74" s="6"/>
      <c r="S74" s="6"/>
      <c r="T74" s="6"/>
      <c r="U74" s="6"/>
      <c r="V74" s="6"/>
      <c r="W74" s="6"/>
      <c r="X74" s="6"/>
      <c r="Y74" s="6"/>
      <c r="Z74" s="6"/>
    </row>
    <row r="75" spans="1:26" ht="18" customHeight="1" x14ac:dyDescent="0.3">
      <c r="A75" s="152"/>
      <c r="B75" s="128"/>
      <c r="C75" s="152"/>
      <c r="D75" s="128"/>
      <c r="E75" s="124"/>
      <c r="F75" s="152"/>
      <c r="G75" s="128"/>
      <c r="H75" s="146"/>
      <c r="I75" s="146"/>
      <c r="J75" s="6"/>
      <c r="K75" s="6"/>
      <c r="L75" s="6"/>
      <c r="M75" s="6"/>
      <c r="N75" s="6"/>
      <c r="O75" s="6"/>
      <c r="P75" s="6"/>
      <c r="Q75" s="6"/>
      <c r="R75" s="6"/>
      <c r="S75" s="6"/>
      <c r="T75" s="6"/>
      <c r="U75" s="6"/>
      <c r="V75" s="6"/>
      <c r="W75" s="6"/>
      <c r="X75" s="6"/>
      <c r="Y75" s="6"/>
      <c r="Z75" s="6"/>
    </row>
    <row r="76" spans="1:26" ht="18" customHeight="1" x14ac:dyDescent="0.3">
      <c r="A76" s="152"/>
      <c r="B76" s="128"/>
      <c r="C76" s="152"/>
      <c r="D76" s="128"/>
      <c r="E76" s="124"/>
      <c r="F76" s="152"/>
      <c r="G76" s="128"/>
      <c r="H76" s="146"/>
      <c r="I76" s="146"/>
      <c r="J76" s="6"/>
      <c r="K76" s="6"/>
      <c r="L76" s="6"/>
      <c r="M76" s="6"/>
      <c r="N76" s="6"/>
      <c r="O76" s="6"/>
      <c r="P76" s="6"/>
      <c r="Q76" s="6"/>
      <c r="R76" s="6"/>
      <c r="S76" s="6"/>
      <c r="T76" s="6"/>
      <c r="U76" s="6"/>
      <c r="V76" s="6"/>
      <c r="W76" s="6"/>
      <c r="X76" s="6"/>
      <c r="Y76" s="6"/>
      <c r="Z76" s="6"/>
    </row>
    <row r="77" spans="1:26" ht="18" customHeight="1" x14ac:dyDescent="0.3">
      <c r="A77" s="152"/>
      <c r="B77" s="128"/>
      <c r="C77" s="152"/>
      <c r="D77" s="128"/>
      <c r="E77" s="124"/>
      <c r="F77" s="152"/>
      <c r="G77" s="128"/>
      <c r="H77" s="146"/>
      <c r="I77" s="146"/>
      <c r="J77" s="6"/>
      <c r="K77" s="6"/>
      <c r="L77" s="6"/>
      <c r="M77" s="6"/>
      <c r="N77" s="6"/>
      <c r="O77" s="6"/>
      <c r="P77" s="6"/>
      <c r="Q77" s="6"/>
      <c r="R77" s="6"/>
      <c r="S77" s="6"/>
      <c r="T77" s="6"/>
      <c r="U77" s="6"/>
      <c r="V77" s="6"/>
      <c r="W77" s="6"/>
      <c r="X77" s="6"/>
      <c r="Y77" s="6"/>
      <c r="Z77" s="6"/>
    </row>
    <row r="78" spans="1:26" ht="18" customHeight="1" x14ac:dyDescent="0.3">
      <c r="A78" s="152"/>
      <c r="B78" s="128"/>
      <c r="C78" s="152"/>
      <c r="D78" s="128"/>
      <c r="E78" s="124"/>
      <c r="F78" s="152"/>
      <c r="G78" s="128"/>
      <c r="H78" s="146"/>
      <c r="I78" s="146"/>
      <c r="J78" s="6"/>
      <c r="K78" s="6"/>
      <c r="L78" s="6"/>
      <c r="M78" s="6"/>
      <c r="N78" s="6"/>
      <c r="O78" s="6"/>
      <c r="P78" s="6"/>
      <c r="Q78" s="6"/>
      <c r="R78" s="6"/>
      <c r="S78" s="6"/>
      <c r="T78" s="6"/>
      <c r="U78" s="6"/>
      <c r="V78" s="6"/>
      <c r="W78" s="6"/>
      <c r="X78" s="6"/>
      <c r="Y78" s="6"/>
      <c r="Z78" s="6"/>
    </row>
    <row r="79" spans="1:26" ht="18" customHeight="1" x14ac:dyDescent="0.3">
      <c r="A79" s="152"/>
      <c r="B79" s="128"/>
      <c r="C79" s="152"/>
      <c r="D79" s="128"/>
      <c r="E79" s="124"/>
      <c r="F79" s="152"/>
      <c r="G79" s="128"/>
      <c r="H79" s="146"/>
      <c r="I79" s="146"/>
      <c r="J79" s="6"/>
      <c r="K79" s="6"/>
      <c r="L79" s="6"/>
      <c r="M79" s="6"/>
      <c r="N79" s="6"/>
      <c r="O79" s="6"/>
      <c r="P79" s="6"/>
      <c r="Q79" s="6"/>
      <c r="R79" s="6"/>
      <c r="S79" s="6"/>
      <c r="T79" s="6"/>
      <c r="U79" s="6"/>
      <c r="V79" s="6"/>
      <c r="W79" s="6"/>
      <c r="X79" s="6"/>
      <c r="Y79" s="6"/>
      <c r="Z79" s="6"/>
    </row>
    <row r="80" spans="1:26" ht="18" customHeight="1" x14ac:dyDescent="0.3">
      <c r="A80" s="152"/>
      <c r="B80" s="128"/>
      <c r="C80" s="152"/>
      <c r="D80" s="128"/>
      <c r="E80" s="124"/>
      <c r="F80" s="152"/>
      <c r="G80" s="128"/>
      <c r="H80" s="146"/>
      <c r="I80" s="146"/>
      <c r="J80" s="6"/>
      <c r="K80" s="6"/>
      <c r="L80" s="6"/>
      <c r="M80" s="6"/>
      <c r="N80" s="6"/>
      <c r="O80" s="6"/>
      <c r="P80" s="6"/>
      <c r="Q80" s="6"/>
      <c r="R80" s="6"/>
      <c r="S80" s="6"/>
      <c r="T80" s="6"/>
      <c r="U80" s="6"/>
      <c r="V80" s="6"/>
      <c r="W80" s="6"/>
      <c r="X80" s="6"/>
      <c r="Y80" s="6"/>
      <c r="Z80" s="6"/>
    </row>
    <row r="81" spans="1:26" ht="18" customHeight="1" x14ac:dyDescent="0.3">
      <c r="A81" s="152"/>
      <c r="B81" s="128"/>
      <c r="C81" s="152"/>
      <c r="D81" s="128"/>
      <c r="E81" s="124"/>
      <c r="F81" s="152"/>
      <c r="G81" s="128"/>
      <c r="H81" s="146"/>
      <c r="I81" s="146"/>
      <c r="J81" s="6"/>
      <c r="K81" s="6"/>
      <c r="L81" s="6"/>
      <c r="M81" s="6"/>
      <c r="N81" s="6"/>
      <c r="O81" s="6"/>
      <c r="P81" s="6"/>
      <c r="Q81" s="6"/>
      <c r="R81" s="6"/>
      <c r="S81" s="6"/>
      <c r="T81" s="6"/>
      <c r="U81" s="6"/>
      <c r="V81" s="6"/>
      <c r="W81" s="6"/>
      <c r="X81" s="6"/>
      <c r="Y81" s="6"/>
      <c r="Z81" s="6"/>
    </row>
    <row r="82" spans="1:26" ht="18" customHeight="1" x14ac:dyDescent="0.3">
      <c r="A82" s="152"/>
      <c r="B82" s="128"/>
      <c r="C82" s="152"/>
      <c r="D82" s="128"/>
      <c r="E82" s="124"/>
      <c r="F82" s="152"/>
      <c r="G82" s="128"/>
      <c r="H82" s="146"/>
      <c r="I82" s="146"/>
      <c r="J82" s="6"/>
      <c r="K82" s="6"/>
      <c r="L82" s="6"/>
      <c r="M82" s="6"/>
      <c r="N82" s="6"/>
      <c r="O82" s="6"/>
      <c r="P82" s="6"/>
      <c r="Q82" s="6"/>
      <c r="R82" s="6"/>
      <c r="S82" s="6"/>
      <c r="T82" s="6"/>
      <c r="U82" s="6"/>
      <c r="V82" s="6"/>
      <c r="W82" s="6"/>
      <c r="X82" s="6"/>
      <c r="Y82" s="6"/>
      <c r="Z82" s="6"/>
    </row>
    <row r="83" spans="1:26" ht="18" customHeight="1" x14ac:dyDescent="0.3">
      <c r="A83" s="152"/>
      <c r="B83" s="128"/>
      <c r="C83" s="152"/>
      <c r="D83" s="128"/>
      <c r="E83" s="124"/>
      <c r="F83" s="152"/>
      <c r="G83" s="128"/>
      <c r="H83" s="146"/>
      <c r="I83" s="146"/>
      <c r="J83" s="6"/>
      <c r="K83" s="6"/>
      <c r="L83" s="6"/>
      <c r="M83" s="6"/>
      <c r="N83" s="6"/>
      <c r="O83" s="6"/>
      <c r="P83" s="6"/>
      <c r="Q83" s="6"/>
      <c r="R83" s="6"/>
      <c r="S83" s="6"/>
      <c r="T83" s="6"/>
      <c r="U83" s="6"/>
      <c r="V83" s="6"/>
      <c r="W83" s="6"/>
      <c r="X83" s="6"/>
      <c r="Y83" s="6"/>
      <c r="Z83" s="6"/>
    </row>
    <row r="84" spans="1:26" ht="18" customHeight="1" x14ac:dyDescent="0.3">
      <c r="A84" s="152"/>
      <c r="B84" s="128"/>
      <c r="C84" s="152"/>
      <c r="D84" s="128"/>
      <c r="E84" s="124"/>
      <c r="F84" s="152"/>
      <c r="G84" s="128"/>
      <c r="H84" s="146"/>
      <c r="I84" s="146"/>
      <c r="J84" s="6"/>
      <c r="K84" s="6"/>
      <c r="L84" s="6"/>
      <c r="M84" s="6"/>
      <c r="N84" s="6"/>
      <c r="O84" s="6"/>
      <c r="P84" s="6"/>
      <c r="Q84" s="6"/>
      <c r="R84" s="6"/>
      <c r="S84" s="6"/>
      <c r="T84" s="6"/>
      <c r="U84" s="6"/>
      <c r="V84" s="6"/>
      <c r="W84" s="6"/>
      <c r="X84" s="6"/>
      <c r="Y84" s="6"/>
      <c r="Z84" s="6"/>
    </row>
    <row r="85" spans="1:26" ht="18" customHeight="1" x14ac:dyDescent="0.3">
      <c r="A85" s="152"/>
      <c r="B85" s="128"/>
      <c r="C85" s="152"/>
      <c r="D85" s="128"/>
      <c r="E85" s="124"/>
      <c r="F85" s="152"/>
      <c r="G85" s="128"/>
      <c r="H85" s="146"/>
      <c r="I85" s="146"/>
      <c r="J85" s="6"/>
      <c r="K85" s="6"/>
      <c r="L85" s="6"/>
      <c r="M85" s="6"/>
      <c r="N85" s="6"/>
      <c r="O85" s="6"/>
      <c r="P85" s="6"/>
      <c r="Q85" s="6"/>
      <c r="R85" s="6"/>
      <c r="S85" s="6"/>
      <c r="T85" s="6"/>
      <c r="U85" s="6"/>
      <c r="V85" s="6"/>
      <c r="W85" s="6"/>
      <c r="X85" s="6"/>
      <c r="Y85" s="6"/>
      <c r="Z85" s="6"/>
    </row>
    <row r="86" spans="1:26" ht="18" customHeight="1" x14ac:dyDescent="0.3">
      <c r="A86" s="152"/>
      <c r="B86" s="128"/>
      <c r="C86" s="152"/>
      <c r="D86" s="128"/>
      <c r="E86" s="124"/>
      <c r="F86" s="152"/>
      <c r="G86" s="128"/>
      <c r="H86" s="146"/>
      <c r="I86" s="146"/>
      <c r="J86" s="6"/>
      <c r="K86" s="6"/>
      <c r="L86" s="6"/>
      <c r="M86" s="6"/>
      <c r="N86" s="6"/>
      <c r="O86" s="6"/>
      <c r="P86" s="6"/>
      <c r="Q86" s="6"/>
      <c r="R86" s="6"/>
      <c r="S86" s="6"/>
      <c r="T86" s="6"/>
      <c r="U86" s="6"/>
      <c r="V86" s="6"/>
      <c r="W86" s="6"/>
      <c r="X86" s="6"/>
      <c r="Y86" s="6"/>
      <c r="Z86" s="6"/>
    </row>
    <row r="87" spans="1:26" ht="18" customHeight="1" x14ac:dyDescent="0.3">
      <c r="A87" s="152"/>
      <c r="B87" s="128"/>
      <c r="C87" s="152"/>
      <c r="D87" s="128"/>
      <c r="E87" s="124"/>
      <c r="F87" s="152"/>
      <c r="G87" s="128"/>
      <c r="H87" s="146"/>
      <c r="I87" s="146"/>
      <c r="J87" s="6"/>
      <c r="K87" s="6"/>
      <c r="L87" s="6"/>
      <c r="M87" s="6"/>
      <c r="N87" s="6"/>
      <c r="O87" s="6"/>
      <c r="P87" s="6"/>
      <c r="Q87" s="6"/>
      <c r="R87" s="6"/>
      <c r="S87" s="6"/>
      <c r="T87" s="6"/>
      <c r="U87" s="6"/>
      <c r="V87" s="6"/>
      <c r="W87" s="6"/>
      <c r="X87" s="6"/>
      <c r="Y87" s="6"/>
      <c r="Z87" s="6"/>
    </row>
    <row r="88" spans="1:26" ht="18" customHeight="1" x14ac:dyDescent="0.3">
      <c r="A88" s="152"/>
      <c r="B88" s="128"/>
      <c r="C88" s="152"/>
      <c r="D88" s="128"/>
      <c r="E88" s="124"/>
      <c r="F88" s="152"/>
      <c r="G88" s="128"/>
      <c r="H88" s="146"/>
      <c r="I88" s="146"/>
      <c r="J88" s="6"/>
      <c r="K88" s="6"/>
      <c r="L88" s="6"/>
      <c r="M88" s="6"/>
      <c r="N88" s="6"/>
      <c r="O88" s="6"/>
      <c r="P88" s="6"/>
      <c r="Q88" s="6"/>
      <c r="R88" s="6"/>
      <c r="S88" s="6"/>
      <c r="T88" s="6"/>
      <c r="U88" s="6"/>
      <c r="V88" s="6"/>
      <c r="W88" s="6"/>
      <c r="X88" s="6"/>
      <c r="Y88" s="6"/>
      <c r="Z88" s="6"/>
    </row>
    <row r="89" spans="1:26" ht="18" customHeight="1" x14ac:dyDescent="0.3">
      <c r="A89" s="152"/>
      <c r="B89" s="128"/>
      <c r="C89" s="152"/>
      <c r="D89" s="128"/>
      <c r="E89" s="124"/>
      <c r="F89" s="152"/>
      <c r="G89" s="128"/>
      <c r="H89" s="146"/>
      <c r="I89" s="146"/>
      <c r="J89" s="6"/>
      <c r="K89" s="6"/>
      <c r="L89" s="6"/>
      <c r="M89" s="6"/>
      <c r="N89" s="6"/>
      <c r="O89" s="6"/>
      <c r="P89" s="6"/>
      <c r="Q89" s="6"/>
      <c r="R89" s="6"/>
      <c r="S89" s="6"/>
      <c r="T89" s="6"/>
      <c r="U89" s="6"/>
      <c r="V89" s="6"/>
      <c r="W89" s="6"/>
      <c r="X89" s="6"/>
      <c r="Y89" s="6"/>
      <c r="Z89" s="6"/>
    </row>
    <row r="90" spans="1:26" ht="18" customHeight="1" x14ac:dyDescent="0.3">
      <c r="A90" s="152"/>
      <c r="B90" s="128"/>
      <c r="C90" s="152"/>
      <c r="D90" s="128"/>
      <c r="E90" s="124"/>
      <c r="F90" s="152"/>
      <c r="G90" s="128"/>
      <c r="H90" s="146"/>
      <c r="I90" s="146"/>
      <c r="J90" s="6"/>
      <c r="K90" s="6"/>
      <c r="L90" s="6"/>
      <c r="M90" s="6"/>
      <c r="N90" s="6"/>
      <c r="O90" s="6"/>
      <c r="P90" s="6"/>
      <c r="Q90" s="6"/>
      <c r="R90" s="6"/>
      <c r="S90" s="6"/>
      <c r="T90" s="6"/>
      <c r="U90" s="6"/>
      <c r="V90" s="6"/>
      <c r="W90" s="6"/>
      <c r="X90" s="6"/>
      <c r="Y90" s="6"/>
      <c r="Z90" s="6"/>
    </row>
    <row r="91" spans="1:26" ht="18" customHeight="1" x14ac:dyDescent="0.3">
      <c r="A91" s="152"/>
      <c r="B91" s="128"/>
      <c r="C91" s="152"/>
      <c r="D91" s="128"/>
      <c r="E91" s="124"/>
      <c r="F91" s="152"/>
      <c r="G91" s="128"/>
      <c r="H91" s="146"/>
      <c r="I91" s="146"/>
      <c r="J91" s="6"/>
      <c r="K91" s="6"/>
      <c r="L91" s="6"/>
      <c r="M91" s="6"/>
      <c r="N91" s="6"/>
      <c r="O91" s="6"/>
      <c r="P91" s="6"/>
      <c r="Q91" s="6"/>
      <c r="R91" s="6"/>
      <c r="S91" s="6"/>
      <c r="T91" s="6"/>
      <c r="U91" s="6"/>
      <c r="V91" s="6"/>
      <c r="W91" s="6"/>
      <c r="X91" s="6"/>
      <c r="Y91" s="6"/>
      <c r="Z91" s="6"/>
    </row>
    <row r="92" spans="1:26" ht="18" customHeight="1" x14ac:dyDescent="0.3">
      <c r="A92" s="152"/>
      <c r="B92" s="128"/>
      <c r="C92" s="152"/>
      <c r="D92" s="128"/>
      <c r="E92" s="124"/>
      <c r="F92" s="152"/>
      <c r="G92" s="128"/>
      <c r="H92" s="146"/>
      <c r="I92" s="146"/>
      <c r="J92" s="6"/>
      <c r="K92" s="6"/>
      <c r="L92" s="6"/>
      <c r="M92" s="6"/>
      <c r="N92" s="6"/>
      <c r="O92" s="6"/>
      <c r="P92" s="6"/>
      <c r="Q92" s="6"/>
      <c r="R92" s="6"/>
      <c r="S92" s="6"/>
      <c r="T92" s="6"/>
      <c r="U92" s="6"/>
      <c r="V92" s="6"/>
      <c r="W92" s="6"/>
      <c r="X92" s="6"/>
      <c r="Y92" s="6"/>
      <c r="Z92" s="6"/>
    </row>
    <row r="93" spans="1:26" ht="18" customHeight="1" x14ac:dyDescent="0.3">
      <c r="A93" s="152"/>
      <c r="B93" s="128"/>
      <c r="C93" s="152"/>
      <c r="D93" s="128"/>
      <c r="E93" s="124"/>
      <c r="F93" s="152"/>
      <c r="G93" s="128"/>
      <c r="H93" s="146"/>
      <c r="I93" s="146"/>
      <c r="J93" s="6"/>
      <c r="K93" s="6"/>
      <c r="L93" s="6"/>
      <c r="M93" s="6"/>
      <c r="N93" s="6"/>
      <c r="O93" s="6"/>
      <c r="P93" s="6"/>
      <c r="Q93" s="6"/>
      <c r="R93" s="6"/>
      <c r="S93" s="6"/>
      <c r="T93" s="6"/>
      <c r="U93" s="6"/>
      <c r="V93" s="6"/>
      <c r="W93" s="6"/>
      <c r="X93" s="6"/>
      <c r="Y93" s="6"/>
      <c r="Z93" s="6"/>
    </row>
    <row r="94" spans="1:26" ht="18" customHeight="1" x14ac:dyDescent="0.3">
      <c r="A94" s="152"/>
      <c r="B94" s="128"/>
      <c r="C94" s="152"/>
      <c r="D94" s="128"/>
      <c r="E94" s="124"/>
      <c r="F94" s="152"/>
      <c r="G94" s="128"/>
      <c r="H94" s="146"/>
      <c r="I94" s="146"/>
      <c r="J94" s="6"/>
      <c r="K94" s="6"/>
      <c r="L94" s="6"/>
      <c r="M94" s="6"/>
      <c r="N94" s="6"/>
      <c r="O94" s="6"/>
      <c r="P94" s="6"/>
      <c r="Q94" s="6"/>
      <c r="R94" s="6"/>
      <c r="S94" s="6"/>
      <c r="T94" s="6"/>
      <c r="U94" s="6"/>
      <c r="V94" s="6"/>
      <c r="W94" s="6"/>
      <c r="X94" s="6"/>
      <c r="Y94" s="6"/>
      <c r="Z94" s="6"/>
    </row>
    <row r="95" spans="1:26" ht="18" customHeight="1" x14ac:dyDescent="0.3">
      <c r="A95" s="152"/>
      <c r="B95" s="128"/>
      <c r="C95" s="152"/>
      <c r="D95" s="128"/>
      <c r="E95" s="124"/>
      <c r="F95" s="152"/>
      <c r="G95" s="128"/>
      <c r="H95" s="146"/>
      <c r="I95" s="146"/>
      <c r="J95" s="6"/>
      <c r="K95" s="6"/>
      <c r="L95" s="6"/>
      <c r="M95" s="6"/>
      <c r="N95" s="6"/>
      <c r="O95" s="6"/>
      <c r="P95" s="6"/>
      <c r="Q95" s="6"/>
      <c r="R95" s="6"/>
      <c r="S95" s="6"/>
      <c r="T95" s="6"/>
      <c r="U95" s="6"/>
      <c r="V95" s="6"/>
      <c r="W95" s="6"/>
      <c r="X95" s="6"/>
      <c r="Y95" s="6"/>
      <c r="Z95" s="6"/>
    </row>
    <row r="96" spans="1:26" ht="18" customHeight="1" x14ac:dyDescent="0.3">
      <c r="A96" s="152"/>
      <c r="B96" s="128"/>
      <c r="C96" s="152"/>
      <c r="D96" s="128"/>
      <c r="E96" s="124"/>
      <c r="F96" s="152"/>
      <c r="G96" s="128"/>
      <c r="H96" s="146"/>
      <c r="I96" s="146"/>
      <c r="J96" s="6"/>
      <c r="K96" s="6"/>
      <c r="L96" s="6"/>
      <c r="M96" s="6"/>
      <c r="N96" s="6"/>
      <c r="O96" s="6"/>
      <c r="P96" s="6"/>
      <c r="Q96" s="6"/>
      <c r="R96" s="6"/>
      <c r="S96" s="6"/>
      <c r="T96" s="6"/>
      <c r="U96" s="6"/>
      <c r="V96" s="6"/>
      <c r="W96" s="6"/>
      <c r="X96" s="6"/>
      <c r="Y96" s="6"/>
      <c r="Z96" s="6"/>
    </row>
    <row r="97" spans="1:26" ht="18" customHeight="1" x14ac:dyDescent="0.3">
      <c r="A97" s="152"/>
      <c r="B97" s="128"/>
      <c r="C97" s="152"/>
      <c r="D97" s="128"/>
      <c r="E97" s="124"/>
      <c r="F97" s="152"/>
      <c r="G97" s="128"/>
      <c r="H97" s="146"/>
      <c r="I97" s="146"/>
      <c r="J97" s="6"/>
      <c r="K97" s="6"/>
      <c r="L97" s="6"/>
      <c r="M97" s="6"/>
      <c r="N97" s="6"/>
      <c r="O97" s="6"/>
      <c r="P97" s="6"/>
      <c r="Q97" s="6"/>
      <c r="R97" s="6"/>
      <c r="S97" s="6"/>
      <c r="T97" s="6"/>
      <c r="U97" s="6"/>
      <c r="V97" s="6"/>
      <c r="W97" s="6"/>
      <c r="X97" s="6"/>
      <c r="Y97" s="6"/>
      <c r="Z97" s="6"/>
    </row>
    <row r="98" spans="1:26" ht="18" customHeight="1" x14ac:dyDescent="0.3">
      <c r="A98" s="152"/>
      <c r="B98" s="128"/>
      <c r="C98" s="152"/>
      <c r="D98" s="128"/>
      <c r="E98" s="124"/>
      <c r="F98" s="152"/>
      <c r="G98" s="128"/>
      <c r="H98" s="146"/>
      <c r="I98" s="146"/>
      <c r="J98" s="6"/>
      <c r="K98" s="6"/>
      <c r="L98" s="6"/>
      <c r="M98" s="6"/>
      <c r="N98" s="6"/>
      <c r="O98" s="6"/>
      <c r="P98" s="6"/>
      <c r="Q98" s="6"/>
      <c r="R98" s="6"/>
      <c r="S98" s="6"/>
      <c r="T98" s="6"/>
      <c r="U98" s="6"/>
      <c r="V98" s="6"/>
      <c r="W98" s="6"/>
      <c r="X98" s="6"/>
      <c r="Y98" s="6"/>
      <c r="Z98" s="6"/>
    </row>
    <row r="99" spans="1:26" ht="18" customHeight="1" x14ac:dyDescent="0.3">
      <c r="A99" s="152"/>
      <c r="B99" s="128"/>
      <c r="C99" s="152"/>
      <c r="D99" s="128"/>
      <c r="E99" s="124"/>
      <c r="F99" s="152"/>
      <c r="G99" s="128"/>
      <c r="H99" s="146"/>
      <c r="I99" s="146"/>
      <c r="J99" s="6"/>
      <c r="K99" s="6"/>
      <c r="L99" s="6"/>
      <c r="M99" s="6"/>
      <c r="N99" s="6"/>
      <c r="O99" s="6"/>
      <c r="P99" s="6"/>
      <c r="Q99" s="6"/>
      <c r="R99" s="6"/>
      <c r="S99" s="6"/>
      <c r="T99" s="6"/>
      <c r="U99" s="6"/>
      <c r="V99" s="6"/>
      <c r="W99" s="6"/>
      <c r="X99" s="6"/>
      <c r="Y99" s="6"/>
      <c r="Z99" s="6"/>
    </row>
    <row r="100" spans="1:26" ht="18" customHeight="1" x14ac:dyDescent="0.3">
      <c r="A100" s="152"/>
      <c r="B100" s="128"/>
      <c r="C100" s="152"/>
      <c r="D100" s="128"/>
      <c r="E100" s="124"/>
      <c r="F100" s="152"/>
      <c r="G100" s="128"/>
      <c r="H100" s="146"/>
      <c r="I100" s="146"/>
      <c r="J100" s="6"/>
      <c r="K100" s="6"/>
      <c r="L100" s="6"/>
      <c r="M100" s="6"/>
      <c r="N100" s="6"/>
      <c r="O100" s="6"/>
      <c r="P100" s="6"/>
      <c r="Q100" s="6"/>
      <c r="R100" s="6"/>
      <c r="S100" s="6"/>
      <c r="T100" s="6"/>
      <c r="U100" s="6"/>
      <c r="V100" s="6"/>
      <c r="W100" s="6"/>
      <c r="X100" s="6"/>
      <c r="Y100" s="6"/>
      <c r="Z100" s="6"/>
    </row>
    <row r="101" spans="1:26" ht="18" customHeight="1" x14ac:dyDescent="0.3">
      <c r="A101" s="152"/>
      <c r="B101" s="128"/>
      <c r="C101" s="152"/>
      <c r="D101" s="128"/>
      <c r="E101" s="124"/>
      <c r="F101" s="152"/>
      <c r="G101" s="128"/>
      <c r="H101" s="146"/>
      <c r="I101" s="146"/>
      <c r="J101" s="6"/>
      <c r="K101" s="6"/>
      <c r="L101" s="6"/>
      <c r="M101" s="6"/>
      <c r="N101" s="6"/>
      <c r="O101" s="6"/>
      <c r="P101" s="6"/>
      <c r="Q101" s="6"/>
      <c r="R101" s="6"/>
      <c r="S101" s="6"/>
      <c r="T101" s="6"/>
      <c r="U101" s="6"/>
      <c r="V101" s="6"/>
      <c r="W101" s="6"/>
      <c r="X101" s="6"/>
      <c r="Y101" s="6"/>
      <c r="Z101" s="6"/>
    </row>
    <row r="102" spans="1:26" ht="18" customHeight="1" x14ac:dyDescent="0.3">
      <c r="A102" s="152"/>
      <c r="B102" s="128"/>
      <c r="C102" s="152"/>
      <c r="D102" s="128"/>
      <c r="E102" s="124"/>
      <c r="F102" s="152"/>
      <c r="G102" s="128"/>
      <c r="H102" s="146"/>
      <c r="I102" s="146"/>
      <c r="J102" s="6"/>
      <c r="K102" s="6"/>
      <c r="L102" s="6"/>
      <c r="M102" s="6"/>
      <c r="N102" s="6"/>
      <c r="O102" s="6"/>
      <c r="P102" s="6"/>
      <c r="Q102" s="6"/>
      <c r="R102" s="6"/>
      <c r="S102" s="6"/>
      <c r="T102" s="6"/>
      <c r="U102" s="6"/>
      <c r="V102" s="6"/>
      <c r="W102" s="6"/>
      <c r="X102" s="6"/>
      <c r="Y102" s="6"/>
      <c r="Z102" s="6"/>
    </row>
    <row r="103" spans="1:26" ht="18" customHeight="1" x14ac:dyDescent="0.3">
      <c r="A103" s="152"/>
      <c r="B103" s="128"/>
      <c r="C103" s="152"/>
      <c r="D103" s="128"/>
      <c r="E103" s="124"/>
      <c r="F103" s="152"/>
      <c r="G103" s="128"/>
      <c r="H103" s="146"/>
      <c r="I103" s="146"/>
      <c r="J103" s="6"/>
      <c r="K103" s="6"/>
      <c r="L103" s="6"/>
      <c r="M103" s="6"/>
      <c r="N103" s="6"/>
      <c r="O103" s="6"/>
      <c r="P103" s="6"/>
      <c r="Q103" s="6"/>
      <c r="R103" s="6"/>
      <c r="S103" s="6"/>
      <c r="T103" s="6"/>
      <c r="U103" s="6"/>
      <c r="V103" s="6"/>
      <c r="W103" s="6"/>
      <c r="X103" s="6"/>
      <c r="Y103" s="6"/>
      <c r="Z103" s="6"/>
    </row>
    <row r="104" spans="1:26" ht="18" customHeight="1" x14ac:dyDescent="0.3">
      <c r="A104" s="152"/>
      <c r="B104" s="128"/>
      <c r="C104" s="152"/>
      <c r="D104" s="128"/>
      <c r="E104" s="124"/>
      <c r="F104" s="152"/>
      <c r="G104" s="128"/>
      <c r="H104" s="146"/>
      <c r="I104" s="146"/>
      <c r="J104" s="6"/>
      <c r="K104" s="6"/>
      <c r="L104" s="6"/>
      <c r="M104" s="6"/>
      <c r="N104" s="6"/>
      <c r="O104" s="6"/>
      <c r="P104" s="6"/>
      <c r="Q104" s="6"/>
      <c r="R104" s="6"/>
      <c r="S104" s="6"/>
      <c r="T104" s="6"/>
      <c r="U104" s="6"/>
      <c r="V104" s="6"/>
      <c r="W104" s="6"/>
      <c r="X104" s="6"/>
      <c r="Y104" s="6"/>
      <c r="Z104" s="6"/>
    </row>
    <row r="105" spans="1:26" ht="18" customHeight="1" x14ac:dyDescent="0.3">
      <c r="A105" s="152"/>
      <c r="B105" s="128"/>
      <c r="C105" s="152"/>
      <c r="D105" s="128"/>
      <c r="E105" s="124"/>
      <c r="F105" s="152"/>
      <c r="G105" s="128"/>
      <c r="H105" s="146"/>
      <c r="I105" s="146"/>
      <c r="J105" s="6"/>
      <c r="K105" s="6"/>
      <c r="L105" s="6"/>
      <c r="M105" s="6"/>
      <c r="N105" s="6"/>
      <c r="O105" s="6"/>
      <c r="P105" s="6"/>
      <c r="Q105" s="6"/>
      <c r="R105" s="6"/>
      <c r="S105" s="6"/>
      <c r="T105" s="6"/>
      <c r="U105" s="6"/>
      <c r="V105" s="6"/>
      <c r="W105" s="6"/>
      <c r="X105" s="6"/>
      <c r="Y105" s="6"/>
      <c r="Z105" s="6"/>
    </row>
    <row r="106" spans="1:26" ht="18" customHeight="1" x14ac:dyDescent="0.3">
      <c r="A106" s="152"/>
      <c r="B106" s="128"/>
      <c r="C106" s="152"/>
      <c r="D106" s="128"/>
      <c r="E106" s="124"/>
      <c r="F106" s="152"/>
      <c r="G106" s="128"/>
      <c r="H106" s="146"/>
      <c r="I106" s="146"/>
      <c r="J106" s="6"/>
      <c r="K106" s="6"/>
      <c r="L106" s="6"/>
      <c r="M106" s="6"/>
      <c r="N106" s="6"/>
      <c r="O106" s="6"/>
      <c r="P106" s="6"/>
      <c r="Q106" s="6"/>
      <c r="R106" s="6"/>
      <c r="S106" s="6"/>
      <c r="T106" s="6"/>
      <c r="U106" s="6"/>
      <c r="V106" s="6"/>
      <c r="W106" s="6"/>
      <c r="X106" s="6"/>
      <c r="Y106" s="6"/>
      <c r="Z106" s="6"/>
    </row>
    <row r="107" spans="1:26" ht="18" customHeight="1" x14ac:dyDescent="0.3">
      <c r="A107" s="152"/>
      <c r="B107" s="128"/>
      <c r="C107" s="152"/>
      <c r="D107" s="128"/>
      <c r="E107" s="124"/>
      <c r="F107" s="152"/>
      <c r="G107" s="128"/>
      <c r="H107" s="146"/>
      <c r="I107" s="146"/>
      <c r="J107" s="6"/>
      <c r="K107" s="6"/>
      <c r="L107" s="6"/>
      <c r="M107" s="6"/>
      <c r="N107" s="6"/>
      <c r="O107" s="6"/>
      <c r="P107" s="6"/>
      <c r="Q107" s="6"/>
      <c r="R107" s="6"/>
      <c r="S107" s="6"/>
      <c r="T107" s="6"/>
      <c r="U107" s="6"/>
      <c r="V107" s="6"/>
      <c r="W107" s="6"/>
      <c r="X107" s="6"/>
      <c r="Y107" s="6"/>
      <c r="Z107" s="6"/>
    </row>
    <row r="108" spans="1:26" ht="18" customHeight="1" x14ac:dyDescent="0.3">
      <c r="A108" s="152"/>
      <c r="B108" s="128"/>
      <c r="C108" s="152"/>
      <c r="D108" s="128"/>
      <c r="E108" s="124"/>
      <c r="F108" s="152"/>
      <c r="G108" s="128"/>
      <c r="H108" s="146"/>
      <c r="I108" s="146"/>
      <c r="J108" s="6"/>
      <c r="K108" s="6"/>
      <c r="L108" s="6"/>
      <c r="M108" s="6"/>
      <c r="N108" s="6"/>
      <c r="O108" s="6"/>
      <c r="P108" s="6"/>
      <c r="Q108" s="6"/>
      <c r="R108" s="6"/>
      <c r="S108" s="6"/>
      <c r="T108" s="6"/>
      <c r="U108" s="6"/>
      <c r="V108" s="6"/>
      <c r="W108" s="6"/>
      <c r="X108" s="6"/>
      <c r="Y108" s="6"/>
      <c r="Z108" s="6"/>
    </row>
    <row r="109" spans="1:26" ht="18" customHeight="1" x14ac:dyDescent="0.3">
      <c r="A109" s="152"/>
      <c r="B109" s="128"/>
      <c r="C109" s="152"/>
      <c r="D109" s="128"/>
      <c r="E109" s="124"/>
      <c r="F109" s="152"/>
      <c r="G109" s="128"/>
      <c r="H109" s="146"/>
      <c r="I109" s="146"/>
      <c r="J109" s="6"/>
      <c r="K109" s="6"/>
      <c r="L109" s="6"/>
      <c r="M109" s="6"/>
      <c r="N109" s="6"/>
      <c r="O109" s="6"/>
      <c r="P109" s="6"/>
      <c r="Q109" s="6"/>
      <c r="R109" s="6"/>
      <c r="S109" s="6"/>
      <c r="T109" s="6"/>
      <c r="U109" s="6"/>
      <c r="V109" s="6"/>
      <c r="W109" s="6"/>
      <c r="X109" s="6"/>
      <c r="Y109" s="6"/>
      <c r="Z109" s="6"/>
    </row>
    <row r="110" spans="1:26" ht="18" customHeight="1" x14ac:dyDescent="0.3">
      <c r="A110" s="152"/>
      <c r="B110" s="128"/>
      <c r="C110" s="152"/>
      <c r="D110" s="128"/>
      <c r="E110" s="124"/>
      <c r="F110" s="152"/>
      <c r="G110" s="128"/>
      <c r="H110" s="146"/>
      <c r="I110" s="146"/>
      <c r="J110" s="6"/>
      <c r="K110" s="6"/>
      <c r="L110" s="6"/>
      <c r="M110" s="6"/>
      <c r="N110" s="6"/>
      <c r="O110" s="6"/>
      <c r="P110" s="6"/>
      <c r="Q110" s="6"/>
      <c r="R110" s="6"/>
      <c r="S110" s="6"/>
      <c r="T110" s="6"/>
      <c r="U110" s="6"/>
      <c r="V110" s="6"/>
      <c r="W110" s="6"/>
      <c r="X110" s="6"/>
      <c r="Y110" s="6"/>
      <c r="Z110" s="6"/>
    </row>
    <row r="111" spans="1:26" ht="18" customHeight="1" x14ac:dyDescent="0.3">
      <c r="A111" s="152"/>
      <c r="B111" s="128"/>
      <c r="C111" s="152"/>
      <c r="D111" s="128"/>
      <c r="E111" s="124"/>
      <c r="F111" s="152"/>
      <c r="G111" s="128"/>
      <c r="H111" s="146"/>
      <c r="I111" s="146"/>
      <c r="J111" s="6"/>
      <c r="K111" s="6"/>
      <c r="L111" s="6"/>
      <c r="M111" s="6"/>
      <c r="N111" s="6"/>
      <c r="O111" s="6"/>
      <c r="P111" s="6"/>
      <c r="Q111" s="6"/>
      <c r="R111" s="6"/>
      <c r="S111" s="6"/>
      <c r="T111" s="6"/>
      <c r="U111" s="6"/>
      <c r="V111" s="6"/>
      <c r="W111" s="6"/>
      <c r="X111" s="6"/>
      <c r="Y111" s="6"/>
      <c r="Z111" s="6"/>
    </row>
    <row r="112" spans="1:26" ht="18" customHeight="1" x14ac:dyDescent="0.3">
      <c r="A112" s="152"/>
      <c r="B112" s="128"/>
      <c r="C112" s="152"/>
      <c r="D112" s="128"/>
      <c r="E112" s="124"/>
      <c r="F112" s="152"/>
      <c r="G112" s="128"/>
      <c r="H112" s="146"/>
      <c r="I112" s="146"/>
      <c r="J112" s="6"/>
      <c r="K112" s="6"/>
      <c r="L112" s="6"/>
      <c r="M112" s="6"/>
      <c r="N112" s="6"/>
      <c r="O112" s="6"/>
      <c r="P112" s="6"/>
      <c r="Q112" s="6"/>
      <c r="R112" s="6"/>
      <c r="S112" s="6"/>
      <c r="T112" s="6"/>
      <c r="U112" s="6"/>
      <c r="V112" s="6"/>
      <c r="W112" s="6"/>
      <c r="X112" s="6"/>
      <c r="Y112" s="6"/>
      <c r="Z112" s="6"/>
    </row>
    <row r="113" spans="1:26" ht="18" customHeight="1" x14ac:dyDescent="0.3">
      <c r="A113" s="152"/>
      <c r="B113" s="128"/>
      <c r="C113" s="152"/>
      <c r="D113" s="128"/>
      <c r="E113" s="124"/>
      <c r="F113" s="152"/>
      <c r="G113" s="128"/>
      <c r="H113" s="146"/>
      <c r="I113" s="146"/>
      <c r="J113" s="6"/>
      <c r="K113" s="6"/>
      <c r="L113" s="6"/>
      <c r="M113" s="6"/>
      <c r="N113" s="6"/>
      <c r="O113" s="6"/>
      <c r="P113" s="6"/>
      <c r="Q113" s="6"/>
      <c r="R113" s="6"/>
      <c r="S113" s="6"/>
      <c r="T113" s="6"/>
      <c r="U113" s="6"/>
      <c r="V113" s="6"/>
      <c r="W113" s="6"/>
      <c r="X113" s="6"/>
      <c r="Y113" s="6"/>
      <c r="Z113" s="6"/>
    </row>
    <row r="114" spans="1:26" ht="18" customHeight="1" x14ac:dyDescent="0.3">
      <c r="A114" s="152"/>
      <c r="B114" s="128"/>
      <c r="C114" s="152"/>
      <c r="D114" s="128"/>
      <c r="E114" s="124"/>
      <c r="F114" s="152"/>
      <c r="G114" s="128"/>
      <c r="H114" s="146"/>
      <c r="I114" s="146"/>
      <c r="J114" s="6"/>
      <c r="K114" s="6"/>
      <c r="L114" s="6"/>
      <c r="M114" s="6"/>
      <c r="N114" s="6"/>
      <c r="O114" s="6"/>
      <c r="P114" s="6"/>
      <c r="Q114" s="6"/>
      <c r="R114" s="6"/>
      <c r="S114" s="6"/>
      <c r="T114" s="6"/>
      <c r="U114" s="6"/>
      <c r="V114" s="6"/>
      <c r="W114" s="6"/>
      <c r="X114" s="6"/>
      <c r="Y114" s="6"/>
      <c r="Z114" s="6"/>
    </row>
    <row r="115" spans="1:26" ht="18" customHeight="1" x14ac:dyDescent="0.3">
      <c r="A115" s="152"/>
      <c r="B115" s="128"/>
      <c r="C115" s="152"/>
      <c r="D115" s="128"/>
      <c r="E115" s="124"/>
      <c r="F115" s="152"/>
      <c r="G115" s="128"/>
      <c r="H115" s="146"/>
      <c r="I115" s="146"/>
      <c r="J115" s="6"/>
      <c r="K115" s="6"/>
      <c r="L115" s="6"/>
      <c r="M115" s="6"/>
      <c r="N115" s="6"/>
      <c r="O115" s="6"/>
      <c r="P115" s="6"/>
      <c r="Q115" s="6"/>
      <c r="R115" s="6"/>
      <c r="S115" s="6"/>
      <c r="T115" s="6"/>
      <c r="U115" s="6"/>
      <c r="V115" s="6"/>
      <c r="W115" s="6"/>
      <c r="X115" s="6"/>
      <c r="Y115" s="6"/>
      <c r="Z115" s="6"/>
    </row>
    <row r="116" spans="1:26" ht="18" customHeight="1" x14ac:dyDescent="0.3">
      <c r="A116" s="152"/>
      <c r="B116" s="128"/>
      <c r="C116" s="152"/>
      <c r="D116" s="128"/>
      <c r="E116" s="124"/>
      <c r="F116" s="152"/>
      <c r="G116" s="128"/>
      <c r="H116" s="146"/>
      <c r="I116" s="146"/>
      <c r="J116" s="6"/>
      <c r="K116" s="6"/>
      <c r="L116" s="6"/>
      <c r="M116" s="6"/>
      <c r="N116" s="6"/>
      <c r="O116" s="6"/>
      <c r="P116" s="6"/>
      <c r="Q116" s="6"/>
      <c r="R116" s="6"/>
      <c r="S116" s="6"/>
      <c r="T116" s="6"/>
      <c r="U116" s="6"/>
      <c r="V116" s="6"/>
      <c r="W116" s="6"/>
      <c r="X116" s="6"/>
      <c r="Y116" s="6"/>
      <c r="Z116" s="6"/>
    </row>
    <row r="117" spans="1:26" ht="18" customHeight="1" x14ac:dyDescent="0.3">
      <c r="A117" s="152"/>
      <c r="B117" s="128"/>
      <c r="C117" s="152"/>
      <c r="D117" s="128"/>
      <c r="E117" s="124"/>
      <c r="F117" s="152"/>
      <c r="G117" s="128"/>
      <c r="H117" s="146"/>
      <c r="I117" s="146"/>
      <c r="J117" s="6"/>
      <c r="K117" s="6"/>
      <c r="L117" s="6"/>
      <c r="M117" s="6"/>
      <c r="N117" s="6"/>
      <c r="O117" s="6"/>
      <c r="P117" s="6"/>
      <c r="Q117" s="6"/>
      <c r="R117" s="6"/>
      <c r="S117" s="6"/>
      <c r="T117" s="6"/>
      <c r="U117" s="6"/>
      <c r="V117" s="6"/>
      <c r="W117" s="6"/>
      <c r="X117" s="6"/>
      <c r="Y117" s="6"/>
      <c r="Z117" s="6"/>
    </row>
    <row r="118" spans="1:26" ht="18" customHeight="1" x14ac:dyDescent="0.3">
      <c r="A118" s="152"/>
      <c r="B118" s="128"/>
      <c r="C118" s="152"/>
      <c r="D118" s="128"/>
      <c r="E118" s="124"/>
      <c r="F118" s="152"/>
      <c r="G118" s="128"/>
      <c r="H118" s="146"/>
      <c r="I118" s="146"/>
      <c r="J118" s="6"/>
      <c r="K118" s="6"/>
      <c r="L118" s="6"/>
      <c r="M118" s="6"/>
      <c r="N118" s="6"/>
      <c r="O118" s="6"/>
      <c r="P118" s="6"/>
      <c r="Q118" s="6"/>
      <c r="R118" s="6"/>
      <c r="S118" s="6"/>
      <c r="T118" s="6"/>
      <c r="U118" s="6"/>
      <c r="V118" s="6"/>
      <c r="W118" s="6"/>
      <c r="X118" s="6"/>
      <c r="Y118" s="6"/>
      <c r="Z118" s="6"/>
    </row>
    <row r="119" spans="1:26" ht="18" customHeight="1" x14ac:dyDescent="0.3">
      <c r="A119" s="152"/>
      <c r="B119" s="128"/>
      <c r="C119" s="152"/>
      <c r="D119" s="128"/>
      <c r="E119" s="124"/>
      <c r="F119" s="152"/>
      <c r="G119" s="128"/>
      <c r="H119" s="146"/>
      <c r="I119" s="146"/>
      <c r="J119" s="6"/>
      <c r="K119" s="6"/>
      <c r="L119" s="6"/>
      <c r="M119" s="6"/>
      <c r="N119" s="6"/>
      <c r="O119" s="6"/>
      <c r="P119" s="6"/>
      <c r="Q119" s="6"/>
      <c r="R119" s="6"/>
      <c r="S119" s="6"/>
      <c r="T119" s="6"/>
      <c r="U119" s="6"/>
      <c r="V119" s="6"/>
      <c r="W119" s="6"/>
      <c r="X119" s="6"/>
      <c r="Y119" s="6"/>
      <c r="Z119" s="6"/>
    </row>
    <row r="120" spans="1:26" ht="18" customHeight="1" x14ac:dyDescent="0.3">
      <c r="A120" s="152"/>
      <c r="B120" s="128"/>
      <c r="C120" s="152"/>
      <c r="D120" s="128"/>
      <c r="E120" s="124"/>
      <c r="F120" s="152"/>
      <c r="G120" s="128"/>
      <c r="H120" s="146"/>
      <c r="I120" s="146"/>
      <c r="J120" s="6"/>
      <c r="K120" s="6"/>
      <c r="L120" s="6"/>
      <c r="M120" s="6"/>
      <c r="N120" s="6"/>
      <c r="O120" s="6"/>
      <c r="P120" s="6"/>
      <c r="Q120" s="6"/>
      <c r="R120" s="6"/>
      <c r="S120" s="6"/>
      <c r="T120" s="6"/>
      <c r="U120" s="6"/>
      <c r="V120" s="6"/>
      <c r="W120" s="6"/>
      <c r="X120" s="6"/>
      <c r="Y120" s="6"/>
      <c r="Z120" s="6"/>
    </row>
    <row r="121" spans="1:26" ht="18" customHeight="1" x14ac:dyDescent="0.3">
      <c r="A121" s="152"/>
      <c r="B121" s="128"/>
      <c r="C121" s="152"/>
      <c r="D121" s="128"/>
      <c r="E121" s="124"/>
      <c r="F121" s="152"/>
      <c r="G121" s="128"/>
      <c r="H121" s="146"/>
      <c r="I121" s="146"/>
      <c r="J121" s="6"/>
      <c r="K121" s="6"/>
      <c r="L121" s="6"/>
      <c r="M121" s="6"/>
      <c r="N121" s="6"/>
      <c r="O121" s="6"/>
      <c r="P121" s="6"/>
      <c r="Q121" s="6"/>
      <c r="R121" s="6"/>
      <c r="S121" s="6"/>
      <c r="T121" s="6"/>
      <c r="U121" s="6"/>
      <c r="V121" s="6"/>
      <c r="W121" s="6"/>
      <c r="X121" s="6"/>
      <c r="Y121" s="6"/>
      <c r="Z121" s="6"/>
    </row>
    <row r="122" spans="1:26" ht="18" customHeight="1" x14ac:dyDescent="0.3">
      <c r="A122" s="152"/>
      <c r="B122" s="128"/>
      <c r="C122" s="152"/>
      <c r="D122" s="128"/>
      <c r="E122" s="124"/>
      <c r="F122" s="152"/>
      <c r="G122" s="128"/>
      <c r="H122" s="146"/>
      <c r="I122" s="146"/>
      <c r="J122" s="6"/>
      <c r="K122" s="6"/>
      <c r="L122" s="6"/>
      <c r="M122" s="6"/>
      <c r="N122" s="6"/>
      <c r="O122" s="6"/>
      <c r="P122" s="6"/>
      <c r="Q122" s="6"/>
      <c r="R122" s="6"/>
      <c r="S122" s="6"/>
      <c r="T122" s="6"/>
      <c r="U122" s="6"/>
      <c r="V122" s="6"/>
      <c r="W122" s="6"/>
      <c r="X122" s="6"/>
      <c r="Y122" s="6"/>
      <c r="Z122" s="6"/>
    </row>
    <row r="123" spans="1:26" ht="18" customHeight="1" x14ac:dyDescent="0.3">
      <c r="A123" s="152"/>
      <c r="B123" s="128"/>
      <c r="C123" s="152"/>
      <c r="D123" s="128"/>
      <c r="E123" s="124"/>
      <c r="F123" s="152"/>
      <c r="G123" s="128"/>
      <c r="H123" s="146"/>
      <c r="I123" s="146"/>
      <c r="J123" s="6"/>
      <c r="K123" s="6"/>
      <c r="L123" s="6"/>
      <c r="M123" s="6"/>
      <c r="N123" s="6"/>
      <c r="O123" s="6"/>
      <c r="P123" s="6"/>
      <c r="Q123" s="6"/>
      <c r="R123" s="6"/>
      <c r="S123" s="6"/>
      <c r="T123" s="6"/>
      <c r="U123" s="6"/>
      <c r="V123" s="6"/>
      <c r="W123" s="6"/>
      <c r="X123" s="6"/>
      <c r="Y123" s="6"/>
      <c r="Z123" s="6"/>
    </row>
    <row r="124" spans="1:26" ht="18" customHeight="1" x14ac:dyDescent="0.3">
      <c r="A124" s="152"/>
      <c r="B124" s="128"/>
      <c r="C124" s="152"/>
      <c r="D124" s="128"/>
      <c r="E124" s="124"/>
      <c r="F124" s="152"/>
      <c r="G124" s="128"/>
      <c r="H124" s="146"/>
      <c r="I124" s="146"/>
      <c r="J124" s="6"/>
      <c r="K124" s="6"/>
      <c r="L124" s="6"/>
      <c r="M124" s="6"/>
      <c r="N124" s="6"/>
      <c r="O124" s="6"/>
      <c r="P124" s="6"/>
      <c r="Q124" s="6"/>
      <c r="R124" s="6"/>
      <c r="S124" s="6"/>
      <c r="T124" s="6"/>
      <c r="U124" s="6"/>
      <c r="V124" s="6"/>
      <c r="W124" s="6"/>
      <c r="X124" s="6"/>
      <c r="Y124" s="6"/>
      <c r="Z124" s="6"/>
    </row>
    <row r="125" spans="1:26" ht="18" customHeight="1" x14ac:dyDescent="0.3">
      <c r="A125" s="152"/>
      <c r="B125" s="128"/>
      <c r="C125" s="152"/>
      <c r="D125" s="128"/>
      <c r="E125" s="124"/>
      <c r="F125" s="152"/>
      <c r="G125" s="128"/>
      <c r="H125" s="146"/>
      <c r="I125" s="146"/>
      <c r="J125" s="6"/>
      <c r="K125" s="6"/>
      <c r="L125" s="6"/>
      <c r="M125" s="6"/>
      <c r="N125" s="6"/>
      <c r="O125" s="6"/>
      <c r="P125" s="6"/>
      <c r="Q125" s="6"/>
      <c r="R125" s="6"/>
      <c r="S125" s="6"/>
      <c r="T125" s="6"/>
      <c r="U125" s="6"/>
      <c r="V125" s="6"/>
      <c r="W125" s="6"/>
      <c r="X125" s="6"/>
      <c r="Y125" s="6"/>
      <c r="Z125" s="6"/>
    </row>
    <row r="126" spans="1:26" ht="18" customHeight="1" x14ac:dyDescent="0.3">
      <c r="A126" s="152"/>
      <c r="B126" s="128"/>
      <c r="C126" s="152"/>
      <c r="D126" s="128"/>
      <c r="E126" s="124"/>
      <c r="F126" s="152"/>
      <c r="G126" s="128"/>
      <c r="H126" s="146"/>
      <c r="I126" s="146"/>
      <c r="J126" s="6"/>
      <c r="K126" s="6"/>
      <c r="L126" s="6"/>
      <c r="M126" s="6"/>
      <c r="N126" s="6"/>
      <c r="O126" s="6"/>
      <c r="P126" s="6"/>
      <c r="Q126" s="6"/>
      <c r="R126" s="6"/>
      <c r="S126" s="6"/>
      <c r="T126" s="6"/>
      <c r="U126" s="6"/>
      <c r="V126" s="6"/>
      <c r="W126" s="6"/>
      <c r="X126" s="6"/>
      <c r="Y126" s="6"/>
      <c r="Z126" s="6"/>
    </row>
    <row r="127" spans="1:26" ht="18" customHeight="1" x14ac:dyDescent="0.3">
      <c r="A127" s="152"/>
      <c r="B127" s="128"/>
      <c r="C127" s="152"/>
      <c r="D127" s="128"/>
      <c r="E127" s="124"/>
      <c r="F127" s="152"/>
      <c r="G127" s="128"/>
      <c r="H127" s="146"/>
      <c r="I127" s="146"/>
      <c r="J127" s="6"/>
      <c r="K127" s="6"/>
      <c r="L127" s="6"/>
      <c r="M127" s="6"/>
      <c r="N127" s="6"/>
      <c r="O127" s="6"/>
      <c r="P127" s="6"/>
      <c r="Q127" s="6"/>
      <c r="R127" s="6"/>
      <c r="S127" s="6"/>
      <c r="T127" s="6"/>
      <c r="U127" s="6"/>
      <c r="V127" s="6"/>
      <c r="W127" s="6"/>
      <c r="X127" s="6"/>
      <c r="Y127" s="6"/>
      <c r="Z127" s="6"/>
    </row>
    <row r="128" spans="1:26" ht="18" customHeight="1" x14ac:dyDescent="0.3">
      <c r="A128" s="152"/>
      <c r="B128" s="128"/>
      <c r="C128" s="152"/>
      <c r="D128" s="128"/>
      <c r="E128" s="124"/>
      <c r="F128" s="152"/>
      <c r="G128" s="128"/>
      <c r="H128" s="146"/>
      <c r="I128" s="146"/>
      <c r="J128" s="6"/>
      <c r="K128" s="6"/>
      <c r="L128" s="6"/>
      <c r="M128" s="6"/>
      <c r="N128" s="6"/>
      <c r="O128" s="6"/>
      <c r="P128" s="6"/>
      <c r="Q128" s="6"/>
      <c r="R128" s="6"/>
      <c r="S128" s="6"/>
      <c r="T128" s="6"/>
      <c r="U128" s="6"/>
      <c r="V128" s="6"/>
      <c r="W128" s="6"/>
      <c r="X128" s="6"/>
      <c r="Y128" s="6"/>
      <c r="Z128" s="6"/>
    </row>
    <row r="129" spans="1:26" ht="18" customHeight="1" x14ac:dyDescent="0.3">
      <c r="A129" s="152"/>
      <c r="B129" s="128"/>
      <c r="C129" s="152"/>
      <c r="D129" s="128"/>
      <c r="E129" s="124"/>
      <c r="F129" s="152"/>
      <c r="G129" s="128"/>
      <c r="H129" s="146"/>
      <c r="I129" s="146"/>
      <c r="J129" s="6"/>
      <c r="K129" s="6"/>
      <c r="L129" s="6"/>
      <c r="M129" s="6"/>
      <c r="N129" s="6"/>
      <c r="O129" s="6"/>
      <c r="P129" s="6"/>
      <c r="Q129" s="6"/>
      <c r="R129" s="6"/>
      <c r="S129" s="6"/>
      <c r="T129" s="6"/>
      <c r="U129" s="6"/>
      <c r="V129" s="6"/>
      <c r="W129" s="6"/>
      <c r="X129" s="6"/>
      <c r="Y129" s="6"/>
      <c r="Z129" s="6"/>
    </row>
    <row r="130" spans="1:26" ht="18" customHeight="1" x14ac:dyDescent="0.3">
      <c r="A130" s="152"/>
      <c r="B130" s="128"/>
      <c r="C130" s="152"/>
      <c r="D130" s="128"/>
      <c r="E130" s="124"/>
      <c r="F130" s="152"/>
      <c r="G130" s="128"/>
      <c r="H130" s="146"/>
      <c r="I130" s="146"/>
      <c r="J130" s="6"/>
      <c r="K130" s="6"/>
      <c r="L130" s="6"/>
      <c r="M130" s="6"/>
      <c r="N130" s="6"/>
      <c r="O130" s="6"/>
      <c r="P130" s="6"/>
      <c r="Q130" s="6"/>
      <c r="R130" s="6"/>
      <c r="S130" s="6"/>
      <c r="T130" s="6"/>
      <c r="U130" s="6"/>
      <c r="V130" s="6"/>
      <c r="W130" s="6"/>
      <c r="X130" s="6"/>
      <c r="Y130" s="6"/>
      <c r="Z130" s="6"/>
    </row>
    <row r="131" spans="1:26" ht="18" customHeight="1" x14ac:dyDescent="0.3">
      <c r="A131" s="152"/>
      <c r="B131" s="128"/>
      <c r="C131" s="152"/>
      <c r="D131" s="128"/>
      <c r="E131" s="124"/>
      <c r="F131" s="152"/>
      <c r="G131" s="128"/>
      <c r="H131" s="146"/>
      <c r="I131" s="146"/>
      <c r="J131" s="6"/>
      <c r="K131" s="6"/>
      <c r="L131" s="6"/>
      <c r="M131" s="6"/>
      <c r="N131" s="6"/>
      <c r="O131" s="6"/>
      <c r="P131" s="6"/>
      <c r="Q131" s="6"/>
      <c r="R131" s="6"/>
      <c r="S131" s="6"/>
      <c r="T131" s="6"/>
      <c r="U131" s="6"/>
      <c r="V131" s="6"/>
      <c r="W131" s="6"/>
      <c r="X131" s="6"/>
      <c r="Y131" s="6"/>
      <c r="Z131" s="6"/>
    </row>
    <row r="132" spans="1:26" ht="18" customHeight="1" x14ac:dyDescent="0.3">
      <c r="A132" s="152"/>
      <c r="B132" s="128"/>
      <c r="C132" s="152"/>
      <c r="D132" s="128"/>
      <c r="E132" s="124"/>
      <c r="F132" s="152"/>
      <c r="G132" s="128"/>
      <c r="H132" s="146"/>
      <c r="I132" s="146"/>
      <c r="J132" s="6"/>
      <c r="K132" s="6"/>
      <c r="L132" s="6"/>
      <c r="M132" s="6"/>
      <c r="N132" s="6"/>
      <c r="O132" s="6"/>
      <c r="P132" s="6"/>
      <c r="Q132" s="6"/>
      <c r="R132" s="6"/>
      <c r="S132" s="6"/>
      <c r="T132" s="6"/>
      <c r="U132" s="6"/>
      <c r="V132" s="6"/>
      <c r="W132" s="6"/>
      <c r="X132" s="6"/>
      <c r="Y132" s="6"/>
      <c r="Z132" s="6"/>
    </row>
    <row r="133" spans="1:26" ht="18" customHeight="1" x14ac:dyDescent="0.3">
      <c r="A133" s="152"/>
      <c r="B133" s="128"/>
      <c r="C133" s="152"/>
      <c r="D133" s="128"/>
      <c r="E133" s="124"/>
      <c r="F133" s="152"/>
      <c r="G133" s="128"/>
      <c r="H133" s="146"/>
      <c r="I133" s="146"/>
      <c r="J133" s="6"/>
      <c r="K133" s="6"/>
      <c r="L133" s="6"/>
      <c r="M133" s="6"/>
      <c r="N133" s="6"/>
      <c r="O133" s="6"/>
      <c r="P133" s="6"/>
      <c r="Q133" s="6"/>
      <c r="R133" s="6"/>
      <c r="S133" s="6"/>
      <c r="T133" s="6"/>
      <c r="U133" s="6"/>
      <c r="V133" s="6"/>
      <c r="W133" s="6"/>
      <c r="X133" s="6"/>
      <c r="Y133" s="6"/>
      <c r="Z133" s="6"/>
    </row>
    <row r="134" spans="1:26" ht="18" customHeight="1" x14ac:dyDescent="0.3">
      <c r="A134" s="152"/>
      <c r="B134" s="128"/>
      <c r="C134" s="152"/>
      <c r="D134" s="128"/>
      <c r="E134" s="124"/>
      <c r="F134" s="152"/>
      <c r="G134" s="128"/>
      <c r="H134" s="146"/>
      <c r="I134" s="146"/>
      <c r="J134" s="6"/>
      <c r="K134" s="6"/>
      <c r="L134" s="6"/>
      <c r="M134" s="6"/>
      <c r="N134" s="6"/>
      <c r="O134" s="6"/>
      <c r="P134" s="6"/>
      <c r="Q134" s="6"/>
      <c r="R134" s="6"/>
      <c r="S134" s="6"/>
      <c r="T134" s="6"/>
      <c r="U134" s="6"/>
      <c r="V134" s="6"/>
      <c r="W134" s="6"/>
      <c r="X134" s="6"/>
      <c r="Y134" s="6"/>
      <c r="Z134" s="6"/>
    </row>
    <row r="135" spans="1:26" ht="18" customHeight="1" x14ac:dyDescent="0.3">
      <c r="A135" s="152"/>
      <c r="B135" s="128"/>
      <c r="C135" s="152"/>
      <c r="D135" s="128"/>
      <c r="E135" s="124"/>
      <c r="F135" s="152"/>
      <c r="G135" s="128"/>
      <c r="H135" s="146"/>
      <c r="I135" s="146"/>
      <c r="J135" s="6"/>
      <c r="K135" s="6"/>
      <c r="L135" s="6"/>
      <c r="M135" s="6"/>
      <c r="N135" s="6"/>
      <c r="O135" s="6"/>
      <c r="P135" s="6"/>
      <c r="Q135" s="6"/>
      <c r="R135" s="6"/>
      <c r="S135" s="6"/>
      <c r="T135" s="6"/>
      <c r="U135" s="6"/>
      <c r="V135" s="6"/>
      <c r="W135" s="6"/>
      <c r="X135" s="6"/>
      <c r="Y135" s="6"/>
      <c r="Z135" s="6"/>
    </row>
    <row r="136" spans="1:26" ht="18" customHeight="1" x14ac:dyDescent="0.3">
      <c r="A136" s="152"/>
      <c r="B136" s="128"/>
      <c r="C136" s="152"/>
      <c r="D136" s="128"/>
      <c r="E136" s="124"/>
      <c r="F136" s="152"/>
      <c r="G136" s="128"/>
      <c r="H136" s="146"/>
      <c r="I136" s="146"/>
      <c r="J136" s="6"/>
      <c r="K136" s="6"/>
      <c r="L136" s="6"/>
      <c r="M136" s="6"/>
      <c r="N136" s="6"/>
      <c r="O136" s="6"/>
      <c r="P136" s="6"/>
      <c r="Q136" s="6"/>
      <c r="R136" s="6"/>
      <c r="S136" s="6"/>
      <c r="T136" s="6"/>
      <c r="U136" s="6"/>
      <c r="V136" s="6"/>
      <c r="W136" s="6"/>
      <c r="X136" s="6"/>
      <c r="Y136" s="6"/>
      <c r="Z136" s="6"/>
    </row>
    <row r="137" spans="1:26" ht="18" customHeight="1" x14ac:dyDescent="0.3">
      <c r="A137" s="152"/>
      <c r="B137" s="128"/>
      <c r="C137" s="152"/>
      <c r="D137" s="128"/>
      <c r="E137" s="124"/>
      <c r="F137" s="152"/>
      <c r="G137" s="128"/>
      <c r="H137" s="146"/>
      <c r="I137" s="146"/>
      <c r="J137" s="6"/>
      <c r="K137" s="6"/>
      <c r="L137" s="6"/>
      <c r="M137" s="6"/>
      <c r="N137" s="6"/>
      <c r="O137" s="6"/>
      <c r="P137" s="6"/>
      <c r="Q137" s="6"/>
      <c r="R137" s="6"/>
      <c r="S137" s="6"/>
      <c r="T137" s="6"/>
      <c r="U137" s="6"/>
      <c r="V137" s="6"/>
      <c r="W137" s="6"/>
      <c r="X137" s="6"/>
      <c r="Y137" s="6"/>
      <c r="Z137" s="6"/>
    </row>
    <row r="138" spans="1:26" ht="18" customHeight="1" x14ac:dyDescent="0.3">
      <c r="A138" s="152"/>
      <c r="B138" s="128"/>
      <c r="C138" s="152"/>
      <c r="D138" s="128"/>
      <c r="E138" s="124"/>
      <c r="F138" s="152"/>
      <c r="G138" s="128"/>
      <c r="H138" s="146"/>
      <c r="I138" s="146"/>
      <c r="J138" s="6"/>
      <c r="K138" s="6"/>
      <c r="L138" s="6"/>
      <c r="M138" s="6"/>
      <c r="N138" s="6"/>
      <c r="O138" s="6"/>
      <c r="P138" s="6"/>
      <c r="Q138" s="6"/>
      <c r="R138" s="6"/>
      <c r="S138" s="6"/>
      <c r="T138" s="6"/>
      <c r="U138" s="6"/>
      <c r="V138" s="6"/>
      <c r="W138" s="6"/>
      <c r="X138" s="6"/>
      <c r="Y138" s="6"/>
      <c r="Z138" s="6"/>
    </row>
    <row r="139" spans="1:26" ht="18" customHeight="1" x14ac:dyDescent="0.3">
      <c r="A139" s="152"/>
      <c r="B139" s="128"/>
      <c r="C139" s="152"/>
      <c r="D139" s="128"/>
      <c r="E139" s="124"/>
      <c r="F139" s="152"/>
      <c r="G139" s="128"/>
      <c r="H139" s="146"/>
      <c r="I139" s="146"/>
      <c r="J139" s="6"/>
      <c r="K139" s="6"/>
      <c r="L139" s="6"/>
      <c r="M139" s="6"/>
      <c r="N139" s="6"/>
      <c r="O139" s="6"/>
      <c r="P139" s="6"/>
      <c r="Q139" s="6"/>
      <c r="R139" s="6"/>
      <c r="S139" s="6"/>
      <c r="T139" s="6"/>
      <c r="U139" s="6"/>
      <c r="V139" s="6"/>
      <c r="W139" s="6"/>
      <c r="X139" s="6"/>
      <c r="Y139" s="6"/>
      <c r="Z139" s="6"/>
    </row>
    <row r="140" spans="1:26" ht="18" customHeight="1" x14ac:dyDescent="0.3">
      <c r="A140" s="152"/>
      <c r="B140" s="128"/>
      <c r="C140" s="152"/>
      <c r="D140" s="128"/>
      <c r="E140" s="124"/>
      <c r="F140" s="152"/>
      <c r="G140" s="128"/>
      <c r="H140" s="146"/>
      <c r="I140" s="146"/>
      <c r="J140" s="6"/>
      <c r="K140" s="6"/>
      <c r="L140" s="6"/>
      <c r="M140" s="6"/>
      <c r="N140" s="6"/>
      <c r="O140" s="6"/>
      <c r="P140" s="6"/>
      <c r="Q140" s="6"/>
      <c r="R140" s="6"/>
      <c r="S140" s="6"/>
      <c r="T140" s="6"/>
      <c r="U140" s="6"/>
      <c r="V140" s="6"/>
      <c r="W140" s="6"/>
      <c r="X140" s="6"/>
      <c r="Y140" s="6"/>
      <c r="Z140" s="6"/>
    </row>
    <row r="141" spans="1:26" ht="18" customHeight="1" x14ac:dyDescent="0.3">
      <c r="A141" s="152"/>
      <c r="B141" s="128"/>
      <c r="C141" s="152"/>
      <c r="D141" s="128"/>
      <c r="E141" s="124"/>
      <c r="F141" s="152"/>
      <c r="G141" s="128"/>
      <c r="H141" s="146"/>
      <c r="I141" s="146"/>
      <c r="J141" s="6"/>
      <c r="K141" s="6"/>
      <c r="L141" s="6"/>
      <c r="M141" s="6"/>
      <c r="N141" s="6"/>
      <c r="O141" s="6"/>
      <c r="P141" s="6"/>
      <c r="Q141" s="6"/>
      <c r="R141" s="6"/>
      <c r="S141" s="6"/>
      <c r="T141" s="6"/>
      <c r="U141" s="6"/>
      <c r="V141" s="6"/>
      <c r="W141" s="6"/>
      <c r="X141" s="6"/>
      <c r="Y141" s="6"/>
      <c r="Z141" s="6"/>
    </row>
    <row r="142" spans="1:26" ht="18" customHeight="1" x14ac:dyDescent="0.3">
      <c r="A142" s="152"/>
      <c r="B142" s="128"/>
      <c r="C142" s="152"/>
      <c r="D142" s="128"/>
      <c r="E142" s="124"/>
      <c r="F142" s="152"/>
      <c r="G142" s="128"/>
      <c r="H142" s="146"/>
      <c r="I142" s="146"/>
      <c r="J142" s="6"/>
      <c r="K142" s="6"/>
      <c r="L142" s="6"/>
      <c r="M142" s="6"/>
      <c r="N142" s="6"/>
      <c r="O142" s="6"/>
      <c r="P142" s="6"/>
      <c r="Q142" s="6"/>
      <c r="R142" s="6"/>
      <c r="S142" s="6"/>
      <c r="T142" s="6"/>
      <c r="U142" s="6"/>
      <c r="V142" s="6"/>
      <c r="W142" s="6"/>
      <c r="X142" s="6"/>
      <c r="Y142" s="6"/>
      <c r="Z142" s="6"/>
    </row>
    <row r="143" spans="1:26" ht="18" customHeight="1" x14ac:dyDescent="0.3">
      <c r="A143" s="152"/>
      <c r="B143" s="128"/>
      <c r="C143" s="152"/>
      <c r="D143" s="128"/>
      <c r="E143" s="124"/>
      <c r="F143" s="152"/>
      <c r="G143" s="128"/>
      <c r="H143" s="146"/>
      <c r="I143" s="146"/>
      <c r="J143" s="6"/>
      <c r="K143" s="6"/>
      <c r="L143" s="6"/>
      <c r="M143" s="6"/>
      <c r="N143" s="6"/>
      <c r="O143" s="6"/>
      <c r="P143" s="6"/>
      <c r="Q143" s="6"/>
      <c r="R143" s="6"/>
      <c r="S143" s="6"/>
      <c r="T143" s="6"/>
      <c r="U143" s="6"/>
      <c r="V143" s="6"/>
      <c r="W143" s="6"/>
      <c r="X143" s="6"/>
      <c r="Y143" s="6"/>
      <c r="Z143" s="6"/>
    </row>
    <row r="144" spans="1:26" ht="18" customHeight="1" x14ac:dyDescent="0.3">
      <c r="A144" s="152"/>
      <c r="B144" s="128"/>
      <c r="C144" s="152"/>
      <c r="D144" s="128"/>
      <c r="E144" s="124"/>
      <c r="F144" s="152"/>
      <c r="G144" s="128"/>
      <c r="H144" s="146"/>
      <c r="I144" s="146"/>
      <c r="J144" s="6"/>
      <c r="K144" s="6"/>
      <c r="L144" s="6"/>
      <c r="M144" s="6"/>
      <c r="N144" s="6"/>
      <c r="O144" s="6"/>
      <c r="P144" s="6"/>
      <c r="Q144" s="6"/>
      <c r="R144" s="6"/>
      <c r="S144" s="6"/>
      <c r="T144" s="6"/>
      <c r="U144" s="6"/>
      <c r="V144" s="6"/>
      <c r="W144" s="6"/>
      <c r="X144" s="6"/>
      <c r="Y144" s="6"/>
      <c r="Z144" s="6"/>
    </row>
    <row r="145" spans="1:26" ht="18" customHeight="1" x14ac:dyDescent="0.3">
      <c r="A145" s="152"/>
      <c r="B145" s="128"/>
      <c r="C145" s="152"/>
      <c r="D145" s="128"/>
      <c r="E145" s="124"/>
      <c r="F145" s="152"/>
      <c r="G145" s="128"/>
      <c r="H145" s="146"/>
      <c r="I145" s="146"/>
      <c r="J145" s="6"/>
      <c r="K145" s="6"/>
      <c r="L145" s="6"/>
      <c r="M145" s="6"/>
      <c r="N145" s="6"/>
      <c r="O145" s="6"/>
      <c r="P145" s="6"/>
      <c r="Q145" s="6"/>
      <c r="R145" s="6"/>
      <c r="S145" s="6"/>
      <c r="T145" s="6"/>
      <c r="U145" s="6"/>
      <c r="V145" s="6"/>
      <c r="W145" s="6"/>
      <c r="X145" s="6"/>
      <c r="Y145" s="6"/>
      <c r="Z145" s="6"/>
    </row>
    <row r="146" spans="1:26" ht="18" customHeight="1" x14ac:dyDescent="0.3">
      <c r="A146" s="152"/>
      <c r="B146" s="128"/>
      <c r="C146" s="152"/>
      <c r="D146" s="128"/>
      <c r="E146" s="124"/>
      <c r="F146" s="152"/>
      <c r="G146" s="128"/>
      <c r="H146" s="146"/>
      <c r="I146" s="146"/>
      <c r="J146" s="6"/>
      <c r="K146" s="6"/>
      <c r="L146" s="6"/>
      <c r="M146" s="6"/>
      <c r="N146" s="6"/>
      <c r="O146" s="6"/>
      <c r="P146" s="6"/>
      <c r="Q146" s="6"/>
      <c r="R146" s="6"/>
      <c r="S146" s="6"/>
      <c r="T146" s="6"/>
      <c r="U146" s="6"/>
      <c r="V146" s="6"/>
      <c r="W146" s="6"/>
      <c r="X146" s="6"/>
      <c r="Y146" s="6"/>
      <c r="Z146" s="6"/>
    </row>
    <row r="147" spans="1:26" ht="18" customHeight="1" x14ac:dyDescent="0.3">
      <c r="A147" s="152"/>
      <c r="B147" s="128"/>
      <c r="C147" s="152"/>
      <c r="D147" s="128"/>
      <c r="E147" s="124"/>
      <c r="F147" s="152"/>
      <c r="G147" s="128"/>
      <c r="H147" s="146"/>
      <c r="I147" s="146"/>
      <c r="J147" s="6"/>
      <c r="K147" s="6"/>
      <c r="L147" s="6"/>
      <c r="M147" s="6"/>
      <c r="N147" s="6"/>
      <c r="O147" s="6"/>
      <c r="P147" s="6"/>
      <c r="Q147" s="6"/>
      <c r="R147" s="6"/>
      <c r="S147" s="6"/>
      <c r="T147" s="6"/>
      <c r="U147" s="6"/>
      <c r="V147" s="6"/>
      <c r="W147" s="6"/>
      <c r="X147" s="6"/>
      <c r="Y147" s="6"/>
      <c r="Z147" s="6"/>
    </row>
    <row r="148" spans="1:26" ht="18" customHeight="1" x14ac:dyDescent="0.3">
      <c r="A148" s="152"/>
      <c r="B148" s="128"/>
      <c r="C148" s="152"/>
      <c r="D148" s="128"/>
      <c r="E148" s="124"/>
      <c r="F148" s="152"/>
      <c r="G148" s="128"/>
      <c r="H148" s="146"/>
      <c r="I148" s="146"/>
      <c r="J148" s="6"/>
      <c r="K148" s="6"/>
      <c r="L148" s="6"/>
      <c r="M148" s="6"/>
      <c r="N148" s="6"/>
      <c r="O148" s="6"/>
      <c r="P148" s="6"/>
      <c r="Q148" s="6"/>
      <c r="R148" s="6"/>
      <c r="S148" s="6"/>
      <c r="T148" s="6"/>
      <c r="U148" s="6"/>
      <c r="V148" s="6"/>
      <c r="W148" s="6"/>
      <c r="X148" s="6"/>
      <c r="Y148" s="6"/>
      <c r="Z148" s="6"/>
    </row>
    <row r="149" spans="1:26" ht="18" customHeight="1" x14ac:dyDescent="0.3">
      <c r="A149" s="152"/>
      <c r="B149" s="128"/>
      <c r="C149" s="152"/>
      <c r="D149" s="128"/>
      <c r="E149" s="124"/>
      <c r="F149" s="152"/>
      <c r="G149" s="128"/>
      <c r="H149" s="146"/>
      <c r="I149" s="146"/>
      <c r="J149" s="6"/>
      <c r="K149" s="6"/>
      <c r="L149" s="6"/>
      <c r="M149" s="6"/>
      <c r="N149" s="6"/>
      <c r="O149" s="6"/>
      <c r="P149" s="6"/>
      <c r="Q149" s="6"/>
      <c r="R149" s="6"/>
      <c r="S149" s="6"/>
      <c r="T149" s="6"/>
      <c r="U149" s="6"/>
      <c r="V149" s="6"/>
      <c r="W149" s="6"/>
      <c r="X149" s="6"/>
      <c r="Y149" s="6"/>
      <c r="Z149" s="6"/>
    </row>
    <row r="150" spans="1:26" ht="18" customHeight="1" x14ac:dyDescent="0.3">
      <c r="A150" s="152"/>
      <c r="B150" s="128"/>
      <c r="C150" s="152"/>
      <c r="D150" s="128"/>
      <c r="E150" s="124"/>
      <c r="F150" s="152"/>
      <c r="G150" s="128"/>
      <c r="H150" s="146"/>
      <c r="I150" s="146"/>
      <c r="J150" s="6"/>
      <c r="K150" s="6"/>
      <c r="L150" s="6"/>
      <c r="M150" s="6"/>
      <c r="N150" s="6"/>
      <c r="O150" s="6"/>
      <c r="P150" s="6"/>
      <c r="Q150" s="6"/>
      <c r="R150" s="6"/>
      <c r="S150" s="6"/>
      <c r="T150" s="6"/>
      <c r="U150" s="6"/>
      <c r="V150" s="6"/>
      <c r="W150" s="6"/>
      <c r="X150" s="6"/>
      <c r="Y150" s="6"/>
      <c r="Z150" s="6"/>
    </row>
    <row r="151" spans="1:26" ht="18" customHeight="1" x14ac:dyDescent="0.3">
      <c r="A151" s="152"/>
      <c r="B151" s="128"/>
      <c r="C151" s="152"/>
      <c r="D151" s="128"/>
      <c r="E151" s="124"/>
      <c r="F151" s="152"/>
      <c r="G151" s="128"/>
      <c r="H151" s="146"/>
      <c r="I151" s="146"/>
      <c r="J151" s="6"/>
      <c r="K151" s="6"/>
      <c r="L151" s="6"/>
      <c r="M151" s="6"/>
      <c r="N151" s="6"/>
      <c r="O151" s="6"/>
      <c r="P151" s="6"/>
      <c r="Q151" s="6"/>
      <c r="R151" s="6"/>
      <c r="S151" s="6"/>
      <c r="T151" s="6"/>
      <c r="U151" s="6"/>
      <c r="V151" s="6"/>
      <c r="W151" s="6"/>
      <c r="X151" s="6"/>
      <c r="Y151" s="6"/>
      <c r="Z151" s="6"/>
    </row>
    <row r="152" spans="1:26" ht="18" customHeight="1" x14ac:dyDescent="0.3">
      <c r="A152" s="152"/>
      <c r="B152" s="128"/>
      <c r="C152" s="152"/>
      <c r="D152" s="128"/>
      <c r="E152" s="124"/>
      <c r="F152" s="152"/>
      <c r="G152" s="128"/>
      <c r="H152" s="146"/>
      <c r="I152" s="146"/>
      <c r="J152" s="6"/>
      <c r="K152" s="6"/>
      <c r="L152" s="6"/>
      <c r="M152" s="6"/>
      <c r="N152" s="6"/>
      <c r="O152" s="6"/>
      <c r="P152" s="6"/>
      <c r="Q152" s="6"/>
      <c r="R152" s="6"/>
      <c r="S152" s="6"/>
      <c r="T152" s="6"/>
      <c r="U152" s="6"/>
      <c r="V152" s="6"/>
      <c r="W152" s="6"/>
      <c r="X152" s="6"/>
      <c r="Y152" s="6"/>
      <c r="Z152" s="6"/>
    </row>
    <row r="153" spans="1:26" ht="18" customHeight="1" x14ac:dyDescent="0.3">
      <c r="A153" s="152"/>
      <c r="B153" s="128"/>
      <c r="C153" s="152"/>
      <c r="D153" s="128"/>
      <c r="E153" s="124"/>
      <c r="F153" s="152"/>
      <c r="G153" s="128"/>
      <c r="H153" s="146"/>
      <c r="I153" s="146"/>
      <c r="J153" s="6"/>
      <c r="K153" s="6"/>
      <c r="L153" s="6"/>
      <c r="M153" s="6"/>
      <c r="N153" s="6"/>
      <c r="O153" s="6"/>
      <c r="P153" s="6"/>
      <c r="Q153" s="6"/>
      <c r="R153" s="6"/>
      <c r="S153" s="6"/>
      <c r="T153" s="6"/>
      <c r="U153" s="6"/>
      <c r="V153" s="6"/>
      <c r="W153" s="6"/>
      <c r="X153" s="6"/>
      <c r="Y153" s="6"/>
      <c r="Z153" s="6"/>
    </row>
    <row r="154" spans="1:26" ht="18" customHeight="1" x14ac:dyDescent="0.3">
      <c r="A154" s="152"/>
      <c r="B154" s="128"/>
      <c r="C154" s="152"/>
      <c r="D154" s="128"/>
      <c r="E154" s="124"/>
      <c r="F154" s="152"/>
      <c r="G154" s="128"/>
      <c r="H154" s="146"/>
      <c r="I154" s="146"/>
      <c r="J154" s="6"/>
      <c r="K154" s="6"/>
      <c r="L154" s="6"/>
      <c r="M154" s="6"/>
      <c r="N154" s="6"/>
      <c r="O154" s="6"/>
      <c r="P154" s="6"/>
      <c r="Q154" s="6"/>
      <c r="R154" s="6"/>
      <c r="S154" s="6"/>
      <c r="T154" s="6"/>
      <c r="U154" s="6"/>
      <c r="V154" s="6"/>
      <c r="W154" s="6"/>
      <c r="X154" s="6"/>
      <c r="Y154" s="6"/>
      <c r="Z154" s="6"/>
    </row>
    <row r="155" spans="1:26" ht="18" customHeight="1" x14ac:dyDescent="0.3">
      <c r="A155" s="152"/>
      <c r="B155" s="128"/>
      <c r="C155" s="152"/>
      <c r="D155" s="128"/>
      <c r="E155" s="124"/>
      <c r="F155" s="152"/>
      <c r="G155" s="128"/>
      <c r="H155" s="146"/>
      <c r="I155" s="146"/>
      <c r="J155" s="6"/>
      <c r="K155" s="6"/>
      <c r="L155" s="6"/>
      <c r="M155" s="6"/>
      <c r="N155" s="6"/>
      <c r="O155" s="6"/>
      <c r="P155" s="6"/>
      <c r="Q155" s="6"/>
      <c r="R155" s="6"/>
      <c r="S155" s="6"/>
      <c r="T155" s="6"/>
      <c r="U155" s="6"/>
      <c r="V155" s="6"/>
      <c r="W155" s="6"/>
      <c r="X155" s="6"/>
      <c r="Y155" s="6"/>
      <c r="Z155" s="6"/>
    </row>
    <row r="156" spans="1:26" ht="18" customHeight="1" x14ac:dyDescent="0.3">
      <c r="A156" s="152"/>
      <c r="B156" s="128"/>
      <c r="C156" s="152"/>
      <c r="D156" s="128"/>
      <c r="E156" s="124"/>
      <c r="F156" s="152"/>
      <c r="G156" s="128"/>
      <c r="H156" s="146"/>
      <c r="I156" s="146"/>
      <c r="J156" s="6"/>
      <c r="K156" s="6"/>
      <c r="L156" s="6"/>
      <c r="M156" s="6"/>
      <c r="N156" s="6"/>
      <c r="O156" s="6"/>
      <c r="P156" s="6"/>
      <c r="Q156" s="6"/>
      <c r="R156" s="6"/>
      <c r="S156" s="6"/>
      <c r="T156" s="6"/>
      <c r="U156" s="6"/>
      <c r="V156" s="6"/>
      <c r="W156" s="6"/>
      <c r="X156" s="6"/>
      <c r="Y156" s="6"/>
      <c r="Z156" s="6"/>
    </row>
    <row r="157" spans="1:26" ht="18" customHeight="1" x14ac:dyDescent="0.3">
      <c r="A157" s="152"/>
      <c r="B157" s="128"/>
      <c r="C157" s="152"/>
      <c r="D157" s="128"/>
      <c r="E157" s="124"/>
      <c r="F157" s="152"/>
      <c r="G157" s="128"/>
      <c r="H157" s="146"/>
      <c r="I157" s="146"/>
      <c r="J157" s="6"/>
      <c r="K157" s="6"/>
      <c r="L157" s="6"/>
      <c r="M157" s="6"/>
      <c r="N157" s="6"/>
      <c r="O157" s="6"/>
      <c r="P157" s="6"/>
      <c r="Q157" s="6"/>
      <c r="R157" s="6"/>
      <c r="S157" s="6"/>
      <c r="T157" s="6"/>
      <c r="U157" s="6"/>
      <c r="V157" s="6"/>
      <c r="W157" s="6"/>
      <c r="X157" s="6"/>
      <c r="Y157" s="6"/>
      <c r="Z157" s="6"/>
    </row>
    <row r="158" spans="1:26" ht="18" customHeight="1" x14ac:dyDescent="0.3">
      <c r="A158" s="152"/>
      <c r="B158" s="128"/>
      <c r="C158" s="152"/>
      <c r="D158" s="128"/>
      <c r="E158" s="124"/>
      <c r="F158" s="152"/>
      <c r="G158" s="128"/>
      <c r="H158" s="146"/>
      <c r="I158" s="146"/>
      <c r="J158" s="6"/>
      <c r="K158" s="6"/>
      <c r="L158" s="6"/>
      <c r="M158" s="6"/>
      <c r="N158" s="6"/>
      <c r="O158" s="6"/>
      <c r="P158" s="6"/>
      <c r="Q158" s="6"/>
      <c r="R158" s="6"/>
      <c r="S158" s="6"/>
      <c r="T158" s="6"/>
      <c r="U158" s="6"/>
      <c r="V158" s="6"/>
      <c r="W158" s="6"/>
      <c r="X158" s="6"/>
      <c r="Y158" s="6"/>
      <c r="Z158" s="6"/>
    </row>
    <row r="159" spans="1:26" ht="18" customHeight="1" x14ac:dyDescent="0.3">
      <c r="A159" s="152"/>
      <c r="B159" s="128"/>
      <c r="C159" s="152"/>
      <c r="D159" s="128"/>
      <c r="E159" s="124"/>
      <c r="F159" s="152"/>
      <c r="G159" s="128"/>
      <c r="H159" s="146"/>
      <c r="I159" s="146"/>
      <c r="J159" s="6"/>
      <c r="K159" s="6"/>
      <c r="L159" s="6"/>
      <c r="M159" s="6"/>
      <c r="N159" s="6"/>
      <c r="O159" s="6"/>
      <c r="P159" s="6"/>
      <c r="Q159" s="6"/>
      <c r="R159" s="6"/>
      <c r="S159" s="6"/>
      <c r="T159" s="6"/>
      <c r="U159" s="6"/>
      <c r="V159" s="6"/>
      <c r="W159" s="6"/>
      <c r="X159" s="6"/>
      <c r="Y159" s="6"/>
      <c r="Z159" s="6"/>
    </row>
    <row r="160" spans="1:26" ht="18" customHeight="1" x14ac:dyDescent="0.3">
      <c r="A160" s="152"/>
      <c r="B160" s="128"/>
      <c r="C160" s="152"/>
      <c r="D160" s="128"/>
      <c r="E160" s="124"/>
      <c r="F160" s="152"/>
      <c r="G160" s="128"/>
      <c r="H160" s="146"/>
      <c r="I160" s="146"/>
      <c r="J160" s="6"/>
      <c r="K160" s="6"/>
      <c r="L160" s="6"/>
      <c r="M160" s="6"/>
      <c r="N160" s="6"/>
      <c r="O160" s="6"/>
      <c r="P160" s="6"/>
      <c r="Q160" s="6"/>
      <c r="R160" s="6"/>
      <c r="S160" s="6"/>
      <c r="T160" s="6"/>
      <c r="U160" s="6"/>
      <c r="V160" s="6"/>
      <c r="W160" s="6"/>
      <c r="X160" s="6"/>
      <c r="Y160" s="6"/>
      <c r="Z160" s="6"/>
    </row>
    <row r="161" spans="1:26" ht="18" customHeight="1" x14ac:dyDescent="0.3">
      <c r="A161" s="152"/>
      <c r="B161" s="128"/>
      <c r="C161" s="152"/>
      <c r="D161" s="128"/>
      <c r="E161" s="124"/>
      <c r="F161" s="152"/>
      <c r="G161" s="128"/>
      <c r="H161" s="146"/>
      <c r="I161" s="146"/>
      <c r="J161" s="6"/>
      <c r="K161" s="6"/>
      <c r="L161" s="6"/>
      <c r="M161" s="6"/>
      <c r="N161" s="6"/>
      <c r="O161" s="6"/>
      <c r="P161" s="6"/>
      <c r="Q161" s="6"/>
      <c r="R161" s="6"/>
      <c r="S161" s="6"/>
      <c r="T161" s="6"/>
      <c r="U161" s="6"/>
      <c r="V161" s="6"/>
      <c r="W161" s="6"/>
      <c r="X161" s="6"/>
      <c r="Y161" s="6"/>
      <c r="Z161" s="6"/>
    </row>
    <row r="162" spans="1:26" ht="18" customHeight="1" x14ac:dyDescent="0.3">
      <c r="A162" s="152"/>
      <c r="B162" s="128"/>
      <c r="C162" s="152"/>
      <c r="D162" s="128"/>
      <c r="E162" s="124"/>
      <c r="F162" s="152"/>
      <c r="G162" s="128"/>
      <c r="H162" s="146"/>
      <c r="I162" s="146"/>
      <c r="J162" s="6"/>
      <c r="K162" s="6"/>
      <c r="L162" s="6"/>
      <c r="M162" s="6"/>
      <c r="N162" s="6"/>
      <c r="O162" s="6"/>
      <c r="P162" s="6"/>
      <c r="Q162" s="6"/>
      <c r="R162" s="6"/>
      <c r="S162" s="6"/>
      <c r="T162" s="6"/>
      <c r="U162" s="6"/>
      <c r="V162" s="6"/>
      <c r="W162" s="6"/>
      <c r="X162" s="6"/>
      <c r="Y162" s="6"/>
      <c r="Z162" s="6"/>
    </row>
    <row r="163" spans="1:26" ht="18" customHeight="1" x14ac:dyDescent="0.3">
      <c r="A163" s="152"/>
      <c r="B163" s="128"/>
      <c r="C163" s="152"/>
      <c r="D163" s="128"/>
      <c r="E163" s="124"/>
      <c r="F163" s="152"/>
      <c r="G163" s="128"/>
      <c r="H163" s="146"/>
      <c r="I163" s="146"/>
      <c r="J163" s="6"/>
      <c r="K163" s="6"/>
      <c r="L163" s="6"/>
      <c r="M163" s="6"/>
      <c r="N163" s="6"/>
      <c r="O163" s="6"/>
      <c r="P163" s="6"/>
      <c r="Q163" s="6"/>
      <c r="R163" s="6"/>
      <c r="S163" s="6"/>
      <c r="T163" s="6"/>
      <c r="U163" s="6"/>
      <c r="V163" s="6"/>
      <c r="W163" s="6"/>
      <c r="X163" s="6"/>
      <c r="Y163" s="6"/>
      <c r="Z163" s="6"/>
    </row>
    <row r="164" spans="1:26" ht="18" customHeight="1" x14ac:dyDescent="0.3">
      <c r="A164" s="152"/>
      <c r="B164" s="128"/>
      <c r="C164" s="152"/>
      <c r="D164" s="128"/>
      <c r="E164" s="124"/>
      <c r="F164" s="152"/>
      <c r="G164" s="128"/>
      <c r="H164" s="146"/>
      <c r="I164" s="146"/>
      <c r="J164" s="6"/>
      <c r="K164" s="6"/>
      <c r="L164" s="6"/>
      <c r="M164" s="6"/>
      <c r="N164" s="6"/>
      <c r="O164" s="6"/>
      <c r="P164" s="6"/>
      <c r="Q164" s="6"/>
      <c r="R164" s="6"/>
      <c r="S164" s="6"/>
      <c r="T164" s="6"/>
      <c r="U164" s="6"/>
      <c r="V164" s="6"/>
      <c r="W164" s="6"/>
      <c r="X164" s="6"/>
      <c r="Y164" s="6"/>
      <c r="Z164" s="6"/>
    </row>
    <row r="165" spans="1:26" ht="18" customHeight="1" x14ac:dyDescent="0.3">
      <c r="A165" s="152"/>
      <c r="B165" s="128"/>
      <c r="C165" s="152"/>
      <c r="D165" s="128"/>
      <c r="E165" s="124"/>
      <c r="F165" s="152"/>
      <c r="G165" s="128"/>
      <c r="H165" s="146"/>
      <c r="I165" s="146"/>
      <c r="J165" s="6"/>
      <c r="K165" s="6"/>
      <c r="L165" s="6"/>
      <c r="M165" s="6"/>
      <c r="N165" s="6"/>
      <c r="O165" s="6"/>
      <c r="P165" s="6"/>
      <c r="Q165" s="6"/>
      <c r="R165" s="6"/>
      <c r="S165" s="6"/>
      <c r="T165" s="6"/>
      <c r="U165" s="6"/>
      <c r="V165" s="6"/>
      <c r="W165" s="6"/>
      <c r="X165" s="6"/>
      <c r="Y165" s="6"/>
      <c r="Z165" s="6"/>
    </row>
    <row r="166" spans="1:26" ht="18" customHeight="1" x14ac:dyDescent="0.3">
      <c r="A166" s="152"/>
      <c r="B166" s="128"/>
      <c r="C166" s="152"/>
      <c r="D166" s="128"/>
      <c r="E166" s="124"/>
      <c r="F166" s="152"/>
      <c r="G166" s="128"/>
      <c r="H166" s="146"/>
      <c r="I166" s="146"/>
      <c r="J166" s="6"/>
      <c r="K166" s="6"/>
      <c r="L166" s="6"/>
      <c r="M166" s="6"/>
      <c r="N166" s="6"/>
      <c r="O166" s="6"/>
      <c r="P166" s="6"/>
      <c r="Q166" s="6"/>
      <c r="R166" s="6"/>
      <c r="S166" s="6"/>
      <c r="T166" s="6"/>
      <c r="U166" s="6"/>
      <c r="V166" s="6"/>
      <c r="W166" s="6"/>
      <c r="X166" s="6"/>
      <c r="Y166" s="6"/>
      <c r="Z166" s="6"/>
    </row>
    <row r="167" spans="1:26" ht="18" customHeight="1" x14ac:dyDescent="0.3">
      <c r="A167" s="152"/>
      <c r="B167" s="128"/>
      <c r="C167" s="152"/>
      <c r="D167" s="128"/>
      <c r="E167" s="124"/>
      <c r="F167" s="152"/>
      <c r="G167" s="128"/>
      <c r="H167" s="146"/>
      <c r="I167" s="146"/>
      <c r="J167" s="6"/>
      <c r="K167" s="6"/>
      <c r="L167" s="6"/>
      <c r="M167" s="6"/>
      <c r="N167" s="6"/>
      <c r="O167" s="6"/>
      <c r="P167" s="6"/>
      <c r="Q167" s="6"/>
      <c r="R167" s="6"/>
      <c r="S167" s="6"/>
      <c r="T167" s="6"/>
      <c r="U167" s="6"/>
      <c r="V167" s="6"/>
      <c r="W167" s="6"/>
      <c r="X167" s="6"/>
      <c r="Y167" s="6"/>
      <c r="Z167" s="6"/>
    </row>
    <row r="168" spans="1:26" ht="18" customHeight="1" x14ac:dyDescent="0.3">
      <c r="A168" s="152"/>
      <c r="B168" s="128"/>
      <c r="C168" s="152"/>
      <c r="D168" s="128"/>
      <c r="E168" s="124"/>
      <c r="F168" s="152"/>
      <c r="G168" s="128"/>
      <c r="H168" s="146"/>
      <c r="I168" s="146"/>
      <c r="J168" s="6"/>
      <c r="K168" s="6"/>
      <c r="L168" s="6"/>
      <c r="M168" s="6"/>
      <c r="N168" s="6"/>
      <c r="O168" s="6"/>
      <c r="P168" s="6"/>
      <c r="Q168" s="6"/>
      <c r="R168" s="6"/>
      <c r="S168" s="6"/>
      <c r="T168" s="6"/>
      <c r="U168" s="6"/>
      <c r="V168" s="6"/>
      <c r="W168" s="6"/>
      <c r="X168" s="6"/>
      <c r="Y168" s="6"/>
      <c r="Z168" s="6"/>
    </row>
    <row r="169" spans="1:26" ht="18" customHeight="1" x14ac:dyDescent="0.3">
      <c r="A169" s="152"/>
      <c r="B169" s="128"/>
      <c r="C169" s="152"/>
      <c r="D169" s="128"/>
      <c r="E169" s="124"/>
      <c r="F169" s="152"/>
      <c r="G169" s="128"/>
      <c r="H169" s="146"/>
      <c r="I169" s="146"/>
      <c r="J169" s="6"/>
      <c r="K169" s="6"/>
      <c r="L169" s="6"/>
      <c r="M169" s="6"/>
      <c r="N169" s="6"/>
      <c r="O169" s="6"/>
      <c r="P169" s="6"/>
      <c r="Q169" s="6"/>
      <c r="R169" s="6"/>
      <c r="S169" s="6"/>
      <c r="T169" s="6"/>
      <c r="U169" s="6"/>
      <c r="V169" s="6"/>
      <c r="W169" s="6"/>
      <c r="X169" s="6"/>
      <c r="Y169" s="6"/>
      <c r="Z169" s="6"/>
    </row>
    <row r="170" spans="1:26" ht="18" customHeight="1" x14ac:dyDescent="0.3">
      <c r="A170" s="152"/>
      <c r="B170" s="128"/>
      <c r="C170" s="152"/>
      <c r="D170" s="128"/>
      <c r="E170" s="124"/>
      <c r="F170" s="152"/>
      <c r="G170" s="128"/>
      <c r="H170" s="146"/>
      <c r="I170" s="146"/>
      <c r="J170" s="6"/>
      <c r="K170" s="6"/>
      <c r="L170" s="6"/>
      <c r="M170" s="6"/>
      <c r="N170" s="6"/>
      <c r="O170" s="6"/>
      <c r="P170" s="6"/>
      <c r="Q170" s="6"/>
      <c r="R170" s="6"/>
      <c r="S170" s="6"/>
      <c r="T170" s="6"/>
      <c r="U170" s="6"/>
      <c r="V170" s="6"/>
      <c r="W170" s="6"/>
      <c r="X170" s="6"/>
      <c r="Y170" s="6"/>
      <c r="Z170" s="6"/>
    </row>
    <row r="171" spans="1:26" ht="18" customHeight="1" x14ac:dyDescent="0.3">
      <c r="A171" s="152"/>
      <c r="B171" s="128"/>
      <c r="C171" s="152"/>
      <c r="D171" s="128"/>
      <c r="E171" s="124"/>
      <c r="F171" s="152"/>
      <c r="G171" s="128"/>
      <c r="H171" s="146"/>
      <c r="I171" s="146"/>
      <c r="J171" s="6"/>
      <c r="K171" s="6"/>
      <c r="L171" s="6"/>
      <c r="M171" s="6"/>
      <c r="N171" s="6"/>
      <c r="O171" s="6"/>
      <c r="P171" s="6"/>
      <c r="Q171" s="6"/>
      <c r="R171" s="6"/>
      <c r="S171" s="6"/>
      <c r="T171" s="6"/>
      <c r="U171" s="6"/>
      <c r="V171" s="6"/>
      <c r="W171" s="6"/>
      <c r="X171" s="6"/>
      <c r="Y171" s="6"/>
      <c r="Z171" s="6"/>
    </row>
    <row r="172" spans="1:26" ht="18" customHeight="1" x14ac:dyDescent="0.3">
      <c r="A172" s="152"/>
      <c r="B172" s="128"/>
      <c r="C172" s="152"/>
      <c r="D172" s="128"/>
      <c r="E172" s="124"/>
      <c r="F172" s="152"/>
      <c r="G172" s="128"/>
      <c r="H172" s="146"/>
      <c r="I172" s="146"/>
      <c r="J172" s="6"/>
      <c r="K172" s="6"/>
      <c r="L172" s="6"/>
      <c r="M172" s="6"/>
      <c r="N172" s="6"/>
      <c r="O172" s="6"/>
      <c r="P172" s="6"/>
      <c r="Q172" s="6"/>
      <c r="R172" s="6"/>
      <c r="S172" s="6"/>
      <c r="T172" s="6"/>
      <c r="U172" s="6"/>
      <c r="V172" s="6"/>
      <c r="W172" s="6"/>
      <c r="X172" s="6"/>
      <c r="Y172" s="6"/>
      <c r="Z172" s="6"/>
    </row>
    <row r="173" spans="1:26" ht="18" customHeight="1" x14ac:dyDescent="0.3">
      <c r="A173" s="152"/>
      <c r="B173" s="128"/>
      <c r="C173" s="152"/>
      <c r="D173" s="128"/>
      <c r="E173" s="124"/>
      <c r="F173" s="152"/>
      <c r="G173" s="128"/>
      <c r="H173" s="146"/>
      <c r="I173" s="146"/>
      <c r="J173" s="6"/>
      <c r="K173" s="6"/>
      <c r="L173" s="6"/>
      <c r="M173" s="6"/>
      <c r="N173" s="6"/>
      <c r="O173" s="6"/>
      <c r="P173" s="6"/>
      <c r="Q173" s="6"/>
      <c r="R173" s="6"/>
      <c r="S173" s="6"/>
      <c r="T173" s="6"/>
      <c r="U173" s="6"/>
      <c r="V173" s="6"/>
      <c r="W173" s="6"/>
      <c r="X173" s="6"/>
      <c r="Y173" s="6"/>
      <c r="Z173" s="6"/>
    </row>
    <row r="174" spans="1:26" ht="18" customHeight="1" x14ac:dyDescent="0.3">
      <c r="A174" s="152"/>
      <c r="B174" s="128"/>
      <c r="C174" s="152"/>
      <c r="D174" s="128"/>
      <c r="E174" s="124"/>
      <c r="F174" s="152"/>
      <c r="G174" s="128"/>
      <c r="H174" s="146"/>
      <c r="I174" s="146"/>
      <c r="J174" s="6"/>
      <c r="K174" s="6"/>
      <c r="L174" s="6"/>
      <c r="M174" s="6"/>
      <c r="N174" s="6"/>
      <c r="O174" s="6"/>
      <c r="P174" s="6"/>
      <c r="Q174" s="6"/>
      <c r="R174" s="6"/>
      <c r="S174" s="6"/>
      <c r="T174" s="6"/>
      <c r="U174" s="6"/>
      <c r="V174" s="6"/>
      <c r="W174" s="6"/>
      <c r="X174" s="6"/>
      <c r="Y174" s="6"/>
      <c r="Z174" s="6"/>
    </row>
    <row r="175" spans="1:26" ht="18" customHeight="1" x14ac:dyDescent="0.3">
      <c r="A175" s="152"/>
      <c r="B175" s="128"/>
      <c r="C175" s="152"/>
      <c r="D175" s="128"/>
      <c r="E175" s="124"/>
      <c r="F175" s="152"/>
      <c r="G175" s="128"/>
      <c r="H175" s="146"/>
      <c r="I175" s="146"/>
      <c r="J175" s="6"/>
      <c r="K175" s="6"/>
      <c r="L175" s="6"/>
      <c r="M175" s="6"/>
      <c r="N175" s="6"/>
      <c r="O175" s="6"/>
      <c r="P175" s="6"/>
      <c r="Q175" s="6"/>
      <c r="R175" s="6"/>
      <c r="S175" s="6"/>
      <c r="T175" s="6"/>
      <c r="U175" s="6"/>
      <c r="V175" s="6"/>
      <c r="W175" s="6"/>
      <c r="X175" s="6"/>
      <c r="Y175" s="6"/>
      <c r="Z175" s="6"/>
    </row>
    <row r="176" spans="1:26" ht="18" customHeight="1" x14ac:dyDescent="0.3">
      <c r="A176" s="152"/>
      <c r="B176" s="128"/>
      <c r="C176" s="152"/>
      <c r="D176" s="128"/>
      <c r="E176" s="124"/>
      <c r="F176" s="152"/>
      <c r="G176" s="128"/>
      <c r="H176" s="146"/>
      <c r="I176" s="146"/>
      <c r="J176" s="6"/>
      <c r="K176" s="6"/>
      <c r="L176" s="6"/>
      <c r="M176" s="6"/>
      <c r="N176" s="6"/>
      <c r="O176" s="6"/>
      <c r="P176" s="6"/>
      <c r="Q176" s="6"/>
      <c r="R176" s="6"/>
      <c r="S176" s="6"/>
      <c r="T176" s="6"/>
      <c r="U176" s="6"/>
      <c r="V176" s="6"/>
      <c r="W176" s="6"/>
      <c r="X176" s="6"/>
      <c r="Y176" s="6"/>
      <c r="Z176" s="6"/>
    </row>
    <row r="177" spans="1:26" ht="18" customHeight="1" x14ac:dyDescent="0.3">
      <c r="A177" s="152"/>
      <c r="B177" s="128"/>
      <c r="C177" s="152"/>
      <c r="D177" s="128"/>
      <c r="E177" s="124"/>
      <c r="F177" s="152"/>
      <c r="G177" s="128"/>
      <c r="H177" s="146"/>
      <c r="I177" s="146"/>
      <c r="J177" s="6"/>
      <c r="K177" s="6"/>
      <c r="L177" s="6"/>
      <c r="M177" s="6"/>
      <c r="N177" s="6"/>
      <c r="O177" s="6"/>
      <c r="P177" s="6"/>
      <c r="Q177" s="6"/>
      <c r="R177" s="6"/>
      <c r="S177" s="6"/>
      <c r="T177" s="6"/>
      <c r="U177" s="6"/>
      <c r="V177" s="6"/>
      <c r="W177" s="6"/>
      <c r="X177" s="6"/>
      <c r="Y177" s="6"/>
      <c r="Z177" s="6"/>
    </row>
    <row r="178" spans="1:26" ht="18" customHeight="1" x14ac:dyDescent="0.3">
      <c r="A178" s="152"/>
      <c r="B178" s="128"/>
      <c r="C178" s="152"/>
      <c r="D178" s="128"/>
      <c r="E178" s="124"/>
      <c r="F178" s="152"/>
      <c r="G178" s="128"/>
      <c r="H178" s="146"/>
      <c r="I178" s="146"/>
      <c r="J178" s="6"/>
      <c r="K178" s="6"/>
      <c r="L178" s="6"/>
      <c r="M178" s="6"/>
      <c r="N178" s="6"/>
      <c r="O178" s="6"/>
      <c r="P178" s="6"/>
      <c r="Q178" s="6"/>
      <c r="R178" s="6"/>
      <c r="S178" s="6"/>
      <c r="T178" s="6"/>
      <c r="U178" s="6"/>
      <c r="V178" s="6"/>
      <c r="W178" s="6"/>
      <c r="X178" s="6"/>
      <c r="Y178" s="6"/>
      <c r="Z178" s="6"/>
    </row>
    <row r="179" spans="1:26" ht="18" customHeight="1" x14ac:dyDescent="0.3">
      <c r="A179" s="152"/>
      <c r="B179" s="128"/>
      <c r="C179" s="152"/>
      <c r="D179" s="128"/>
      <c r="E179" s="124"/>
      <c r="F179" s="152"/>
      <c r="G179" s="128"/>
      <c r="H179" s="146"/>
      <c r="I179" s="146"/>
      <c r="J179" s="6"/>
      <c r="K179" s="6"/>
      <c r="L179" s="6"/>
      <c r="M179" s="6"/>
      <c r="N179" s="6"/>
      <c r="O179" s="6"/>
      <c r="P179" s="6"/>
      <c r="Q179" s="6"/>
      <c r="R179" s="6"/>
      <c r="S179" s="6"/>
      <c r="T179" s="6"/>
      <c r="U179" s="6"/>
      <c r="V179" s="6"/>
      <c r="W179" s="6"/>
      <c r="X179" s="6"/>
      <c r="Y179" s="6"/>
      <c r="Z179" s="6"/>
    </row>
    <row r="180" spans="1:26" ht="18" customHeight="1" x14ac:dyDescent="0.3">
      <c r="A180" s="152"/>
      <c r="B180" s="128"/>
      <c r="C180" s="152"/>
      <c r="D180" s="128"/>
      <c r="E180" s="124"/>
      <c r="F180" s="152"/>
      <c r="G180" s="128"/>
      <c r="H180" s="146"/>
      <c r="I180" s="146"/>
      <c r="J180" s="6"/>
      <c r="K180" s="6"/>
      <c r="L180" s="6"/>
      <c r="M180" s="6"/>
      <c r="N180" s="6"/>
      <c r="O180" s="6"/>
      <c r="P180" s="6"/>
      <c r="Q180" s="6"/>
      <c r="R180" s="6"/>
      <c r="S180" s="6"/>
      <c r="T180" s="6"/>
      <c r="U180" s="6"/>
      <c r="V180" s="6"/>
      <c r="W180" s="6"/>
      <c r="X180" s="6"/>
      <c r="Y180" s="6"/>
      <c r="Z180" s="6"/>
    </row>
    <row r="181" spans="1:26" ht="18" customHeight="1" x14ac:dyDescent="0.3">
      <c r="A181" s="152"/>
      <c r="B181" s="128"/>
      <c r="C181" s="152"/>
      <c r="D181" s="128"/>
      <c r="E181" s="124"/>
      <c r="F181" s="152"/>
      <c r="G181" s="128"/>
      <c r="H181" s="146"/>
      <c r="I181" s="146"/>
      <c r="J181" s="6"/>
      <c r="K181" s="6"/>
      <c r="L181" s="6"/>
      <c r="M181" s="6"/>
      <c r="N181" s="6"/>
      <c r="O181" s="6"/>
      <c r="P181" s="6"/>
      <c r="Q181" s="6"/>
      <c r="R181" s="6"/>
      <c r="S181" s="6"/>
      <c r="T181" s="6"/>
      <c r="U181" s="6"/>
      <c r="V181" s="6"/>
      <c r="W181" s="6"/>
      <c r="X181" s="6"/>
      <c r="Y181" s="6"/>
      <c r="Z181" s="6"/>
    </row>
    <row r="182" spans="1:26" ht="18" customHeight="1" x14ac:dyDescent="0.3">
      <c r="A182" s="152"/>
      <c r="B182" s="128"/>
      <c r="C182" s="152"/>
      <c r="D182" s="128"/>
      <c r="E182" s="124"/>
      <c r="F182" s="152"/>
      <c r="G182" s="128"/>
      <c r="H182" s="146"/>
      <c r="I182" s="146"/>
      <c r="J182" s="6"/>
      <c r="K182" s="6"/>
      <c r="L182" s="6"/>
      <c r="M182" s="6"/>
      <c r="N182" s="6"/>
      <c r="O182" s="6"/>
      <c r="P182" s="6"/>
      <c r="Q182" s="6"/>
      <c r="R182" s="6"/>
      <c r="S182" s="6"/>
      <c r="T182" s="6"/>
      <c r="U182" s="6"/>
      <c r="V182" s="6"/>
      <c r="W182" s="6"/>
      <c r="X182" s="6"/>
      <c r="Y182" s="6"/>
      <c r="Z182" s="6"/>
    </row>
    <row r="183" spans="1:26" ht="18" customHeight="1" x14ac:dyDescent="0.3">
      <c r="A183" s="152"/>
      <c r="B183" s="128"/>
      <c r="C183" s="152"/>
      <c r="D183" s="128"/>
      <c r="E183" s="124"/>
      <c r="F183" s="152"/>
      <c r="G183" s="128"/>
      <c r="H183" s="146"/>
      <c r="I183" s="146"/>
      <c r="J183" s="6"/>
      <c r="K183" s="6"/>
      <c r="L183" s="6"/>
      <c r="M183" s="6"/>
      <c r="N183" s="6"/>
      <c r="O183" s="6"/>
      <c r="P183" s="6"/>
      <c r="Q183" s="6"/>
      <c r="R183" s="6"/>
      <c r="S183" s="6"/>
      <c r="T183" s="6"/>
      <c r="U183" s="6"/>
      <c r="V183" s="6"/>
      <c r="W183" s="6"/>
      <c r="X183" s="6"/>
      <c r="Y183" s="6"/>
      <c r="Z183" s="6"/>
    </row>
    <row r="184" spans="1:26" ht="18" customHeight="1" x14ac:dyDescent="0.3">
      <c r="A184" s="152"/>
      <c r="B184" s="128"/>
      <c r="C184" s="152"/>
      <c r="D184" s="128"/>
      <c r="E184" s="124"/>
      <c r="F184" s="152"/>
      <c r="G184" s="128"/>
      <c r="H184" s="146"/>
      <c r="I184" s="146"/>
      <c r="J184" s="6"/>
      <c r="K184" s="6"/>
      <c r="L184" s="6"/>
      <c r="M184" s="6"/>
      <c r="N184" s="6"/>
      <c r="O184" s="6"/>
      <c r="P184" s="6"/>
      <c r="Q184" s="6"/>
      <c r="R184" s="6"/>
      <c r="S184" s="6"/>
      <c r="T184" s="6"/>
      <c r="U184" s="6"/>
      <c r="V184" s="6"/>
      <c r="W184" s="6"/>
      <c r="X184" s="6"/>
      <c r="Y184" s="6"/>
      <c r="Z184" s="6"/>
    </row>
    <row r="185" spans="1:26" ht="18" customHeight="1" x14ac:dyDescent="0.3">
      <c r="A185" s="152"/>
      <c r="B185" s="128"/>
      <c r="C185" s="152"/>
      <c r="D185" s="128"/>
      <c r="E185" s="124"/>
      <c r="F185" s="152"/>
      <c r="G185" s="128"/>
      <c r="H185" s="146"/>
      <c r="I185" s="146"/>
      <c r="J185" s="6"/>
      <c r="K185" s="6"/>
      <c r="L185" s="6"/>
      <c r="M185" s="6"/>
      <c r="N185" s="6"/>
      <c r="O185" s="6"/>
      <c r="P185" s="6"/>
      <c r="Q185" s="6"/>
      <c r="R185" s="6"/>
      <c r="S185" s="6"/>
      <c r="T185" s="6"/>
      <c r="U185" s="6"/>
      <c r="V185" s="6"/>
      <c r="W185" s="6"/>
      <c r="X185" s="6"/>
      <c r="Y185" s="6"/>
      <c r="Z185" s="6"/>
    </row>
    <row r="186" spans="1:26" ht="18" customHeight="1" x14ac:dyDescent="0.3">
      <c r="A186" s="152"/>
      <c r="B186" s="128"/>
      <c r="C186" s="152"/>
      <c r="D186" s="128"/>
      <c r="E186" s="124"/>
      <c r="F186" s="152"/>
      <c r="G186" s="128"/>
      <c r="H186" s="146"/>
      <c r="I186" s="146"/>
      <c r="J186" s="6"/>
      <c r="K186" s="6"/>
      <c r="L186" s="6"/>
      <c r="M186" s="6"/>
      <c r="N186" s="6"/>
      <c r="O186" s="6"/>
      <c r="P186" s="6"/>
      <c r="Q186" s="6"/>
      <c r="R186" s="6"/>
      <c r="S186" s="6"/>
      <c r="T186" s="6"/>
      <c r="U186" s="6"/>
      <c r="V186" s="6"/>
      <c r="W186" s="6"/>
      <c r="X186" s="6"/>
      <c r="Y186" s="6"/>
      <c r="Z186" s="6"/>
    </row>
    <row r="187" spans="1:26" ht="18" customHeight="1" x14ac:dyDescent="0.3">
      <c r="A187" s="152"/>
      <c r="B187" s="128"/>
      <c r="C187" s="152"/>
      <c r="D187" s="128"/>
      <c r="E187" s="124"/>
      <c r="F187" s="152"/>
      <c r="G187" s="128"/>
      <c r="H187" s="146"/>
      <c r="I187" s="146"/>
      <c r="J187" s="6"/>
      <c r="K187" s="6"/>
      <c r="L187" s="6"/>
      <c r="M187" s="6"/>
      <c r="N187" s="6"/>
      <c r="O187" s="6"/>
      <c r="P187" s="6"/>
      <c r="Q187" s="6"/>
      <c r="R187" s="6"/>
      <c r="S187" s="6"/>
      <c r="T187" s="6"/>
      <c r="U187" s="6"/>
      <c r="V187" s="6"/>
      <c r="W187" s="6"/>
      <c r="X187" s="6"/>
      <c r="Y187" s="6"/>
      <c r="Z187" s="6"/>
    </row>
    <row r="188" spans="1:26" ht="18" customHeight="1" x14ac:dyDescent="0.3">
      <c r="A188" s="152"/>
      <c r="B188" s="128"/>
      <c r="C188" s="152"/>
      <c r="D188" s="128"/>
      <c r="E188" s="124"/>
      <c r="F188" s="152"/>
      <c r="G188" s="128"/>
      <c r="H188" s="146"/>
      <c r="I188" s="146"/>
      <c r="J188" s="6"/>
      <c r="K188" s="6"/>
      <c r="L188" s="6"/>
      <c r="M188" s="6"/>
      <c r="N188" s="6"/>
      <c r="O188" s="6"/>
      <c r="P188" s="6"/>
      <c r="Q188" s="6"/>
      <c r="R188" s="6"/>
      <c r="S188" s="6"/>
      <c r="T188" s="6"/>
      <c r="U188" s="6"/>
      <c r="V188" s="6"/>
      <c r="W188" s="6"/>
      <c r="X188" s="6"/>
      <c r="Y188" s="6"/>
      <c r="Z188" s="6"/>
    </row>
    <row r="189" spans="1:26" ht="18" customHeight="1" x14ac:dyDescent="0.3">
      <c r="A189" s="152"/>
      <c r="B189" s="128"/>
      <c r="C189" s="152"/>
      <c r="D189" s="128"/>
      <c r="E189" s="124"/>
      <c r="F189" s="152"/>
      <c r="G189" s="128"/>
      <c r="H189" s="146"/>
      <c r="I189" s="146"/>
      <c r="J189" s="6"/>
      <c r="K189" s="6"/>
      <c r="L189" s="6"/>
      <c r="M189" s="6"/>
      <c r="N189" s="6"/>
      <c r="O189" s="6"/>
      <c r="P189" s="6"/>
      <c r="Q189" s="6"/>
      <c r="R189" s="6"/>
      <c r="S189" s="6"/>
      <c r="T189" s="6"/>
      <c r="U189" s="6"/>
      <c r="V189" s="6"/>
      <c r="W189" s="6"/>
      <c r="X189" s="6"/>
      <c r="Y189" s="6"/>
      <c r="Z189" s="6"/>
    </row>
    <row r="190" spans="1:26" ht="18" customHeight="1" x14ac:dyDescent="0.3">
      <c r="A190" s="152"/>
      <c r="B190" s="128"/>
      <c r="C190" s="152"/>
      <c r="D190" s="128"/>
      <c r="E190" s="124"/>
      <c r="F190" s="152"/>
      <c r="G190" s="128"/>
      <c r="H190" s="146"/>
      <c r="I190" s="146"/>
      <c r="J190" s="6"/>
      <c r="K190" s="6"/>
      <c r="L190" s="6"/>
      <c r="M190" s="6"/>
      <c r="N190" s="6"/>
      <c r="O190" s="6"/>
      <c r="P190" s="6"/>
      <c r="Q190" s="6"/>
      <c r="R190" s="6"/>
      <c r="S190" s="6"/>
      <c r="T190" s="6"/>
      <c r="U190" s="6"/>
      <c r="V190" s="6"/>
      <c r="W190" s="6"/>
      <c r="X190" s="6"/>
      <c r="Y190" s="6"/>
      <c r="Z190" s="6"/>
    </row>
    <row r="191" spans="1:26" ht="18" customHeight="1" x14ac:dyDescent="0.3">
      <c r="A191" s="152"/>
      <c r="B191" s="128"/>
      <c r="C191" s="152"/>
      <c r="D191" s="128"/>
      <c r="E191" s="124"/>
      <c r="F191" s="152"/>
      <c r="G191" s="128"/>
      <c r="H191" s="146"/>
      <c r="I191" s="146"/>
      <c r="J191" s="6"/>
      <c r="K191" s="6"/>
      <c r="L191" s="6"/>
      <c r="M191" s="6"/>
      <c r="N191" s="6"/>
      <c r="O191" s="6"/>
      <c r="P191" s="6"/>
      <c r="Q191" s="6"/>
      <c r="R191" s="6"/>
      <c r="S191" s="6"/>
      <c r="T191" s="6"/>
      <c r="U191" s="6"/>
      <c r="V191" s="6"/>
      <c r="W191" s="6"/>
      <c r="X191" s="6"/>
      <c r="Y191" s="6"/>
      <c r="Z191" s="6"/>
    </row>
    <row r="192" spans="1:26" ht="18" customHeight="1" x14ac:dyDescent="0.3">
      <c r="A192" s="152"/>
      <c r="B192" s="128"/>
      <c r="C192" s="152"/>
      <c r="D192" s="128"/>
      <c r="E192" s="124"/>
      <c r="F192" s="152"/>
      <c r="G192" s="128"/>
      <c r="H192" s="146"/>
      <c r="I192" s="146"/>
      <c r="J192" s="6"/>
      <c r="K192" s="6"/>
      <c r="L192" s="6"/>
      <c r="M192" s="6"/>
      <c r="N192" s="6"/>
      <c r="O192" s="6"/>
      <c r="P192" s="6"/>
      <c r="Q192" s="6"/>
      <c r="R192" s="6"/>
      <c r="S192" s="6"/>
      <c r="T192" s="6"/>
      <c r="U192" s="6"/>
      <c r="V192" s="6"/>
      <c r="W192" s="6"/>
      <c r="X192" s="6"/>
      <c r="Y192" s="6"/>
      <c r="Z192" s="6"/>
    </row>
    <row r="193" spans="1:26" ht="18" customHeight="1" x14ac:dyDescent="0.3">
      <c r="A193" s="152"/>
      <c r="B193" s="128"/>
      <c r="C193" s="152"/>
      <c r="D193" s="128"/>
      <c r="E193" s="124"/>
      <c r="F193" s="152"/>
      <c r="G193" s="128"/>
      <c r="H193" s="146"/>
      <c r="I193" s="146"/>
      <c r="J193" s="6"/>
      <c r="K193" s="6"/>
      <c r="L193" s="6"/>
      <c r="M193" s="6"/>
      <c r="N193" s="6"/>
      <c r="O193" s="6"/>
      <c r="P193" s="6"/>
      <c r="Q193" s="6"/>
      <c r="R193" s="6"/>
      <c r="S193" s="6"/>
      <c r="T193" s="6"/>
      <c r="U193" s="6"/>
      <c r="V193" s="6"/>
      <c r="W193" s="6"/>
      <c r="X193" s="6"/>
      <c r="Y193" s="6"/>
      <c r="Z193" s="6"/>
    </row>
    <row r="194" spans="1:26" ht="18" customHeight="1" x14ac:dyDescent="0.3">
      <c r="A194" s="152"/>
      <c r="B194" s="128"/>
      <c r="C194" s="152"/>
      <c r="D194" s="128"/>
      <c r="E194" s="124"/>
      <c r="F194" s="152"/>
      <c r="G194" s="128"/>
      <c r="H194" s="146"/>
      <c r="I194" s="146"/>
      <c r="J194" s="6"/>
      <c r="K194" s="6"/>
      <c r="L194" s="6"/>
      <c r="M194" s="6"/>
      <c r="N194" s="6"/>
      <c r="O194" s="6"/>
      <c r="P194" s="6"/>
      <c r="Q194" s="6"/>
      <c r="R194" s="6"/>
      <c r="S194" s="6"/>
      <c r="T194" s="6"/>
      <c r="U194" s="6"/>
      <c r="V194" s="6"/>
      <c r="W194" s="6"/>
      <c r="X194" s="6"/>
      <c r="Y194" s="6"/>
      <c r="Z194" s="6"/>
    </row>
    <row r="195" spans="1:26" ht="18" customHeight="1" x14ac:dyDescent="0.3">
      <c r="A195" s="152"/>
      <c r="B195" s="128"/>
      <c r="C195" s="152"/>
      <c r="D195" s="128"/>
      <c r="E195" s="124"/>
      <c r="F195" s="152"/>
      <c r="G195" s="128"/>
      <c r="H195" s="146"/>
      <c r="I195" s="146"/>
      <c r="J195" s="6"/>
      <c r="K195" s="6"/>
      <c r="L195" s="6"/>
      <c r="M195" s="6"/>
      <c r="N195" s="6"/>
      <c r="O195" s="6"/>
      <c r="P195" s="6"/>
      <c r="Q195" s="6"/>
      <c r="R195" s="6"/>
      <c r="S195" s="6"/>
      <c r="T195" s="6"/>
      <c r="U195" s="6"/>
      <c r="V195" s="6"/>
      <c r="W195" s="6"/>
      <c r="X195" s="6"/>
      <c r="Y195" s="6"/>
      <c r="Z195" s="6"/>
    </row>
    <row r="196" spans="1:26" ht="18" customHeight="1" x14ac:dyDescent="0.3">
      <c r="A196" s="152"/>
      <c r="B196" s="128"/>
      <c r="C196" s="152"/>
      <c r="D196" s="128"/>
      <c r="E196" s="124"/>
      <c r="F196" s="152"/>
      <c r="G196" s="128"/>
      <c r="H196" s="146"/>
      <c r="I196" s="146"/>
      <c r="J196" s="6"/>
      <c r="K196" s="6"/>
      <c r="L196" s="6"/>
      <c r="M196" s="6"/>
      <c r="N196" s="6"/>
      <c r="O196" s="6"/>
      <c r="P196" s="6"/>
      <c r="Q196" s="6"/>
      <c r="R196" s="6"/>
      <c r="S196" s="6"/>
      <c r="T196" s="6"/>
      <c r="U196" s="6"/>
      <c r="V196" s="6"/>
      <c r="W196" s="6"/>
      <c r="X196" s="6"/>
      <c r="Y196" s="6"/>
      <c r="Z196" s="6"/>
    </row>
    <row r="197" spans="1:26" ht="18" customHeight="1" x14ac:dyDescent="0.3">
      <c r="A197" s="152"/>
      <c r="B197" s="128"/>
      <c r="C197" s="152"/>
      <c r="D197" s="128"/>
      <c r="E197" s="124"/>
      <c r="F197" s="152"/>
      <c r="G197" s="128"/>
      <c r="H197" s="146"/>
      <c r="I197" s="146"/>
      <c r="J197" s="6"/>
      <c r="K197" s="6"/>
      <c r="L197" s="6"/>
      <c r="M197" s="6"/>
      <c r="N197" s="6"/>
      <c r="O197" s="6"/>
      <c r="P197" s="6"/>
      <c r="Q197" s="6"/>
      <c r="R197" s="6"/>
      <c r="S197" s="6"/>
      <c r="T197" s="6"/>
      <c r="U197" s="6"/>
      <c r="V197" s="6"/>
      <c r="W197" s="6"/>
      <c r="X197" s="6"/>
      <c r="Y197" s="6"/>
      <c r="Z197" s="6"/>
    </row>
    <row r="198" spans="1:26" ht="18" customHeight="1" x14ac:dyDescent="0.3">
      <c r="A198" s="152"/>
      <c r="B198" s="128"/>
      <c r="C198" s="152"/>
      <c r="D198" s="128"/>
      <c r="E198" s="124"/>
      <c r="F198" s="152"/>
      <c r="G198" s="128"/>
      <c r="H198" s="146"/>
      <c r="I198" s="146"/>
      <c r="J198" s="6"/>
      <c r="K198" s="6"/>
      <c r="L198" s="6"/>
      <c r="M198" s="6"/>
      <c r="N198" s="6"/>
      <c r="O198" s="6"/>
      <c r="P198" s="6"/>
      <c r="Q198" s="6"/>
      <c r="R198" s="6"/>
      <c r="S198" s="6"/>
      <c r="T198" s="6"/>
      <c r="U198" s="6"/>
      <c r="V198" s="6"/>
      <c r="W198" s="6"/>
      <c r="X198" s="6"/>
      <c r="Y198" s="6"/>
      <c r="Z198" s="6"/>
    </row>
    <row r="199" spans="1:26" ht="18" customHeight="1" x14ac:dyDescent="0.3">
      <c r="A199" s="152"/>
      <c r="B199" s="128"/>
      <c r="C199" s="152"/>
      <c r="D199" s="128"/>
      <c r="E199" s="124"/>
      <c r="F199" s="152"/>
      <c r="G199" s="128"/>
      <c r="H199" s="146"/>
      <c r="I199" s="146"/>
      <c r="J199" s="6"/>
      <c r="K199" s="6"/>
      <c r="L199" s="6"/>
      <c r="M199" s="6"/>
      <c r="N199" s="6"/>
      <c r="O199" s="6"/>
      <c r="P199" s="6"/>
      <c r="Q199" s="6"/>
      <c r="R199" s="6"/>
      <c r="S199" s="6"/>
      <c r="T199" s="6"/>
      <c r="U199" s="6"/>
      <c r="V199" s="6"/>
      <c r="W199" s="6"/>
      <c r="X199" s="6"/>
      <c r="Y199" s="6"/>
      <c r="Z199" s="6"/>
    </row>
    <row r="200" spans="1:26" ht="18" customHeight="1" x14ac:dyDescent="0.3">
      <c r="A200" s="152"/>
      <c r="B200" s="128"/>
      <c r="C200" s="152"/>
      <c r="D200" s="128"/>
      <c r="E200" s="124"/>
      <c r="F200" s="152"/>
      <c r="G200" s="128"/>
      <c r="H200" s="146"/>
      <c r="I200" s="146"/>
      <c r="J200" s="6"/>
      <c r="K200" s="6"/>
      <c r="L200" s="6"/>
      <c r="M200" s="6"/>
      <c r="N200" s="6"/>
      <c r="O200" s="6"/>
      <c r="P200" s="6"/>
      <c r="Q200" s="6"/>
      <c r="R200" s="6"/>
      <c r="S200" s="6"/>
      <c r="T200" s="6"/>
      <c r="U200" s="6"/>
      <c r="V200" s="6"/>
      <c r="W200" s="6"/>
      <c r="X200" s="6"/>
      <c r="Y200" s="6"/>
      <c r="Z200" s="6"/>
    </row>
    <row r="201" spans="1:26" ht="18" customHeight="1" x14ac:dyDescent="0.3">
      <c r="A201" s="152"/>
      <c r="B201" s="128"/>
      <c r="C201" s="152"/>
      <c r="D201" s="128"/>
      <c r="E201" s="124"/>
      <c r="F201" s="152"/>
      <c r="G201" s="128"/>
      <c r="H201" s="146"/>
      <c r="I201" s="146"/>
      <c r="J201" s="6"/>
      <c r="K201" s="6"/>
      <c r="L201" s="6"/>
      <c r="M201" s="6"/>
      <c r="N201" s="6"/>
      <c r="O201" s="6"/>
      <c r="P201" s="6"/>
      <c r="Q201" s="6"/>
      <c r="R201" s="6"/>
      <c r="S201" s="6"/>
      <c r="T201" s="6"/>
      <c r="U201" s="6"/>
      <c r="V201" s="6"/>
      <c r="W201" s="6"/>
      <c r="X201" s="6"/>
      <c r="Y201" s="6"/>
      <c r="Z201" s="6"/>
    </row>
    <row r="202" spans="1:26" ht="18" customHeight="1" x14ac:dyDescent="0.3">
      <c r="A202" s="152"/>
      <c r="B202" s="128"/>
      <c r="C202" s="152"/>
      <c r="D202" s="128"/>
      <c r="E202" s="124"/>
      <c r="F202" s="152"/>
      <c r="G202" s="128"/>
      <c r="H202" s="146"/>
      <c r="I202" s="146"/>
      <c r="J202" s="6"/>
      <c r="K202" s="6"/>
      <c r="L202" s="6"/>
      <c r="M202" s="6"/>
      <c r="N202" s="6"/>
      <c r="O202" s="6"/>
      <c r="P202" s="6"/>
      <c r="Q202" s="6"/>
      <c r="R202" s="6"/>
      <c r="S202" s="6"/>
      <c r="T202" s="6"/>
      <c r="U202" s="6"/>
      <c r="V202" s="6"/>
      <c r="W202" s="6"/>
      <c r="X202" s="6"/>
      <c r="Y202" s="6"/>
      <c r="Z202" s="6"/>
    </row>
    <row r="203" spans="1:26" ht="18" customHeight="1" x14ac:dyDescent="0.3">
      <c r="A203" s="152"/>
      <c r="B203" s="128"/>
      <c r="C203" s="152"/>
      <c r="D203" s="128"/>
      <c r="E203" s="124"/>
      <c r="F203" s="152"/>
      <c r="G203" s="128"/>
      <c r="H203" s="146"/>
      <c r="I203" s="146"/>
      <c r="J203" s="6"/>
      <c r="K203" s="6"/>
      <c r="L203" s="6"/>
      <c r="M203" s="6"/>
      <c r="N203" s="6"/>
      <c r="O203" s="6"/>
      <c r="P203" s="6"/>
      <c r="Q203" s="6"/>
      <c r="R203" s="6"/>
      <c r="S203" s="6"/>
      <c r="T203" s="6"/>
      <c r="U203" s="6"/>
      <c r="V203" s="6"/>
      <c r="W203" s="6"/>
      <c r="X203" s="6"/>
      <c r="Y203" s="6"/>
      <c r="Z203" s="6"/>
    </row>
    <row r="204" spans="1:26" ht="18" customHeight="1" x14ac:dyDescent="0.3">
      <c r="A204" s="152"/>
      <c r="B204" s="128"/>
      <c r="C204" s="152"/>
      <c r="D204" s="128"/>
      <c r="E204" s="124"/>
      <c r="F204" s="152"/>
      <c r="G204" s="128"/>
      <c r="H204" s="146"/>
      <c r="I204" s="146"/>
      <c r="J204" s="6"/>
      <c r="K204" s="6"/>
      <c r="L204" s="6"/>
      <c r="M204" s="6"/>
      <c r="N204" s="6"/>
      <c r="O204" s="6"/>
      <c r="P204" s="6"/>
      <c r="Q204" s="6"/>
      <c r="R204" s="6"/>
      <c r="S204" s="6"/>
      <c r="T204" s="6"/>
      <c r="U204" s="6"/>
      <c r="V204" s="6"/>
      <c r="W204" s="6"/>
      <c r="X204" s="6"/>
      <c r="Y204" s="6"/>
      <c r="Z204" s="6"/>
    </row>
    <row r="205" spans="1:26" ht="18" customHeight="1" x14ac:dyDescent="0.3">
      <c r="A205" s="152"/>
      <c r="B205" s="128"/>
      <c r="C205" s="152"/>
      <c r="D205" s="128"/>
      <c r="E205" s="124"/>
      <c r="F205" s="152"/>
      <c r="G205" s="128"/>
      <c r="H205" s="146"/>
      <c r="I205" s="146"/>
      <c r="J205" s="6"/>
      <c r="K205" s="6"/>
      <c r="L205" s="6"/>
      <c r="M205" s="6"/>
      <c r="N205" s="6"/>
      <c r="O205" s="6"/>
      <c r="P205" s="6"/>
      <c r="Q205" s="6"/>
      <c r="R205" s="6"/>
      <c r="S205" s="6"/>
      <c r="T205" s="6"/>
      <c r="U205" s="6"/>
      <c r="V205" s="6"/>
      <c r="W205" s="6"/>
      <c r="X205" s="6"/>
      <c r="Y205" s="6"/>
      <c r="Z205" s="6"/>
    </row>
    <row r="206" spans="1:26" ht="18" customHeight="1" x14ac:dyDescent="0.3">
      <c r="A206" s="152"/>
      <c r="B206" s="128"/>
      <c r="C206" s="152"/>
      <c r="D206" s="128"/>
      <c r="E206" s="124"/>
      <c r="F206" s="152"/>
      <c r="G206" s="128"/>
      <c r="H206" s="146"/>
      <c r="I206" s="146"/>
      <c r="J206" s="6"/>
      <c r="K206" s="6"/>
      <c r="L206" s="6"/>
      <c r="M206" s="6"/>
      <c r="N206" s="6"/>
      <c r="O206" s="6"/>
      <c r="P206" s="6"/>
      <c r="Q206" s="6"/>
      <c r="R206" s="6"/>
      <c r="S206" s="6"/>
      <c r="T206" s="6"/>
      <c r="U206" s="6"/>
      <c r="V206" s="6"/>
      <c r="W206" s="6"/>
      <c r="X206" s="6"/>
      <c r="Y206" s="6"/>
      <c r="Z206" s="6"/>
    </row>
    <row r="207" spans="1:26" ht="18" customHeight="1" x14ac:dyDescent="0.3">
      <c r="A207" s="152"/>
      <c r="B207" s="128"/>
      <c r="C207" s="152"/>
      <c r="D207" s="128"/>
      <c r="E207" s="124"/>
      <c r="F207" s="152"/>
      <c r="G207" s="128"/>
      <c r="H207" s="146"/>
      <c r="I207" s="146"/>
      <c r="J207" s="6"/>
      <c r="K207" s="6"/>
      <c r="L207" s="6"/>
      <c r="M207" s="6"/>
      <c r="N207" s="6"/>
      <c r="O207" s="6"/>
      <c r="P207" s="6"/>
      <c r="Q207" s="6"/>
      <c r="R207" s="6"/>
      <c r="S207" s="6"/>
      <c r="T207" s="6"/>
      <c r="U207" s="6"/>
      <c r="V207" s="6"/>
      <c r="W207" s="6"/>
      <c r="X207" s="6"/>
      <c r="Y207" s="6"/>
      <c r="Z207" s="6"/>
    </row>
    <row r="208" spans="1:26" ht="18" customHeight="1" x14ac:dyDescent="0.3">
      <c r="A208" s="152"/>
      <c r="B208" s="128"/>
      <c r="C208" s="152"/>
      <c r="D208" s="128"/>
      <c r="E208" s="124"/>
      <c r="F208" s="152"/>
      <c r="G208" s="128"/>
      <c r="H208" s="146"/>
      <c r="I208" s="146"/>
      <c r="J208" s="6"/>
      <c r="K208" s="6"/>
      <c r="L208" s="6"/>
      <c r="M208" s="6"/>
      <c r="N208" s="6"/>
      <c r="O208" s="6"/>
      <c r="P208" s="6"/>
      <c r="Q208" s="6"/>
      <c r="R208" s="6"/>
      <c r="S208" s="6"/>
      <c r="T208" s="6"/>
      <c r="U208" s="6"/>
      <c r="V208" s="6"/>
      <c r="W208" s="6"/>
      <c r="X208" s="6"/>
      <c r="Y208" s="6"/>
      <c r="Z208" s="6"/>
    </row>
    <row r="209" spans="1:26" ht="18" customHeight="1" x14ac:dyDescent="0.3">
      <c r="A209" s="152"/>
      <c r="B209" s="128"/>
      <c r="C209" s="152"/>
      <c r="D209" s="128"/>
      <c r="E209" s="124"/>
      <c r="F209" s="152"/>
      <c r="G209" s="128"/>
      <c r="H209" s="146"/>
      <c r="I209" s="146"/>
      <c r="J209" s="6"/>
      <c r="K209" s="6"/>
      <c r="L209" s="6"/>
      <c r="M209" s="6"/>
      <c r="N209" s="6"/>
      <c r="O209" s="6"/>
      <c r="P209" s="6"/>
      <c r="Q209" s="6"/>
      <c r="R209" s="6"/>
      <c r="S209" s="6"/>
      <c r="T209" s="6"/>
      <c r="U209" s="6"/>
      <c r="V209" s="6"/>
      <c r="W209" s="6"/>
      <c r="X209" s="6"/>
      <c r="Y209" s="6"/>
      <c r="Z209" s="6"/>
    </row>
    <row r="210" spans="1:26" ht="18" customHeight="1" x14ac:dyDescent="0.3">
      <c r="A210" s="152"/>
      <c r="B210" s="128"/>
      <c r="C210" s="152"/>
      <c r="D210" s="128"/>
      <c r="E210" s="124"/>
      <c r="F210" s="152"/>
      <c r="G210" s="128"/>
      <c r="H210" s="146"/>
      <c r="I210" s="146"/>
      <c r="J210" s="6"/>
      <c r="K210" s="6"/>
      <c r="L210" s="6"/>
      <c r="M210" s="6"/>
      <c r="N210" s="6"/>
      <c r="O210" s="6"/>
      <c r="P210" s="6"/>
      <c r="Q210" s="6"/>
      <c r="R210" s="6"/>
      <c r="S210" s="6"/>
      <c r="T210" s="6"/>
      <c r="U210" s="6"/>
      <c r="V210" s="6"/>
      <c r="W210" s="6"/>
      <c r="X210" s="6"/>
      <c r="Y210" s="6"/>
      <c r="Z210" s="6"/>
    </row>
    <row r="211" spans="1:26" ht="18" customHeight="1" x14ac:dyDescent="0.3">
      <c r="A211" s="152"/>
      <c r="B211" s="128"/>
      <c r="C211" s="152"/>
      <c r="D211" s="128"/>
      <c r="E211" s="124"/>
      <c r="F211" s="152"/>
      <c r="G211" s="128"/>
      <c r="H211" s="146"/>
      <c r="I211" s="146"/>
      <c r="J211" s="6"/>
      <c r="K211" s="6"/>
      <c r="L211" s="6"/>
      <c r="M211" s="6"/>
      <c r="N211" s="6"/>
      <c r="O211" s="6"/>
      <c r="P211" s="6"/>
      <c r="Q211" s="6"/>
      <c r="R211" s="6"/>
      <c r="S211" s="6"/>
      <c r="T211" s="6"/>
      <c r="U211" s="6"/>
      <c r="V211" s="6"/>
      <c r="W211" s="6"/>
      <c r="X211" s="6"/>
      <c r="Y211" s="6"/>
      <c r="Z211" s="6"/>
    </row>
    <row r="212" spans="1:26" ht="18" customHeight="1" x14ac:dyDescent="0.3">
      <c r="A212" s="152"/>
      <c r="B212" s="128"/>
      <c r="C212" s="152"/>
      <c r="D212" s="128"/>
      <c r="E212" s="124"/>
      <c r="F212" s="152"/>
      <c r="G212" s="128"/>
      <c r="H212" s="146"/>
      <c r="I212" s="146"/>
      <c r="J212" s="6"/>
      <c r="K212" s="6"/>
      <c r="L212" s="6"/>
      <c r="M212" s="6"/>
      <c r="N212" s="6"/>
      <c r="O212" s="6"/>
      <c r="P212" s="6"/>
      <c r="Q212" s="6"/>
      <c r="R212" s="6"/>
      <c r="S212" s="6"/>
      <c r="T212" s="6"/>
      <c r="U212" s="6"/>
      <c r="V212" s="6"/>
      <c r="W212" s="6"/>
      <c r="X212" s="6"/>
      <c r="Y212" s="6"/>
      <c r="Z212" s="6"/>
    </row>
    <row r="213" spans="1:26" ht="18" customHeight="1" x14ac:dyDescent="0.3">
      <c r="A213" s="152"/>
      <c r="B213" s="128"/>
      <c r="C213" s="152"/>
      <c r="D213" s="128"/>
      <c r="E213" s="124"/>
      <c r="F213" s="152"/>
      <c r="G213" s="128"/>
      <c r="H213" s="146"/>
      <c r="I213" s="146"/>
      <c r="J213" s="6"/>
      <c r="K213" s="6"/>
      <c r="L213" s="6"/>
      <c r="M213" s="6"/>
      <c r="N213" s="6"/>
      <c r="O213" s="6"/>
      <c r="P213" s="6"/>
      <c r="Q213" s="6"/>
      <c r="R213" s="6"/>
      <c r="S213" s="6"/>
      <c r="T213" s="6"/>
      <c r="U213" s="6"/>
      <c r="V213" s="6"/>
      <c r="W213" s="6"/>
      <c r="X213" s="6"/>
      <c r="Y213" s="6"/>
      <c r="Z213" s="6"/>
    </row>
    <row r="214" spans="1:26" ht="18" customHeight="1" x14ac:dyDescent="0.3">
      <c r="A214" s="152"/>
      <c r="B214" s="128"/>
      <c r="C214" s="152"/>
      <c r="D214" s="128"/>
      <c r="E214" s="124"/>
      <c r="F214" s="152"/>
      <c r="G214" s="128"/>
      <c r="H214" s="146"/>
      <c r="I214" s="146"/>
      <c r="J214" s="6"/>
      <c r="K214" s="6"/>
      <c r="L214" s="6"/>
      <c r="M214" s="6"/>
      <c r="N214" s="6"/>
      <c r="O214" s="6"/>
      <c r="P214" s="6"/>
      <c r="Q214" s="6"/>
      <c r="R214" s="6"/>
      <c r="S214" s="6"/>
      <c r="T214" s="6"/>
      <c r="U214" s="6"/>
      <c r="V214" s="6"/>
      <c r="W214" s="6"/>
      <c r="X214" s="6"/>
      <c r="Y214" s="6"/>
      <c r="Z214" s="6"/>
    </row>
    <row r="215" spans="1:26" ht="18" customHeight="1" x14ac:dyDescent="0.3">
      <c r="A215" s="152"/>
      <c r="B215" s="128"/>
      <c r="C215" s="152"/>
      <c r="D215" s="128"/>
      <c r="E215" s="124"/>
      <c r="F215" s="152"/>
      <c r="G215" s="128"/>
      <c r="H215" s="146"/>
      <c r="I215" s="146"/>
      <c r="J215" s="6"/>
      <c r="K215" s="6"/>
      <c r="L215" s="6"/>
      <c r="M215" s="6"/>
      <c r="N215" s="6"/>
      <c r="O215" s="6"/>
      <c r="P215" s="6"/>
      <c r="Q215" s="6"/>
      <c r="R215" s="6"/>
      <c r="S215" s="6"/>
      <c r="T215" s="6"/>
      <c r="U215" s="6"/>
      <c r="V215" s="6"/>
      <c r="W215" s="6"/>
      <c r="X215" s="6"/>
      <c r="Y215" s="6"/>
      <c r="Z215" s="6"/>
    </row>
    <row r="216" spans="1:26" ht="18" customHeight="1" x14ac:dyDescent="0.3">
      <c r="A216" s="152"/>
      <c r="B216" s="128"/>
      <c r="C216" s="152"/>
      <c r="D216" s="128"/>
      <c r="E216" s="124"/>
      <c r="F216" s="152"/>
      <c r="G216" s="128"/>
      <c r="H216" s="146"/>
      <c r="I216" s="146"/>
      <c r="J216" s="6"/>
      <c r="K216" s="6"/>
      <c r="L216" s="6"/>
      <c r="M216" s="6"/>
      <c r="N216" s="6"/>
      <c r="O216" s="6"/>
      <c r="P216" s="6"/>
      <c r="Q216" s="6"/>
      <c r="R216" s="6"/>
      <c r="S216" s="6"/>
      <c r="T216" s="6"/>
      <c r="U216" s="6"/>
      <c r="V216" s="6"/>
      <c r="W216" s="6"/>
      <c r="X216" s="6"/>
      <c r="Y216" s="6"/>
      <c r="Z216" s="6"/>
    </row>
    <row r="217" spans="1:26" ht="18" customHeight="1" x14ac:dyDescent="0.3">
      <c r="A217" s="152"/>
      <c r="B217" s="128"/>
      <c r="C217" s="152"/>
      <c r="D217" s="128"/>
      <c r="E217" s="124"/>
      <c r="F217" s="152"/>
      <c r="G217" s="128"/>
      <c r="H217" s="146"/>
      <c r="I217" s="146"/>
      <c r="J217" s="6"/>
      <c r="K217" s="6"/>
      <c r="L217" s="6"/>
      <c r="M217" s="6"/>
      <c r="N217" s="6"/>
      <c r="O217" s="6"/>
      <c r="P217" s="6"/>
      <c r="Q217" s="6"/>
      <c r="R217" s="6"/>
      <c r="S217" s="6"/>
      <c r="T217" s="6"/>
      <c r="U217" s="6"/>
      <c r="V217" s="6"/>
      <c r="W217" s="6"/>
      <c r="X217" s="6"/>
      <c r="Y217" s="6"/>
      <c r="Z217" s="6"/>
    </row>
    <row r="218" spans="1:26" ht="18" customHeight="1" x14ac:dyDescent="0.3">
      <c r="A218" s="152"/>
      <c r="B218" s="128"/>
      <c r="C218" s="152"/>
      <c r="D218" s="128"/>
      <c r="E218" s="124"/>
      <c r="F218" s="152"/>
      <c r="G218" s="128"/>
      <c r="H218" s="146"/>
      <c r="I218" s="146"/>
      <c r="J218" s="6"/>
      <c r="K218" s="6"/>
      <c r="L218" s="6"/>
      <c r="M218" s="6"/>
      <c r="N218" s="6"/>
      <c r="O218" s="6"/>
      <c r="P218" s="6"/>
      <c r="Q218" s="6"/>
      <c r="R218" s="6"/>
      <c r="S218" s="6"/>
      <c r="T218" s="6"/>
      <c r="U218" s="6"/>
      <c r="V218" s="6"/>
      <c r="W218" s="6"/>
      <c r="X218" s="6"/>
      <c r="Y218" s="6"/>
      <c r="Z218" s="6"/>
    </row>
    <row r="219" spans="1:26" ht="18" customHeight="1" x14ac:dyDescent="0.3">
      <c r="A219" s="152"/>
      <c r="B219" s="128"/>
      <c r="C219" s="152"/>
      <c r="D219" s="128"/>
      <c r="E219" s="124"/>
      <c r="F219" s="152"/>
      <c r="G219" s="128"/>
      <c r="H219" s="146"/>
      <c r="I219" s="146"/>
      <c r="J219" s="6"/>
      <c r="K219" s="6"/>
      <c r="L219" s="6"/>
      <c r="M219" s="6"/>
      <c r="N219" s="6"/>
      <c r="O219" s="6"/>
      <c r="P219" s="6"/>
      <c r="Q219" s="6"/>
      <c r="R219" s="6"/>
      <c r="S219" s="6"/>
      <c r="T219" s="6"/>
      <c r="U219" s="6"/>
      <c r="V219" s="6"/>
      <c r="W219" s="6"/>
      <c r="X219" s="6"/>
      <c r="Y219" s="6"/>
      <c r="Z219" s="6"/>
    </row>
    <row r="220" spans="1:26" ht="18" customHeight="1" x14ac:dyDescent="0.3">
      <c r="A220" s="152"/>
      <c r="B220" s="128"/>
      <c r="C220" s="152"/>
      <c r="D220" s="128"/>
      <c r="E220" s="124"/>
      <c r="F220" s="152"/>
      <c r="G220" s="128"/>
      <c r="H220" s="146"/>
      <c r="I220" s="146"/>
      <c r="J220" s="6"/>
      <c r="K220" s="6"/>
      <c r="L220" s="6"/>
      <c r="M220" s="6"/>
      <c r="N220" s="6"/>
      <c r="O220" s="6"/>
      <c r="P220" s="6"/>
      <c r="Q220" s="6"/>
      <c r="R220" s="6"/>
      <c r="S220" s="6"/>
      <c r="T220" s="6"/>
      <c r="U220" s="6"/>
      <c r="V220" s="6"/>
      <c r="W220" s="6"/>
      <c r="X220" s="6"/>
      <c r="Y220" s="6"/>
      <c r="Z220" s="6"/>
    </row>
    <row r="221" spans="1:26" ht="18" customHeight="1" x14ac:dyDescent="0.3">
      <c r="A221" s="152"/>
      <c r="B221" s="128"/>
      <c r="C221" s="152"/>
      <c r="D221" s="128"/>
      <c r="E221" s="124"/>
      <c r="F221" s="152"/>
      <c r="G221" s="128"/>
      <c r="H221" s="146"/>
      <c r="I221" s="146"/>
      <c r="J221" s="6"/>
      <c r="K221" s="6"/>
      <c r="L221" s="6"/>
      <c r="M221" s="6"/>
      <c r="N221" s="6"/>
      <c r="O221" s="6"/>
      <c r="P221" s="6"/>
      <c r="Q221" s="6"/>
      <c r="R221" s="6"/>
      <c r="S221" s="6"/>
      <c r="T221" s="6"/>
      <c r="U221" s="6"/>
      <c r="V221" s="6"/>
      <c r="W221" s="6"/>
      <c r="X221" s="6"/>
      <c r="Y221" s="6"/>
      <c r="Z221" s="6"/>
    </row>
    <row r="222" spans="1:26" ht="18" customHeight="1" x14ac:dyDescent="0.3">
      <c r="A222" s="152"/>
      <c r="B222" s="128"/>
      <c r="C222" s="152"/>
      <c r="D222" s="128"/>
      <c r="E222" s="124"/>
      <c r="F222" s="152"/>
      <c r="G222" s="128"/>
      <c r="H222" s="146"/>
      <c r="I222" s="146"/>
      <c r="J222" s="6"/>
      <c r="K222" s="6"/>
      <c r="L222" s="6"/>
      <c r="M222" s="6"/>
      <c r="N222" s="6"/>
      <c r="O222" s="6"/>
      <c r="P222" s="6"/>
      <c r="Q222" s="6"/>
      <c r="R222" s="6"/>
      <c r="S222" s="6"/>
      <c r="T222" s="6"/>
      <c r="U222" s="6"/>
      <c r="V222" s="6"/>
      <c r="W222" s="6"/>
      <c r="X222" s="6"/>
      <c r="Y222" s="6"/>
      <c r="Z222" s="6"/>
    </row>
    <row r="223" spans="1:26" ht="18" customHeight="1" x14ac:dyDescent="0.3">
      <c r="A223" s="152"/>
      <c r="B223" s="128"/>
      <c r="C223" s="152"/>
      <c r="D223" s="128"/>
      <c r="E223" s="124"/>
      <c r="F223" s="152"/>
      <c r="G223" s="128"/>
      <c r="H223" s="146"/>
      <c r="I223" s="146"/>
      <c r="J223" s="6"/>
      <c r="K223" s="6"/>
      <c r="L223" s="6"/>
      <c r="M223" s="6"/>
      <c r="N223" s="6"/>
      <c r="O223" s="6"/>
      <c r="P223" s="6"/>
      <c r="Q223" s="6"/>
      <c r="R223" s="6"/>
      <c r="S223" s="6"/>
      <c r="T223" s="6"/>
      <c r="U223" s="6"/>
      <c r="V223" s="6"/>
      <c r="W223" s="6"/>
      <c r="X223" s="6"/>
      <c r="Y223" s="6"/>
      <c r="Z223" s="6"/>
    </row>
    <row r="224" spans="1:26" ht="18" customHeight="1" x14ac:dyDescent="0.3">
      <c r="A224" s="152"/>
      <c r="B224" s="128"/>
      <c r="C224" s="152"/>
      <c r="D224" s="128"/>
      <c r="E224" s="124"/>
      <c r="F224" s="152"/>
      <c r="G224" s="128"/>
      <c r="H224" s="146"/>
      <c r="I224" s="146"/>
      <c r="J224" s="6"/>
      <c r="K224" s="6"/>
      <c r="L224" s="6"/>
      <c r="M224" s="6"/>
      <c r="N224" s="6"/>
      <c r="O224" s="6"/>
      <c r="P224" s="6"/>
      <c r="Q224" s="6"/>
      <c r="R224" s="6"/>
      <c r="S224" s="6"/>
      <c r="T224" s="6"/>
      <c r="U224" s="6"/>
      <c r="V224" s="6"/>
      <c r="W224" s="6"/>
      <c r="X224" s="6"/>
      <c r="Y224" s="6"/>
      <c r="Z224" s="6"/>
    </row>
    <row r="225" spans="1:26" ht="18" customHeight="1" x14ac:dyDescent="0.3">
      <c r="A225" s="152"/>
      <c r="B225" s="128"/>
      <c r="C225" s="152"/>
      <c r="D225" s="128"/>
      <c r="E225" s="124"/>
      <c r="F225" s="152"/>
      <c r="G225" s="128"/>
      <c r="H225" s="146"/>
      <c r="I225" s="146"/>
      <c r="J225" s="6"/>
      <c r="K225" s="6"/>
      <c r="L225" s="6"/>
      <c r="M225" s="6"/>
      <c r="N225" s="6"/>
      <c r="O225" s="6"/>
      <c r="P225" s="6"/>
      <c r="Q225" s="6"/>
      <c r="R225" s="6"/>
      <c r="S225" s="6"/>
      <c r="T225" s="6"/>
      <c r="U225" s="6"/>
      <c r="V225" s="6"/>
      <c r="W225" s="6"/>
      <c r="X225" s="6"/>
      <c r="Y225" s="6"/>
      <c r="Z225" s="6"/>
    </row>
    <row r="226" spans="1:26" ht="18" customHeight="1" x14ac:dyDescent="0.3">
      <c r="A226" s="152"/>
      <c r="B226" s="128"/>
      <c r="C226" s="152"/>
      <c r="D226" s="128"/>
      <c r="E226" s="124"/>
      <c r="F226" s="152"/>
      <c r="G226" s="128"/>
      <c r="H226" s="146"/>
      <c r="I226" s="146"/>
      <c r="J226" s="6"/>
      <c r="K226" s="6"/>
      <c r="L226" s="6"/>
      <c r="M226" s="6"/>
      <c r="N226" s="6"/>
      <c r="O226" s="6"/>
      <c r="P226" s="6"/>
      <c r="Q226" s="6"/>
      <c r="R226" s="6"/>
      <c r="S226" s="6"/>
      <c r="T226" s="6"/>
      <c r="U226" s="6"/>
      <c r="V226" s="6"/>
      <c r="W226" s="6"/>
      <c r="X226" s="6"/>
      <c r="Y226" s="6"/>
      <c r="Z226" s="6"/>
    </row>
    <row r="227" spans="1:26" ht="18" customHeight="1" x14ac:dyDescent="0.3">
      <c r="A227" s="152"/>
      <c r="B227" s="128"/>
      <c r="C227" s="152"/>
      <c r="D227" s="128"/>
      <c r="E227" s="124"/>
      <c r="F227" s="152"/>
      <c r="G227" s="128"/>
      <c r="H227" s="146"/>
      <c r="I227" s="146"/>
      <c r="J227" s="6"/>
      <c r="K227" s="6"/>
      <c r="L227" s="6"/>
      <c r="M227" s="6"/>
      <c r="N227" s="6"/>
      <c r="O227" s="6"/>
      <c r="P227" s="6"/>
      <c r="Q227" s="6"/>
      <c r="R227" s="6"/>
      <c r="S227" s="6"/>
      <c r="T227" s="6"/>
      <c r="U227" s="6"/>
      <c r="V227" s="6"/>
      <c r="W227" s="6"/>
      <c r="X227" s="6"/>
      <c r="Y227" s="6"/>
      <c r="Z227" s="6"/>
    </row>
    <row r="228" spans="1:26" ht="18" customHeight="1" x14ac:dyDescent="0.3">
      <c r="A228" s="152"/>
      <c r="B228" s="128"/>
      <c r="C228" s="152"/>
      <c r="D228" s="128"/>
      <c r="E228" s="124"/>
      <c r="F228" s="152"/>
      <c r="G228" s="128"/>
      <c r="H228" s="146"/>
      <c r="I228" s="146"/>
      <c r="J228" s="6"/>
      <c r="K228" s="6"/>
      <c r="L228" s="6"/>
      <c r="M228" s="6"/>
      <c r="N228" s="6"/>
      <c r="O228" s="6"/>
      <c r="P228" s="6"/>
      <c r="Q228" s="6"/>
      <c r="R228" s="6"/>
      <c r="S228" s="6"/>
      <c r="T228" s="6"/>
      <c r="U228" s="6"/>
      <c r="V228" s="6"/>
      <c r="W228" s="6"/>
      <c r="X228" s="6"/>
      <c r="Y228" s="6"/>
      <c r="Z228" s="6"/>
    </row>
    <row r="229" spans="1:26" ht="18" customHeight="1" x14ac:dyDescent="0.3">
      <c r="A229" s="152"/>
      <c r="B229" s="128"/>
      <c r="C229" s="152"/>
      <c r="D229" s="128"/>
      <c r="E229" s="124"/>
      <c r="F229" s="152"/>
      <c r="G229" s="128"/>
      <c r="H229" s="146"/>
      <c r="I229" s="146"/>
      <c r="J229" s="6"/>
      <c r="K229" s="6"/>
      <c r="L229" s="6"/>
      <c r="M229" s="6"/>
      <c r="N229" s="6"/>
      <c r="O229" s="6"/>
      <c r="P229" s="6"/>
      <c r="Q229" s="6"/>
      <c r="R229" s="6"/>
      <c r="S229" s="6"/>
      <c r="T229" s="6"/>
      <c r="U229" s="6"/>
      <c r="V229" s="6"/>
      <c r="W229" s="6"/>
      <c r="X229" s="6"/>
      <c r="Y229" s="6"/>
      <c r="Z229" s="6"/>
    </row>
    <row r="230" spans="1:26" ht="18" customHeight="1" x14ac:dyDescent="0.3">
      <c r="A230" s="152"/>
      <c r="B230" s="128"/>
      <c r="C230" s="152"/>
      <c r="D230" s="128"/>
      <c r="E230" s="124"/>
      <c r="F230" s="152"/>
      <c r="G230" s="128"/>
      <c r="H230" s="146"/>
      <c r="I230" s="146"/>
      <c r="J230" s="6"/>
      <c r="K230" s="6"/>
      <c r="L230" s="6"/>
      <c r="M230" s="6"/>
      <c r="N230" s="6"/>
      <c r="O230" s="6"/>
      <c r="P230" s="6"/>
      <c r="Q230" s="6"/>
      <c r="R230" s="6"/>
      <c r="S230" s="6"/>
      <c r="T230" s="6"/>
      <c r="U230" s="6"/>
      <c r="V230" s="6"/>
      <c r="W230" s="6"/>
      <c r="X230" s="6"/>
      <c r="Y230" s="6"/>
      <c r="Z230" s="6"/>
    </row>
    <row r="231" spans="1:26" ht="18" customHeight="1" x14ac:dyDescent="0.3">
      <c r="A231" s="152"/>
      <c r="B231" s="128"/>
      <c r="C231" s="152"/>
      <c r="D231" s="128"/>
      <c r="E231" s="124"/>
      <c r="F231" s="152"/>
      <c r="G231" s="128"/>
      <c r="H231" s="146"/>
      <c r="I231" s="146"/>
      <c r="J231" s="6"/>
      <c r="K231" s="6"/>
      <c r="L231" s="6"/>
      <c r="M231" s="6"/>
      <c r="N231" s="6"/>
      <c r="O231" s="6"/>
      <c r="P231" s="6"/>
      <c r="Q231" s="6"/>
      <c r="R231" s="6"/>
      <c r="S231" s="6"/>
      <c r="T231" s="6"/>
      <c r="U231" s="6"/>
      <c r="V231" s="6"/>
      <c r="W231" s="6"/>
      <c r="X231" s="6"/>
      <c r="Y231" s="6"/>
      <c r="Z231" s="6"/>
    </row>
    <row r="232" spans="1:26" ht="18" customHeight="1" x14ac:dyDescent="0.3">
      <c r="A232" s="152"/>
      <c r="B232" s="128"/>
      <c r="C232" s="152"/>
      <c r="D232" s="128"/>
      <c r="E232" s="124"/>
      <c r="F232" s="152"/>
      <c r="G232" s="128"/>
      <c r="H232" s="146"/>
      <c r="I232" s="146"/>
      <c r="J232" s="6"/>
      <c r="K232" s="6"/>
      <c r="L232" s="6"/>
      <c r="M232" s="6"/>
      <c r="N232" s="6"/>
      <c r="O232" s="6"/>
      <c r="P232" s="6"/>
      <c r="Q232" s="6"/>
      <c r="R232" s="6"/>
      <c r="S232" s="6"/>
      <c r="T232" s="6"/>
      <c r="U232" s="6"/>
      <c r="V232" s="6"/>
      <c r="W232" s="6"/>
      <c r="X232" s="6"/>
      <c r="Y232" s="6"/>
      <c r="Z232" s="6"/>
    </row>
    <row r="233" spans="1:26" ht="18" customHeight="1" x14ac:dyDescent="0.3">
      <c r="A233" s="152"/>
      <c r="B233" s="128"/>
      <c r="C233" s="152"/>
      <c r="D233" s="128"/>
      <c r="E233" s="124"/>
      <c r="F233" s="152"/>
      <c r="G233" s="128"/>
      <c r="H233" s="146"/>
      <c r="I233" s="146"/>
      <c r="J233" s="6"/>
      <c r="K233" s="6"/>
      <c r="L233" s="6"/>
      <c r="M233" s="6"/>
      <c r="N233" s="6"/>
      <c r="O233" s="6"/>
      <c r="P233" s="6"/>
      <c r="Q233" s="6"/>
      <c r="R233" s="6"/>
      <c r="S233" s="6"/>
      <c r="T233" s="6"/>
      <c r="U233" s="6"/>
      <c r="V233" s="6"/>
      <c r="W233" s="6"/>
      <c r="X233" s="6"/>
      <c r="Y233" s="6"/>
      <c r="Z233" s="6"/>
    </row>
    <row r="234" spans="1:26" ht="18" customHeight="1" x14ac:dyDescent="0.3">
      <c r="A234" s="152"/>
      <c r="B234" s="128"/>
      <c r="C234" s="152"/>
      <c r="D234" s="128"/>
      <c r="E234" s="124"/>
      <c r="F234" s="152"/>
      <c r="G234" s="128"/>
      <c r="H234" s="146"/>
      <c r="I234" s="146"/>
      <c r="J234" s="6"/>
      <c r="K234" s="6"/>
      <c r="L234" s="6"/>
      <c r="M234" s="6"/>
      <c r="N234" s="6"/>
      <c r="O234" s="6"/>
      <c r="P234" s="6"/>
      <c r="Q234" s="6"/>
      <c r="R234" s="6"/>
      <c r="S234" s="6"/>
      <c r="T234" s="6"/>
      <c r="U234" s="6"/>
      <c r="V234" s="6"/>
      <c r="W234" s="6"/>
      <c r="X234" s="6"/>
      <c r="Y234" s="6"/>
      <c r="Z234" s="6"/>
    </row>
    <row r="235" spans="1:26" ht="18" customHeight="1" x14ac:dyDescent="0.3">
      <c r="A235" s="152"/>
      <c r="B235" s="128"/>
      <c r="C235" s="152"/>
      <c r="D235" s="128"/>
      <c r="E235" s="124"/>
      <c r="F235" s="152"/>
      <c r="G235" s="128"/>
      <c r="H235" s="146"/>
      <c r="I235" s="146"/>
      <c r="J235" s="6"/>
      <c r="K235" s="6"/>
      <c r="L235" s="6"/>
      <c r="M235" s="6"/>
      <c r="N235" s="6"/>
      <c r="O235" s="6"/>
      <c r="P235" s="6"/>
      <c r="Q235" s="6"/>
      <c r="R235" s="6"/>
      <c r="S235" s="6"/>
      <c r="T235" s="6"/>
      <c r="U235" s="6"/>
      <c r="V235" s="6"/>
      <c r="W235" s="6"/>
      <c r="X235" s="6"/>
      <c r="Y235" s="6"/>
      <c r="Z235" s="6"/>
    </row>
    <row r="236" spans="1:26" ht="18" customHeight="1" x14ac:dyDescent="0.3">
      <c r="A236" s="152"/>
      <c r="B236" s="128"/>
      <c r="C236" s="152"/>
      <c r="D236" s="128"/>
      <c r="E236" s="124"/>
      <c r="F236" s="152"/>
      <c r="G236" s="128"/>
      <c r="H236" s="146"/>
      <c r="I236" s="146"/>
      <c r="J236" s="6"/>
      <c r="K236" s="6"/>
      <c r="L236" s="6"/>
      <c r="M236" s="6"/>
      <c r="N236" s="6"/>
      <c r="O236" s="6"/>
      <c r="P236" s="6"/>
      <c r="Q236" s="6"/>
      <c r="R236" s="6"/>
      <c r="S236" s="6"/>
      <c r="T236" s="6"/>
      <c r="U236" s="6"/>
      <c r="V236" s="6"/>
      <c r="W236" s="6"/>
      <c r="X236" s="6"/>
      <c r="Y236" s="6"/>
      <c r="Z236" s="6"/>
    </row>
    <row r="237" spans="1:26" ht="18" customHeight="1" x14ac:dyDescent="0.3">
      <c r="A237" s="152"/>
      <c r="B237" s="128"/>
      <c r="C237" s="152"/>
      <c r="D237" s="128"/>
      <c r="E237" s="124"/>
      <c r="F237" s="152"/>
      <c r="G237" s="128"/>
      <c r="H237" s="146"/>
      <c r="I237" s="146"/>
      <c r="J237" s="6"/>
      <c r="K237" s="6"/>
      <c r="L237" s="6"/>
      <c r="M237" s="6"/>
      <c r="N237" s="6"/>
      <c r="O237" s="6"/>
      <c r="P237" s="6"/>
      <c r="Q237" s="6"/>
      <c r="R237" s="6"/>
      <c r="S237" s="6"/>
      <c r="T237" s="6"/>
      <c r="U237" s="6"/>
      <c r="V237" s="6"/>
      <c r="W237" s="6"/>
      <c r="X237" s="6"/>
      <c r="Y237" s="6"/>
      <c r="Z237" s="6"/>
    </row>
    <row r="238" spans="1:26" ht="18" customHeight="1" x14ac:dyDescent="0.3">
      <c r="A238" s="152"/>
      <c r="B238" s="128"/>
      <c r="C238" s="152"/>
      <c r="D238" s="128"/>
      <c r="E238" s="124"/>
      <c r="F238" s="152"/>
      <c r="G238" s="128"/>
      <c r="H238" s="146"/>
      <c r="I238" s="146"/>
      <c r="J238" s="6"/>
      <c r="K238" s="6"/>
      <c r="L238" s="6"/>
      <c r="M238" s="6"/>
      <c r="N238" s="6"/>
      <c r="O238" s="6"/>
      <c r="P238" s="6"/>
      <c r="Q238" s="6"/>
      <c r="R238" s="6"/>
      <c r="S238" s="6"/>
      <c r="T238" s="6"/>
      <c r="U238" s="6"/>
      <c r="V238" s="6"/>
      <c r="W238" s="6"/>
      <c r="X238" s="6"/>
      <c r="Y238" s="6"/>
      <c r="Z238" s="6"/>
    </row>
    <row r="239" spans="1:26" ht="18" customHeight="1" x14ac:dyDescent="0.3">
      <c r="A239" s="152"/>
      <c r="B239" s="128"/>
      <c r="C239" s="152"/>
      <c r="D239" s="128"/>
      <c r="E239" s="124"/>
      <c r="F239" s="152"/>
      <c r="G239" s="128"/>
      <c r="H239" s="146"/>
      <c r="I239" s="146"/>
      <c r="J239" s="6"/>
      <c r="K239" s="6"/>
      <c r="L239" s="6"/>
      <c r="M239" s="6"/>
      <c r="N239" s="6"/>
      <c r="O239" s="6"/>
      <c r="P239" s="6"/>
      <c r="Q239" s="6"/>
      <c r="R239" s="6"/>
      <c r="S239" s="6"/>
      <c r="T239" s="6"/>
      <c r="U239" s="6"/>
      <c r="V239" s="6"/>
      <c r="W239" s="6"/>
      <c r="X239" s="6"/>
      <c r="Y239" s="6"/>
      <c r="Z239" s="6"/>
    </row>
    <row r="240" spans="1:26" ht="18" customHeight="1" x14ac:dyDescent="0.3">
      <c r="A240" s="152"/>
      <c r="B240" s="128"/>
      <c r="C240" s="152"/>
      <c r="D240" s="128"/>
      <c r="E240" s="124"/>
      <c r="F240" s="152"/>
      <c r="G240" s="128"/>
      <c r="H240" s="146"/>
      <c r="I240" s="146"/>
      <c r="J240" s="6"/>
      <c r="K240" s="6"/>
      <c r="L240" s="6"/>
      <c r="M240" s="6"/>
      <c r="N240" s="6"/>
      <c r="O240" s="6"/>
      <c r="P240" s="6"/>
      <c r="Q240" s="6"/>
      <c r="R240" s="6"/>
      <c r="S240" s="6"/>
      <c r="T240" s="6"/>
      <c r="U240" s="6"/>
      <c r="V240" s="6"/>
      <c r="W240" s="6"/>
      <c r="X240" s="6"/>
      <c r="Y240" s="6"/>
      <c r="Z240" s="6"/>
    </row>
    <row r="241" spans="1:26" ht="18" customHeight="1" x14ac:dyDescent="0.3">
      <c r="A241" s="152"/>
      <c r="B241" s="128"/>
      <c r="C241" s="152"/>
      <c r="D241" s="128"/>
      <c r="E241" s="124"/>
      <c r="F241" s="152"/>
      <c r="G241" s="128"/>
      <c r="H241" s="146"/>
      <c r="I241" s="146"/>
      <c r="J241" s="6"/>
      <c r="K241" s="6"/>
      <c r="L241" s="6"/>
      <c r="M241" s="6"/>
      <c r="N241" s="6"/>
      <c r="O241" s="6"/>
      <c r="P241" s="6"/>
      <c r="Q241" s="6"/>
      <c r="R241" s="6"/>
      <c r="S241" s="6"/>
      <c r="T241" s="6"/>
      <c r="U241" s="6"/>
      <c r="V241" s="6"/>
      <c r="W241" s="6"/>
      <c r="X241" s="6"/>
      <c r="Y241" s="6"/>
      <c r="Z241" s="6"/>
    </row>
    <row r="242" spans="1:26" ht="18" customHeight="1" x14ac:dyDescent="0.3">
      <c r="A242" s="152"/>
      <c r="B242" s="128"/>
      <c r="C242" s="152"/>
      <c r="D242" s="128"/>
      <c r="E242" s="124"/>
      <c r="F242" s="152"/>
      <c r="G242" s="128"/>
      <c r="H242" s="146"/>
      <c r="I242" s="146"/>
      <c r="J242" s="6"/>
      <c r="K242" s="6"/>
      <c r="L242" s="6"/>
      <c r="M242" s="6"/>
      <c r="N242" s="6"/>
      <c r="O242" s="6"/>
      <c r="P242" s="6"/>
      <c r="Q242" s="6"/>
      <c r="R242" s="6"/>
      <c r="S242" s="6"/>
      <c r="T242" s="6"/>
      <c r="U242" s="6"/>
      <c r="V242" s="6"/>
      <c r="W242" s="6"/>
      <c r="X242" s="6"/>
      <c r="Y242" s="6"/>
      <c r="Z242" s="6"/>
    </row>
    <row r="243" spans="1:26" ht="18" customHeight="1" x14ac:dyDescent="0.3">
      <c r="A243" s="152"/>
      <c r="B243" s="128"/>
      <c r="C243" s="152"/>
      <c r="D243" s="128"/>
      <c r="E243" s="124"/>
      <c r="F243" s="152"/>
      <c r="G243" s="128"/>
      <c r="H243" s="146"/>
      <c r="I243" s="146"/>
      <c r="J243" s="6"/>
      <c r="K243" s="6"/>
      <c r="L243" s="6"/>
      <c r="M243" s="6"/>
      <c r="N243" s="6"/>
      <c r="O243" s="6"/>
      <c r="P243" s="6"/>
      <c r="Q243" s="6"/>
      <c r="R243" s="6"/>
      <c r="S243" s="6"/>
      <c r="T243" s="6"/>
      <c r="U243" s="6"/>
      <c r="V243" s="6"/>
      <c r="W243" s="6"/>
      <c r="X243" s="6"/>
      <c r="Y243" s="6"/>
      <c r="Z243" s="6"/>
    </row>
    <row r="244" spans="1:26" ht="18" customHeight="1" x14ac:dyDescent="0.3">
      <c r="A244" s="152"/>
      <c r="B244" s="128"/>
      <c r="C244" s="152"/>
      <c r="D244" s="128"/>
      <c r="E244" s="124"/>
      <c r="F244" s="152"/>
      <c r="G244" s="128"/>
      <c r="H244" s="146"/>
      <c r="I244" s="146"/>
      <c r="J244" s="6"/>
      <c r="K244" s="6"/>
      <c r="L244" s="6"/>
      <c r="M244" s="6"/>
      <c r="N244" s="6"/>
      <c r="O244" s="6"/>
      <c r="P244" s="6"/>
      <c r="Q244" s="6"/>
      <c r="R244" s="6"/>
      <c r="S244" s="6"/>
      <c r="T244" s="6"/>
      <c r="U244" s="6"/>
      <c r="V244" s="6"/>
      <c r="W244" s="6"/>
      <c r="X244" s="6"/>
      <c r="Y244" s="6"/>
      <c r="Z244" s="6"/>
    </row>
    <row r="245" spans="1:26" ht="18" customHeight="1" x14ac:dyDescent="0.3">
      <c r="A245" s="152"/>
      <c r="B245" s="128"/>
      <c r="C245" s="152"/>
      <c r="D245" s="128"/>
      <c r="E245" s="124"/>
      <c r="F245" s="152"/>
      <c r="G245" s="128"/>
      <c r="H245" s="146"/>
      <c r="I245" s="146"/>
      <c r="J245" s="6"/>
      <c r="K245" s="6"/>
      <c r="L245" s="6"/>
      <c r="M245" s="6"/>
      <c r="N245" s="6"/>
      <c r="O245" s="6"/>
      <c r="P245" s="6"/>
      <c r="Q245" s="6"/>
      <c r="R245" s="6"/>
      <c r="S245" s="6"/>
      <c r="T245" s="6"/>
      <c r="U245" s="6"/>
      <c r="V245" s="6"/>
      <c r="W245" s="6"/>
      <c r="X245" s="6"/>
      <c r="Y245" s="6"/>
      <c r="Z245" s="6"/>
    </row>
    <row r="246" spans="1:26" ht="18" customHeight="1" x14ac:dyDescent="0.3">
      <c r="A246" s="152"/>
      <c r="B246" s="128"/>
      <c r="C246" s="152"/>
      <c r="D246" s="128"/>
      <c r="E246" s="124"/>
      <c r="F246" s="152"/>
      <c r="G246" s="128"/>
      <c r="H246" s="146"/>
      <c r="I246" s="146"/>
      <c r="J246" s="6"/>
      <c r="K246" s="6"/>
      <c r="L246" s="6"/>
      <c r="M246" s="6"/>
      <c r="N246" s="6"/>
      <c r="O246" s="6"/>
      <c r="P246" s="6"/>
      <c r="Q246" s="6"/>
      <c r="R246" s="6"/>
      <c r="S246" s="6"/>
      <c r="T246" s="6"/>
      <c r="U246" s="6"/>
      <c r="V246" s="6"/>
      <c r="W246" s="6"/>
      <c r="X246" s="6"/>
      <c r="Y246" s="6"/>
      <c r="Z246" s="6"/>
    </row>
    <row r="247" spans="1:26" ht="18" customHeight="1" x14ac:dyDescent="0.3">
      <c r="A247" s="152"/>
      <c r="B247" s="128"/>
      <c r="C247" s="152"/>
      <c r="D247" s="128"/>
      <c r="E247" s="124"/>
      <c r="F247" s="152"/>
      <c r="G247" s="128"/>
      <c r="H247" s="146"/>
      <c r="I247" s="146"/>
      <c r="J247" s="6"/>
      <c r="K247" s="6"/>
      <c r="L247" s="6"/>
      <c r="M247" s="6"/>
      <c r="N247" s="6"/>
      <c r="O247" s="6"/>
      <c r="P247" s="6"/>
      <c r="Q247" s="6"/>
      <c r="R247" s="6"/>
      <c r="S247" s="6"/>
      <c r="T247" s="6"/>
      <c r="U247" s="6"/>
      <c r="V247" s="6"/>
      <c r="W247" s="6"/>
      <c r="X247" s="6"/>
      <c r="Y247" s="6"/>
      <c r="Z247" s="6"/>
    </row>
    <row r="248" spans="1:26" ht="18" customHeight="1" x14ac:dyDescent="0.3">
      <c r="A248" s="152"/>
      <c r="B248" s="128"/>
      <c r="C248" s="152"/>
      <c r="D248" s="128"/>
      <c r="E248" s="124"/>
      <c r="F248" s="152"/>
      <c r="G248" s="128"/>
      <c r="H248" s="146"/>
      <c r="I248" s="146"/>
      <c r="J248" s="6"/>
      <c r="K248" s="6"/>
      <c r="L248" s="6"/>
      <c r="M248" s="6"/>
      <c r="N248" s="6"/>
      <c r="O248" s="6"/>
      <c r="P248" s="6"/>
      <c r="Q248" s="6"/>
      <c r="R248" s="6"/>
      <c r="S248" s="6"/>
      <c r="T248" s="6"/>
      <c r="U248" s="6"/>
      <c r="V248" s="6"/>
      <c r="W248" s="6"/>
      <c r="X248" s="6"/>
      <c r="Y248" s="6"/>
      <c r="Z248" s="6"/>
    </row>
    <row r="249" spans="1:26" ht="18" customHeight="1" x14ac:dyDescent="0.3">
      <c r="A249" s="152"/>
      <c r="B249" s="128"/>
      <c r="C249" s="152"/>
      <c r="D249" s="128"/>
      <c r="E249" s="124"/>
      <c r="F249" s="152"/>
      <c r="G249" s="128"/>
      <c r="H249" s="146"/>
      <c r="I249" s="146"/>
      <c r="J249" s="6"/>
      <c r="K249" s="6"/>
      <c r="L249" s="6"/>
      <c r="M249" s="6"/>
      <c r="N249" s="6"/>
      <c r="O249" s="6"/>
      <c r="P249" s="6"/>
      <c r="Q249" s="6"/>
      <c r="R249" s="6"/>
      <c r="S249" s="6"/>
      <c r="T249" s="6"/>
      <c r="U249" s="6"/>
      <c r="V249" s="6"/>
      <c r="W249" s="6"/>
      <c r="X249" s="6"/>
      <c r="Y249" s="6"/>
      <c r="Z249" s="6"/>
    </row>
    <row r="250" spans="1:26" ht="18" customHeight="1" x14ac:dyDescent="0.3">
      <c r="A250" s="152"/>
      <c r="B250" s="128"/>
      <c r="C250" s="152"/>
      <c r="D250" s="128"/>
      <c r="E250" s="124"/>
      <c r="F250" s="152"/>
      <c r="G250" s="128"/>
      <c r="H250" s="146"/>
      <c r="I250" s="146"/>
      <c r="J250" s="6"/>
      <c r="K250" s="6"/>
      <c r="L250" s="6"/>
      <c r="M250" s="6"/>
      <c r="N250" s="6"/>
      <c r="O250" s="6"/>
      <c r="P250" s="6"/>
      <c r="Q250" s="6"/>
      <c r="R250" s="6"/>
      <c r="S250" s="6"/>
      <c r="T250" s="6"/>
      <c r="U250" s="6"/>
      <c r="V250" s="6"/>
      <c r="W250" s="6"/>
      <c r="X250" s="6"/>
      <c r="Y250" s="6"/>
      <c r="Z250" s="6"/>
    </row>
    <row r="251" spans="1:26" ht="18" customHeight="1" x14ac:dyDescent="0.3">
      <c r="A251" s="152"/>
      <c r="B251" s="128"/>
      <c r="C251" s="152"/>
      <c r="D251" s="128"/>
      <c r="E251" s="124"/>
      <c r="F251" s="152"/>
      <c r="G251" s="128"/>
      <c r="H251" s="146"/>
      <c r="I251" s="146"/>
      <c r="J251" s="6"/>
      <c r="K251" s="6"/>
      <c r="L251" s="6"/>
      <c r="M251" s="6"/>
      <c r="N251" s="6"/>
      <c r="O251" s="6"/>
      <c r="P251" s="6"/>
      <c r="Q251" s="6"/>
      <c r="R251" s="6"/>
      <c r="S251" s="6"/>
      <c r="T251" s="6"/>
      <c r="U251" s="6"/>
      <c r="V251" s="6"/>
      <c r="W251" s="6"/>
      <c r="X251" s="6"/>
      <c r="Y251" s="6"/>
      <c r="Z251" s="6"/>
    </row>
    <row r="252" spans="1:26" ht="18" customHeight="1" x14ac:dyDescent="0.3">
      <c r="A252" s="152"/>
      <c r="B252" s="128"/>
      <c r="C252" s="152"/>
      <c r="D252" s="128"/>
      <c r="E252" s="124"/>
      <c r="F252" s="152"/>
      <c r="G252" s="128"/>
      <c r="H252" s="146"/>
      <c r="I252" s="146"/>
      <c r="J252" s="6"/>
      <c r="K252" s="6"/>
      <c r="L252" s="6"/>
      <c r="M252" s="6"/>
      <c r="N252" s="6"/>
      <c r="O252" s="6"/>
      <c r="P252" s="6"/>
      <c r="Q252" s="6"/>
      <c r="R252" s="6"/>
      <c r="S252" s="6"/>
      <c r="T252" s="6"/>
      <c r="U252" s="6"/>
      <c r="V252" s="6"/>
      <c r="W252" s="6"/>
      <c r="X252" s="6"/>
      <c r="Y252" s="6"/>
      <c r="Z252" s="6"/>
    </row>
    <row r="253" spans="1:26" ht="18" customHeight="1" x14ac:dyDescent="0.3">
      <c r="A253" s="152"/>
      <c r="B253" s="128"/>
      <c r="C253" s="152"/>
      <c r="D253" s="128"/>
      <c r="E253" s="124"/>
      <c r="F253" s="152"/>
      <c r="G253" s="128"/>
      <c r="H253" s="146"/>
      <c r="I253" s="146"/>
      <c r="J253" s="6"/>
      <c r="K253" s="6"/>
      <c r="L253" s="6"/>
      <c r="M253" s="6"/>
      <c r="N253" s="6"/>
      <c r="O253" s="6"/>
      <c r="P253" s="6"/>
      <c r="Q253" s="6"/>
      <c r="R253" s="6"/>
      <c r="S253" s="6"/>
      <c r="T253" s="6"/>
      <c r="U253" s="6"/>
      <c r="V253" s="6"/>
      <c r="W253" s="6"/>
      <c r="X253" s="6"/>
      <c r="Y253" s="6"/>
      <c r="Z253" s="6"/>
    </row>
    <row r="254" spans="1:26" ht="18" customHeight="1" x14ac:dyDescent="0.3">
      <c r="A254" s="152"/>
      <c r="B254" s="128"/>
      <c r="C254" s="152"/>
      <c r="D254" s="128"/>
      <c r="E254" s="124"/>
      <c r="F254" s="152"/>
      <c r="G254" s="128"/>
      <c r="H254" s="146"/>
      <c r="I254" s="146"/>
      <c r="J254" s="6"/>
      <c r="K254" s="6"/>
      <c r="L254" s="6"/>
      <c r="M254" s="6"/>
      <c r="N254" s="6"/>
      <c r="O254" s="6"/>
      <c r="P254" s="6"/>
      <c r="Q254" s="6"/>
      <c r="R254" s="6"/>
      <c r="S254" s="6"/>
      <c r="T254" s="6"/>
      <c r="U254" s="6"/>
      <c r="V254" s="6"/>
      <c r="W254" s="6"/>
      <c r="X254" s="6"/>
      <c r="Y254" s="6"/>
      <c r="Z254" s="6"/>
    </row>
    <row r="255" spans="1:26" ht="18" customHeight="1" x14ac:dyDescent="0.3">
      <c r="A255" s="152"/>
      <c r="B255" s="128"/>
      <c r="C255" s="152"/>
      <c r="D255" s="128"/>
      <c r="E255" s="124"/>
      <c r="F255" s="152"/>
      <c r="G255" s="128"/>
      <c r="H255" s="146"/>
      <c r="I255" s="146"/>
      <c r="J255" s="6"/>
      <c r="K255" s="6"/>
      <c r="L255" s="6"/>
      <c r="M255" s="6"/>
      <c r="N255" s="6"/>
      <c r="O255" s="6"/>
      <c r="P255" s="6"/>
      <c r="Q255" s="6"/>
      <c r="R255" s="6"/>
      <c r="S255" s="6"/>
      <c r="T255" s="6"/>
      <c r="U255" s="6"/>
      <c r="V255" s="6"/>
      <c r="W255" s="6"/>
      <c r="X255" s="6"/>
      <c r="Y255" s="6"/>
      <c r="Z255" s="6"/>
    </row>
    <row r="256" spans="1:26" ht="18" customHeight="1" x14ac:dyDescent="0.3">
      <c r="A256" s="152"/>
      <c r="B256" s="128"/>
      <c r="C256" s="152"/>
      <c r="D256" s="128"/>
      <c r="E256" s="124"/>
      <c r="F256" s="152"/>
      <c r="G256" s="128"/>
      <c r="H256" s="146"/>
      <c r="I256" s="146"/>
      <c r="J256" s="6"/>
      <c r="K256" s="6"/>
      <c r="L256" s="6"/>
      <c r="M256" s="6"/>
      <c r="N256" s="6"/>
      <c r="O256" s="6"/>
      <c r="P256" s="6"/>
      <c r="Q256" s="6"/>
      <c r="R256" s="6"/>
      <c r="S256" s="6"/>
      <c r="T256" s="6"/>
      <c r="U256" s="6"/>
      <c r="V256" s="6"/>
      <c r="W256" s="6"/>
      <c r="X256" s="6"/>
      <c r="Y256" s="6"/>
      <c r="Z256" s="6"/>
    </row>
    <row r="257" spans="1:26" ht="18" customHeight="1" x14ac:dyDescent="0.3">
      <c r="A257" s="152"/>
      <c r="B257" s="128"/>
      <c r="C257" s="152"/>
      <c r="D257" s="128"/>
      <c r="E257" s="124"/>
      <c r="F257" s="152"/>
      <c r="G257" s="128"/>
      <c r="H257" s="146"/>
      <c r="I257" s="146"/>
      <c r="J257" s="6"/>
      <c r="K257" s="6"/>
      <c r="L257" s="6"/>
      <c r="M257" s="6"/>
      <c r="N257" s="6"/>
      <c r="O257" s="6"/>
      <c r="P257" s="6"/>
      <c r="Q257" s="6"/>
      <c r="R257" s="6"/>
      <c r="S257" s="6"/>
      <c r="T257" s="6"/>
      <c r="U257" s="6"/>
      <c r="V257" s="6"/>
      <c r="W257" s="6"/>
      <c r="X257" s="6"/>
      <c r="Y257" s="6"/>
      <c r="Z257" s="6"/>
    </row>
    <row r="258" spans="1:26" ht="18" customHeight="1" x14ac:dyDescent="0.3">
      <c r="A258" s="152"/>
      <c r="B258" s="128"/>
      <c r="C258" s="152"/>
      <c r="D258" s="128"/>
      <c r="E258" s="124"/>
      <c r="F258" s="152"/>
      <c r="G258" s="128"/>
      <c r="H258" s="146"/>
      <c r="I258" s="146"/>
      <c r="J258" s="6"/>
      <c r="K258" s="6"/>
      <c r="L258" s="6"/>
      <c r="M258" s="6"/>
      <c r="N258" s="6"/>
      <c r="O258" s="6"/>
      <c r="P258" s="6"/>
      <c r="Q258" s="6"/>
      <c r="R258" s="6"/>
      <c r="S258" s="6"/>
      <c r="T258" s="6"/>
      <c r="U258" s="6"/>
      <c r="V258" s="6"/>
      <c r="W258" s="6"/>
      <c r="X258" s="6"/>
      <c r="Y258" s="6"/>
      <c r="Z258" s="6"/>
    </row>
    <row r="259" spans="1:26" ht="18" customHeight="1" x14ac:dyDescent="0.3">
      <c r="A259" s="152"/>
      <c r="B259" s="128"/>
      <c r="C259" s="152"/>
      <c r="D259" s="128"/>
      <c r="E259" s="124"/>
      <c r="F259" s="152"/>
      <c r="G259" s="128"/>
      <c r="H259" s="146"/>
      <c r="I259" s="146"/>
      <c r="J259" s="6"/>
      <c r="K259" s="6"/>
      <c r="L259" s="6"/>
      <c r="M259" s="6"/>
      <c r="N259" s="6"/>
      <c r="O259" s="6"/>
      <c r="P259" s="6"/>
      <c r="Q259" s="6"/>
      <c r="R259" s="6"/>
      <c r="S259" s="6"/>
      <c r="T259" s="6"/>
      <c r="U259" s="6"/>
      <c r="V259" s="6"/>
      <c r="W259" s="6"/>
      <c r="X259" s="6"/>
      <c r="Y259" s="6"/>
      <c r="Z259" s="6"/>
    </row>
    <row r="260" spans="1:26" ht="18" customHeight="1" x14ac:dyDescent="0.3">
      <c r="A260" s="152"/>
      <c r="B260" s="128"/>
      <c r="C260" s="152"/>
      <c r="D260" s="128"/>
      <c r="E260" s="124"/>
      <c r="F260" s="152"/>
      <c r="G260" s="128"/>
      <c r="H260" s="146"/>
      <c r="I260" s="146"/>
      <c r="J260" s="6"/>
      <c r="K260" s="6"/>
      <c r="L260" s="6"/>
      <c r="M260" s="6"/>
      <c r="N260" s="6"/>
      <c r="O260" s="6"/>
      <c r="P260" s="6"/>
      <c r="Q260" s="6"/>
      <c r="R260" s="6"/>
      <c r="S260" s="6"/>
      <c r="T260" s="6"/>
      <c r="U260" s="6"/>
      <c r="V260" s="6"/>
      <c r="W260" s="6"/>
      <c r="X260" s="6"/>
      <c r="Y260" s="6"/>
      <c r="Z260" s="6"/>
    </row>
    <row r="261" spans="1:26" ht="18" customHeight="1" x14ac:dyDescent="0.3">
      <c r="A261" s="152"/>
      <c r="B261" s="128"/>
      <c r="C261" s="152"/>
      <c r="D261" s="128"/>
      <c r="E261" s="124"/>
      <c r="F261" s="152"/>
      <c r="G261" s="128"/>
      <c r="H261" s="146"/>
      <c r="I261" s="146"/>
      <c r="J261" s="6"/>
      <c r="K261" s="6"/>
      <c r="L261" s="6"/>
      <c r="M261" s="6"/>
      <c r="N261" s="6"/>
      <c r="O261" s="6"/>
      <c r="P261" s="6"/>
      <c r="Q261" s="6"/>
      <c r="R261" s="6"/>
      <c r="S261" s="6"/>
      <c r="T261" s="6"/>
      <c r="U261" s="6"/>
      <c r="V261" s="6"/>
      <c r="W261" s="6"/>
      <c r="X261" s="6"/>
      <c r="Y261" s="6"/>
      <c r="Z261" s="6"/>
    </row>
    <row r="262" spans="1:26" ht="18" customHeight="1" x14ac:dyDescent="0.3">
      <c r="A262" s="152"/>
      <c r="B262" s="128"/>
      <c r="C262" s="152"/>
      <c r="D262" s="128"/>
      <c r="E262" s="124"/>
      <c r="F262" s="152"/>
      <c r="G262" s="128"/>
      <c r="H262" s="146"/>
      <c r="I262" s="146"/>
      <c r="J262" s="6"/>
      <c r="K262" s="6"/>
      <c r="L262" s="6"/>
      <c r="M262" s="6"/>
      <c r="N262" s="6"/>
      <c r="O262" s="6"/>
      <c r="P262" s="6"/>
      <c r="Q262" s="6"/>
      <c r="R262" s="6"/>
      <c r="S262" s="6"/>
      <c r="T262" s="6"/>
      <c r="U262" s="6"/>
      <c r="V262" s="6"/>
      <c r="W262" s="6"/>
      <c r="X262" s="6"/>
      <c r="Y262" s="6"/>
      <c r="Z262" s="6"/>
    </row>
    <row r="263" spans="1:26" ht="18" customHeight="1" x14ac:dyDescent="0.3">
      <c r="A263" s="152"/>
      <c r="B263" s="128"/>
      <c r="C263" s="152"/>
      <c r="D263" s="128"/>
      <c r="E263" s="124"/>
      <c r="F263" s="152"/>
      <c r="G263" s="128"/>
      <c r="H263" s="146"/>
      <c r="I263" s="146"/>
      <c r="J263" s="6"/>
      <c r="K263" s="6"/>
      <c r="L263" s="6"/>
      <c r="M263" s="6"/>
      <c r="N263" s="6"/>
      <c r="O263" s="6"/>
      <c r="P263" s="6"/>
      <c r="Q263" s="6"/>
      <c r="R263" s="6"/>
      <c r="S263" s="6"/>
      <c r="T263" s="6"/>
      <c r="U263" s="6"/>
      <c r="V263" s="6"/>
      <c r="W263" s="6"/>
      <c r="X263" s="6"/>
      <c r="Y263" s="6"/>
      <c r="Z263" s="6"/>
    </row>
    <row r="264" spans="1:26" ht="18" customHeight="1" x14ac:dyDescent="0.3">
      <c r="A264" s="152"/>
      <c r="B264" s="128"/>
      <c r="C264" s="152"/>
      <c r="D264" s="128"/>
      <c r="E264" s="124"/>
      <c r="F264" s="152"/>
      <c r="G264" s="128"/>
      <c r="H264" s="146"/>
      <c r="I264" s="146"/>
      <c r="J264" s="6"/>
      <c r="K264" s="6"/>
      <c r="L264" s="6"/>
      <c r="M264" s="6"/>
      <c r="N264" s="6"/>
      <c r="O264" s="6"/>
      <c r="P264" s="6"/>
      <c r="Q264" s="6"/>
      <c r="R264" s="6"/>
      <c r="S264" s="6"/>
      <c r="T264" s="6"/>
      <c r="U264" s="6"/>
      <c r="V264" s="6"/>
      <c r="W264" s="6"/>
      <c r="X264" s="6"/>
      <c r="Y264" s="6"/>
      <c r="Z264" s="6"/>
    </row>
    <row r="265" spans="1:26" ht="18" customHeight="1" x14ac:dyDescent="0.3">
      <c r="A265" s="152"/>
      <c r="B265" s="128"/>
      <c r="C265" s="152"/>
      <c r="D265" s="128"/>
      <c r="E265" s="124"/>
      <c r="F265" s="152"/>
      <c r="G265" s="128"/>
      <c r="H265" s="146"/>
      <c r="I265" s="146"/>
      <c r="J265" s="6"/>
      <c r="K265" s="6"/>
      <c r="L265" s="6"/>
      <c r="M265" s="6"/>
      <c r="N265" s="6"/>
      <c r="O265" s="6"/>
      <c r="P265" s="6"/>
      <c r="Q265" s="6"/>
      <c r="R265" s="6"/>
      <c r="S265" s="6"/>
      <c r="T265" s="6"/>
      <c r="U265" s="6"/>
      <c r="V265" s="6"/>
      <c r="W265" s="6"/>
      <c r="X265" s="6"/>
      <c r="Y265" s="6"/>
      <c r="Z265" s="6"/>
    </row>
    <row r="266" spans="1:26" ht="18" customHeight="1" x14ac:dyDescent="0.3">
      <c r="A266" s="152"/>
      <c r="B266" s="128"/>
      <c r="C266" s="152"/>
      <c r="D266" s="128"/>
      <c r="E266" s="124"/>
      <c r="F266" s="152"/>
      <c r="G266" s="128"/>
      <c r="H266" s="146"/>
      <c r="I266" s="146"/>
      <c r="J266" s="6"/>
      <c r="K266" s="6"/>
      <c r="L266" s="6"/>
      <c r="M266" s="6"/>
      <c r="N266" s="6"/>
      <c r="O266" s="6"/>
      <c r="P266" s="6"/>
      <c r="Q266" s="6"/>
      <c r="R266" s="6"/>
      <c r="S266" s="6"/>
      <c r="T266" s="6"/>
      <c r="U266" s="6"/>
      <c r="V266" s="6"/>
      <c r="W266" s="6"/>
      <c r="X266" s="6"/>
      <c r="Y266" s="6"/>
      <c r="Z266" s="6"/>
    </row>
    <row r="267" spans="1:26" ht="18" customHeight="1" x14ac:dyDescent="0.3">
      <c r="A267" s="152"/>
      <c r="B267" s="128"/>
      <c r="C267" s="152"/>
      <c r="D267" s="128"/>
      <c r="E267" s="124"/>
      <c r="F267" s="152"/>
      <c r="G267" s="128"/>
      <c r="H267" s="146"/>
      <c r="I267" s="146"/>
      <c r="J267" s="6"/>
      <c r="K267" s="6"/>
      <c r="L267" s="6"/>
      <c r="M267" s="6"/>
      <c r="N267" s="6"/>
      <c r="O267" s="6"/>
      <c r="P267" s="6"/>
      <c r="Q267" s="6"/>
      <c r="R267" s="6"/>
      <c r="S267" s="6"/>
      <c r="T267" s="6"/>
      <c r="U267" s="6"/>
      <c r="V267" s="6"/>
      <c r="W267" s="6"/>
      <c r="X267" s="6"/>
      <c r="Y267" s="6"/>
      <c r="Z267" s="6"/>
    </row>
    <row r="268" spans="1:26" ht="18" customHeight="1" x14ac:dyDescent="0.3">
      <c r="A268" s="152"/>
      <c r="B268" s="128"/>
      <c r="C268" s="152"/>
      <c r="D268" s="128"/>
      <c r="E268" s="124"/>
      <c r="F268" s="152"/>
      <c r="G268" s="128"/>
      <c r="H268" s="146"/>
      <c r="I268" s="146"/>
      <c r="J268" s="6"/>
      <c r="K268" s="6"/>
      <c r="L268" s="6"/>
      <c r="M268" s="6"/>
      <c r="N268" s="6"/>
      <c r="O268" s="6"/>
      <c r="P268" s="6"/>
      <c r="Q268" s="6"/>
      <c r="R268" s="6"/>
      <c r="S268" s="6"/>
      <c r="T268" s="6"/>
      <c r="U268" s="6"/>
      <c r="V268" s="6"/>
      <c r="W268" s="6"/>
      <c r="X268" s="6"/>
      <c r="Y268" s="6"/>
      <c r="Z268" s="6"/>
    </row>
    <row r="269" spans="1:26" ht="18" customHeight="1" x14ac:dyDescent="0.3">
      <c r="A269" s="152"/>
      <c r="B269" s="128"/>
      <c r="C269" s="152"/>
      <c r="D269" s="128"/>
      <c r="E269" s="124"/>
      <c r="F269" s="152"/>
      <c r="G269" s="128"/>
      <c r="H269" s="146"/>
      <c r="I269" s="146"/>
      <c r="J269" s="6"/>
      <c r="K269" s="6"/>
      <c r="L269" s="6"/>
      <c r="M269" s="6"/>
      <c r="N269" s="6"/>
      <c r="O269" s="6"/>
      <c r="P269" s="6"/>
      <c r="Q269" s="6"/>
      <c r="R269" s="6"/>
      <c r="S269" s="6"/>
      <c r="T269" s="6"/>
      <c r="U269" s="6"/>
      <c r="V269" s="6"/>
      <c r="W269" s="6"/>
      <c r="X269" s="6"/>
      <c r="Y269" s="6"/>
      <c r="Z269" s="6"/>
    </row>
    <row r="270" spans="1:26" ht="18" customHeight="1" x14ac:dyDescent="0.3">
      <c r="A270" s="152"/>
      <c r="B270" s="128"/>
      <c r="C270" s="152"/>
      <c r="D270" s="128"/>
      <c r="E270" s="124"/>
      <c r="F270" s="152"/>
      <c r="G270" s="128"/>
      <c r="H270" s="146"/>
      <c r="I270" s="146"/>
      <c r="J270" s="6"/>
      <c r="K270" s="6"/>
      <c r="L270" s="6"/>
      <c r="M270" s="6"/>
      <c r="N270" s="6"/>
      <c r="O270" s="6"/>
      <c r="P270" s="6"/>
      <c r="Q270" s="6"/>
      <c r="R270" s="6"/>
      <c r="S270" s="6"/>
      <c r="T270" s="6"/>
      <c r="U270" s="6"/>
      <c r="V270" s="6"/>
      <c r="W270" s="6"/>
      <c r="X270" s="6"/>
      <c r="Y270" s="6"/>
      <c r="Z270" s="6"/>
    </row>
    <row r="271" spans="1:26" ht="18" customHeight="1" x14ac:dyDescent="0.3">
      <c r="A271" s="152"/>
      <c r="B271" s="128"/>
      <c r="C271" s="152"/>
      <c r="D271" s="128"/>
      <c r="E271" s="124"/>
      <c r="F271" s="152"/>
      <c r="G271" s="128"/>
      <c r="H271" s="146"/>
      <c r="I271" s="146"/>
      <c r="J271" s="6"/>
      <c r="K271" s="6"/>
      <c r="L271" s="6"/>
      <c r="M271" s="6"/>
      <c r="N271" s="6"/>
      <c r="O271" s="6"/>
      <c r="P271" s="6"/>
      <c r="Q271" s="6"/>
      <c r="R271" s="6"/>
      <c r="S271" s="6"/>
      <c r="T271" s="6"/>
      <c r="U271" s="6"/>
      <c r="V271" s="6"/>
      <c r="W271" s="6"/>
      <c r="X271" s="6"/>
      <c r="Y271" s="6"/>
      <c r="Z271" s="6"/>
    </row>
    <row r="272" spans="1:26" ht="18" customHeight="1" x14ac:dyDescent="0.3">
      <c r="A272" s="152"/>
      <c r="B272" s="128"/>
      <c r="C272" s="152"/>
      <c r="D272" s="128"/>
      <c r="E272" s="124"/>
      <c r="F272" s="152"/>
      <c r="G272" s="128"/>
      <c r="H272" s="146"/>
      <c r="I272" s="146"/>
      <c r="J272" s="6"/>
      <c r="K272" s="6"/>
      <c r="L272" s="6"/>
      <c r="M272" s="6"/>
      <c r="N272" s="6"/>
      <c r="O272" s="6"/>
      <c r="P272" s="6"/>
      <c r="Q272" s="6"/>
      <c r="R272" s="6"/>
      <c r="S272" s="6"/>
      <c r="T272" s="6"/>
      <c r="U272" s="6"/>
      <c r="V272" s="6"/>
      <c r="W272" s="6"/>
      <c r="X272" s="6"/>
      <c r="Y272" s="6"/>
      <c r="Z272" s="6"/>
    </row>
    <row r="273" spans="1:26" ht="18" customHeight="1" x14ac:dyDescent="0.3">
      <c r="A273" s="152"/>
      <c r="B273" s="128"/>
      <c r="C273" s="152"/>
      <c r="D273" s="128"/>
      <c r="E273" s="124"/>
      <c r="F273" s="152"/>
      <c r="G273" s="128"/>
      <c r="H273" s="146"/>
      <c r="I273" s="146"/>
      <c r="J273" s="6"/>
      <c r="K273" s="6"/>
      <c r="L273" s="6"/>
      <c r="M273" s="6"/>
      <c r="N273" s="6"/>
      <c r="O273" s="6"/>
      <c r="P273" s="6"/>
      <c r="Q273" s="6"/>
      <c r="R273" s="6"/>
      <c r="S273" s="6"/>
      <c r="T273" s="6"/>
      <c r="U273" s="6"/>
      <c r="V273" s="6"/>
      <c r="W273" s="6"/>
      <c r="X273" s="6"/>
      <c r="Y273" s="6"/>
      <c r="Z273" s="6"/>
    </row>
    <row r="274" spans="1:26" ht="18" customHeight="1" x14ac:dyDescent="0.3">
      <c r="A274" s="152"/>
      <c r="B274" s="128"/>
      <c r="C274" s="152"/>
      <c r="D274" s="128"/>
      <c r="E274" s="124"/>
      <c r="F274" s="152"/>
      <c r="G274" s="128"/>
      <c r="H274" s="146"/>
      <c r="I274" s="146"/>
      <c r="J274" s="6"/>
      <c r="K274" s="6"/>
      <c r="L274" s="6"/>
      <c r="M274" s="6"/>
      <c r="N274" s="6"/>
      <c r="O274" s="6"/>
      <c r="P274" s="6"/>
      <c r="Q274" s="6"/>
      <c r="R274" s="6"/>
      <c r="S274" s="6"/>
      <c r="T274" s="6"/>
      <c r="U274" s="6"/>
      <c r="V274" s="6"/>
      <c r="W274" s="6"/>
      <c r="X274" s="6"/>
      <c r="Y274" s="6"/>
      <c r="Z274" s="6"/>
    </row>
    <row r="275" spans="1:26" ht="18" customHeight="1" x14ac:dyDescent="0.3">
      <c r="A275" s="152"/>
      <c r="B275" s="128"/>
      <c r="C275" s="152"/>
      <c r="D275" s="128"/>
      <c r="E275" s="124"/>
      <c r="F275" s="152"/>
      <c r="G275" s="128"/>
      <c r="H275" s="146"/>
      <c r="I275" s="146"/>
      <c r="J275" s="6"/>
      <c r="K275" s="6"/>
      <c r="L275" s="6"/>
      <c r="M275" s="6"/>
      <c r="N275" s="6"/>
      <c r="O275" s="6"/>
      <c r="P275" s="6"/>
      <c r="Q275" s="6"/>
      <c r="R275" s="6"/>
      <c r="S275" s="6"/>
      <c r="T275" s="6"/>
      <c r="U275" s="6"/>
      <c r="V275" s="6"/>
      <c r="W275" s="6"/>
      <c r="X275" s="6"/>
      <c r="Y275" s="6"/>
      <c r="Z275" s="6"/>
    </row>
    <row r="276" spans="1:26" ht="18" customHeight="1" x14ac:dyDescent="0.3">
      <c r="A276" s="152"/>
      <c r="B276" s="128"/>
      <c r="C276" s="152"/>
      <c r="D276" s="128"/>
      <c r="E276" s="124"/>
      <c r="F276" s="152"/>
      <c r="G276" s="128"/>
      <c r="H276" s="146"/>
      <c r="I276" s="146"/>
      <c r="J276" s="6"/>
      <c r="K276" s="6"/>
      <c r="L276" s="6"/>
      <c r="M276" s="6"/>
      <c r="N276" s="6"/>
      <c r="O276" s="6"/>
      <c r="P276" s="6"/>
      <c r="Q276" s="6"/>
      <c r="R276" s="6"/>
      <c r="S276" s="6"/>
      <c r="T276" s="6"/>
      <c r="U276" s="6"/>
      <c r="V276" s="6"/>
      <c r="W276" s="6"/>
      <c r="X276" s="6"/>
      <c r="Y276" s="6"/>
      <c r="Z276" s="6"/>
    </row>
    <row r="277" spans="1:26" ht="18" customHeight="1" x14ac:dyDescent="0.3">
      <c r="A277" s="152"/>
      <c r="B277" s="128"/>
      <c r="C277" s="152"/>
      <c r="D277" s="128"/>
      <c r="E277" s="124"/>
      <c r="F277" s="152"/>
      <c r="G277" s="128"/>
      <c r="H277" s="146"/>
      <c r="I277" s="146"/>
      <c r="J277" s="6"/>
      <c r="K277" s="6"/>
      <c r="L277" s="6"/>
      <c r="M277" s="6"/>
      <c r="N277" s="6"/>
      <c r="O277" s="6"/>
      <c r="P277" s="6"/>
      <c r="Q277" s="6"/>
      <c r="R277" s="6"/>
      <c r="S277" s="6"/>
      <c r="T277" s="6"/>
      <c r="U277" s="6"/>
      <c r="V277" s="6"/>
      <c r="W277" s="6"/>
      <c r="X277" s="6"/>
      <c r="Y277" s="6"/>
      <c r="Z277" s="6"/>
    </row>
    <row r="278" spans="1:26" ht="18" customHeight="1" x14ac:dyDescent="0.3">
      <c r="A278" s="152"/>
      <c r="B278" s="128"/>
      <c r="C278" s="152"/>
      <c r="D278" s="128"/>
      <c r="E278" s="124"/>
      <c r="F278" s="152"/>
      <c r="G278" s="128"/>
      <c r="H278" s="146"/>
      <c r="I278" s="146"/>
      <c r="J278" s="6"/>
      <c r="K278" s="6"/>
      <c r="L278" s="6"/>
      <c r="M278" s="6"/>
      <c r="N278" s="6"/>
      <c r="O278" s="6"/>
      <c r="P278" s="6"/>
      <c r="Q278" s="6"/>
      <c r="R278" s="6"/>
      <c r="S278" s="6"/>
      <c r="T278" s="6"/>
      <c r="U278" s="6"/>
      <c r="V278" s="6"/>
      <c r="W278" s="6"/>
      <c r="X278" s="6"/>
      <c r="Y278" s="6"/>
      <c r="Z278" s="6"/>
    </row>
    <row r="279" spans="1:26" ht="18" customHeight="1" x14ac:dyDescent="0.3">
      <c r="A279" s="152"/>
      <c r="B279" s="128"/>
      <c r="C279" s="152"/>
      <c r="D279" s="128"/>
      <c r="E279" s="124"/>
      <c r="F279" s="152"/>
      <c r="G279" s="128"/>
      <c r="H279" s="146"/>
      <c r="I279" s="146"/>
      <c r="J279" s="6"/>
      <c r="K279" s="6"/>
      <c r="L279" s="6"/>
      <c r="M279" s="6"/>
      <c r="N279" s="6"/>
      <c r="O279" s="6"/>
      <c r="P279" s="6"/>
      <c r="Q279" s="6"/>
      <c r="R279" s="6"/>
      <c r="S279" s="6"/>
      <c r="T279" s="6"/>
      <c r="U279" s="6"/>
      <c r="V279" s="6"/>
      <c r="W279" s="6"/>
      <c r="X279" s="6"/>
      <c r="Y279" s="6"/>
      <c r="Z279" s="6"/>
    </row>
    <row r="280" spans="1:26" ht="18" customHeight="1" x14ac:dyDescent="0.3">
      <c r="A280" s="152"/>
      <c r="B280" s="128"/>
      <c r="C280" s="152"/>
      <c r="D280" s="128"/>
      <c r="E280" s="124"/>
      <c r="F280" s="152"/>
      <c r="G280" s="128"/>
      <c r="H280" s="146"/>
      <c r="I280" s="146"/>
      <c r="J280" s="6"/>
      <c r="K280" s="6"/>
      <c r="L280" s="6"/>
      <c r="M280" s="6"/>
      <c r="N280" s="6"/>
      <c r="O280" s="6"/>
      <c r="P280" s="6"/>
      <c r="Q280" s="6"/>
      <c r="R280" s="6"/>
      <c r="S280" s="6"/>
      <c r="T280" s="6"/>
      <c r="U280" s="6"/>
      <c r="V280" s="6"/>
      <c r="W280" s="6"/>
      <c r="X280" s="6"/>
      <c r="Y280" s="6"/>
      <c r="Z280" s="6"/>
    </row>
    <row r="281" spans="1:26" ht="18" customHeight="1" x14ac:dyDescent="0.3">
      <c r="A281" s="152"/>
      <c r="B281" s="128"/>
      <c r="C281" s="152"/>
      <c r="D281" s="128"/>
      <c r="E281" s="124"/>
      <c r="F281" s="152"/>
      <c r="G281" s="128"/>
      <c r="H281" s="146"/>
      <c r="I281" s="146"/>
      <c r="J281" s="6"/>
      <c r="K281" s="6"/>
      <c r="L281" s="6"/>
      <c r="M281" s="6"/>
      <c r="N281" s="6"/>
      <c r="O281" s="6"/>
      <c r="P281" s="6"/>
      <c r="Q281" s="6"/>
      <c r="R281" s="6"/>
      <c r="S281" s="6"/>
      <c r="T281" s="6"/>
      <c r="U281" s="6"/>
      <c r="V281" s="6"/>
      <c r="W281" s="6"/>
      <c r="X281" s="6"/>
      <c r="Y281" s="6"/>
      <c r="Z281" s="6"/>
    </row>
    <row r="282" spans="1:26" ht="18" customHeight="1" x14ac:dyDescent="0.3">
      <c r="A282" s="152"/>
      <c r="B282" s="128"/>
      <c r="C282" s="152"/>
      <c r="D282" s="128"/>
      <c r="E282" s="124"/>
      <c r="F282" s="152"/>
      <c r="G282" s="128"/>
      <c r="H282" s="146"/>
      <c r="I282" s="146"/>
      <c r="J282" s="6"/>
      <c r="K282" s="6"/>
      <c r="L282" s="6"/>
      <c r="M282" s="6"/>
      <c r="N282" s="6"/>
      <c r="O282" s="6"/>
      <c r="P282" s="6"/>
      <c r="Q282" s="6"/>
      <c r="R282" s="6"/>
      <c r="S282" s="6"/>
      <c r="T282" s="6"/>
      <c r="U282" s="6"/>
      <c r="V282" s="6"/>
      <c r="W282" s="6"/>
      <c r="X282" s="6"/>
      <c r="Y282" s="6"/>
      <c r="Z282" s="6"/>
    </row>
    <row r="283" spans="1:26" ht="18" customHeight="1" x14ac:dyDescent="0.3">
      <c r="A283" s="152"/>
      <c r="B283" s="128"/>
      <c r="C283" s="152"/>
      <c r="D283" s="128"/>
      <c r="E283" s="124"/>
      <c r="F283" s="152"/>
      <c r="G283" s="128"/>
      <c r="H283" s="146"/>
      <c r="I283" s="146"/>
      <c r="J283" s="6"/>
      <c r="K283" s="6"/>
      <c r="L283" s="6"/>
      <c r="M283" s="6"/>
      <c r="N283" s="6"/>
      <c r="O283" s="6"/>
      <c r="P283" s="6"/>
      <c r="Q283" s="6"/>
      <c r="R283" s="6"/>
      <c r="S283" s="6"/>
      <c r="T283" s="6"/>
      <c r="U283" s="6"/>
      <c r="V283" s="6"/>
      <c r="W283" s="6"/>
      <c r="X283" s="6"/>
      <c r="Y283" s="6"/>
      <c r="Z283" s="6"/>
    </row>
    <row r="284" spans="1:26" ht="18" customHeight="1" x14ac:dyDescent="0.3">
      <c r="A284" s="152"/>
      <c r="B284" s="128"/>
      <c r="C284" s="152"/>
      <c r="D284" s="128"/>
      <c r="E284" s="124"/>
      <c r="F284" s="152"/>
      <c r="G284" s="128"/>
      <c r="H284" s="146"/>
      <c r="I284" s="146"/>
      <c r="J284" s="6"/>
      <c r="K284" s="6"/>
      <c r="L284" s="6"/>
      <c r="M284" s="6"/>
      <c r="N284" s="6"/>
      <c r="O284" s="6"/>
      <c r="P284" s="6"/>
      <c r="Q284" s="6"/>
      <c r="R284" s="6"/>
      <c r="S284" s="6"/>
      <c r="T284" s="6"/>
      <c r="U284" s="6"/>
      <c r="V284" s="6"/>
      <c r="W284" s="6"/>
      <c r="X284" s="6"/>
      <c r="Y284" s="6"/>
      <c r="Z284" s="6"/>
    </row>
    <row r="285" spans="1:26" ht="18" customHeight="1" x14ac:dyDescent="0.3">
      <c r="A285" s="152"/>
      <c r="B285" s="128"/>
      <c r="C285" s="152"/>
      <c r="D285" s="128"/>
      <c r="E285" s="124"/>
      <c r="F285" s="152"/>
      <c r="G285" s="128"/>
      <c r="H285" s="146"/>
      <c r="I285" s="146"/>
      <c r="J285" s="6"/>
      <c r="K285" s="6"/>
      <c r="L285" s="6"/>
      <c r="M285" s="6"/>
      <c r="N285" s="6"/>
      <c r="O285" s="6"/>
      <c r="P285" s="6"/>
      <c r="Q285" s="6"/>
      <c r="R285" s="6"/>
      <c r="S285" s="6"/>
      <c r="T285" s="6"/>
      <c r="U285" s="6"/>
      <c r="V285" s="6"/>
      <c r="W285" s="6"/>
      <c r="X285" s="6"/>
      <c r="Y285" s="6"/>
      <c r="Z285" s="6"/>
    </row>
    <row r="286" spans="1:26" ht="18" customHeight="1" x14ac:dyDescent="0.3">
      <c r="A286" s="152"/>
      <c r="B286" s="128"/>
      <c r="C286" s="152"/>
      <c r="D286" s="128"/>
      <c r="E286" s="124"/>
      <c r="F286" s="152"/>
      <c r="G286" s="128"/>
      <c r="H286" s="146"/>
      <c r="I286" s="146"/>
      <c r="J286" s="6"/>
      <c r="K286" s="6"/>
      <c r="L286" s="6"/>
      <c r="M286" s="6"/>
      <c r="N286" s="6"/>
      <c r="O286" s="6"/>
      <c r="P286" s="6"/>
      <c r="Q286" s="6"/>
      <c r="R286" s="6"/>
      <c r="S286" s="6"/>
      <c r="T286" s="6"/>
      <c r="U286" s="6"/>
      <c r="V286" s="6"/>
      <c r="W286" s="6"/>
      <c r="X286" s="6"/>
      <c r="Y286" s="6"/>
      <c r="Z286" s="6"/>
    </row>
    <row r="287" spans="1:26" ht="18" customHeight="1" x14ac:dyDescent="0.3">
      <c r="A287" s="152"/>
      <c r="B287" s="128"/>
      <c r="C287" s="152"/>
      <c r="D287" s="128"/>
      <c r="E287" s="124"/>
      <c r="F287" s="152"/>
      <c r="G287" s="128"/>
      <c r="H287" s="146"/>
      <c r="I287" s="146"/>
      <c r="J287" s="6"/>
      <c r="K287" s="6"/>
      <c r="L287" s="6"/>
      <c r="M287" s="6"/>
      <c r="N287" s="6"/>
      <c r="O287" s="6"/>
      <c r="P287" s="6"/>
      <c r="Q287" s="6"/>
      <c r="R287" s="6"/>
      <c r="S287" s="6"/>
      <c r="T287" s="6"/>
      <c r="U287" s="6"/>
      <c r="V287" s="6"/>
      <c r="W287" s="6"/>
      <c r="X287" s="6"/>
      <c r="Y287" s="6"/>
      <c r="Z287" s="6"/>
    </row>
    <row r="288" spans="1:26" ht="18" customHeight="1" x14ac:dyDescent="0.3">
      <c r="A288" s="152"/>
      <c r="B288" s="128"/>
      <c r="C288" s="152"/>
      <c r="D288" s="128"/>
      <c r="E288" s="124"/>
      <c r="F288" s="152"/>
      <c r="G288" s="128"/>
      <c r="H288" s="146"/>
      <c r="I288" s="146"/>
      <c r="J288" s="6"/>
      <c r="K288" s="6"/>
      <c r="L288" s="6"/>
      <c r="M288" s="6"/>
      <c r="N288" s="6"/>
      <c r="O288" s="6"/>
      <c r="P288" s="6"/>
      <c r="Q288" s="6"/>
      <c r="R288" s="6"/>
      <c r="S288" s="6"/>
      <c r="T288" s="6"/>
      <c r="U288" s="6"/>
      <c r="V288" s="6"/>
      <c r="W288" s="6"/>
      <c r="X288" s="6"/>
      <c r="Y288" s="6"/>
      <c r="Z288" s="6"/>
    </row>
    <row r="289" spans="1:26" ht="18" customHeight="1" x14ac:dyDescent="0.3">
      <c r="A289" s="152"/>
      <c r="B289" s="128"/>
      <c r="C289" s="152"/>
      <c r="D289" s="128"/>
      <c r="E289" s="124"/>
      <c r="F289" s="152"/>
      <c r="G289" s="128"/>
      <c r="H289" s="146"/>
      <c r="I289" s="146"/>
      <c r="J289" s="6"/>
      <c r="K289" s="6"/>
      <c r="L289" s="6"/>
      <c r="M289" s="6"/>
      <c r="N289" s="6"/>
      <c r="O289" s="6"/>
      <c r="P289" s="6"/>
      <c r="Q289" s="6"/>
      <c r="R289" s="6"/>
      <c r="S289" s="6"/>
      <c r="T289" s="6"/>
      <c r="U289" s="6"/>
      <c r="V289" s="6"/>
      <c r="W289" s="6"/>
      <c r="X289" s="6"/>
      <c r="Y289" s="6"/>
      <c r="Z289" s="6"/>
    </row>
    <row r="290" spans="1:26" ht="18" customHeight="1" x14ac:dyDescent="0.3">
      <c r="A290" s="152"/>
      <c r="B290" s="128"/>
      <c r="C290" s="152"/>
      <c r="D290" s="128"/>
      <c r="E290" s="124"/>
      <c r="F290" s="152"/>
      <c r="G290" s="128"/>
      <c r="H290" s="146"/>
      <c r="I290" s="146"/>
      <c r="J290" s="6"/>
      <c r="K290" s="6"/>
      <c r="L290" s="6"/>
      <c r="M290" s="6"/>
      <c r="N290" s="6"/>
      <c r="O290" s="6"/>
      <c r="P290" s="6"/>
      <c r="Q290" s="6"/>
      <c r="R290" s="6"/>
      <c r="S290" s="6"/>
      <c r="T290" s="6"/>
      <c r="U290" s="6"/>
      <c r="V290" s="6"/>
      <c r="W290" s="6"/>
      <c r="X290" s="6"/>
      <c r="Y290" s="6"/>
      <c r="Z290" s="6"/>
    </row>
    <row r="291" spans="1:26" ht="18" customHeight="1" x14ac:dyDescent="0.3">
      <c r="A291" s="152"/>
      <c r="B291" s="128"/>
      <c r="C291" s="152"/>
      <c r="D291" s="128"/>
      <c r="E291" s="124"/>
      <c r="F291" s="152"/>
      <c r="G291" s="128"/>
      <c r="H291" s="146"/>
      <c r="I291" s="146"/>
      <c r="J291" s="6"/>
      <c r="K291" s="6"/>
      <c r="L291" s="6"/>
      <c r="M291" s="6"/>
      <c r="N291" s="6"/>
      <c r="O291" s="6"/>
      <c r="P291" s="6"/>
      <c r="Q291" s="6"/>
      <c r="R291" s="6"/>
      <c r="S291" s="6"/>
      <c r="T291" s="6"/>
      <c r="U291" s="6"/>
      <c r="V291" s="6"/>
      <c r="W291" s="6"/>
      <c r="X291" s="6"/>
      <c r="Y291" s="6"/>
      <c r="Z291" s="6"/>
    </row>
    <row r="292" spans="1:26" ht="18" customHeight="1" x14ac:dyDescent="0.3">
      <c r="A292" s="152"/>
      <c r="B292" s="128"/>
      <c r="C292" s="152"/>
      <c r="D292" s="128"/>
      <c r="E292" s="124"/>
      <c r="F292" s="152"/>
      <c r="G292" s="128"/>
      <c r="H292" s="146"/>
      <c r="I292" s="146"/>
      <c r="J292" s="6"/>
      <c r="K292" s="6"/>
      <c r="L292" s="6"/>
      <c r="M292" s="6"/>
      <c r="N292" s="6"/>
      <c r="O292" s="6"/>
      <c r="P292" s="6"/>
      <c r="Q292" s="6"/>
      <c r="R292" s="6"/>
      <c r="S292" s="6"/>
      <c r="T292" s="6"/>
      <c r="U292" s="6"/>
      <c r="V292" s="6"/>
      <c r="W292" s="6"/>
      <c r="X292" s="6"/>
      <c r="Y292" s="6"/>
      <c r="Z292" s="6"/>
    </row>
    <row r="293" spans="1:26" ht="18" customHeight="1" x14ac:dyDescent="0.3">
      <c r="A293" s="152"/>
      <c r="B293" s="128"/>
      <c r="C293" s="152"/>
      <c r="D293" s="128"/>
      <c r="E293" s="124"/>
      <c r="F293" s="152"/>
      <c r="G293" s="128"/>
      <c r="H293" s="146"/>
      <c r="I293" s="146"/>
      <c r="J293" s="6"/>
      <c r="K293" s="6"/>
      <c r="L293" s="6"/>
      <c r="M293" s="6"/>
      <c r="N293" s="6"/>
      <c r="O293" s="6"/>
      <c r="P293" s="6"/>
      <c r="Q293" s="6"/>
      <c r="R293" s="6"/>
      <c r="S293" s="6"/>
      <c r="T293" s="6"/>
      <c r="U293" s="6"/>
      <c r="V293" s="6"/>
      <c r="W293" s="6"/>
      <c r="X293" s="6"/>
      <c r="Y293" s="6"/>
      <c r="Z293" s="6"/>
    </row>
    <row r="294" spans="1:26" ht="18" customHeight="1" x14ac:dyDescent="0.3">
      <c r="A294" s="152"/>
      <c r="B294" s="128"/>
      <c r="C294" s="152"/>
      <c r="D294" s="128"/>
      <c r="E294" s="124"/>
      <c r="F294" s="152"/>
      <c r="G294" s="128"/>
      <c r="H294" s="146"/>
      <c r="I294" s="146"/>
      <c r="J294" s="6"/>
      <c r="K294" s="6"/>
      <c r="L294" s="6"/>
      <c r="M294" s="6"/>
      <c r="N294" s="6"/>
      <c r="O294" s="6"/>
      <c r="P294" s="6"/>
      <c r="Q294" s="6"/>
      <c r="R294" s="6"/>
      <c r="S294" s="6"/>
      <c r="T294" s="6"/>
      <c r="U294" s="6"/>
      <c r="V294" s="6"/>
      <c r="W294" s="6"/>
      <c r="X294" s="6"/>
      <c r="Y294" s="6"/>
      <c r="Z294" s="6"/>
    </row>
    <row r="295" spans="1:26" ht="18" customHeight="1" x14ac:dyDescent="0.3">
      <c r="A295" s="152"/>
      <c r="B295" s="128"/>
      <c r="C295" s="152"/>
      <c r="D295" s="128"/>
      <c r="E295" s="124"/>
      <c r="F295" s="152"/>
      <c r="G295" s="128"/>
      <c r="H295" s="146"/>
      <c r="I295" s="146"/>
      <c r="J295" s="6"/>
      <c r="K295" s="6"/>
      <c r="L295" s="6"/>
      <c r="M295" s="6"/>
      <c r="N295" s="6"/>
      <c r="O295" s="6"/>
      <c r="P295" s="6"/>
      <c r="Q295" s="6"/>
      <c r="R295" s="6"/>
      <c r="S295" s="6"/>
      <c r="T295" s="6"/>
      <c r="U295" s="6"/>
      <c r="V295" s="6"/>
      <c r="W295" s="6"/>
      <c r="X295" s="6"/>
      <c r="Y295" s="6"/>
      <c r="Z295" s="6"/>
    </row>
    <row r="296" spans="1:26" ht="18" customHeight="1" x14ac:dyDescent="0.3">
      <c r="A296" s="152"/>
      <c r="B296" s="128"/>
      <c r="C296" s="152"/>
      <c r="D296" s="128"/>
      <c r="E296" s="124"/>
      <c r="F296" s="152"/>
      <c r="G296" s="128"/>
      <c r="H296" s="146"/>
      <c r="I296" s="146"/>
      <c r="J296" s="6"/>
      <c r="K296" s="6"/>
      <c r="L296" s="6"/>
      <c r="M296" s="6"/>
      <c r="N296" s="6"/>
      <c r="O296" s="6"/>
      <c r="P296" s="6"/>
      <c r="Q296" s="6"/>
      <c r="R296" s="6"/>
      <c r="S296" s="6"/>
      <c r="T296" s="6"/>
      <c r="U296" s="6"/>
      <c r="V296" s="6"/>
      <c r="W296" s="6"/>
      <c r="X296" s="6"/>
      <c r="Y296" s="6"/>
      <c r="Z296" s="6"/>
    </row>
    <row r="297" spans="1:26" ht="18" customHeight="1" x14ac:dyDescent="0.3">
      <c r="A297" s="152"/>
      <c r="B297" s="128"/>
      <c r="C297" s="152"/>
      <c r="D297" s="128"/>
      <c r="E297" s="124"/>
      <c r="F297" s="152"/>
      <c r="G297" s="128"/>
      <c r="H297" s="146"/>
      <c r="I297" s="146"/>
      <c r="J297" s="6"/>
      <c r="K297" s="6"/>
      <c r="L297" s="6"/>
      <c r="M297" s="6"/>
      <c r="N297" s="6"/>
      <c r="O297" s="6"/>
      <c r="P297" s="6"/>
      <c r="Q297" s="6"/>
      <c r="R297" s="6"/>
      <c r="S297" s="6"/>
      <c r="T297" s="6"/>
      <c r="U297" s="6"/>
      <c r="V297" s="6"/>
      <c r="W297" s="6"/>
      <c r="X297" s="6"/>
      <c r="Y297" s="6"/>
      <c r="Z297" s="6"/>
    </row>
    <row r="298" spans="1:26" ht="18" customHeight="1" x14ac:dyDescent="0.3">
      <c r="A298" s="152"/>
      <c r="B298" s="128"/>
      <c r="C298" s="152"/>
      <c r="D298" s="128"/>
      <c r="E298" s="124"/>
      <c r="F298" s="152"/>
      <c r="G298" s="128"/>
      <c r="H298" s="146"/>
      <c r="I298" s="146"/>
      <c r="J298" s="6"/>
      <c r="K298" s="6"/>
      <c r="L298" s="6"/>
      <c r="M298" s="6"/>
      <c r="N298" s="6"/>
      <c r="O298" s="6"/>
      <c r="P298" s="6"/>
      <c r="Q298" s="6"/>
      <c r="R298" s="6"/>
      <c r="S298" s="6"/>
      <c r="T298" s="6"/>
      <c r="U298" s="6"/>
      <c r="V298" s="6"/>
      <c r="W298" s="6"/>
      <c r="X298" s="6"/>
      <c r="Y298" s="6"/>
      <c r="Z298" s="6"/>
    </row>
    <row r="299" spans="1:26" ht="18" customHeight="1" x14ac:dyDescent="0.3">
      <c r="A299" s="152"/>
      <c r="B299" s="128"/>
      <c r="C299" s="152"/>
      <c r="D299" s="128"/>
      <c r="E299" s="124"/>
      <c r="F299" s="152"/>
      <c r="G299" s="128"/>
      <c r="H299" s="146"/>
      <c r="I299" s="146"/>
      <c r="J299" s="6"/>
      <c r="K299" s="6"/>
      <c r="L299" s="6"/>
      <c r="M299" s="6"/>
      <c r="N299" s="6"/>
      <c r="O299" s="6"/>
      <c r="P299" s="6"/>
      <c r="Q299" s="6"/>
      <c r="R299" s="6"/>
      <c r="S299" s="6"/>
      <c r="T299" s="6"/>
      <c r="U299" s="6"/>
      <c r="V299" s="6"/>
      <c r="W299" s="6"/>
      <c r="X299" s="6"/>
      <c r="Y299" s="6"/>
      <c r="Z299" s="6"/>
    </row>
    <row r="300" spans="1:26" ht="18" customHeight="1" x14ac:dyDescent="0.3">
      <c r="A300" s="152"/>
      <c r="B300" s="128"/>
      <c r="C300" s="152"/>
      <c r="D300" s="128"/>
      <c r="E300" s="124"/>
      <c r="F300" s="152"/>
      <c r="G300" s="128"/>
      <c r="H300" s="146"/>
      <c r="I300" s="146"/>
      <c r="J300" s="6"/>
      <c r="K300" s="6"/>
      <c r="L300" s="6"/>
      <c r="M300" s="6"/>
      <c r="N300" s="6"/>
      <c r="O300" s="6"/>
      <c r="P300" s="6"/>
      <c r="Q300" s="6"/>
      <c r="R300" s="6"/>
      <c r="S300" s="6"/>
      <c r="T300" s="6"/>
      <c r="U300" s="6"/>
      <c r="V300" s="6"/>
      <c r="W300" s="6"/>
      <c r="X300" s="6"/>
      <c r="Y300" s="6"/>
      <c r="Z300" s="6"/>
    </row>
    <row r="301" spans="1:26" ht="18" customHeight="1" x14ac:dyDescent="0.3">
      <c r="A301" s="152"/>
      <c r="B301" s="128"/>
      <c r="C301" s="152"/>
      <c r="D301" s="128"/>
      <c r="E301" s="124"/>
      <c r="F301" s="152"/>
      <c r="G301" s="128"/>
      <c r="H301" s="146"/>
      <c r="I301" s="146"/>
      <c r="J301" s="6"/>
      <c r="K301" s="6"/>
      <c r="L301" s="6"/>
      <c r="M301" s="6"/>
      <c r="N301" s="6"/>
      <c r="O301" s="6"/>
      <c r="P301" s="6"/>
      <c r="Q301" s="6"/>
      <c r="R301" s="6"/>
      <c r="S301" s="6"/>
      <c r="T301" s="6"/>
      <c r="U301" s="6"/>
      <c r="V301" s="6"/>
      <c r="W301" s="6"/>
      <c r="X301" s="6"/>
      <c r="Y301" s="6"/>
      <c r="Z301" s="6"/>
    </row>
    <row r="302" spans="1:26" ht="18" customHeight="1" x14ac:dyDescent="0.3">
      <c r="A302" s="152"/>
      <c r="B302" s="128"/>
      <c r="C302" s="152"/>
      <c r="D302" s="128"/>
      <c r="E302" s="124"/>
      <c r="F302" s="152"/>
      <c r="G302" s="128"/>
      <c r="H302" s="146"/>
      <c r="I302" s="146"/>
      <c r="J302" s="6"/>
      <c r="K302" s="6"/>
      <c r="L302" s="6"/>
      <c r="M302" s="6"/>
      <c r="N302" s="6"/>
      <c r="O302" s="6"/>
      <c r="P302" s="6"/>
      <c r="Q302" s="6"/>
      <c r="R302" s="6"/>
      <c r="S302" s="6"/>
      <c r="T302" s="6"/>
      <c r="U302" s="6"/>
      <c r="V302" s="6"/>
      <c r="W302" s="6"/>
      <c r="X302" s="6"/>
      <c r="Y302" s="6"/>
      <c r="Z302" s="6"/>
    </row>
    <row r="303" spans="1:26" ht="18" customHeight="1" x14ac:dyDescent="0.3">
      <c r="A303" s="152"/>
      <c r="B303" s="128"/>
      <c r="C303" s="152"/>
      <c r="D303" s="128"/>
      <c r="E303" s="124"/>
      <c r="F303" s="152"/>
      <c r="G303" s="128"/>
      <c r="H303" s="146"/>
      <c r="I303" s="146"/>
      <c r="J303" s="6"/>
      <c r="K303" s="6"/>
      <c r="L303" s="6"/>
      <c r="M303" s="6"/>
      <c r="N303" s="6"/>
      <c r="O303" s="6"/>
      <c r="P303" s="6"/>
      <c r="Q303" s="6"/>
      <c r="R303" s="6"/>
      <c r="S303" s="6"/>
      <c r="T303" s="6"/>
      <c r="U303" s="6"/>
      <c r="V303" s="6"/>
      <c r="W303" s="6"/>
      <c r="X303" s="6"/>
      <c r="Y303" s="6"/>
      <c r="Z303" s="6"/>
    </row>
    <row r="304" spans="1:26" ht="18" customHeight="1" x14ac:dyDescent="0.3">
      <c r="A304" s="152"/>
      <c r="B304" s="128"/>
      <c r="C304" s="152"/>
      <c r="D304" s="128"/>
      <c r="E304" s="124"/>
      <c r="F304" s="152"/>
      <c r="G304" s="128"/>
      <c r="H304" s="146"/>
      <c r="I304" s="146"/>
      <c r="J304" s="6"/>
      <c r="K304" s="6"/>
      <c r="L304" s="6"/>
      <c r="M304" s="6"/>
      <c r="N304" s="6"/>
      <c r="O304" s="6"/>
      <c r="P304" s="6"/>
      <c r="Q304" s="6"/>
      <c r="R304" s="6"/>
      <c r="S304" s="6"/>
      <c r="T304" s="6"/>
      <c r="U304" s="6"/>
      <c r="V304" s="6"/>
      <c r="W304" s="6"/>
      <c r="X304" s="6"/>
      <c r="Y304" s="6"/>
      <c r="Z304" s="6"/>
    </row>
    <row r="305" spans="1:26" ht="18" customHeight="1" x14ac:dyDescent="0.3">
      <c r="A305" s="152"/>
      <c r="B305" s="128"/>
      <c r="C305" s="152"/>
      <c r="D305" s="128"/>
      <c r="E305" s="124"/>
      <c r="F305" s="152"/>
      <c r="G305" s="128"/>
      <c r="H305" s="146"/>
      <c r="I305" s="146"/>
      <c r="J305" s="6"/>
      <c r="K305" s="6"/>
      <c r="L305" s="6"/>
      <c r="M305" s="6"/>
      <c r="N305" s="6"/>
      <c r="O305" s="6"/>
      <c r="P305" s="6"/>
      <c r="Q305" s="6"/>
      <c r="R305" s="6"/>
      <c r="S305" s="6"/>
      <c r="T305" s="6"/>
      <c r="U305" s="6"/>
      <c r="V305" s="6"/>
      <c r="W305" s="6"/>
      <c r="X305" s="6"/>
      <c r="Y305" s="6"/>
      <c r="Z305" s="6"/>
    </row>
    <row r="306" spans="1:26" ht="18" customHeight="1" x14ac:dyDescent="0.3">
      <c r="A306" s="152"/>
      <c r="B306" s="128"/>
      <c r="C306" s="152"/>
      <c r="D306" s="128"/>
      <c r="E306" s="124"/>
      <c r="F306" s="152"/>
      <c r="G306" s="128"/>
      <c r="H306" s="146"/>
      <c r="I306" s="146"/>
      <c r="J306" s="6"/>
      <c r="K306" s="6"/>
      <c r="L306" s="6"/>
      <c r="M306" s="6"/>
      <c r="N306" s="6"/>
      <c r="O306" s="6"/>
      <c r="P306" s="6"/>
      <c r="Q306" s="6"/>
      <c r="R306" s="6"/>
      <c r="S306" s="6"/>
      <c r="T306" s="6"/>
      <c r="U306" s="6"/>
      <c r="V306" s="6"/>
      <c r="W306" s="6"/>
      <c r="X306" s="6"/>
      <c r="Y306" s="6"/>
      <c r="Z306" s="6"/>
    </row>
    <row r="307" spans="1:26" ht="18" customHeight="1" x14ac:dyDescent="0.3">
      <c r="A307" s="152"/>
      <c r="B307" s="128"/>
      <c r="C307" s="152"/>
      <c r="D307" s="128"/>
      <c r="E307" s="124"/>
      <c r="F307" s="152"/>
      <c r="G307" s="128"/>
      <c r="H307" s="146"/>
      <c r="I307" s="146"/>
      <c r="J307" s="6"/>
      <c r="K307" s="6"/>
      <c r="L307" s="6"/>
      <c r="M307" s="6"/>
      <c r="N307" s="6"/>
      <c r="O307" s="6"/>
      <c r="P307" s="6"/>
      <c r="Q307" s="6"/>
      <c r="R307" s="6"/>
      <c r="S307" s="6"/>
      <c r="T307" s="6"/>
      <c r="U307" s="6"/>
      <c r="V307" s="6"/>
      <c r="W307" s="6"/>
      <c r="X307" s="6"/>
      <c r="Y307" s="6"/>
      <c r="Z307" s="6"/>
    </row>
    <row r="308" spans="1:26" ht="18" customHeight="1" x14ac:dyDescent="0.3">
      <c r="A308" s="152"/>
      <c r="B308" s="128"/>
      <c r="C308" s="152"/>
      <c r="D308" s="128"/>
      <c r="E308" s="124"/>
      <c r="F308" s="152"/>
      <c r="G308" s="128"/>
      <c r="H308" s="146"/>
      <c r="I308" s="146"/>
      <c r="J308" s="6"/>
      <c r="K308" s="6"/>
      <c r="L308" s="6"/>
      <c r="M308" s="6"/>
      <c r="N308" s="6"/>
      <c r="O308" s="6"/>
      <c r="P308" s="6"/>
      <c r="Q308" s="6"/>
      <c r="R308" s="6"/>
      <c r="S308" s="6"/>
      <c r="T308" s="6"/>
      <c r="U308" s="6"/>
      <c r="V308" s="6"/>
      <c r="W308" s="6"/>
      <c r="X308" s="6"/>
      <c r="Y308" s="6"/>
      <c r="Z308" s="6"/>
    </row>
    <row r="309" spans="1:26" ht="18" customHeight="1" x14ac:dyDescent="0.3">
      <c r="A309" s="152"/>
      <c r="B309" s="128"/>
      <c r="C309" s="152"/>
      <c r="D309" s="128"/>
      <c r="E309" s="124"/>
      <c r="F309" s="152"/>
      <c r="G309" s="128"/>
      <c r="H309" s="146"/>
      <c r="I309" s="146"/>
      <c r="J309" s="6"/>
      <c r="K309" s="6"/>
      <c r="L309" s="6"/>
      <c r="M309" s="6"/>
      <c r="N309" s="6"/>
      <c r="O309" s="6"/>
      <c r="P309" s="6"/>
      <c r="Q309" s="6"/>
      <c r="R309" s="6"/>
      <c r="S309" s="6"/>
      <c r="T309" s="6"/>
      <c r="U309" s="6"/>
      <c r="V309" s="6"/>
      <c r="W309" s="6"/>
      <c r="X309" s="6"/>
      <c r="Y309" s="6"/>
      <c r="Z309" s="6"/>
    </row>
    <row r="310" spans="1:26" ht="18" customHeight="1" x14ac:dyDescent="0.3">
      <c r="A310" s="152"/>
      <c r="B310" s="128"/>
      <c r="C310" s="152"/>
      <c r="D310" s="128"/>
      <c r="E310" s="124"/>
      <c r="F310" s="152"/>
      <c r="G310" s="128"/>
      <c r="H310" s="146"/>
      <c r="I310" s="146"/>
      <c r="J310" s="6"/>
      <c r="K310" s="6"/>
      <c r="L310" s="6"/>
      <c r="M310" s="6"/>
      <c r="N310" s="6"/>
      <c r="O310" s="6"/>
      <c r="P310" s="6"/>
      <c r="Q310" s="6"/>
      <c r="R310" s="6"/>
      <c r="S310" s="6"/>
      <c r="T310" s="6"/>
      <c r="U310" s="6"/>
      <c r="V310" s="6"/>
      <c r="W310" s="6"/>
      <c r="X310" s="6"/>
      <c r="Y310" s="6"/>
      <c r="Z310" s="6"/>
    </row>
    <row r="311" spans="1:26" ht="18" customHeight="1" x14ac:dyDescent="0.3">
      <c r="A311" s="152"/>
      <c r="B311" s="128"/>
      <c r="C311" s="152"/>
      <c r="D311" s="128"/>
      <c r="E311" s="124"/>
      <c r="F311" s="152"/>
      <c r="G311" s="128"/>
      <c r="H311" s="146"/>
      <c r="I311" s="146"/>
      <c r="J311" s="6"/>
      <c r="K311" s="6"/>
      <c r="L311" s="6"/>
      <c r="M311" s="6"/>
      <c r="N311" s="6"/>
      <c r="O311" s="6"/>
      <c r="P311" s="6"/>
      <c r="Q311" s="6"/>
      <c r="R311" s="6"/>
      <c r="S311" s="6"/>
      <c r="T311" s="6"/>
      <c r="U311" s="6"/>
      <c r="V311" s="6"/>
      <c r="W311" s="6"/>
      <c r="X311" s="6"/>
      <c r="Y311" s="6"/>
      <c r="Z311" s="6"/>
    </row>
    <row r="312" spans="1:26" ht="18" customHeight="1" x14ac:dyDescent="0.3">
      <c r="A312" s="152"/>
      <c r="B312" s="128"/>
      <c r="C312" s="152"/>
      <c r="D312" s="128"/>
      <c r="E312" s="124"/>
      <c r="F312" s="152"/>
      <c r="G312" s="128"/>
      <c r="H312" s="146"/>
      <c r="I312" s="146"/>
      <c r="J312" s="6"/>
      <c r="K312" s="6"/>
      <c r="L312" s="6"/>
      <c r="M312" s="6"/>
      <c r="N312" s="6"/>
      <c r="O312" s="6"/>
      <c r="P312" s="6"/>
      <c r="Q312" s="6"/>
      <c r="R312" s="6"/>
      <c r="S312" s="6"/>
      <c r="T312" s="6"/>
      <c r="U312" s="6"/>
      <c r="V312" s="6"/>
      <c r="W312" s="6"/>
      <c r="X312" s="6"/>
      <c r="Y312" s="6"/>
      <c r="Z312" s="6"/>
    </row>
    <row r="313" spans="1:26" ht="18" customHeight="1" x14ac:dyDescent="0.3">
      <c r="A313" s="152"/>
      <c r="B313" s="128"/>
      <c r="C313" s="152"/>
      <c r="D313" s="128"/>
      <c r="E313" s="124"/>
      <c r="F313" s="152"/>
      <c r="G313" s="128"/>
      <c r="H313" s="146"/>
      <c r="I313" s="146"/>
      <c r="J313" s="6"/>
      <c r="K313" s="6"/>
      <c r="L313" s="6"/>
      <c r="M313" s="6"/>
      <c r="N313" s="6"/>
      <c r="O313" s="6"/>
      <c r="P313" s="6"/>
      <c r="Q313" s="6"/>
      <c r="R313" s="6"/>
      <c r="S313" s="6"/>
      <c r="T313" s="6"/>
      <c r="U313" s="6"/>
      <c r="V313" s="6"/>
      <c r="W313" s="6"/>
      <c r="X313" s="6"/>
      <c r="Y313" s="6"/>
      <c r="Z313" s="6"/>
    </row>
    <row r="314" spans="1:26" ht="18" customHeight="1" x14ac:dyDescent="0.3">
      <c r="A314" s="152"/>
      <c r="B314" s="128"/>
      <c r="C314" s="152"/>
      <c r="D314" s="128"/>
      <c r="E314" s="124"/>
      <c r="F314" s="152"/>
      <c r="G314" s="128"/>
      <c r="H314" s="146"/>
      <c r="I314" s="146"/>
      <c r="J314" s="6"/>
      <c r="K314" s="6"/>
      <c r="L314" s="6"/>
      <c r="M314" s="6"/>
      <c r="N314" s="6"/>
      <c r="O314" s="6"/>
      <c r="P314" s="6"/>
      <c r="Q314" s="6"/>
      <c r="R314" s="6"/>
      <c r="S314" s="6"/>
      <c r="T314" s="6"/>
      <c r="U314" s="6"/>
      <c r="V314" s="6"/>
      <c r="W314" s="6"/>
      <c r="X314" s="6"/>
      <c r="Y314" s="6"/>
      <c r="Z314" s="6"/>
    </row>
    <row r="315" spans="1:26" ht="18" customHeight="1" x14ac:dyDescent="0.3">
      <c r="A315" s="152"/>
      <c r="B315" s="128"/>
      <c r="C315" s="152"/>
      <c r="D315" s="128"/>
      <c r="E315" s="124"/>
      <c r="F315" s="152"/>
      <c r="G315" s="128"/>
      <c r="H315" s="146"/>
      <c r="I315" s="146"/>
      <c r="J315" s="6"/>
      <c r="K315" s="6"/>
      <c r="L315" s="6"/>
      <c r="M315" s="6"/>
      <c r="N315" s="6"/>
      <c r="O315" s="6"/>
      <c r="P315" s="6"/>
      <c r="Q315" s="6"/>
      <c r="R315" s="6"/>
      <c r="S315" s="6"/>
      <c r="T315" s="6"/>
      <c r="U315" s="6"/>
      <c r="V315" s="6"/>
      <c r="W315" s="6"/>
      <c r="X315" s="6"/>
      <c r="Y315" s="6"/>
      <c r="Z315" s="6"/>
    </row>
    <row r="316" spans="1:26" ht="18" customHeight="1" x14ac:dyDescent="0.3">
      <c r="A316" s="152"/>
      <c r="B316" s="128"/>
      <c r="C316" s="152"/>
      <c r="D316" s="128"/>
      <c r="E316" s="124"/>
      <c r="F316" s="152"/>
      <c r="G316" s="128"/>
      <c r="H316" s="146"/>
      <c r="I316" s="146"/>
      <c r="J316" s="6"/>
      <c r="K316" s="6"/>
      <c r="L316" s="6"/>
      <c r="M316" s="6"/>
      <c r="N316" s="6"/>
      <c r="O316" s="6"/>
      <c r="P316" s="6"/>
      <c r="Q316" s="6"/>
      <c r="R316" s="6"/>
      <c r="S316" s="6"/>
      <c r="T316" s="6"/>
      <c r="U316" s="6"/>
      <c r="V316" s="6"/>
      <c r="W316" s="6"/>
      <c r="X316" s="6"/>
      <c r="Y316" s="6"/>
      <c r="Z316" s="6"/>
    </row>
    <row r="317" spans="1:26" ht="18" customHeight="1" x14ac:dyDescent="0.3">
      <c r="A317" s="152"/>
      <c r="B317" s="128"/>
      <c r="C317" s="152"/>
      <c r="D317" s="128"/>
      <c r="E317" s="124"/>
      <c r="F317" s="152"/>
      <c r="G317" s="128"/>
      <c r="H317" s="146"/>
      <c r="I317" s="146"/>
      <c r="J317" s="6"/>
      <c r="K317" s="6"/>
      <c r="L317" s="6"/>
      <c r="M317" s="6"/>
      <c r="N317" s="6"/>
      <c r="O317" s="6"/>
      <c r="P317" s="6"/>
      <c r="Q317" s="6"/>
      <c r="R317" s="6"/>
      <c r="S317" s="6"/>
      <c r="T317" s="6"/>
      <c r="U317" s="6"/>
      <c r="V317" s="6"/>
      <c r="W317" s="6"/>
      <c r="X317" s="6"/>
      <c r="Y317" s="6"/>
      <c r="Z317" s="6"/>
    </row>
    <row r="318" spans="1:26" ht="18" customHeight="1" x14ac:dyDescent="0.3">
      <c r="A318" s="152"/>
      <c r="B318" s="128"/>
      <c r="C318" s="152"/>
      <c r="D318" s="128"/>
      <c r="E318" s="124"/>
      <c r="F318" s="152"/>
      <c r="G318" s="128"/>
      <c r="H318" s="146"/>
      <c r="I318" s="146"/>
      <c r="J318" s="6"/>
      <c r="K318" s="6"/>
      <c r="L318" s="6"/>
      <c r="M318" s="6"/>
      <c r="N318" s="6"/>
      <c r="O318" s="6"/>
      <c r="P318" s="6"/>
      <c r="Q318" s="6"/>
      <c r="R318" s="6"/>
      <c r="S318" s="6"/>
      <c r="T318" s="6"/>
      <c r="U318" s="6"/>
      <c r="V318" s="6"/>
      <c r="W318" s="6"/>
      <c r="X318" s="6"/>
      <c r="Y318" s="6"/>
      <c r="Z318" s="6"/>
    </row>
    <row r="319" spans="1:26" ht="18" customHeight="1" x14ac:dyDescent="0.3">
      <c r="A319" s="152"/>
      <c r="B319" s="128"/>
      <c r="C319" s="152"/>
      <c r="D319" s="128"/>
      <c r="E319" s="124"/>
      <c r="F319" s="152"/>
      <c r="G319" s="128"/>
      <c r="H319" s="146"/>
      <c r="I319" s="146"/>
      <c r="J319" s="6"/>
      <c r="K319" s="6"/>
      <c r="L319" s="6"/>
      <c r="M319" s="6"/>
      <c r="N319" s="6"/>
      <c r="O319" s="6"/>
      <c r="P319" s="6"/>
      <c r="Q319" s="6"/>
      <c r="R319" s="6"/>
      <c r="S319" s="6"/>
      <c r="T319" s="6"/>
      <c r="U319" s="6"/>
      <c r="V319" s="6"/>
      <c r="W319" s="6"/>
      <c r="X319" s="6"/>
      <c r="Y319" s="6"/>
      <c r="Z319" s="6"/>
    </row>
    <row r="320" spans="1:26" ht="18" customHeight="1" x14ac:dyDescent="0.3">
      <c r="A320" s="152"/>
      <c r="B320" s="128"/>
      <c r="C320" s="152"/>
      <c r="D320" s="128"/>
      <c r="E320" s="124"/>
      <c r="F320" s="152"/>
      <c r="G320" s="128"/>
      <c r="H320" s="146"/>
      <c r="I320" s="146"/>
      <c r="J320" s="6"/>
      <c r="K320" s="6"/>
      <c r="L320" s="6"/>
      <c r="M320" s="6"/>
      <c r="N320" s="6"/>
      <c r="O320" s="6"/>
      <c r="P320" s="6"/>
      <c r="Q320" s="6"/>
      <c r="R320" s="6"/>
      <c r="S320" s="6"/>
      <c r="T320" s="6"/>
      <c r="U320" s="6"/>
      <c r="V320" s="6"/>
      <c r="W320" s="6"/>
      <c r="X320" s="6"/>
      <c r="Y320" s="6"/>
      <c r="Z320" s="6"/>
    </row>
    <row r="321" spans="1:26" ht="18" customHeight="1" x14ac:dyDescent="0.3">
      <c r="A321" s="152"/>
      <c r="B321" s="128"/>
      <c r="C321" s="152"/>
      <c r="D321" s="128"/>
      <c r="E321" s="124"/>
      <c r="F321" s="152"/>
      <c r="G321" s="128"/>
      <c r="H321" s="146"/>
      <c r="I321" s="146"/>
      <c r="J321" s="6"/>
      <c r="K321" s="6"/>
      <c r="L321" s="6"/>
      <c r="M321" s="6"/>
      <c r="N321" s="6"/>
      <c r="O321" s="6"/>
      <c r="P321" s="6"/>
      <c r="Q321" s="6"/>
      <c r="R321" s="6"/>
      <c r="S321" s="6"/>
      <c r="T321" s="6"/>
      <c r="U321" s="6"/>
      <c r="V321" s="6"/>
      <c r="W321" s="6"/>
      <c r="X321" s="6"/>
      <c r="Y321" s="6"/>
      <c r="Z321" s="6"/>
    </row>
    <row r="322" spans="1:26" ht="18" customHeight="1" x14ac:dyDescent="0.3">
      <c r="A322" s="152"/>
      <c r="B322" s="128"/>
      <c r="C322" s="152"/>
      <c r="D322" s="128"/>
      <c r="E322" s="124"/>
      <c r="F322" s="152"/>
      <c r="G322" s="128"/>
      <c r="H322" s="146"/>
      <c r="I322" s="146"/>
      <c r="J322" s="6"/>
      <c r="K322" s="6"/>
      <c r="L322" s="6"/>
      <c r="M322" s="6"/>
      <c r="N322" s="6"/>
      <c r="O322" s="6"/>
      <c r="P322" s="6"/>
      <c r="Q322" s="6"/>
      <c r="R322" s="6"/>
      <c r="S322" s="6"/>
      <c r="T322" s="6"/>
      <c r="U322" s="6"/>
      <c r="V322" s="6"/>
      <c r="W322" s="6"/>
      <c r="X322" s="6"/>
      <c r="Y322" s="6"/>
      <c r="Z322" s="6"/>
    </row>
    <row r="323" spans="1:26" ht="18" customHeight="1" x14ac:dyDescent="0.3">
      <c r="A323" s="152"/>
      <c r="B323" s="128"/>
      <c r="C323" s="152"/>
      <c r="D323" s="128"/>
      <c r="E323" s="124"/>
      <c r="F323" s="152"/>
      <c r="G323" s="128"/>
      <c r="H323" s="146"/>
      <c r="I323" s="146"/>
      <c r="J323" s="6"/>
      <c r="K323" s="6"/>
      <c r="L323" s="6"/>
      <c r="M323" s="6"/>
      <c r="N323" s="6"/>
      <c r="O323" s="6"/>
      <c r="P323" s="6"/>
      <c r="Q323" s="6"/>
      <c r="R323" s="6"/>
      <c r="S323" s="6"/>
      <c r="T323" s="6"/>
      <c r="U323" s="6"/>
      <c r="V323" s="6"/>
      <c r="W323" s="6"/>
      <c r="X323" s="6"/>
      <c r="Y323" s="6"/>
      <c r="Z323" s="6"/>
    </row>
    <row r="324" spans="1:26" ht="18" customHeight="1" x14ac:dyDescent="0.3">
      <c r="A324" s="152"/>
      <c r="B324" s="128"/>
      <c r="C324" s="152"/>
      <c r="D324" s="128"/>
      <c r="E324" s="124"/>
      <c r="F324" s="152"/>
      <c r="G324" s="128"/>
      <c r="H324" s="146"/>
      <c r="I324" s="146"/>
      <c r="J324" s="6"/>
      <c r="K324" s="6"/>
      <c r="L324" s="6"/>
      <c r="M324" s="6"/>
      <c r="N324" s="6"/>
      <c r="O324" s="6"/>
      <c r="P324" s="6"/>
      <c r="Q324" s="6"/>
      <c r="R324" s="6"/>
      <c r="S324" s="6"/>
      <c r="T324" s="6"/>
      <c r="U324" s="6"/>
      <c r="V324" s="6"/>
      <c r="W324" s="6"/>
      <c r="X324" s="6"/>
      <c r="Y324" s="6"/>
      <c r="Z324" s="6"/>
    </row>
    <row r="325" spans="1:26" ht="18" customHeight="1" x14ac:dyDescent="0.3">
      <c r="A325" s="152"/>
      <c r="B325" s="128"/>
      <c r="C325" s="152"/>
      <c r="D325" s="128"/>
      <c r="E325" s="124"/>
      <c r="F325" s="152"/>
      <c r="G325" s="128"/>
      <c r="H325" s="146"/>
      <c r="I325" s="146"/>
      <c r="J325" s="6"/>
      <c r="K325" s="6"/>
      <c r="L325" s="6"/>
      <c r="M325" s="6"/>
      <c r="N325" s="6"/>
      <c r="O325" s="6"/>
      <c r="P325" s="6"/>
      <c r="Q325" s="6"/>
      <c r="R325" s="6"/>
      <c r="S325" s="6"/>
      <c r="T325" s="6"/>
      <c r="U325" s="6"/>
      <c r="V325" s="6"/>
      <c r="W325" s="6"/>
      <c r="X325" s="6"/>
      <c r="Y325" s="6"/>
      <c r="Z325" s="6"/>
    </row>
    <row r="326" spans="1:26" ht="18" customHeight="1" x14ac:dyDescent="0.3">
      <c r="A326" s="152"/>
      <c r="B326" s="128"/>
      <c r="C326" s="152"/>
      <c r="D326" s="128"/>
      <c r="E326" s="124"/>
      <c r="F326" s="152"/>
      <c r="G326" s="128"/>
      <c r="H326" s="146"/>
      <c r="I326" s="146"/>
      <c r="J326" s="6"/>
      <c r="K326" s="6"/>
      <c r="L326" s="6"/>
      <c r="M326" s="6"/>
      <c r="N326" s="6"/>
      <c r="O326" s="6"/>
      <c r="P326" s="6"/>
      <c r="Q326" s="6"/>
      <c r="R326" s="6"/>
      <c r="S326" s="6"/>
      <c r="T326" s="6"/>
      <c r="U326" s="6"/>
      <c r="V326" s="6"/>
      <c r="W326" s="6"/>
      <c r="X326" s="6"/>
      <c r="Y326" s="6"/>
      <c r="Z326" s="6"/>
    </row>
    <row r="327" spans="1:26" ht="18" customHeight="1" x14ac:dyDescent="0.3">
      <c r="A327" s="152"/>
      <c r="B327" s="128"/>
      <c r="C327" s="152"/>
      <c r="D327" s="128"/>
      <c r="E327" s="124"/>
      <c r="F327" s="152"/>
      <c r="G327" s="128"/>
      <c r="H327" s="146"/>
      <c r="I327" s="146"/>
      <c r="J327" s="6"/>
      <c r="K327" s="6"/>
      <c r="L327" s="6"/>
      <c r="M327" s="6"/>
      <c r="N327" s="6"/>
      <c r="O327" s="6"/>
      <c r="P327" s="6"/>
      <c r="Q327" s="6"/>
      <c r="R327" s="6"/>
      <c r="S327" s="6"/>
      <c r="T327" s="6"/>
      <c r="U327" s="6"/>
      <c r="V327" s="6"/>
      <c r="W327" s="6"/>
      <c r="X327" s="6"/>
      <c r="Y327" s="6"/>
      <c r="Z327" s="6"/>
    </row>
    <row r="328" spans="1:26" ht="18" customHeight="1" x14ac:dyDescent="0.3">
      <c r="A328" s="152"/>
      <c r="B328" s="128"/>
      <c r="C328" s="152"/>
      <c r="D328" s="128"/>
      <c r="E328" s="124"/>
      <c r="F328" s="152"/>
      <c r="G328" s="128"/>
      <c r="H328" s="146"/>
      <c r="I328" s="146"/>
      <c r="J328" s="6"/>
      <c r="K328" s="6"/>
      <c r="L328" s="6"/>
      <c r="M328" s="6"/>
      <c r="N328" s="6"/>
      <c r="O328" s="6"/>
      <c r="P328" s="6"/>
      <c r="Q328" s="6"/>
      <c r="R328" s="6"/>
      <c r="S328" s="6"/>
      <c r="T328" s="6"/>
      <c r="U328" s="6"/>
      <c r="V328" s="6"/>
      <c r="W328" s="6"/>
      <c r="X328" s="6"/>
      <c r="Y328" s="6"/>
      <c r="Z328" s="6"/>
    </row>
    <row r="329" spans="1:26" ht="18" customHeight="1" x14ac:dyDescent="0.3">
      <c r="A329" s="152"/>
      <c r="B329" s="128"/>
      <c r="C329" s="152"/>
      <c r="D329" s="128"/>
      <c r="E329" s="124"/>
      <c r="F329" s="152"/>
      <c r="G329" s="128"/>
      <c r="H329" s="146"/>
      <c r="I329" s="146"/>
      <c r="J329" s="6"/>
      <c r="K329" s="6"/>
      <c r="L329" s="6"/>
      <c r="M329" s="6"/>
      <c r="N329" s="6"/>
      <c r="O329" s="6"/>
      <c r="P329" s="6"/>
      <c r="Q329" s="6"/>
      <c r="R329" s="6"/>
      <c r="S329" s="6"/>
      <c r="T329" s="6"/>
      <c r="U329" s="6"/>
      <c r="V329" s="6"/>
      <c r="W329" s="6"/>
      <c r="X329" s="6"/>
      <c r="Y329" s="6"/>
      <c r="Z329" s="6"/>
    </row>
    <row r="330" spans="1:26" ht="18" customHeight="1" x14ac:dyDescent="0.3">
      <c r="A330" s="152"/>
      <c r="B330" s="128"/>
      <c r="C330" s="152"/>
      <c r="D330" s="128"/>
      <c r="E330" s="124"/>
      <c r="F330" s="152"/>
      <c r="G330" s="128"/>
      <c r="H330" s="146"/>
      <c r="I330" s="146"/>
      <c r="J330" s="6"/>
      <c r="K330" s="6"/>
      <c r="L330" s="6"/>
      <c r="M330" s="6"/>
      <c r="N330" s="6"/>
      <c r="O330" s="6"/>
      <c r="P330" s="6"/>
      <c r="Q330" s="6"/>
      <c r="R330" s="6"/>
      <c r="S330" s="6"/>
      <c r="T330" s="6"/>
      <c r="U330" s="6"/>
      <c r="V330" s="6"/>
      <c r="W330" s="6"/>
      <c r="X330" s="6"/>
      <c r="Y330" s="6"/>
      <c r="Z330" s="6"/>
    </row>
    <row r="331" spans="1:26" ht="18" customHeight="1" x14ac:dyDescent="0.3">
      <c r="A331" s="152"/>
      <c r="B331" s="128"/>
      <c r="C331" s="152"/>
      <c r="D331" s="128"/>
      <c r="E331" s="124"/>
      <c r="F331" s="152"/>
      <c r="G331" s="128"/>
      <c r="H331" s="146"/>
      <c r="I331" s="146"/>
      <c r="J331" s="6"/>
      <c r="K331" s="6"/>
      <c r="L331" s="6"/>
      <c r="M331" s="6"/>
      <c r="N331" s="6"/>
      <c r="O331" s="6"/>
      <c r="P331" s="6"/>
      <c r="Q331" s="6"/>
      <c r="R331" s="6"/>
      <c r="S331" s="6"/>
      <c r="T331" s="6"/>
      <c r="U331" s="6"/>
      <c r="V331" s="6"/>
      <c r="W331" s="6"/>
      <c r="X331" s="6"/>
      <c r="Y331" s="6"/>
      <c r="Z331" s="6"/>
    </row>
    <row r="332" spans="1:26" ht="18" customHeight="1" x14ac:dyDescent="0.3">
      <c r="A332" s="152"/>
      <c r="B332" s="128"/>
      <c r="C332" s="152"/>
      <c r="D332" s="128"/>
      <c r="E332" s="124"/>
      <c r="F332" s="152"/>
      <c r="G332" s="128"/>
      <c r="H332" s="146"/>
      <c r="I332" s="146"/>
      <c r="J332" s="6"/>
      <c r="K332" s="6"/>
      <c r="L332" s="6"/>
      <c r="M332" s="6"/>
      <c r="N332" s="6"/>
      <c r="O332" s="6"/>
      <c r="P332" s="6"/>
      <c r="Q332" s="6"/>
      <c r="R332" s="6"/>
      <c r="S332" s="6"/>
      <c r="T332" s="6"/>
      <c r="U332" s="6"/>
      <c r="V332" s="6"/>
      <c r="W332" s="6"/>
      <c r="X332" s="6"/>
      <c r="Y332" s="6"/>
      <c r="Z332" s="6"/>
    </row>
    <row r="333" spans="1:26" ht="18" customHeight="1" x14ac:dyDescent="0.3">
      <c r="A333" s="152"/>
      <c r="B333" s="128"/>
      <c r="C333" s="152"/>
      <c r="D333" s="128"/>
      <c r="E333" s="124"/>
      <c r="F333" s="152"/>
      <c r="G333" s="128"/>
      <c r="H333" s="146"/>
      <c r="I333" s="146"/>
      <c r="J333" s="6"/>
      <c r="K333" s="6"/>
      <c r="L333" s="6"/>
      <c r="M333" s="6"/>
      <c r="N333" s="6"/>
      <c r="O333" s="6"/>
      <c r="P333" s="6"/>
      <c r="Q333" s="6"/>
      <c r="R333" s="6"/>
      <c r="S333" s="6"/>
      <c r="T333" s="6"/>
      <c r="U333" s="6"/>
      <c r="V333" s="6"/>
      <c r="W333" s="6"/>
      <c r="X333" s="6"/>
      <c r="Y333" s="6"/>
      <c r="Z333" s="6"/>
    </row>
    <row r="334" spans="1:26" ht="18" customHeight="1" x14ac:dyDescent="0.3">
      <c r="A334" s="152"/>
      <c r="B334" s="128"/>
      <c r="C334" s="152"/>
      <c r="D334" s="128"/>
      <c r="E334" s="124"/>
      <c r="F334" s="152"/>
      <c r="G334" s="128"/>
      <c r="H334" s="146"/>
      <c r="I334" s="146"/>
      <c r="J334" s="6"/>
      <c r="K334" s="6"/>
      <c r="L334" s="6"/>
      <c r="M334" s="6"/>
      <c r="N334" s="6"/>
      <c r="O334" s="6"/>
      <c r="P334" s="6"/>
      <c r="Q334" s="6"/>
      <c r="R334" s="6"/>
      <c r="S334" s="6"/>
      <c r="T334" s="6"/>
      <c r="U334" s="6"/>
      <c r="V334" s="6"/>
      <c r="W334" s="6"/>
      <c r="X334" s="6"/>
      <c r="Y334" s="6"/>
      <c r="Z334" s="6"/>
    </row>
    <row r="335" spans="1:26" ht="18" customHeight="1" x14ac:dyDescent="0.3">
      <c r="A335" s="152"/>
      <c r="B335" s="128"/>
      <c r="C335" s="152"/>
      <c r="D335" s="128"/>
      <c r="E335" s="124"/>
      <c r="F335" s="152"/>
      <c r="G335" s="128"/>
      <c r="H335" s="146"/>
      <c r="I335" s="146"/>
      <c r="J335" s="6"/>
      <c r="K335" s="6"/>
      <c r="L335" s="6"/>
      <c r="M335" s="6"/>
      <c r="N335" s="6"/>
      <c r="O335" s="6"/>
      <c r="P335" s="6"/>
      <c r="Q335" s="6"/>
      <c r="R335" s="6"/>
      <c r="S335" s="6"/>
      <c r="T335" s="6"/>
      <c r="U335" s="6"/>
      <c r="V335" s="6"/>
      <c r="W335" s="6"/>
      <c r="X335" s="6"/>
      <c r="Y335" s="6"/>
      <c r="Z335" s="6"/>
    </row>
    <row r="336" spans="1:26" ht="18" customHeight="1" x14ac:dyDescent="0.3">
      <c r="A336" s="152"/>
      <c r="B336" s="128"/>
      <c r="C336" s="152"/>
      <c r="D336" s="128"/>
      <c r="E336" s="124"/>
      <c r="F336" s="152"/>
      <c r="G336" s="128"/>
      <c r="H336" s="146"/>
      <c r="I336" s="146"/>
      <c r="J336" s="6"/>
      <c r="K336" s="6"/>
      <c r="L336" s="6"/>
      <c r="M336" s="6"/>
      <c r="N336" s="6"/>
      <c r="O336" s="6"/>
      <c r="P336" s="6"/>
      <c r="Q336" s="6"/>
      <c r="R336" s="6"/>
      <c r="S336" s="6"/>
      <c r="T336" s="6"/>
      <c r="U336" s="6"/>
      <c r="V336" s="6"/>
      <c r="W336" s="6"/>
      <c r="X336" s="6"/>
      <c r="Y336" s="6"/>
      <c r="Z336" s="6"/>
    </row>
    <row r="337" spans="1:26" ht="18" customHeight="1" x14ac:dyDescent="0.3">
      <c r="A337" s="152"/>
      <c r="B337" s="128"/>
      <c r="C337" s="152"/>
      <c r="D337" s="128"/>
      <c r="E337" s="124"/>
      <c r="F337" s="152"/>
      <c r="G337" s="128"/>
      <c r="H337" s="146"/>
      <c r="I337" s="146"/>
      <c r="J337" s="6"/>
      <c r="K337" s="6"/>
      <c r="L337" s="6"/>
      <c r="M337" s="6"/>
      <c r="N337" s="6"/>
      <c r="O337" s="6"/>
      <c r="P337" s="6"/>
      <c r="Q337" s="6"/>
      <c r="R337" s="6"/>
      <c r="S337" s="6"/>
      <c r="T337" s="6"/>
      <c r="U337" s="6"/>
      <c r="V337" s="6"/>
      <c r="W337" s="6"/>
      <c r="X337" s="6"/>
      <c r="Y337" s="6"/>
      <c r="Z337" s="6"/>
    </row>
    <row r="338" spans="1:26" ht="18" customHeight="1" x14ac:dyDescent="0.3">
      <c r="A338" s="152"/>
      <c r="B338" s="128"/>
      <c r="C338" s="152"/>
      <c r="D338" s="128"/>
      <c r="E338" s="124"/>
      <c r="F338" s="152"/>
      <c r="G338" s="128"/>
      <c r="H338" s="146"/>
      <c r="I338" s="146"/>
      <c r="J338" s="6"/>
      <c r="K338" s="6"/>
      <c r="L338" s="6"/>
      <c r="M338" s="6"/>
      <c r="N338" s="6"/>
      <c r="O338" s="6"/>
      <c r="P338" s="6"/>
      <c r="Q338" s="6"/>
      <c r="R338" s="6"/>
      <c r="S338" s="6"/>
      <c r="T338" s="6"/>
      <c r="U338" s="6"/>
      <c r="V338" s="6"/>
      <c r="W338" s="6"/>
      <c r="X338" s="6"/>
      <c r="Y338" s="6"/>
      <c r="Z338" s="6"/>
    </row>
    <row r="339" spans="1:26" ht="18" customHeight="1" x14ac:dyDescent="0.3">
      <c r="A339" s="152"/>
      <c r="B339" s="128"/>
      <c r="C339" s="152"/>
      <c r="D339" s="128"/>
      <c r="E339" s="124"/>
      <c r="F339" s="152"/>
      <c r="G339" s="128"/>
      <c r="H339" s="146"/>
      <c r="I339" s="146"/>
      <c r="J339" s="6"/>
      <c r="K339" s="6"/>
      <c r="L339" s="6"/>
      <c r="M339" s="6"/>
      <c r="N339" s="6"/>
      <c r="O339" s="6"/>
      <c r="P339" s="6"/>
      <c r="Q339" s="6"/>
      <c r="R339" s="6"/>
      <c r="S339" s="6"/>
      <c r="T339" s="6"/>
      <c r="U339" s="6"/>
      <c r="V339" s="6"/>
      <c r="W339" s="6"/>
      <c r="X339" s="6"/>
      <c r="Y339" s="6"/>
      <c r="Z339" s="6"/>
    </row>
    <row r="340" spans="1:26" ht="18" customHeight="1" x14ac:dyDescent="0.3">
      <c r="A340" s="152"/>
      <c r="B340" s="128"/>
      <c r="C340" s="152"/>
      <c r="D340" s="128"/>
      <c r="E340" s="124"/>
      <c r="F340" s="152"/>
      <c r="G340" s="128"/>
      <c r="H340" s="146"/>
      <c r="I340" s="146"/>
      <c r="J340" s="6"/>
      <c r="K340" s="6"/>
      <c r="L340" s="6"/>
      <c r="M340" s="6"/>
      <c r="N340" s="6"/>
      <c r="O340" s="6"/>
      <c r="P340" s="6"/>
      <c r="Q340" s="6"/>
      <c r="R340" s="6"/>
      <c r="S340" s="6"/>
      <c r="T340" s="6"/>
      <c r="U340" s="6"/>
      <c r="V340" s="6"/>
      <c r="W340" s="6"/>
      <c r="X340" s="6"/>
      <c r="Y340" s="6"/>
      <c r="Z340" s="6"/>
    </row>
    <row r="341" spans="1:26" ht="18" customHeight="1" x14ac:dyDescent="0.3">
      <c r="A341" s="152"/>
      <c r="B341" s="128"/>
      <c r="C341" s="152"/>
      <c r="D341" s="128"/>
      <c r="E341" s="124"/>
      <c r="F341" s="152"/>
      <c r="G341" s="128"/>
      <c r="H341" s="146"/>
      <c r="I341" s="146"/>
      <c r="J341" s="6"/>
      <c r="K341" s="6"/>
      <c r="L341" s="6"/>
      <c r="M341" s="6"/>
      <c r="N341" s="6"/>
      <c r="O341" s="6"/>
      <c r="P341" s="6"/>
      <c r="Q341" s="6"/>
      <c r="R341" s="6"/>
      <c r="S341" s="6"/>
      <c r="T341" s="6"/>
      <c r="U341" s="6"/>
      <c r="V341" s="6"/>
      <c r="W341" s="6"/>
      <c r="X341" s="6"/>
      <c r="Y341" s="6"/>
      <c r="Z341" s="6"/>
    </row>
    <row r="342" spans="1:26" ht="18" customHeight="1" x14ac:dyDescent="0.3">
      <c r="A342" s="152"/>
      <c r="B342" s="128"/>
      <c r="C342" s="152"/>
      <c r="D342" s="128"/>
      <c r="E342" s="124"/>
      <c r="F342" s="152"/>
      <c r="G342" s="128"/>
      <c r="H342" s="146"/>
      <c r="I342" s="146"/>
      <c r="J342" s="6"/>
      <c r="K342" s="6"/>
      <c r="L342" s="6"/>
      <c r="M342" s="6"/>
      <c r="N342" s="6"/>
      <c r="O342" s="6"/>
      <c r="P342" s="6"/>
      <c r="Q342" s="6"/>
      <c r="R342" s="6"/>
      <c r="S342" s="6"/>
      <c r="T342" s="6"/>
      <c r="U342" s="6"/>
      <c r="V342" s="6"/>
      <c r="W342" s="6"/>
      <c r="X342" s="6"/>
      <c r="Y342" s="6"/>
      <c r="Z342" s="6"/>
    </row>
    <row r="343" spans="1:26" ht="18" customHeight="1" x14ac:dyDescent="0.3">
      <c r="A343" s="152"/>
      <c r="B343" s="128"/>
      <c r="C343" s="152"/>
      <c r="D343" s="128"/>
      <c r="E343" s="124"/>
      <c r="F343" s="152"/>
      <c r="G343" s="128"/>
      <c r="H343" s="146"/>
      <c r="I343" s="146"/>
      <c r="J343" s="6"/>
      <c r="K343" s="6"/>
      <c r="L343" s="6"/>
      <c r="M343" s="6"/>
      <c r="N343" s="6"/>
      <c r="O343" s="6"/>
      <c r="P343" s="6"/>
      <c r="Q343" s="6"/>
      <c r="R343" s="6"/>
      <c r="S343" s="6"/>
      <c r="T343" s="6"/>
      <c r="U343" s="6"/>
      <c r="V343" s="6"/>
      <c r="W343" s="6"/>
      <c r="X343" s="6"/>
      <c r="Y343" s="6"/>
      <c r="Z343" s="6"/>
    </row>
    <row r="344" spans="1:26" ht="18" customHeight="1" x14ac:dyDescent="0.3">
      <c r="A344" s="152"/>
      <c r="B344" s="128"/>
      <c r="C344" s="152"/>
      <c r="D344" s="128"/>
      <c r="E344" s="124"/>
      <c r="F344" s="152"/>
      <c r="G344" s="128"/>
      <c r="H344" s="146"/>
      <c r="I344" s="146"/>
      <c r="J344" s="6"/>
      <c r="K344" s="6"/>
      <c r="L344" s="6"/>
      <c r="M344" s="6"/>
      <c r="N344" s="6"/>
      <c r="O344" s="6"/>
      <c r="P344" s="6"/>
      <c r="Q344" s="6"/>
      <c r="R344" s="6"/>
      <c r="S344" s="6"/>
      <c r="T344" s="6"/>
      <c r="U344" s="6"/>
      <c r="V344" s="6"/>
      <c r="W344" s="6"/>
      <c r="X344" s="6"/>
      <c r="Y344" s="6"/>
      <c r="Z344" s="6"/>
    </row>
    <row r="345" spans="1:26" ht="18" customHeight="1" x14ac:dyDescent="0.3">
      <c r="A345" s="152"/>
      <c r="B345" s="128"/>
      <c r="C345" s="152"/>
      <c r="D345" s="128"/>
      <c r="E345" s="124"/>
      <c r="F345" s="152"/>
      <c r="G345" s="128"/>
      <c r="H345" s="146"/>
      <c r="I345" s="146"/>
      <c r="J345" s="6"/>
      <c r="K345" s="6"/>
      <c r="L345" s="6"/>
      <c r="M345" s="6"/>
      <c r="N345" s="6"/>
      <c r="O345" s="6"/>
      <c r="P345" s="6"/>
      <c r="Q345" s="6"/>
      <c r="R345" s="6"/>
      <c r="S345" s="6"/>
      <c r="T345" s="6"/>
      <c r="U345" s="6"/>
      <c r="V345" s="6"/>
      <c r="W345" s="6"/>
      <c r="X345" s="6"/>
      <c r="Y345" s="6"/>
      <c r="Z345" s="6"/>
    </row>
    <row r="346" spans="1:26" ht="18" customHeight="1" x14ac:dyDescent="0.3">
      <c r="A346" s="152"/>
      <c r="B346" s="128"/>
      <c r="C346" s="152"/>
      <c r="D346" s="128"/>
      <c r="E346" s="124"/>
      <c r="F346" s="152"/>
      <c r="G346" s="128"/>
      <c r="H346" s="146"/>
      <c r="I346" s="146"/>
      <c r="J346" s="6"/>
      <c r="K346" s="6"/>
      <c r="L346" s="6"/>
      <c r="M346" s="6"/>
      <c r="N346" s="6"/>
      <c r="O346" s="6"/>
      <c r="P346" s="6"/>
      <c r="Q346" s="6"/>
      <c r="R346" s="6"/>
      <c r="S346" s="6"/>
      <c r="T346" s="6"/>
      <c r="U346" s="6"/>
      <c r="V346" s="6"/>
      <c r="W346" s="6"/>
      <c r="X346" s="6"/>
      <c r="Y346" s="6"/>
      <c r="Z346" s="6"/>
    </row>
    <row r="347" spans="1:26" ht="18" customHeight="1" x14ac:dyDescent="0.3">
      <c r="A347" s="152"/>
      <c r="B347" s="128"/>
      <c r="C347" s="152"/>
      <c r="D347" s="128"/>
      <c r="E347" s="124"/>
      <c r="F347" s="152"/>
      <c r="G347" s="128"/>
      <c r="H347" s="146"/>
      <c r="I347" s="146"/>
      <c r="J347" s="6"/>
      <c r="K347" s="6"/>
      <c r="L347" s="6"/>
      <c r="M347" s="6"/>
      <c r="N347" s="6"/>
      <c r="O347" s="6"/>
      <c r="P347" s="6"/>
      <c r="Q347" s="6"/>
      <c r="R347" s="6"/>
      <c r="S347" s="6"/>
      <c r="T347" s="6"/>
      <c r="U347" s="6"/>
      <c r="V347" s="6"/>
      <c r="W347" s="6"/>
      <c r="X347" s="6"/>
      <c r="Y347" s="6"/>
      <c r="Z347" s="6"/>
    </row>
    <row r="348" spans="1:26" ht="18" customHeight="1" x14ac:dyDescent="0.3">
      <c r="A348" s="152"/>
      <c r="B348" s="128"/>
      <c r="C348" s="152"/>
      <c r="D348" s="128"/>
      <c r="E348" s="124"/>
      <c r="F348" s="152"/>
      <c r="G348" s="128"/>
      <c r="H348" s="146"/>
      <c r="I348" s="146"/>
      <c r="J348" s="6"/>
      <c r="K348" s="6"/>
      <c r="L348" s="6"/>
      <c r="M348" s="6"/>
      <c r="N348" s="6"/>
      <c r="O348" s="6"/>
      <c r="P348" s="6"/>
      <c r="Q348" s="6"/>
      <c r="R348" s="6"/>
      <c r="S348" s="6"/>
      <c r="T348" s="6"/>
      <c r="U348" s="6"/>
      <c r="V348" s="6"/>
      <c r="W348" s="6"/>
      <c r="X348" s="6"/>
      <c r="Y348" s="6"/>
      <c r="Z348" s="6"/>
    </row>
    <row r="349" spans="1:26" ht="18" customHeight="1" x14ac:dyDescent="0.3">
      <c r="A349" s="152"/>
      <c r="B349" s="128"/>
      <c r="C349" s="152"/>
      <c r="D349" s="128"/>
      <c r="E349" s="124"/>
      <c r="F349" s="152"/>
      <c r="G349" s="128"/>
      <c r="H349" s="146"/>
      <c r="I349" s="146"/>
      <c r="J349" s="6"/>
      <c r="K349" s="6"/>
      <c r="L349" s="6"/>
      <c r="M349" s="6"/>
      <c r="N349" s="6"/>
      <c r="O349" s="6"/>
      <c r="P349" s="6"/>
      <c r="Q349" s="6"/>
      <c r="R349" s="6"/>
      <c r="S349" s="6"/>
      <c r="T349" s="6"/>
      <c r="U349" s="6"/>
      <c r="V349" s="6"/>
      <c r="W349" s="6"/>
      <c r="X349" s="6"/>
      <c r="Y349" s="6"/>
      <c r="Z349" s="6"/>
    </row>
    <row r="350" spans="1:26" ht="18" customHeight="1" x14ac:dyDescent="0.3">
      <c r="A350" s="152"/>
      <c r="B350" s="128"/>
      <c r="C350" s="152"/>
      <c r="D350" s="128"/>
      <c r="E350" s="124"/>
      <c r="F350" s="152"/>
      <c r="G350" s="128"/>
      <c r="H350" s="146"/>
      <c r="I350" s="146"/>
      <c r="J350" s="6"/>
      <c r="K350" s="6"/>
      <c r="L350" s="6"/>
      <c r="M350" s="6"/>
      <c r="N350" s="6"/>
      <c r="O350" s="6"/>
      <c r="P350" s="6"/>
      <c r="Q350" s="6"/>
      <c r="R350" s="6"/>
      <c r="S350" s="6"/>
      <c r="T350" s="6"/>
      <c r="U350" s="6"/>
      <c r="V350" s="6"/>
      <c r="W350" s="6"/>
      <c r="X350" s="6"/>
      <c r="Y350" s="6"/>
      <c r="Z350" s="6"/>
    </row>
    <row r="351" spans="1:26" ht="18" customHeight="1" x14ac:dyDescent="0.3">
      <c r="A351" s="152"/>
      <c r="B351" s="128"/>
      <c r="C351" s="152"/>
      <c r="D351" s="128"/>
      <c r="E351" s="124"/>
      <c r="F351" s="152"/>
      <c r="G351" s="128"/>
      <c r="H351" s="146"/>
      <c r="I351" s="146"/>
      <c r="J351" s="6"/>
      <c r="K351" s="6"/>
      <c r="L351" s="6"/>
      <c r="M351" s="6"/>
      <c r="N351" s="6"/>
      <c r="O351" s="6"/>
      <c r="P351" s="6"/>
      <c r="Q351" s="6"/>
      <c r="R351" s="6"/>
      <c r="S351" s="6"/>
      <c r="T351" s="6"/>
      <c r="U351" s="6"/>
      <c r="V351" s="6"/>
      <c r="W351" s="6"/>
      <c r="X351" s="6"/>
      <c r="Y351" s="6"/>
      <c r="Z351" s="6"/>
    </row>
    <row r="352" spans="1:26" ht="18" customHeight="1" x14ac:dyDescent="0.3">
      <c r="A352" s="152"/>
      <c r="B352" s="128"/>
      <c r="C352" s="152"/>
      <c r="D352" s="128"/>
      <c r="E352" s="124"/>
      <c r="F352" s="152"/>
      <c r="G352" s="128"/>
      <c r="H352" s="146"/>
      <c r="I352" s="146"/>
      <c r="J352" s="6"/>
      <c r="K352" s="6"/>
      <c r="L352" s="6"/>
      <c r="M352" s="6"/>
      <c r="N352" s="6"/>
      <c r="O352" s="6"/>
      <c r="P352" s="6"/>
      <c r="Q352" s="6"/>
      <c r="R352" s="6"/>
      <c r="S352" s="6"/>
      <c r="T352" s="6"/>
      <c r="U352" s="6"/>
      <c r="V352" s="6"/>
      <c r="W352" s="6"/>
      <c r="X352" s="6"/>
      <c r="Y352" s="6"/>
      <c r="Z352" s="6"/>
    </row>
    <row r="353" spans="1:26" ht="18" customHeight="1" x14ac:dyDescent="0.3">
      <c r="A353" s="152"/>
      <c r="B353" s="128"/>
      <c r="C353" s="152"/>
      <c r="D353" s="128"/>
      <c r="E353" s="124"/>
      <c r="F353" s="152"/>
      <c r="G353" s="128"/>
      <c r="H353" s="146"/>
      <c r="I353" s="146"/>
      <c r="J353" s="6"/>
      <c r="K353" s="6"/>
      <c r="L353" s="6"/>
      <c r="M353" s="6"/>
      <c r="N353" s="6"/>
      <c r="O353" s="6"/>
      <c r="P353" s="6"/>
      <c r="Q353" s="6"/>
      <c r="R353" s="6"/>
      <c r="S353" s="6"/>
      <c r="T353" s="6"/>
      <c r="U353" s="6"/>
      <c r="V353" s="6"/>
      <c r="W353" s="6"/>
      <c r="X353" s="6"/>
      <c r="Y353" s="6"/>
      <c r="Z353" s="6"/>
    </row>
    <row r="354" spans="1:26" ht="18" customHeight="1" x14ac:dyDescent="0.3">
      <c r="A354" s="152"/>
      <c r="B354" s="128"/>
      <c r="C354" s="152"/>
      <c r="D354" s="128"/>
      <c r="E354" s="124"/>
      <c r="F354" s="152"/>
      <c r="G354" s="128"/>
      <c r="H354" s="146"/>
      <c r="I354" s="146"/>
      <c r="J354" s="6"/>
      <c r="K354" s="6"/>
      <c r="L354" s="6"/>
      <c r="M354" s="6"/>
      <c r="N354" s="6"/>
      <c r="O354" s="6"/>
      <c r="P354" s="6"/>
      <c r="Q354" s="6"/>
      <c r="R354" s="6"/>
      <c r="S354" s="6"/>
      <c r="T354" s="6"/>
      <c r="U354" s="6"/>
      <c r="V354" s="6"/>
      <c r="W354" s="6"/>
      <c r="X354" s="6"/>
      <c r="Y354" s="6"/>
      <c r="Z354" s="6"/>
    </row>
    <row r="355" spans="1:26" ht="18" customHeight="1" x14ac:dyDescent="0.3">
      <c r="A355" s="152"/>
      <c r="B355" s="128"/>
      <c r="C355" s="152"/>
      <c r="D355" s="128"/>
      <c r="E355" s="124"/>
      <c r="F355" s="152"/>
      <c r="G355" s="128"/>
      <c r="H355" s="146"/>
      <c r="I355" s="146"/>
      <c r="J355" s="6"/>
      <c r="K355" s="6"/>
      <c r="L355" s="6"/>
      <c r="M355" s="6"/>
      <c r="N355" s="6"/>
      <c r="O355" s="6"/>
      <c r="P355" s="6"/>
      <c r="Q355" s="6"/>
      <c r="R355" s="6"/>
      <c r="S355" s="6"/>
      <c r="T355" s="6"/>
      <c r="U355" s="6"/>
      <c r="V355" s="6"/>
      <c r="W355" s="6"/>
      <c r="X355" s="6"/>
      <c r="Y355" s="6"/>
      <c r="Z355" s="6"/>
    </row>
    <row r="356" spans="1:26" ht="18" customHeight="1" x14ac:dyDescent="0.3">
      <c r="A356" s="152"/>
      <c r="B356" s="128"/>
      <c r="C356" s="152"/>
      <c r="D356" s="128"/>
      <c r="E356" s="124"/>
      <c r="F356" s="152"/>
      <c r="G356" s="128"/>
      <c r="H356" s="146"/>
      <c r="I356" s="146"/>
      <c r="J356" s="6"/>
      <c r="K356" s="6"/>
      <c r="L356" s="6"/>
      <c r="M356" s="6"/>
      <c r="N356" s="6"/>
      <c r="O356" s="6"/>
      <c r="P356" s="6"/>
      <c r="Q356" s="6"/>
      <c r="R356" s="6"/>
      <c r="S356" s="6"/>
      <c r="T356" s="6"/>
      <c r="U356" s="6"/>
      <c r="V356" s="6"/>
      <c r="W356" s="6"/>
      <c r="X356" s="6"/>
      <c r="Y356" s="6"/>
      <c r="Z356" s="6"/>
    </row>
    <row r="357" spans="1:26" ht="18" customHeight="1" x14ac:dyDescent="0.3">
      <c r="A357" s="152"/>
      <c r="B357" s="128"/>
      <c r="C357" s="152"/>
      <c r="D357" s="128"/>
      <c r="E357" s="124"/>
      <c r="F357" s="152"/>
      <c r="G357" s="128"/>
      <c r="H357" s="146"/>
      <c r="I357" s="146"/>
      <c r="J357" s="6"/>
      <c r="K357" s="6"/>
      <c r="L357" s="6"/>
      <c r="M357" s="6"/>
      <c r="N357" s="6"/>
      <c r="O357" s="6"/>
      <c r="P357" s="6"/>
      <c r="Q357" s="6"/>
      <c r="R357" s="6"/>
      <c r="S357" s="6"/>
      <c r="T357" s="6"/>
      <c r="U357" s="6"/>
      <c r="V357" s="6"/>
      <c r="W357" s="6"/>
      <c r="X357" s="6"/>
      <c r="Y357" s="6"/>
      <c r="Z357" s="6"/>
    </row>
    <row r="358" spans="1:26" ht="18" customHeight="1" x14ac:dyDescent="0.3">
      <c r="A358" s="152"/>
      <c r="B358" s="128"/>
      <c r="C358" s="152"/>
      <c r="D358" s="128"/>
      <c r="E358" s="124"/>
      <c r="F358" s="152"/>
      <c r="G358" s="128"/>
      <c r="H358" s="146"/>
      <c r="I358" s="146"/>
      <c r="J358" s="6"/>
      <c r="K358" s="6"/>
      <c r="L358" s="6"/>
      <c r="M358" s="6"/>
      <c r="N358" s="6"/>
      <c r="O358" s="6"/>
      <c r="P358" s="6"/>
      <c r="Q358" s="6"/>
      <c r="R358" s="6"/>
      <c r="S358" s="6"/>
      <c r="T358" s="6"/>
      <c r="U358" s="6"/>
      <c r="V358" s="6"/>
      <c r="W358" s="6"/>
      <c r="X358" s="6"/>
      <c r="Y358" s="6"/>
      <c r="Z358" s="6"/>
    </row>
    <row r="359" spans="1:26" ht="18" customHeight="1" x14ac:dyDescent="0.3">
      <c r="A359" s="152"/>
      <c r="B359" s="128"/>
      <c r="C359" s="152"/>
      <c r="D359" s="128"/>
      <c r="E359" s="124"/>
      <c r="F359" s="152"/>
      <c r="G359" s="128"/>
      <c r="H359" s="146"/>
      <c r="I359" s="146"/>
      <c r="J359" s="6"/>
      <c r="K359" s="6"/>
      <c r="L359" s="6"/>
      <c r="M359" s="6"/>
      <c r="N359" s="6"/>
      <c r="O359" s="6"/>
      <c r="P359" s="6"/>
      <c r="Q359" s="6"/>
      <c r="R359" s="6"/>
      <c r="S359" s="6"/>
      <c r="T359" s="6"/>
      <c r="U359" s="6"/>
      <c r="V359" s="6"/>
      <c r="W359" s="6"/>
      <c r="X359" s="6"/>
      <c r="Y359" s="6"/>
      <c r="Z359" s="6"/>
    </row>
    <row r="360" spans="1:26" ht="18" customHeight="1" x14ac:dyDescent="0.3">
      <c r="A360" s="152"/>
      <c r="B360" s="128"/>
      <c r="C360" s="152"/>
      <c r="D360" s="128"/>
      <c r="E360" s="124"/>
      <c r="F360" s="152"/>
      <c r="G360" s="128"/>
      <c r="H360" s="146"/>
      <c r="I360" s="146"/>
      <c r="J360" s="6"/>
      <c r="K360" s="6"/>
      <c r="L360" s="6"/>
      <c r="M360" s="6"/>
      <c r="N360" s="6"/>
      <c r="O360" s="6"/>
      <c r="P360" s="6"/>
      <c r="Q360" s="6"/>
      <c r="R360" s="6"/>
      <c r="S360" s="6"/>
      <c r="T360" s="6"/>
      <c r="U360" s="6"/>
      <c r="V360" s="6"/>
      <c r="W360" s="6"/>
      <c r="X360" s="6"/>
      <c r="Y360" s="6"/>
      <c r="Z360" s="6"/>
    </row>
    <row r="361" spans="1:26" ht="18" customHeight="1" x14ac:dyDescent="0.3">
      <c r="A361" s="152"/>
      <c r="B361" s="128"/>
      <c r="C361" s="152"/>
      <c r="D361" s="128"/>
      <c r="E361" s="124"/>
      <c r="F361" s="152"/>
      <c r="G361" s="128"/>
      <c r="H361" s="146"/>
      <c r="I361" s="146"/>
      <c r="J361" s="6"/>
      <c r="K361" s="6"/>
      <c r="L361" s="6"/>
      <c r="M361" s="6"/>
      <c r="N361" s="6"/>
      <c r="O361" s="6"/>
      <c r="P361" s="6"/>
      <c r="Q361" s="6"/>
      <c r="R361" s="6"/>
      <c r="S361" s="6"/>
      <c r="T361" s="6"/>
      <c r="U361" s="6"/>
      <c r="V361" s="6"/>
      <c r="W361" s="6"/>
      <c r="X361" s="6"/>
      <c r="Y361" s="6"/>
      <c r="Z361" s="6"/>
    </row>
    <row r="362" spans="1:26" ht="18" customHeight="1" x14ac:dyDescent="0.3">
      <c r="A362" s="152"/>
      <c r="B362" s="128"/>
      <c r="C362" s="152"/>
      <c r="D362" s="128"/>
      <c r="E362" s="124"/>
      <c r="F362" s="152"/>
      <c r="G362" s="128"/>
      <c r="H362" s="146"/>
      <c r="I362" s="146"/>
      <c r="J362" s="6"/>
      <c r="K362" s="6"/>
      <c r="L362" s="6"/>
      <c r="M362" s="6"/>
      <c r="N362" s="6"/>
      <c r="O362" s="6"/>
      <c r="P362" s="6"/>
      <c r="Q362" s="6"/>
      <c r="R362" s="6"/>
      <c r="S362" s="6"/>
      <c r="T362" s="6"/>
      <c r="U362" s="6"/>
      <c r="V362" s="6"/>
      <c r="W362" s="6"/>
      <c r="X362" s="6"/>
      <c r="Y362" s="6"/>
      <c r="Z362" s="6"/>
    </row>
    <row r="363" spans="1:26" ht="18" customHeight="1" x14ac:dyDescent="0.3">
      <c r="A363" s="152"/>
      <c r="B363" s="128"/>
      <c r="C363" s="152"/>
      <c r="D363" s="128"/>
      <c r="E363" s="124"/>
      <c r="F363" s="152"/>
      <c r="G363" s="128"/>
      <c r="H363" s="146"/>
      <c r="I363" s="146"/>
      <c r="J363" s="6"/>
      <c r="K363" s="6"/>
      <c r="L363" s="6"/>
      <c r="M363" s="6"/>
      <c r="N363" s="6"/>
      <c r="O363" s="6"/>
      <c r="P363" s="6"/>
      <c r="Q363" s="6"/>
      <c r="R363" s="6"/>
      <c r="S363" s="6"/>
      <c r="T363" s="6"/>
      <c r="U363" s="6"/>
      <c r="V363" s="6"/>
      <c r="W363" s="6"/>
      <c r="X363" s="6"/>
      <c r="Y363" s="6"/>
      <c r="Z363" s="6"/>
    </row>
    <row r="364" spans="1:26" ht="18" customHeight="1" x14ac:dyDescent="0.3">
      <c r="A364" s="152"/>
      <c r="B364" s="128"/>
      <c r="C364" s="152"/>
      <c r="D364" s="128"/>
      <c r="E364" s="124"/>
      <c r="F364" s="152"/>
      <c r="G364" s="128"/>
      <c r="H364" s="146"/>
      <c r="I364" s="146"/>
      <c r="J364" s="6"/>
      <c r="K364" s="6"/>
      <c r="L364" s="6"/>
      <c r="M364" s="6"/>
      <c r="N364" s="6"/>
      <c r="O364" s="6"/>
      <c r="P364" s="6"/>
      <c r="Q364" s="6"/>
      <c r="R364" s="6"/>
      <c r="S364" s="6"/>
      <c r="T364" s="6"/>
      <c r="U364" s="6"/>
      <c r="V364" s="6"/>
      <c r="W364" s="6"/>
      <c r="X364" s="6"/>
      <c r="Y364" s="6"/>
      <c r="Z364" s="6"/>
    </row>
    <row r="365" spans="1:26" ht="18" customHeight="1" x14ac:dyDescent="0.3">
      <c r="A365" s="152"/>
      <c r="B365" s="128"/>
      <c r="C365" s="152"/>
      <c r="D365" s="128"/>
      <c r="E365" s="124"/>
      <c r="F365" s="152"/>
      <c r="G365" s="128"/>
      <c r="H365" s="146"/>
      <c r="I365" s="146"/>
      <c r="J365" s="6"/>
      <c r="K365" s="6"/>
      <c r="L365" s="6"/>
      <c r="M365" s="6"/>
      <c r="N365" s="6"/>
      <c r="O365" s="6"/>
      <c r="P365" s="6"/>
      <c r="Q365" s="6"/>
      <c r="R365" s="6"/>
      <c r="S365" s="6"/>
      <c r="T365" s="6"/>
      <c r="U365" s="6"/>
      <c r="V365" s="6"/>
      <c r="W365" s="6"/>
      <c r="X365" s="6"/>
      <c r="Y365" s="6"/>
      <c r="Z365" s="6"/>
    </row>
    <row r="366" spans="1:26" ht="18" customHeight="1" x14ac:dyDescent="0.3">
      <c r="A366" s="152"/>
      <c r="B366" s="128"/>
      <c r="C366" s="152"/>
      <c r="D366" s="128"/>
      <c r="E366" s="124"/>
      <c r="F366" s="152"/>
      <c r="G366" s="128"/>
      <c r="H366" s="146"/>
      <c r="I366" s="146"/>
      <c r="J366" s="6"/>
      <c r="K366" s="6"/>
      <c r="L366" s="6"/>
      <c r="M366" s="6"/>
      <c r="N366" s="6"/>
      <c r="O366" s="6"/>
      <c r="P366" s="6"/>
      <c r="Q366" s="6"/>
      <c r="R366" s="6"/>
      <c r="S366" s="6"/>
      <c r="T366" s="6"/>
      <c r="U366" s="6"/>
      <c r="V366" s="6"/>
      <c r="W366" s="6"/>
      <c r="X366" s="6"/>
      <c r="Y366" s="6"/>
      <c r="Z366" s="6"/>
    </row>
    <row r="367" spans="1:26" ht="18" customHeight="1" x14ac:dyDescent="0.3">
      <c r="A367" s="152"/>
      <c r="B367" s="128"/>
      <c r="C367" s="152"/>
      <c r="D367" s="128"/>
      <c r="E367" s="124"/>
      <c r="F367" s="152"/>
      <c r="G367" s="128"/>
      <c r="H367" s="146"/>
      <c r="I367" s="146"/>
      <c r="J367" s="6"/>
      <c r="K367" s="6"/>
      <c r="L367" s="6"/>
      <c r="M367" s="6"/>
      <c r="N367" s="6"/>
      <c r="O367" s="6"/>
      <c r="P367" s="6"/>
      <c r="Q367" s="6"/>
      <c r="R367" s="6"/>
      <c r="S367" s="6"/>
      <c r="T367" s="6"/>
      <c r="U367" s="6"/>
      <c r="V367" s="6"/>
      <c r="W367" s="6"/>
      <c r="X367" s="6"/>
      <c r="Y367" s="6"/>
      <c r="Z367" s="6"/>
    </row>
    <row r="368" spans="1:26" ht="18" customHeight="1" x14ac:dyDescent="0.3">
      <c r="A368" s="152"/>
      <c r="B368" s="128"/>
      <c r="C368" s="152"/>
      <c r="D368" s="128"/>
      <c r="E368" s="124"/>
      <c r="F368" s="152"/>
      <c r="G368" s="128"/>
      <c r="H368" s="146"/>
      <c r="I368" s="146"/>
      <c r="J368" s="6"/>
      <c r="K368" s="6"/>
      <c r="L368" s="6"/>
      <c r="M368" s="6"/>
      <c r="N368" s="6"/>
      <c r="O368" s="6"/>
      <c r="P368" s="6"/>
      <c r="Q368" s="6"/>
      <c r="R368" s="6"/>
      <c r="S368" s="6"/>
      <c r="T368" s="6"/>
      <c r="U368" s="6"/>
      <c r="V368" s="6"/>
      <c r="W368" s="6"/>
      <c r="X368" s="6"/>
      <c r="Y368" s="6"/>
      <c r="Z368" s="6"/>
    </row>
    <row r="369" spans="1:26" ht="18" customHeight="1" x14ac:dyDescent="0.3">
      <c r="A369" s="152"/>
      <c r="B369" s="128"/>
      <c r="C369" s="152"/>
      <c r="D369" s="128"/>
      <c r="E369" s="124"/>
      <c r="F369" s="152"/>
      <c r="G369" s="128"/>
      <c r="H369" s="146"/>
      <c r="I369" s="146"/>
      <c r="J369" s="6"/>
      <c r="K369" s="6"/>
      <c r="L369" s="6"/>
      <c r="M369" s="6"/>
      <c r="N369" s="6"/>
      <c r="O369" s="6"/>
      <c r="P369" s="6"/>
      <c r="Q369" s="6"/>
      <c r="R369" s="6"/>
      <c r="S369" s="6"/>
      <c r="T369" s="6"/>
      <c r="U369" s="6"/>
      <c r="V369" s="6"/>
      <c r="W369" s="6"/>
      <c r="X369" s="6"/>
      <c r="Y369" s="6"/>
      <c r="Z369" s="6"/>
    </row>
    <row r="370" spans="1:26" ht="18" customHeight="1" x14ac:dyDescent="0.3">
      <c r="A370" s="152"/>
      <c r="B370" s="128"/>
      <c r="C370" s="152"/>
      <c r="D370" s="128"/>
      <c r="E370" s="124"/>
      <c r="F370" s="152"/>
      <c r="G370" s="128"/>
      <c r="H370" s="146"/>
      <c r="I370" s="146"/>
      <c r="J370" s="6"/>
      <c r="K370" s="6"/>
      <c r="L370" s="6"/>
      <c r="M370" s="6"/>
      <c r="N370" s="6"/>
      <c r="O370" s="6"/>
      <c r="P370" s="6"/>
      <c r="Q370" s="6"/>
      <c r="R370" s="6"/>
      <c r="S370" s="6"/>
      <c r="T370" s="6"/>
      <c r="U370" s="6"/>
      <c r="V370" s="6"/>
      <c r="W370" s="6"/>
      <c r="X370" s="6"/>
      <c r="Y370" s="6"/>
      <c r="Z370" s="6"/>
    </row>
    <row r="371" spans="1:26" ht="18" customHeight="1" x14ac:dyDescent="0.3">
      <c r="A371" s="152"/>
      <c r="B371" s="128"/>
      <c r="C371" s="152"/>
      <c r="D371" s="128"/>
      <c r="E371" s="124"/>
      <c r="F371" s="152"/>
      <c r="G371" s="128"/>
      <c r="H371" s="146"/>
      <c r="I371" s="146"/>
      <c r="J371" s="6"/>
      <c r="K371" s="6"/>
      <c r="L371" s="6"/>
      <c r="M371" s="6"/>
      <c r="N371" s="6"/>
      <c r="O371" s="6"/>
      <c r="P371" s="6"/>
      <c r="Q371" s="6"/>
      <c r="R371" s="6"/>
      <c r="S371" s="6"/>
      <c r="T371" s="6"/>
      <c r="U371" s="6"/>
      <c r="V371" s="6"/>
      <c r="W371" s="6"/>
      <c r="X371" s="6"/>
      <c r="Y371" s="6"/>
      <c r="Z371" s="6"/>
    </row>
    <row r="372" spans="1:26" ht="18" customHeight="1" x14ac:dyDescent="0.3">
      <c r="A372" s="152"/>
      <c r="B372" s="128"/>
      <c r="C372" s="152"/>
      <c r="D372" s="128"/>
      <c r="E372" s="124"/>
      <c r="F372" s="152"/>
      <c r="G372" s="128"/>
      <c r="H372" s="146"/>
      <c r="I372" s="146"/>
      <c r="J372" s="6"/>
      <c r="K372" s="6"/>
      <c r="L372" s="6"/>
      <c r="M372" s="6"/>
      <c r="N372" s="6"/>
      <c r="O372" s="6"/>
      <c r="P372" s="6"/>
      <c r="Q372" s="6"/>
      <c r="R372" s="6"/>
      <c r="S372" s="6"/>
      <c r="T372" s="6"/>
      <c r="U372" s="6"/>
      <c r="V372" s="6"/>
      <c r="W372" s="6"/>
      <c r="X372" s="6"/>
      <c r="Y372" s="6"/>
      <c r="Z372" s="6"/>
    </row>
    <row r="373" spans="1:26" ht="18" customHeight="1" x14ac:dyDescent="0.3">
      <c r="A373" s="152"/>
      <c r="B373" s="128"/>
      <c r="C373" s="152"/>
      <c r="D373" s="128"/>
      <c r="E373" s="124"/>
      <c r="F373" s="152"/>
      <c r="G373" s="128"/>
      <c r="H373" s="146"/>
      <c r="I373" s="146"/>
      <c r="J373" s="6"/>
      <c r="K373" s="6"/>
      <c r="L373" s="6"/>
      <c r="M373" s="6"/>
      <c r="N373" s="6"/>
      <c r="O373" s="6"/>
      <c r="P373" s="6"/>
      <c r="Q373" s="6"/>
      <c r="R373" s="6"/>
      <c r="S373" s="6"/>
      <c r="T373" s="6"/>
      <c r="U373" s="6"/>
      <c r="V373" s="6"/>
      <c r="W373" s="6"/>
      <c r="X373" s="6"/>
      <c r="Y373" s="6"/>
      <c r="Z373" s="6"/>
    </row>
    <row r="374" spans="1:26" ht="18" customHeight="1" x14ac:dyDescent="0.3">
      <c r="A374" s="152"/>
      <c r="B374" s="128"/>
      <c r="C374" s="152"/>
      <c r="D374" s="128"/>
      <c r="E374" s="124"/>
      <c r="F374" s="152"/>
      <c r="G374" s="128"/>
      <c r="H374" s="146"/>
      <c r="I374" s="146"/>
      <c r="J374" s="6"/>
      <c r="K374" s="6"/>
      <c r="L374" s="6"/>
      <c r="M374" s="6"/>
      <c r="N374" s="6"/>
      <c r="O374" s="6"/>
      <c r="P374" s="6"/>
      <c r="Q374" s="6"/>
      <c r="R374" s="6"/>
      <c r="S374" s="6"/>
      <c r="T374" s="6"/>
      <c r="U374" s="6"/>
      <c r="V374" s="6"/>
      <c r="W374" s="6"/>
      <c r="X374" s="6"/>
      <c r="Y374" s="6"/>
      <c r="Z374" s="6"/>
    </row>
    <row r="375" spans="1:26" ht="18" customHeight="1" x14ac:dyDescent="0.3">
      <c r="A375" s="152"/>
      <c r="B375" s="128"/>
      <c r="C375" s="152"/>
      <c r="D375" s="128"/>
      <c r="E375" s="124"/>
      <c r="F375" s="152"/>
      <c r="G375" s="128"/>
      <c r="H375" s="146"/>
      <c r="I375" s="146"/>
      <c r="J375" s="6"/>
      <c r="K375" s="6"/>
      <c r="L375" s="6"/>
      <c r="M375" s="6"/>
      <c r="N375" s="6"/>
      <c r="O375" s="6"/>
      <c r="P375" s="6"/>
      <c r="Q375" s="6"/>
      <c r="R375" s="6"/>
      <c r="S375" s="6"/>
      <c r="T375" s="6"/>
      <c r="U375" s="6"/>
      <c r="V375" s="6"/>
      <c r="W375" s="6"/>
      <c r="X375" s="6"/>
      <c r="Y375" s="6"/>
      <c r="Z375" s="6"/>
    </row>
    <row r="376" spans="1:26" ht="18" customHeight="1" x14ac:dyDescent="0.3">
      <c r="A376" s="152"/>
      <c r="B376" s="128"/>
      <c r="C376" s="152"/>
      <c r="D376" s="128"/>
      <c r="E376" s="124"/>
      <c r="F376" s="152"/>
      <c r="G376" s="128"/>
      <c r="H376" s="146"/>
      <c r="I376" s="146"/>
      <c r="J376" s="6"/>
      <c r="K376" s="6"/>
      <c r="L376" s="6"/>
      <c r="M376" s="6"/>
      <c r="N376" s="6"/>
      <c r="O376" s="6"/>
      <c r="P376" s="6"/>
      <c r="Q376" s="6"/>
      <c r="R376" s="6"/>
      <c r="S376" s="6"/>
      <c r="T376" s="6"/>
      <c r="U376" s="6"/>
      <c r="V376" s="6"/>
      <c r="W376" s="6"/>
      <c r="X376" s="6"/>
      <c r="Y376" s="6"/>
      <c r="Z376" s="6"/>
    </row>
    <row r="377" spans="1:26" ht="18" customHeight="1" x14ac:dyDescent="0.3">
      <c r="A377" s="152"/>
      <c r="B377" s="128"/>
      <c r="C377" s="152"/>
      <c r="D377" s="128"/>
      <c r="E377" s="124"/>
      <c r="F377" s="152"/>
      <c r="G377" s="128"/>
      <c r="H377" s="146"/>
      <c r="I377" s="146"/>
      <c r="J377" s="6"/>
      <c r="K377" s="6"/>
      <c r="L377" s="6"/>
      <c r="M377" s="6"/>
      <c r="N377" s="6"/>
      <c r="O377" s="6"/>
      <c r="P377" s="6"/>
      <c r="Q377" s="6"/>
      <c r="R377" s="6"/>
      <c r="S377" s="6"/>
      <c r="T377" s="6"/>
      <c r="U377" s="6"/>
      <c r="V377" s="6"/>
      <c r="W377" s="6"/>
      <c r="X377" s="6"/>
      <c r="Y377" s="6"/>
      <c r="Z377" s="6"/>
    </row>
    <row r="378" spans="1:26" ht="18" customHeight="1" x14ac:dyDescent="0.3">
      <c r="A378" s="152"/>
      <c r="B378" s="128"/>
      <c r="C378" s="152"/>
      <c r="D378" s="128"/>
      <c r="E378" s="124"/>
      <c r="F378" s="152"/>
      <c r="G378" s="128"/>
      <c r="H378" s="146"/>
      <c r="I378" s="146"/>
      <c r="J378" s="6"/>
      <c r="K378" s="6"/>
      <c r="L378" s="6"/>
      <c r="M378" s="6"/>
      <c r="N378" s="6"/>
      <c r="O378" s="6"/>
      <c r="P378" s="6"/>
      <c r="Q378" s="6"/>
      <c r="R378" s="6"/>
      <c r="S378" s="6"/>
      <c r="T378" s="6"/>
      <c r="U378" s="6"/>
      <c r="V378" s="6"/>
      <c r="W378" s="6"/>
      <c r="X378" s="6"/>
      <c r="Y378" s="6"/>
      <c r="Z378" s="6"/>
    </row>
    <row r="379" spans="1:26" ht="18" customHeight="1" x14ac:dyDescent="0.3">
      <c r="A379" s="152"/>
      <c r="B379" s="128"/>
      <c r="C379" s="152"/>
      <c r="D379" s="128"/>
      <c r="E379" s="124"/>
      <c r="F379" s="152"/>
      <c r="G379" s="128"/>
      <c r="H379" s="146"/>
      <c r="I379" s="146"/>
      <c r="J379" s="6"/>
      <c r="K379" s="6"/>
      <c r="L379" s="6"/>
      <c r="M379" s="6"/>
      <c r="N379" s="6"/>
      <c r="O379" s="6"/>
      <c r="P379" s="6"/>
      <c r="Q379" s="6"/>
      <c r="R379" s="6"/>
      <c r="S379" s="6"/>
      <c r="T379" s="6"/>
      <c r="U379" s="6"/>
      <c r="V379" s="6"/>
      <c r="W379" s="6"/>
      <c r="X379" s="6"/>
      <c r="Y379" s="6"/>
      <c r="Z379" s="6"/>
    </row>
    <row r="380" spans="1:26" ht="18" customHeight="1" x14ac:dyDescent="0.3">
      <c r="A380" s="152"/>
      <c r="B380" s="128"/>
      <c r="C380" s="152"/>
      <c r="D380" s="128"/>
      <c r="E380" s="124"/>
      <c r="F380" s="152"/>
      <c r="G380" s="128"/>
      <c r="H380" s="146"/>
      <c r="I380" s="146"/>
      <c r="J380" s="6"/>
      <c r="K380" s="6"/>
      <c r="L380" s="6"/>
      <c r="M380" s="6"/>
      <c r="N380" s="6"/>
      <c r="O380" s="6"/>
      <c r="P380" s="6"/>
      <c r="Q380" s="6"/>
      <c r="R380" s="6"/>
      <c r="S380" s="6"/>
      <c r="T380" s="6"/>
      <c r="U380" s="6"/>
      <c r="V380" s="6"/>
      <c r="W380" s="6"/>
      <c r="X380" s="6"/>
      <c r="Y380" s="6"/>
      <c r="Z380" s="6"/>
    </row>
    <row r="381" spans="1:26" ht="18" customHeight="1" x14ac:dyDescent="0.3">
      <c r="A381" s="152"/>
      <c r="B381" s="128"/>
      <c r="C381" s="152"/>
      <c r="D381" s="128"/>
      <c r="E381" s="124"/>
      <c r="F381" s="152"/>
      <c r="G381" s="128"/>
      <c r="H381" s="146"/>
      <c r="I381" s="146"/>
      <c r="J381" s="6"/>
      <c r="K381" s="6"/>
      <c r="L381" s="6"/>
      <c r="M381" s="6"/>
      <c r="N381" s="6"/>
      <c r="O381" s="6"/>
      <c r="P381" s="6"/>
      <c r="Q381" s="6"/>
      <c r="R381" s="6"/>
      <c r="S381" s="6"/>
      <c r="T381" s="6"/>
      <c r="U381" s="6"/>
      <c r="V381" s="6"/>
      <c r="W381" s="6"/>
      <c r="X381" s="6"/>
      <c r="Y381" s="6"/>
      <c r="Z381" s="6"/>
    </row>
    <row r="382" spans="1:26" ht="18" customHeight="1" x14ac:dyDescent="0.3">
      <c r="A382" s="152"/>
      <c r="B382" s="128"/>
      <c r="C382" s="152"/>
      <c r="D382" s="128"/>
      <c r="E382" s="124"/>
      <c r="F382" s="152"/>
      <c r="G382" s="128"/>
      <c r="H382" s="146"/>
      <c r="I382" s="146"/>
      <c r="J382" s="6"/>
      <c r="K382" s="6"/>
      <c r="L382" s="6"/>
      <c r="M382" s="6"/>
      <c r="N382" s="6"/>
      <c r="O382" s="6"/>
      <c r="P382" s="6"/>
      <c r="Q382" s="6"/>
      <c r="R382" s="6"/>
      <c r="S382" s="6"/>
      <c r="T382" s="6"/>
      <c r="U382" s="6"/>
      <c r="V382" s="6"/>
      <c r="W382" s="6"/>
      <c r="X382" s="6"/>
      <c r="Y382" s="6"/>
      <c r="Z382" s="6"/>
    </row>
    <row r="383" spans="1:26" ht="18" customHeight="1" x14ac:dyDescent="0.3">
      <c r="A383" s="152"/>
      <c r="B383" s="128"/>
      <c r="C383" s="152"/>
      <c r="D383" s="128"/>
      <c r="E383" s="124"/>
      <c r="F383" s="152"/>
      <c r="G383" s="128"/>
      <c r="H383" s="146"/>
      <c r="I383" s="146"/>
      <c r="J383" s="6"/>
      <c r="K383" s="6"/>
      <c r="L383" s="6"/>
      <c r="M383" s="6"/>
      <c r="N383" s="6"/>
      <c r="O383" s="6"/>
      <c r="P383" s="6"/>
      <c r="Q383" s="6"/>
      <c r="R383" s="6"/>
      <c r="S383" s="6"/>
      <c r="T383" s="6"/>
      <c r="U383" s="6"/>
      <c r="V383" s="6"/>
      <c r="W383" s="6"/>
      <c r="X383" s="6"/>
      <c r="Y383" s="6"/>
      <c r="Z383" s="6"/>
    </row>
    <row r="384" spans="1:26" ht="18" customHeight="1" x14ac:dyDescent="0.3">
      <c r="A384" s="152"/>
      <c r="B384" s="128"/>
      <c r="C384" s="152"/>
      <c r="D384" s="128"/>
      <c r="E384" s="124"/>
      <c r="F384" s="152"/>
      <c r="G384" s="128"/>
      <c r="H384" s="146"/>
      <c r="I384" s="146"/>
      <c r="J384" s="6"/>
      <c r="K384" s="6"/>
      <c r="L384" s="6"/>
      <c r="M384" s="6"/>
      <c r="N384" s="6"/>
      <c r="O384" s="6"/>
      <c r="P384" s="6"/>
      <c r="Q384" s="6"/>
      <c r="R384" s="6"/>
      <c r="S384" s="6"/>
      <c r="T384" s="6"/>
      <c r="U384" s="6"/>
      <c r="V384" s="6"/>
      <c r="W384" s="6"/>
      <c r="X384" s="6"/>
      <c r="Y384" s="6"/>
      <c r="Z384" s="6"/>
    </row>
    <row r="385" spans="1:26" ht="18" customHeight="1" x14ac:dyDescent="0.3">
      <c r="A385" s="152"/>
      <c r="B385" s="128"/>
      <c r="C385" s="152"/>
      <c r="D385" s="128"/>
      <c r="E385" s="124"/>
      <c r="F385" s="152"/>
      <c r="G385" s="128"/>
      <c r="H385" s="146"/>
      <c r="I385" s="146"/>
      <c r="J385" s="6"/>
      <c r="K385" s="6"/>
      <c r="L385" s="6"/>
      <c r="M385" s="6"/>
      <c r="N385" s="6"/>
      <c r="O385" s="6"/>
      <c r="P385" s="6"/>
      <c r="Q385" s="6"/>
      <c r="R385" s="6"/>
      <c r="S385" s="6"/>
      <c r="T385" s="6"/>
      <c r="U385" s="6"/>
      <c r="V385" s="6"/>
      <c r="W385" s="6"/>
      <c r="X385" s="6"/>
      <c r="Y385" s="6"/>
      <c r="Z385" s="6"/>
    </row>
    <row r="386" spans="1:26" ht="18" customHeight="1" x14ac:dyDescent="0.3">
      <c r="A386" s="152"/>
      <c r="B386" s="128"/>
      <c r="C386" s="152"/>
      <c r="D386" s="128"/>
      <c r="E386" s="124"/>
      <c r="F386" s="152"/>
      <c r="G386" s="128"/>
      <c r="H386" s="146"/>
      <c r="I386" s="146"/>
      <c r="J386" s="6"/>
      <c r="K386" s="6"/>
      <c r="L386" s="6"/>
      <c r="M386" s="6"/>
      <c r="N386" s="6"/>
      <c r="O386" s="6"/>
      <c r="P386" s="6"/>
      <c r="Q386" s="6"/>
      <c r="R386" s="6"/>
      <c r="S386" s="6"/>
      <c r="T386" s="6"/>
      <c r="U386" s="6"/>
      <c r="V386" s="6"/>
      <c r="W386" s="6"/>
      <c r="X386" s="6"/>
      <c r="Y386" s="6"/>
      <c r="Z386" s="6"/>
    </row>
    <row r="387" spans="1:26" ht="18" customHeight="1" x14ac:dyDescent="0.3">
      <c r="A387" s="152"/>
      <c r="B387" s="128"/>
      <c r="C387" s="152"/>
      <c r="D387" s="128"/>
      <c r="E387" s="124"/>
      <c r="F387" s="152"/>
      <c r="G387" s="128"/>
      <c r="H387" s="146"/>
      <c r="I387" s="146"/>
      <c r="J387" s="6"/>
      <c r="K387" s="6"/>
      <c r="L387" s="6"/>
      <c r="M387" s="6"/>
      <c r="N387" s="6"/>
      <c r="O387" s="6"/>
      <c r="P387" s="6"/>
      <c r="Q387" s="6"/>
      <c r="R387" s="6"/>
      <c r="S387" s="6"/>
      <c r="T387" s="6"/>
      <c r="U387" s="6"/>
      <c r="V387" s="6"/>
      <c r="W387" s="6"/>
      <c r="X387" s="6"/>
      <c r="Y387" s="6"/>
      <c r="Z387" s="6"/>
    </row>
    <row r="388" spans="1:26" ht="18" customHeight="1" x14ac:dyDescent="0.3">
      <c r="A388" s="152"/>
      <c r="B388" s="128"/>
      <c r="C388" s="152"/>
      <c r="D388" s="128"/>
      <c r="E388" s="124"/>
      <c r="F388" s="152"/>
      <c r="G388" s="128"/>
      <c r="H388" s="146"/>
      <c r="I388" s="146"/>
      <c r="J388" s="6"/>
      <c r="K388" s="6"/>
      <c r="L388" s="6"/>
      <c r="M388" s="6"/>
      <c r="N388" s="6"/>
      <c r="O388" s="6"/>
      <c r="P388" s="6"/>
      <c r="Q388" s="6"/>
      <c r="R388" s="6"/>
      <c r="S388" s="6"/>
      <c r="T388" s="6"/>
      <c r="U388" s="6"/>
      <c r="V388" s="6"/>
      <c r="W388" s="6"/>
      <c r="X388" s="6"/>
      <c r="Y388" s="6"/>
      <c r="Z388" s="6"/>
    </row>
    <row r="389" spans="1:26" ht="18" customHeight="1" x14ac:dyDescent="0.3">
      <c r="A389" s="152"/>
      <c r="B389" s="128"/>
      <c r="C389" s="152"/>
      <c r="D389" s="128"/>
      <c r="E389" s="124"/>
      <c r="F389" s="152"/>
      <c r="G389" s="128"/>
      <c r="H389" s="146"/>
      <c r="I389" s="146"/>
      <c r="J389" s="6"/>
      <c r="K389" s="6"/>
      <c r="L389" s="6"/>
      <c r="M389" s="6"/>
      <c r="N389" s="6"/>
      <c r="O389" s="6"/>
      <c r="P389" s="6"/>
      <c r="Q389" s="6"/>
      <c r="R389" s="6"/>
      <c r="S389" s="6"/>
      <c r="T389" s="6"/>
      <c r="U389" s="6"/>
      <c r="V389" s="6"/>
      <c r="W389" s="6"/>
      <c r="X389" s="6"/>
      <c r="Y389" s="6"/>
      <c r="Z389" s="6"/>
    </row>
    <row r="390" spans="1:26" ht="18" customHeight="1" x14ac:dyDescent="0.3">
      <c r="A390" s="152"/>
      <c r="B390" s="128"/>
      <c r="C390" s="152"/>
      <c r="D390" s="128"/>
      <c r="E390" s="124"/>
      <c r="F390" s="152"/>
      <c r="G390" s="128"/>
      <c r="H390" s="146"/>
      <c r="I390" s="146"/>
      <c r="J390" s="6"/>
      <c r="K390" s="6"/>
      <c r="L390" s="6"/>
      <c r="M390" s="6"/>
      <c r="N390" s="6"/>
      <c r="O390" s="6"/>
      <c r="P390" s="6"/>
      <c r="Q390" s="6"/>
      <c r="R390" s="6"/>
      <c r="S390" s="6"/>
      <c r="T390" s="6"/>
      <c r="U390" s="6"/>
      <c r="V390" s="6"/>
      <c r="W390" s="6"/>
      <c r="X390" s="6"/>
      <c r="Y390" s="6"/>
      <c r="Z390" s="6"/>
    </row>
    <row r="391" spans="1:26" ht="18" customHeight="1" x14ac:dyDescent="0.3">
      <c r="A391" s="152"/>
      <c r="B391" s="128"/>
      <c r="C391" s="152"/>
      <c r="D391" s="128"/>
      <c r="E391" s="124"/>
      <c r="F391" s="152"/>
      <c r="G391" s="128"/>
      <c r="H391" s="146"/>
      <c r="I391" s="146"/>
      <c r="J391" s="6"/>
      <c r="K391" s="6"/>
      <c r="L391" s="6"/>
      <c r="M391" s="6"/>
      <c r="N391" s="6"/>
      <c r="O391" s="6"/>
      <c r="P391" s="6"/>
      <c r="Q391" s="6"/>
      <c r="R391" s="6"/>
      <c r="S391" s="6"/>
      <c r="T391" s="6"/>
      <c r="U391" s="6"/>
      <c r="V391" s="6"/>
      <c r="W391" s="6"/>
      <c r="X391" s="6"/>
      <c r="Y391" s="6"/>
      <c r="Z391" s="6"/>
    </row>
    <row r="392" spans="1:26" ht="18" customHeight="1" x14ac:dyDescent="0.3">
      <c r="A392" s="152"/>
      <c r="B392" s="128"/>
      <c r="C392" s="152"/>
      <c r="D392" s="128"/>
      <c r="E392" s="124"/>
      <c r="F392" s="152"/>
      <c r="G392" s="128"/>
      <c r="H392" s="146"/>
      <c r="I392" s="146"/>
      <c r="J392" s="6"/>
      <c r="K392" s="6"/>
      <c r="L392" s="6"/>
      <c r="M392" s="6"/>
      <c r="N392" s="6"/>
      <c r="O392" s="6"/>
      <c r="P392" s="6"/>
      <c r="Q392" s="6"/>
      <c r="R392" s="6"/>
      <c r="S392" s="6"/>
      <c r="T392" s="6"/>
      <c r="U392" s="6"/>
      <c r="V392" s="6"/>
      <c r="W392" s="6"/>
      <c r="X392" s="6"/>
      <c r="Y392" s="6"/>
      <c r="Z392" s="6"/>
    </row>
    <row r="393" spans="1:26" ht="18" customHeight="1" x14ac:dyDescent="0.3">
      <c r="A393" s="152"/>
      <c r="B393" s="128"/>
      <c r="C393" s="152"/>
      <c r="D393" s="128"/>
      <c r="E393" s="124"/>
      <c r="F393" s="152"/>
      <c r="G393" s="128"/>
      <c r="H393" s="146"/>
      <c r="I393" s="146"/>
      <c r="J393" s="6"/>
      <c r="K393" s="6"/>
      <c r="L393" s="6"/>
      <c r="M393" s="6"/>
      <c r="N393" s="6"/>
      <c r="O393" s="6"/>
      <c r="P393" s="6"/>
      <c r="Q393" s="6"/>
      <c r="R393" s="6"/>
      <c r="S393" s="6"/>
      <c r="T393" s="6"/>
      <c r="U393" s="6"/>
      <c r="V393" s="6"/>
      <c r="W393" s="6"/>
      <c r="X393" s="6"/>
      <c r="Y393" s="6"/>
      <c r="Z393" s="6"/>
    </row>
    <row r="394" spans="1:26" ht="18" customHeight="1" x14ac:dyDescent="0.3">
      <c r="A394" s="152"/>
      <c r="B394" s="128"/>
      <c r="C394" s="152"/>
      <c r="D394" s="128"/>
      <c r="E394" s="124"/>
      <c r="F394" s="152"/>
      <c r="G394" s="128"/>
      <c r="H394" s="146"/>
      <c r="I394" s="146"/>
      <c r="J394" s="6"/>
      <c r="K394" s="6"/>
      <c r="L394" s="6"/>
      <c r="M394" s="6"/>
      <c r="N394" s="6"/>
      <c r="O394" s="6"/>
      <c r="P394" s="6"/>
      <c r="Q394" s="6"/>
      <c r="R394" s="6"/>
      <c r="S394" s="6"/>
      <c r="T394" s="6"/>
      <c r="U394" s="6"/>
      <c r="V394" s="6"/>
      <c r="W394" s="6"/>
      <c r="X394" s="6"/>
      <c r="Y394" s="6"/>
      <c r="Z394" s="6"/>
    </row>
    <row r="395" spans="1:26" ht="18" customHeight="1" x14ac:dyDescent="0.3">
      <c r="A395" s="152"/>
      <c r="B395" s="128"/>
      <c r="C395" s="152"/>
      <c r="D395" s="128"/>
      <c r="E395" s="124"/>
      <c r="F395" s="152"/>
      <c r="G395" s="128"/>
      <c r="H395" s="146"/>
      <c r="I395" s="146"/>
      <c r="J395" s="6"/>
      <c r="K395" s="6"/>
      <c r="L395" s="6"/>
      <c r="M395" s="6"/>
      <c r="N395" s="6"/>
      <c r="O395" s="6"/>
      <c r="P395" s="6"/>
      <c r="Q395" s="6"/>
      <c r="R395" s="6"/>
      <c r="S395" s="6"/>
      <c r="T395" s="6"/>
      <c r="U395" s="6"/>
      <c r="V395" s="6"/>
      <c r="W395" s="6"/>
      <c r="X395" s="6"/>
      <c r="Y395" s="6"/>
      <c r="Z395" s="6"/>
    </row>
    <row r="396" spans="1:26" ht="18" customHeight="1" x14ac:dyDescent="0.3">
      <c r="A396" s="152"/>
      <c r="B396" s="128"/>
      <c r="C396" s="152"/>
      <c r="D396" s="128"/>
      <c r="E396" s="124"/>
      <c r="F396" s="152"/>
      <c r="G396" s="128"/>
      <c r="H396" s="146"/>
      <c r="I396" s="146"/>
      <c r="J396" s="6"/>
      <c r="K396" s="6"/>
      <c r="L396" s="6"/>
      <c r="M396" s="6"/>
      <c r="N396" s="6"/>
      <c r="O396" s="6"/>
      <c r="P396" s="6"/>
      <c r="Q396" s="6"/>
      <c r="R396" s="6"/>
      <c r="S396" s="6"/>
      <c r="T396" s="6"/>
      <c r="U396" s="6"/>
      <c r="V396" s="6"/>
      <c r="W396" s="6"/>
      <c r="X396" s="6"/>
      <c r="Y396" s="6"/>
      <c r="Z396" s="6"/>
    </row>
    <row r="397" spans="1:26" ht="18" customHeight="1" x14ac:dyDescent="0.3">
      <c r="A397" s="152"/>
      <c r="B397" s="128"/>
      <c r="C397" s="152"/>
      <c r="D397" s="128"/>
      <c r="E397" s="124"/>
      <c r="F397" s="152"/>
      <c r="G397" s="128"/>
      <c r="H397" s="146"/>
      <c r="I397" s="146"/>
      <c r="J397" s="6"/>
      <c r="K397" s="6"/>
      <c r="L397" s="6"/>
      <c r="M397" s="6"/>
      <c r="N397" s="6"/>
      <c r="O397" s="6"/>
      <c r="P397" s="6"/>
      <c r="Q397" s="6"/>
      <c r="R397" s="6"/>
      <c r="S397" s="6"/>
      <c r="T397" s="6"/>
      <c r="U397" s="6"/>
      <c r="V397" s="6"/>
      <c r="W397" s="6"/>
      <c r="X397" s="6"/>
      <c r="Y397" s="6"/>
      <c r="Z397" s="6"/>
    </row>
    <row r="398" spans="1:26" ht="18" customHeight="1" x14ac:dyDescent="0.3">
      <c r="A398" s="152"/>
      <c r="B398" s="128"/>
      <c r="C398" s="152"/>
      <c r="D398" s="128"/>
      <c r="E398" s="124"/>
      <c r="F398" s="152"/>
      <c r="G398" s="128"/>
      <c r="H398" s="146"/>
      <c r="I398" s="146"/>
      <c r="J398" s="6"/>
      <c r="K398" s="6"/>
      <c r="L398" s="6"/>
      <c r="M398" s="6"/>
      <c r="N398" s="6"/>
      <c r="O398" s="6"/>
      <c r="P398" s="6"/>
      <c r="Q398" s="6"/>
      <c r="R398" s="6"/>
      <c r="S398" s="6"/>
      <c r="T398" s="6"/>
      <c r="U398" s="6"/>
      <c r="V398" s="6"/>
      <c r="W398" s="6"/>
      <c r="X398" s="6"/>
      <c r="Y398" s="6"/>
      <c r="Z398" s="6"/>
    </row>
    <row r="399" spans="1:26" ht="18" customHeight="1" x14ac:dyDescent="0.3">
      <c r="A399" s="152"/>
      <c r="B399" s="128"/>
      <c r="C399" s="152"/>
      <c r="D399" s="128"/>
      <c r="E399" s="124"/>
      <c r="F399" s="152"/>
      <c r="G399" s="128"/>
      <c r="H399" s="146"/>
      <c r="I399" s="146"/>
      <c r="J399" s="6"/>
      <c r="K399" s="6"/>
      <c r="L399" s="6"/>
      <c r="M399" s="6"/>
      <c r="N399" s="6"/>
      <c r="O399" s="6"/>
      <c r="P399" s="6"/>
      <c r="Q399" s="6"/>
      <c r="R399" s="6"/>
      <c r="S399" s="6"/>
      <c r="T399" s="6"/>
      <c r="U399" s="6"/>
      <c r="V399" s="6"/>
      <c r="W399" s="6"/>
      <c r="X399" s="6"/>
      <c r="Y399" s="6"/>
      <c r="Z399" s="6"/>
    </row>
    <row r="400" spans="1:26" ht="18" customHeight="1" x14ac:dyDescent="0.3">
      <c r="A400" s="152"/>
      <c r="B400" s="128"/>
      <c r="C400" s="152"/>
      <c r="D400" s="128"/>
      <c r="E400" s="124"/>
      <c r="F400" s="152"/>
      <c r="G400" s="128"/>
      <c r="H400" s="146"/>
      <c r="I400" s="146"/>
      <c r="J400" s="6"/>
      <c r="K400" s="6"/>
      <c r="L400" s="6"/>
      <c r="M400" s="6"/>
      <c r="N400" s="6"/>
      <c r="O400" s="6"/>
      <c r="P400" s="6"/>
      <c r="Q400" s="6"/>
      <c r="R400" s="6"/>
      <c r="S400" s="6"/>
      <c r="T400" s="6"/>
      <c r="U400" s="6"/>
      <c r="V400" s="6"/>
      <c r="W400" s="6"/>
      <c r="X400" s="6"/>
      <c r="Y400" s="6"/>
      <c r="Z400" s="6"/>
    </row>
    <row r="401" spans="1:26" ht="18" customHeight="1" x14ac:dyDescent="0.3">
      <c r="A401" s="152"/>
      <c r="B401" s="128"/>
      <c r="C401" s="152"/>
      <c r="D401" s="128"/>
      <c r="E401" s="124"/>
      <c r="F401" s="152"/>
      <c r="G401" s="128"/>
      <c r="H401" s="146"/>
      <c r="I401" s="146"/>
      <c r="J401" s="6"/>
      <c r="K401" s="6"/>
      <c r="L401" s="6"/>
      <c r="M401" s="6"/>
      <c r="N401" s="6"/>
      <c r="O401" s="6"/>
      <c r="P401" s="6"/>
      <c r="Q401" s="6"/>
      <c r="R401" s="6"/>
      <c r="S401" s="6"/>
      <c r="T401" s="6"/>
      <c r="U401" s="6"/>
      <c r="V401" s="6"/>
      <c r="W401" s="6"/>
      <c r="X401" s="6"/>
      <c r="Y401" s="6"/>
      <c r="Z401" s="6"/>
    </row>
    <row r="402" spans="1:26" ht="18" customHeight="1" x14ac:dyDescent="0.3">
      <c r="A402" s="152"/>
      <c r="B402" s="128"/>
      <c r="C402" s="152"/>
      <c r="D402" s="128"/>
      <c r="E402" s="124"/>
      <c r="F402" s="152"/>
      <c r="G402" s="128"/>
      <c r="H402" s="146"/>
      <c r="I402" s="146"/>
      <c r="J402" s="6"/>
      <c r="K402" s="6"/>
      <c r="L402" s="6"/>
      <c r="M402" s="6"/>
      <c r="N402" s="6"/>
      <c r="O402" s="6"/>
      <c r="P402" s="6"/>
      <c r="Q402" s="6"/>
      <c r="R402" s="6"/>
      <c r="S402" s="6"/>
      <c r="T402" s="6"/>
      <c r="U402" s="6"/>
      <c r="V402" s="6"/>
      <c r="W402" s="6"/>
      <c r="X402" s="6"/>
      <c r="Y402" s="6"/>
      <c r="Z402" s="6"/>
    </row>
    <row r="403" spans="1:26" ht="18" customHeight="1" x14ac:dyDescent="0.3">
      <c r="A403" s="152"/>
      <c r="B403" s="128"/>
      <c r="C403" s="152"/>
      <c r="D403" s="128"/>
      <c r="E403" s="124"/>
      <c r="F403" s="152"/>
      <c r="G403" s="128"/>
      <c r="H403" s="146"/>
      <c r="I403" s="146"/>
      <c r="J403" s="6"/>
      <c r="K403" s="6"/>
      <c r="L403" s="6"/>
      <c r="M403" s="6"/>
      <c r="N403" s="6"/>
      <c r="O403" s="6"/>
      <c r="P403" s="6"/>
      <c r="Q403" s="6"/>
      <c r="R403" s="6"/>
      <c r="S403" s="6"/>
      <c r="T403" s="6"/>
      <c r="U403" s="6"/>
      <c r="V403" s="6"/>
      <c r="W403" s="6"/>
      <c r="X403" s="6"/>
      <c r="Y403" s="6"/>
      <c r="Z403" s="6"/>
    </row>
    <row r="404" spans="1:26" ht="18" customHeight="1" x14ac:dyDescent="0.3">
      <c r="A404" s="152"/>
      <c r="B404" s="128"/>
      <c r="C404" s="152"/>
      <c r="D404" s="128"/>
      <c r="E404" s="124"/>
      <c r="F404" s="152"/>
      <c r="G404" s="128"/>
      <c r="H404" s="146"/>
      <c r="I404" s="146"/>
      <c r="J404" s="6"/>
      <c r="K404" s="6"/>
      <c r="L404" s="6"/>
      <c r="M404" s="6"/>
      <c r="N404" s="6"/>
      <c r="O404" s="6"/>
      <c r="P404" s="6"/>
      <c r="Q404" s="6"/>
      <c r="R404" s="6"/>
      <c r="S404" s="6"/>
      <c r="T404" s="6"/>
      <c r="U404" s="6"/>
      <c r="V404" s="6"/>
      <c r="W404" s="6"/>
      <c r="X404" s="6"/>
      <c r="Y404" s="6"/>
      <c r="Z404" s="6"/>
    </row>
    <row r="405" spans="1:26" ht="18" customHeight="1" x14ac:dyDescent="0.3">
      <c r="A405" s="152"/>
      <c r="B405" s="128"/>
      <c r="C405" s="152"/>
      <c r="D405" s="128"/>
      <c r="E405" s="124"/>
      <c r="F405" s="152"/>
      <c r="G405" s="128"/>
      <c r="H405" s="146"/>
      <c r="I405" s="146"/>
      <c r="J405" s="6"/>
      <c r="K405" s="6"/>
      <c r="L405" s="6"/>
      <c r="M405" s="6"/>
      <c r="N405" s="6"/>
      <c r="O405" s="6"/>
      <c r="P405" s="6"/>
      <c r="Q405" s="6"/>
      <c r="R405" s="6"/>
      <c r="S405" s="6"/>
      <c r="T405" s="6"/>
      <c r="U405" s="6"/>
      <c r="V405" s="6"/>
      <c r="W405" s="6"/>
      <c r="X405" s="6"/>
      <c r="Y405" s="6"/>
      <c r="Z405" s="6"/>
    </row>
    <row r="406" spans="1:26" ht="18" customHeight="1" x14ac:dyDescent="0.3">
      <c r="A406" s="152"/>
      <c r="B406" s="128"/>
      <c r="C406" s="152"/>
      <c r="D406" s="128"/>
      <c r="E406" s="124"/>
      <c r="F406" s="152"/>
      <c r="G406" s="128"/>
      <c r="H406" s="146"/>
      <c r="I406" s="146"/>
      <c r="J406" s="6"/>
      <c r="K406" s="6"/>
      <c r="L406" s="6"/>
      <c r="M406" s="6"/>
      <c r="N406" s="6"/>
      <c r="O406" s="6"/>
      <c r="P406" s="6"/>
      <c r="Q406" s="6"/>
      <c r="R406" s="6"/>
      <c r="S406" s="6"/>
      <c r="T406" s="6"/>
      <c r="U406" s="6"/>
      <c r="V406" s="6"/>
      <c r="W406" s="6"/>
      <c r="X406" s="6"/>
      <c r="Y406" s="6"/>
      <c r="Z406" s="6"/>
    </row>
    <row r="407" spans="1:26" ht="18" customHeight="1" x14ac:dyDescent="0.3">
      <c r="A407" s="152"/>
      <c r="B407" s="128"/>
      <c r="C407" s="152"/>
      <c r="D407" s="128"/>
      <c r="E407" s="124"/>
      <c r="F407" s="152"/>
      <c r="G407" s="128"/>
      <c r="H407" s="146"/>
      <c r="I407" s="146"/>
      <c r="J407" s="6"/>
      <c r="K407" s="6"/>
      <c r="L407" s="6"/>
      <c r="M407" s="6"/>
      <c r="N407" s="6"/>
      <c r="O407" s="6"/>
      <c r="P407" s="6"/>
      <c r="Q407" s="6"/>
      <c r="R407" s="6"/>
      <c r="S407" s="6"/>
      <c r="T407" s="6"/>
      <c r="U407" s="6"/>
      <c r="V407" s="6"/>
      <c r="W407" s="6"/>
      <c r="X407" s="6"/>
      <c r="Y407" s="6"/>
      <c r="Z407" s="6"/>
    </row>
    <row r="408" spans="1:26" ht="18" customHeight="1" x14ac:dyDescent="0.3">
      <c r="A408" s="152"/>
      <c r="B408" s="128"/>
      <c r="C408" s="152"/>
      <c r="D408" s="128"/>
      <c r="E408" s="124"/>
      <c r="F408" s="152"/>
      <c r="G408" s="128"/>
      <c r="H408" s="146"/>
      <c r="I408" s="146"/>
      <c r="J408" s="6"/>
      <c r="K408" s="6"/>
      <c r="L408" s="6"/>
      <c r="M408" s="6"/>
      <c r="N408" s="6"/>
      <c r="O408" s="6"/>
      <c r="P408" s="6"/>
      <c r="Q408" s="6"/>
      <c r="R408" s="6"/>
      <c r="S408" s="6"/>
      <c r="T408" s="6"/>
      <c r="U408" s="6"/>
      <c r="V408" s="6"/>
      <c r="W408" s="6"/>
      <c r="X408" s="6"/>
      <c r="Y408" s="6"/>
      <c r="Z408" s="6"/>
    </row>
    <row r="409" spans="1:26" ht="18" customHeight="1" x14ac:dyDescent="0.3">
      <c r="A409" s="152"/>
      <c r="B409" s="128"/>
      <c r="C409" s="152"/>
      <c r="D409" s="128"/>
      <c r="E409" s="124"/>
      <c r="F409" s="152"/>
      <c r="G409" s="128"/>
      <c r="H409" s="146"/>
      <c r="I409" s="146"/>
      <c r="J409" s="6"/>
      <c r="K409" s="6"/>
      <c r="L409" s="6"/>
      <c r="M409" s="6"/>
      <c r="N409" s="6"/>
      <c r="O409" s="6"/>
      <c r="P409" s="6"/>
      <c r="Q409" s="6"/>
      <c r="R409" s="6"/>
      <c r="S409" s="6"/>
      <c r="T409" s="6"/>
      <c r="U409" s="6"/>
      <c r="V409" s="6"/>
      <c r="W409" s="6"/>
      <c r="X409" s="6"/>
      <c r="Y409" s="6"/>
      <c r="Z409" s="6"/>
    </row>
    <row r="410" spans="1:26" ht="18" customHeight="1" x14ac:dyDescent="0.3">
      <c r="A410" s="152"/>
      <c r="B410" s="128"/>
      <c r="C410" s="152"/>
      <c r="D410" s="128"/>
      <c r="E410" s="124"/>
      <c r="F410" s="152"/>
      <c r="G410" s="128"/>
      <c r="H410" s="146"/>
      <c r="I410" s="146"/>
      <c r="J410" s="6"/>
      <c r="K410" s="6"/>
      <c r="L410" s="6"/>
      <c r="M410" s="6"/>
      <c r="N410" s="6"/>
      <c r="O410" s="6"/>
      <c r="P410" s="6"/>
      <c r="Q410" s="6"/>
      <c r="R410" s="6"/>
      <c r="S410" s="6"/>
      <c r="T410" s="6"/>
      <c r="U410" s="6"/>
      <c r="V410" s="6"/>
      <c r="W410" s="6"/>
      <c r="X410" s="6"/>
      <c r="Y410" s="6"/>
      <c r="Z410" s="6"/>
    </row>
    <row r="411" spans="1:26" ht="18" customHeight="1" x14ac:dyDescent="0.3">
      <c r="A411" s="152"/>
      <c r="B411" s="128"/>
      <c r="C411" s="152"/>
      <c r="D411" s="128"/>
      <c r="E411" s="124"/>
      <c r="F411" s="152"/>
      <c r="G411" s="128"/>
      <c r="H411" s="146"/>
      <c r="I411" s="146"/>
      <c r="J411" s="6"/>
      <c r="K411" s="6"/>
      <c r="L411" s="6"/>
      <c r="M411" s="6"/>
      <c r="N411" s="6"/>
      <c r="O411" s="6"/>
      <c r="P411" s="6"/>
      <c r="Q411" s="6"/>
      <c r="R411" s="6"/>
      <c r="S411" s="6"/>
      <c r="T411" s="6"/>
      <c r="U411" s="6"/>
      <c r="V411" s="6"/>
      <c r="W411" s="6"/>
      <c r="X411" s="6"/>
      <c r="Y411" s="6"/>
      <c r="Z411" s="6"/>
    </row>
    <row r="412" spans="1:26" ht="18" customHeight="1" x14ac:dyDescent="0.3">
      <c r="A412" s="152"/>
      <c r="B412" s="128"/>
      <c r="C412" s="152"/>
      <c r="D412" s="128"/>
      <c r="E412" s="124"/>
      <c r="F412" s="152"/>
      <c r="G412" s="128"/>
      <c r="H412" s="146"/>
      <c r="I412" s="146"/>
      <c r="J412" s="6"/>
      <c r="K412" s="6"/>
      <c r="L412" s="6"/>
      <c r="M412" s="6"/>
      <c r="N412" s="6"/>
      <c r="O412" s="6"/>
      <c r="P412" s="6"/>
      <c r="Q412" s="6"/>
      <c r="R412" s="6"/>
      <c r="S412" s="6"/>
      <c r="T412" s="6"/>
      <c r="U412" s="6"/>
      <c r="V412" s="6"/>
      <c r="W412" s="6"/>
      <c r="X412" s="6"/>
      <c r="Y412" s="6"/>
      <c r="Z412" s="6"/>
    </row>
    <row r="413" spans="1:26" ht="18" customHeight="1" x14ac:dyDescent="0.3">
      <c r="A413" s="152"/>
      <c r="B413" s="128"/>
      <c r="C413" s="152"/>
      <c r="D413" s="128"/>
      <c r="E413" s="124"/>
      <c r="F413" s="152"/>
      <c r="G413" s="128"/>
      <c r="H413" s="146"/>
      <c r="I413" s="146"/>
      <c r="J413" s="6"/>
      <c r="K413" s="6"/>
      <c r="L413" s="6"/>
      <c r="M413" s="6"/>
      <c r="N413" s="6"/>
      <c r="O413" s="6"/>
      <c r="P413" s="6"/>
      <c r="Q413" s="6"/>
      <c r="R413" s="6"/>
      <c r="S413" s="6"/>
      <c r="T413" s="6"/>
      <c r="U413" s="6"/>
      <c r="V413" s="6"/>
      <c r="W413" s="6"/>
      <c r="X413" s="6"/>
      <c r="Y413" s="6"/>
      <c r="Z413" s="6"/>
    </row>
    <row r="414" spans="1:26" ht="18" customHeight="1" x14ac:dyDescent="0.3">
      <c r="A414" s="152"/>
      <c r="B414" s="128"/>
      <c r="C414" s="152"/>
      <c r="D414" s="128"/>
      <c r="E414" s="124"/>
      <c r="F414" s="152"/>
      <c r="G414" s="128"/>
      <c r="H414" s="146"/>
      <c r="I414" s="146"/>
      <c r="J414" s="6"/>
      <c r="K414" s="6"/>
      <c r="L414" s="6"/>
      <c r="M414" s="6"/>
      <c r="N414" s="6"/>
      <c r="O414" s="6"/>
      <c r="P414" s="6"/>
      <c r="Q414" s="6"/>
      <c r="R414" s="6"/>
      <c r="S414" s="6"/>
      <c r="T414" s="6"/>
      <c r="U414" s="6"/>
      <c r="V414" s="6"/>
      <c r="W414" s="6"/>
      <c r="X414" s="6"/>
      <c r="Y414" s="6"/>
      <c r="Z414" s="6"/>
    </row>
    <row r="415" spans="1:26" ht="18" customHeight="1" x14ac:dyDescent="0.3">
      <c r="A415" s="152"/>
      <c r="B415" s="128"/>
      <c r="C415" s="152"/>
      <c r="D415" s="128"/>
      <c r="E415" s="124"/>
      <c r="F415" s="152"/>
      <c r="G415" s="128"/>
      <c r="H415" s="146"/>
      <c r="I415" s="146"/>
      <c r="J415" s="6"/>
      <c r="K415" s="6"/>
      <c r="L415" s="6"/>
      <c r="M415" s="6"/>
      <c r="N415" s="6"/>
      <c r="O415" s="6"/>
      <c r="P415" s="6"/>
      <c r="Q415" s="6"/>
      <c r="R415" s="6"/>
      <c r="S415" s="6"/>
      <c r="T415" s="6"/>
      <c r="U415" s="6"/>
      <c r="V415" s="6"/>
      <c r="W415" s="6"/>
      <c r="X415" s="6"/>
      <c r="Y415" s="6"/>
      <c r="Z415" s="6"/>
    </row>
    <row r="416" spans="1:26" ht="18" customHeight="1" x14ac:dyDescent="0.3">
      <c r="A416" s="152"/>
      <c r="B416" s="128"/>
      <c r="C416" s="152"/>
      <c r="D416" s="128"/>
      <c r="E416" s="124"/>
      <c r="F416" s="152"/>
      <c r="G416" s="128"/>
      <c r="H416" s="146"/>
      <c r="I416" s="146"/>
      <c r="J416" s="6"/>
      <c r="K416" s="6"/>
      <c r="L416" s="6"/>
      <c r="M416" s="6"/>
      <c r="N416" s="6"/>
      <c r="O416" s="6"/>
      <c r="P416" s="6"/>
      <c r="Q416" s="6"/>
      <c r="R416" s="6"/>
      <c r="S416" s="6"/>
      <c r="T416" s="6"/>
      <c r="U416" s="6"/>
      <c r="V416" s="6"/>
      <c r="W416" s="6"/>
      <c r="X416" s="6"/>
      <c r="Y416" s="6"/>
      <c r="Z416" s="6"/>
    </row>
    <row r="417" spans="1:26" ht="18" customHeight="1" x14ac:dyDescent="0.3">
      <c r="A417" s="152"/>
      <c r="B417" s="128"/>
      <c r="C417" s="152"/>
      <c r="D417" s="128"/>
      <c r="E417" s="124"/>
      <c r="F417" s="152"/>
      <c r="G417" s="128"/>
      <c r="H417" s="146"/>
      <c r="I417" s="146"/>
      <c r="J417" s="6"/>
      <c r="K417" s="6"/>
      <c r="L417" s="6"/>
      <c r="M417" s="6"/>
      <c r="N417" s="6"/>
      <c r="O417" s="6"/>
      <c r="P417" s="6"/>
      <c r="Q417" s="6"/>
      <c r="R417" s="6"/>
      <c r="S417" s="6"/>
      <c r="T417" s="6"/>
      <c r="U417" s="6"/>
      <c r="V417" s="6"/>
      <c r="W417" s="6"/>
      <c r="X417" s="6"/>
      <c r="Y417" s="6"/>
      <c r="Z417" s="6"/>
    </row>
    <row r="418" spans="1:26" ht="18" customHeight="1" x14ac:dyDescent="0.3">
      <c r="A418" s="152"/>
      <c r="B418" s="128"/>
      <c r="C418" s="152"/>
      <c r="D418" s="128"/>
      <c r="E418" s="124"/>
      <c r="F418" s="152"/>
      <c r="G418" s="128"/>
      <c r="H418" s="146"/>
      <c r="I418" s="146"/>
      <c r="J418" s="6"/>
      <c r="K418" s="6"/>
      <c r="L418" s="6"/>
      <c r="M418" s="6"/>
      <c r="N418" s="6"/>
      <c r="O418" s="6"/>
      <c r="P418" s="6"/>
      <c r="Q418" s="6"/>
      <c r="R418" s="6"/>
      <c r="S418" s="6"/>
      <c r="T418" s="6"/>
      <c r="U418" s="6"/>
      <c r="V418" s="6"/>
      <c r="W418" s="6"/>
      <c r="X418" s="6"/>
      <c r="Y418" s="6"/>
      <c r="Z418" s="6"/>
    </row>
    <row r="419" spans="1:26" ht="18" customHeight="1" x14ac:dyDescent="0.3">
      <c r="A419" s="152"/>
      <c r="B419" s="128"/>
      <c r="C419" s="152"/>
      <c r="D419" s="128"/>
      <c r="E419" s="124"/>
      <c r="F419" s="152"/>
      <c r="G419" s="128"/>
      <c r="H419" s="146"/>
      <c r="I419" s="146"/>
      <c r="J419" s="6"/>
      <c r="K419" s="6"/>
      <c r="L419" s="6"/>
      <c r="M419" s="6"/>
      <c r="N419" s="6"/>
      <c r="O419" s="6"/>
      <c r="P419" s="6"/>
      <c r="Q419" s="6"/>
      <c r="R419" s="6"/>
      <c r="S419" s="6"/>
      <c r="T419" s="6"/>
      <c r="U419" s="6"/>
      <c r="V419" s="6"/>
      <c r="W419" s="6"/>
      <c r="X419" s="6"/>
      <c r="Y419" s="6"/>
      <c r="Z419" s="6"/>
    </row>
    <row r="420" spans="1:26" ht="18" customHeight="1" x14ac:dyDescent="0.3">
      <c r="A420" s="152"/>
      <c r="B420" s="128"/>
      <c r="C420" s="152"/>
      <c r="D420" s="128"/>
      <c r="E420" s="124"/>
      <c r="F420" s="152"/>
      <c r="G420" s="128"/>
      <c r="H420" s="146"/>
      <c r="I420" s="146"/>
      <c r="J420" s="6"/>
      <c r="K420" s="6"/>
      <c r="L420" s="6"/>
      <c r="M420" s="6"/>
      <c r="N420" s="6"/>
      <c r="O420" s="6"/>
      <c r="P420" s="6"/>
      <c r="Q420" s="6"/>
      <c r="R420" s="6"/>
      <c r="S420" s="6"/>
      <c r="T420" s="6"/>
      <c r="U420" s="6"/>
      <c r="V420" s="6"/>
      <c r="W420" s="6"/>
      <c r="X420" s="6"/>
      <c r="Y420" s="6"/>
      <c r="Z420" s="6"/>
    </row>
    <row r="421" spans="1:26" ht="18" customHeight="1" x14ac:dyDescent="0.3">
      <c r="A421" s="152"/>
      <c r="B421" s="128"/>
      <c r="C421" s="152"/>
      <c r="D421" s="128"/>
      <c r="E421" s="124"/>
      <c r="F421" s="152"/>
      <c r="G421" s="128"/>
      <c r="H421" s="146"/>
      <c r="I421" s="146"/>
      <c r="J421" s="6"/>
      <c r="K421" s="6"/>
      <c r="L421" s="6"/>
      <c r="M421" s="6"/>
      <c r="N421" s="6"/>
      <c r="O421" s="6"/>
      <c r="P421" s="6"/>
      <c r="Q421" s="6"/>
      <c r="R421" s="6"/>
      <c r="S421" s="6"/>
      <c r="T421" s="6"/>
      <c r="U421" s="6"/>
      <c r="V421" s="6"/>
      <c r="W421" s="6"/>
      <c r="X421" s="6"/>
      <c r="Y421" s="6"/>
      <c r="Z421" s="6"/>
    </row>
    <row r="422" spans="1:26" ht="18" customHeight="1" x14ac:dyDescent="0.3">
      <c r="A422" s="152"/>
      <c r="B422" s="128"/>
      <c r="C422" s="152"/>
      <c r="D422" s="128"/>
      <c r="E422" s="124"/>
      <c r="F422" s="152"/>
      <c r="G422" s="128"/>
      <c r="H422" s="146"/>
      <c r="I422" s="146"/>
      <c r="J422" s="6"/>
      <c r="K422" s="6"/>
      <c r="L422" s="6"/>
      <c r="M422" s="6"/>
      <c r="N422" s="6"/>
      <c r="O422" s="6"/>
      <c r="P422" s="6"/>
      <c r="Q422" s="6"/>
      <c r="R422" s="6"/>
      <c r="S422" s="6"/>
      <c r="T422" s="6"/>
      <c r="U422" s="6"/>
      <c r="V422" s="6"/>
      <c r="W422" s="6"/>
      <c r="X422" s="6"/>
      <c r="Y422" s="6"/>
      <c r="Z422" s="6"/>
    </row>
    <row r="423" spans="1:26" ht="18" customHeight="1" x14ac:dyDescent="0.3">
      <c r="A423" s="152"/>
      <c r="B423" s="128"/>
      <c r="C423" s="152"/>
      <c r="D423" s="128"/>
      <c r="E423" s="124"/>
      <c r="F423" s="152"/>
      <c r="G423" s="128"/>
      <c r="H423" s="146"/>
      <c r="I423" s="146"/>
      <c r="J423" s="6"/>
      <c r="K423" s="6"/>
      <c r="L423" s="6"/>
      <c r="M423" s="6"/>
      <c r="N423" s="6"/>
      <c r="O423" s="6"/>
      <c r="P423" s="6"/>
      <c r="Q423" s="6"/>
      <c r="R423" s="6"/>
      <c r="S423" s="6"/>
      <c r="T423" s="6"/>
      <c r="U423" s="6"/>
      <c r="V423" s="6"/>
      <c r="W423" s="6"/>
      <c r="X423" s="6"/>
      <c r="Y423" s="6"/>
      <c r="Z423" s="6"/>
    </row>
    <row r="424" spans="1:26" ht="18" customHeight="1" x14ac:dyDescent="0.3">
      <c r="A424" s="152"/>
      <c r="B424" s="128"/>
      <c r="C424" s="152"/>
      <c r="D424" s="128"/>
      <c r="E424" s="124"/>
      <c r="F424" s="152"/>
      <c r="G424" s="128"/>
      <c r="H424" s="146"/>
      <c r="I424" s="146"/>
      <c r="J424" s="6"/>
      <c r="K424" s="6"/>
      <c r="L424" s="6"/>
      <c r="M424" s="6"/>
      <c r="N424" s="6"/>
      <c r="O424" s="6"/>
      <c r="P424" s="6"/>
      <c r="Q424" s="6"/>
      <c r="R424" s="6"/>
      <c r="S424" s="6"/>
      <c r="T424" s="6"/>
      <c r="U424" s="6"/>
      <c r="V424" s="6"/>
      <c r="W424" s="6"/>
      <c r="X424" s="6"/>
      <c r="Y424" s="6"/>
      <c r="Z424" s="6"/>
    </row>
    <row r="425" spans="1:26" ht="18" customHeight="1" x14ac:dyDescent="0.3">
      <c r="A425" s="152"/>
      <c r="B425" s="128"/>
      <c r="C425" s="152"/>
      <c r="D425" s="128"/>
      <c r="E425" s="124"/>
      <c r="F425" s="152"/>
      <c r="G425" s="128"/>
      <c r="H425" s="146"/>
      <c r="I425" s="146"/>
      <c r="J425" s="6"/>
      <c r="K425" s="6"/>
      <c r="L425" s="6"/>
      <c r="M425" s="6"/>
      <c r="N425" s="6"/>
      <c r="O425" s="6"/>
      <c r="P425" s="6"/>
      <c r="Q425" s="6"/>
      <c r="R425" s="6"/>
      <c r="S425" s="6"/>
      <c r="T425" s="6"/>
      <c r="U425" s="6"/>
      <c r="V425" s="6"/>
      <c r="W425" s="6"/>
      <c r="X425" s="6"/>
      <c r="Y425" s="6"/>
      <c r="Z425" s="6"/>
    </row>
    <row r="426" spans="1:26" ht="18" customHeight="1" x14ac:dyDescent="0.3">
      <c r="A426" s="152"/>
      <c r="B426" s="128"/>
      <c r="C426" s="152"/>
      <c r="D426" s="128"/>
      <c r="E426" s="124"/>
      <c r="F426" s="152"/>
      <c r="G426" s="128"/>
      <c r="H426" s="146"/>
      <c r="I426" s="146"/>
      <c r="J426" s="6"/>
      <c r="K426" s="6"/>
      <c r="L426" s="6"/>
      <c r="M426" s="6"/>
      <c r="N426" s="6"/>
      <c r="O426" s="6"/>
      <c r="P426" s="6"/>
      <c r="Q426" s="6"/>
      <c r="R426" s="6"/>
      <c r="S426" s="6"/>
      <c r="T426" s="6"/>
      <c r="U426" s="6"/>
      <c r="V426" s="6"/>
      <c r="W426" s="6"/>
      <c r="X426" s="6"/>
      <c r="Y426" s="6"/>
      <c r="Z426" s="6"/>
    </row>
    <row r="427" spans="1:26" ht="18" customHeight="1" x14ac:dyDescent="0.3">
      <c r="A427" s="152"/>
      <c r="B427" s="128"/>
      <c r="C427" s="152"/>
      <c r="D427" s="128"/>
      <c r="E427" s="124"/>
      <c r="F427" s="152"/>
      <c r="G427" s="128"/>
      <c r="H427" s="146"/>
      <c r="I427" s="146"/>
      <c r="J427" s="6"/>
      <c r="K427" s="6"/>
      <c r="L427" s="6"/>
      <c r="M427" s="6"/>
      <c r="N427" s="6"/>
      <c r="O427" s="6"/>
      <c r="P427" s="6"/>
      <c r="Q427" s="6"/>
      <c r="R427" s="6"/>
      <c r="S427" s="6"/>
      <c r="T427" s="6"/>
      <c r="U427" s="6"/>
      <c r="V427" s="6"/>
      <c r="W427" s="6"/>
      <c r="X427" s="6"/>
      <c r="Y427" s="6"/>
      <c r="Z427" s="6"/>
    </row>
    <row r="428" spans="1:26" ht="18" customHeight="1" x14ac:dyDescent="0.3">
      <c r="A428" s="152"/>
      <c r="B428" s="128"/>
      <c r="C428" s="152"/>
      <c r="D428" s="128"/>
      <c r="E428" s="124"/>
      <c r="F428" s="152"/>
      <c r="G428" s="128"/>
      <c r="H428" s="146"/>
      <c r="I428" s="146"/>
      <c r="J428" s="6"/>
      <c r="K428" s="6"/>
      <c r="L428" s="6"/>
      <c r="M428" s="6"/>
      <c r="N428" s="6"/>
      <c r="O428" s="6"/>
      <c r="P428" s="6"/>
      <c r="Q428" s="6"/>
      <c r="R428" s="6"/>
      <c r="S428" s="6"/>
      <c r="T428" s="6"/>
      <c r="U428" s="6"/>
      <c r="V428" s="6"/>
      <c r="W428" s="6"/>
      <c r="X428" s="6"/>
      <c r="Y428" s="6"/>
      <c r="Z428" s="6"/>
    </row>
    <row r="429" spans="1:26" ht="18" customHeight="1" x14ac:dyDescent="0.3">
      <c r="A429" s="152"/>
      <c r="B429" s="128"/>
      <c r="C429" s="152"/>
      <c r="D429" s="128"/>
      <c r="E429" s="124"/>
      <c r="F429" s="152"/>
      <c r="G429" s="128"/>
      <c r="H429" s="146"/>
      <c r="I429" s="146"/>
      <c r="J429" s="6"/>
      <c r="K429" s="6"/>
      <c r="L429" s="6"/>
      <c r="M429" s="6"/>
      <c r="N429" s="6"/>
      <c r="O429" s="6"/>
      <c r="P429" s="6"/>
      <c r="Q429" s="6"/>
      <c r="R429" s="6"/>
      <c r="S429" s="6"/>
      <c r="T429" s="6"/>
      <c r="U429" s="6"/>
      <c r="V429" s="6"/>
      <c r="W429" s="6"/>
      <c r="X429" s="6"/>
      <c r="Y429" s="6"/>
      <c r="Z429" s="6"/>
    </row>
    <row r="430" spans="1:26" ht="18" customHeight="1" x14ac:dyDescent="0.3">
      <c r="A430" s="152"/>
      <c r="B430" s="128"/>
      <c r="C430" s="152"/>
      <c r="D430" s="128"/>
      <c r="E430" s="124"/>
      <c r="F430" s="152"/>
      <c r="G430" s="128"/>
      <c r="H430" s="146"/>
      <c r="I430" s="146"/>
      <c r="J430" s="6"/>
      <c r="K430" s="6"/>
      <c r="L430" s="6"/>
      <c r="M430" s="6"/>
      <c r="N430" s="6"/>
      <c r="O430" s="6"/>
      <c r="P430" s="6"/>
      <c r="Q430" s="6"/>
      <c r="R430" s="6"/>
      <c r="S430" s="6"/>
      <c r="T430" s="6"/>
      <c r="U430" s="6"/>
      <c r="V430" s="6"/>
      <c r="W430" s="6"/>
      <c r="X430" s="6"/>
      <c r="Y430" s="6"/>
      <c r="Z430" s="6"/>
    </row>
    <row r="431" spans="1:26" ht="18" customHeight="1" x14ac:dyDescent="0.3">
      <c r="A431" s="152"/>
      <c r="B431" s="128"/>
      <c r="C431" s="152"/>
      <c r="D431" s="128"/>
      <c r="E431" s="124"/>
      <c r="F431" s="152"/>
      <c r="G431" s="128"/>
      <c r="H431" s="146"/>
      <c r="I431" s="146"/>
      <c r="J431" s="6"/>
      <c r="K431" s="6"/>
      <c r="L431" s="6"/>
      <c r="M431" s="6"/>
      <c r="N431" s="6"/>
      <c r="O431" s="6"/>
      <c r="P431" s="6"/>
      <c r="Q431" s="6"/>
      <c r="R431" s="6"/>
      <c r="S431" s="6"/>
      <c r="T431" s="6"/>
      <c r="U431" s="6"/>
      <c r="V431" s="6"/>
      <c r="W431" s="6"/>
      <c r="X431" s="6"/>
      <c r="Y431" s="6"/>
      <c r="Z431" s="6"/>
    </row>
    <row r="432" spans="1:26" ht="18" customHeight="1" x14ac:dyDescent="0.3">
      <c r="A432" s="152"/>
      <c r="B432" s="128"/>
      <c r="C432" s="152"/>
      <c r="D432" s="128"/>
      <c r="E432" s="124"/>
      <c r="F432" s="152"/>
      <c r="G432" s="128"/>
      <c r="H432" s="146"/>
      <c r="I432" s="146"/>
      <c r="J432" s="6"/>
      <c r="K432" s="6"/>
      <c r="L432" s="6"/>
      <c r="M432" s="6"/>
      <c r="N432" s="6"/>
      <c r="O432" s="6"/>
      <c r="P432" s="6"/>
      <c r="Q432" s="6"/>
      <c r="R432" s="6"/>
      <c r="S432" s="6"/>
      <c r="T432" s="6"/>
      <c r="U432" s="6"/>
      <c r="V432" s="6"/>
      <c r="W432" s="6"/>
      <c r="X432" s="6"/>
      <c r="Y432" s="6"/>
      <c r="Z432" s="6"/>
    </row>
    <row r="433" spans="1:26" ht="18" customHeight="1" x14ac:dyDescent="0.3">
      <c r="A433" s="152"/>
      <c r="B433" s="128"/>
      <c r="C433" s="152"/>
      <c r="D433" s="128"/>
      <c r="E433" s="124"/>
      <c r="F433" s="152"/>
      <c r="G433" s="128"/>
      <c r="H433" s="146"/>
      <c r="I433" s="146"/>
      <c r="J433" s="6"/>
      <c r="K433" s="6"/>
      <c r="L433" s="6"/>
      <c r="M433" s="6"/>
      <c r="N433" s="6"/>
      <c r="O433" s="6"/>
      <c r="P433" s="6"/>
      <c r="Q433" s="6"/>
      <c r="R433" s="6"/>
      <c r="S433" s="6"/>
      <c r="T433" s="6"/>
      <c r="U433" s="6"/>
      <c r="V433" s="6"/>
      <c r="W433" s="6"/>
      <c r="X433" s="6"/>
      <c r="Y433" s="6"/>
      <c r="Z433" s="6"/>
    </row>
    <row r="434" spans="1:26" ht="18" customHeight="1" x14ac:dyDescent="0.3">
      <c r="A434" s="152"/>
      <c r="B434" s="128"/>
      <c r="C434" s="152"/>
      <c r="D434" s="128"/>
      <c r="E434" s="124"/>
      <c r="F434" s="152"/>
      <c r="G434" s="128"/>
      <c r="H434" s="146"/>
      <c r="I434" s="146"/>
      <c r="J434" s="6"/>
      <c r="K434" s="6"/>
      <c r="L434" s="6"/>
      <c r="M434" s="6"/>
      <c r="N434" s="6"/>
      <c r="O434" s="6"/>
      <c r="P434" s="6"/>
      <c r="Q434" s="6"/>
      <c r="R434" s="6"/>
      <c r="S434" s="6"/>
      <c r="T434" s="6"/>
      <c r="U434" s="6"/>
      <c r="V434" s="6"/>
      <c r="W434" s="6"/>
      <c r="X434" s="6"/>
      <c r="Y434" s="6"/>
      <c r="Z434" s="6"/>
    </row>
    <row r="435" spans="1:26" ht="18" customHeight="1" x14ac:dyDescent="0.3">
      <c r="A435" s="152"/>
      <c r="B435" s="128"/>
      <c r="C435" s="152"/>
      <c r="D435" s="128"/>
      <c r="E435" s="124"/>
      <c r="F435" s="152"/>
      <c r="G435" s="128"/>
      <c r="H435" s="146"/>
      <c r="I435" s="146"/>
      <c r="J435" s="6"/>
      <c r="K435" s="6"/>
      <c r="L435" s="6"/>
      <c r="M435" s="6"/>
      <c r="N435" s="6"/>
      <c r="O435" s="6"/>
      <c r="P435" s="6"/>
      <c r="Q435" s="6"/>
      <c r="R435" s="6"/>
      <c r="S435" s="6"/>
      <c r="T435" s="6"/>
      <c r="U435" s="6"/>
      <c r="V435" s="6"/>
      <c r="W435" s="6"/>
      <c r="X435" s="6"/>
      <c r="Y435" s="6"/>
      <c r="Z435" s="6"/>
    </row>
    <row r="436" spans="1:26" ht="18" customHeight="1" x14ac:dyDescent="0.3">
      <c r="A436" s="152"/>
      <c r="B436" s="128"/>
      <c r="C436" s="152"/>
      <c r="D436" s="128"/>
      <c r="E436" s="124"/>
      <c r="F436" s="152"/>
      <c r="G436" s="128"/>
      <c r="H436" s="146"/>
      <c r="I436" s="146"/>
      <c r="J436" s="6"/>
      <c r="K436" s="6"/>
      <c r="L436" s="6"/>
      <c r="M436" s="6"/>
      <c r="N436" s="6"/>
      <c r="O436" s="6"/>
      <c r="P436" s="6"/>
      <c r="Q436" s="6"/>
      <c r="R436" s="6"/>
      <c r="S436" s="6"/>
      <c r="T436" s="6"/>
      <c r="U436" s="6"/>
      <c r="V436" s="6"/>
      <c r="W436" s="6"/>
      <c r="X436" s="6"/>
      <c r="Y436" s="6"/>
      <c r="Z436" s="6"/>
    </row>
    <row r="437" spans="1:26" ht="18" customHeight="1" x14ac:dyDescent="0.3">
      <c r="A437" s="152"/>
      <c r="B437" s="128"/>
      <c r="C437" s="152"/>
      <c r="D437" s="128"/>
      <c r="E437" s="124"/>
      <c r="F437" s="152"/>
      <c r="G437" s="128"/>
      <c r="H437" s="146"/>
      <c r="I437" s="146"/>
      <c r="J437" s="6"/>
      <c r="K437" s="6"/>
      <c r="L437" s="6"/>
      <c r="M437" s="6"/>
      <c r="N437" s="6"/>
      <c r="O437" s="6"/>
      <c r="P437" s="6"/>
      <c r="Q437" s="6"/>
      <c r="R437" s="6"/>
      <c r="S437" s="6"/>
      <c r="T437" s="6"/>
      <c r="U437" s="6"/>
      <c r="V437" s="6"/>
      <c r="W437" s="6"/>
      <c r="X437" s="6"/>
      <c r="Y437" s="6"/>
      <c r="Z437" s="6"/>
    </row>
    <row r="438" spans="1:26" ht="18" customHeight="1" x14ac:dyDescent="0.3">
      <c r="A438" s="152"/>
      <c r="B438" s="128"/>
      <c r="C438" s="152"/>
      <c r="D438" s="128"/>
      <c r="E438" s="124"/>
      <c r="F438" s="152"/>
      <c r="G438" s="128"/>
      <c r="H438" s="146"/>
      <c r="I438" s="146"/>
      <c r="J438" s="6"/>
      <c r="K438" s="6"/>
      <c r="L438" s="6"/>
      <c r="M438" s="6"/>
      <c r="N438" s="6"/>
      <c r="O438" s="6"/>
      <c r="P438" s="6"/>
      <c r="Q438" s="6"/>
      <c r="R438" s="6"/>
      <c r="S438" s="6"/>
      <c r="T438" s="6"/>
      <c r="U438" s="6"/>
      <c r="V438" s="6"/>
      <c r="W438" s="6"/>
      <c r="X438" s="6"/>
      <c r="Y438" s="6"/>
      <c r="Z438" s="6"/>
    </row>
    <row r="439" spans="1:26" ht="18" customHeight="1" x14ac:dyDescent="0.3">
      <c r="A439" s="152"/>
      <c r="B439" s="128"/>
      <c r="C439" s="152"/>
      <c r="D439" s="128"/>
      <c r="E439" s="124"/>
      <c r="F439" s="152"/>
      <c r="G439" s="128"/>
      <c r="H439" s="146"/>
      <c r="I439" s="146"/>
      <c r="J439" s="6"/>
      <c r="K439" s="6"/>
      <c r="L439" s="6"/>
      <c r="M439" s="6"/>
      <c r="N439" s="6"/>
      <c r="O439" s="6"/>
      <c r="P439" s="6"/>
      <c r="Q439" s="6"/>
      <c r="R439" s="6"/>
      <c r="S439" s="6"/>
      <c r="T439" s="6"/>
      <c r="U439" s="6"/>
      <c r="V439" s="6"/>
      <c r="W439" s="6"/>
      <c r="X439" s="6"/>
      <c r="Y439" s="6"/>
      <c r="Z439" s="6"/>
    </row>
    <row r="440" spans="1:26" ht="18" customHeight="1" x14ac:dyDescent="0.3">
      <c r="A440" s="152"/>
      <c r="B440" s="128"/>
      <c r="C440" s="152"/>
      <c r="D440" s="128"/>
      <c r="E440" s="124"/>
      <c r="F440" s="152"/>
      <c r="G440" s="128"/>
      <c r="H440" s="146"/>
      <c r="I440" s="146"/>
      <c r="J440" s="6"/>
      <c r="K440" s="6"/>
      <c r="L440" s="6"/>
      <c r="M440" s="6"/>
      <c r="N440" s="6"/>
      <c r="O440" s="6"/>
      <c r="P440" s="6"/>
      <c r="Q440" s="6"/>
      <c r="R440" s="6"/>
      <c r="S440" s="6"/>
      <c r="T440" s="6"/>
      <c r="U440" s="6"/>
      <c r="V440" s="6"/>
      <c r="W440" s="6"/>
      <c r="X440" s="6"/>
      <c r="Y440" s="6"/>
      <c r="Z440" s="6"/>
    </row>
    <row r="441" spans="1:26" ht="18" customHeight="1" x14ac:dyDescent="0.3">
      <c r="A441" s="152"/>
      <c r="B441" s="128"/>
      <c r="C441" s="152"/>
      <c r="D441" s="128"/>
      <c r="E441" s="124"/>
      <c r="F441" s="152"/>
      <c r="G441" s="128"/>
      <c r="H441" s="146"/>
      <c r="I441" s="146"/>
      <c r="J441" s="6"/>
      <c r="K441" s="6"/>
      <c r="L441" s="6"/>
      <c r="M441" s="6"/>
      <c r="N441" s="6"/>
      <c r="O441" s="6"/>
      <c r="P441" s="6"/>
      <c r="Q441" s="6"/>
      <c r="R441" s="6"/>
      <c r="S441" s="6"/>
      <c r="T441" s="6"/>
      <c r="U441" s="6"/>
      <c r="V441" s="6"/>
      <c r="W441" s="6"/>
      <c r="X441" s="6"/>
      <c r="Y441" s="6"/>
      <c r="Z441" s="6"/>
    </row>
    <row r="442" spans="1:26" ht="18" customHeight="1" x14ac:dyDescent="0.3">
      <c r="A442" s="152"/>
      <c r="B442" s="128"/>
      <c r="C442" s="152"/>
      <c r="D442" s="128"/>
      <c r="E442" s="124"/>
      <c r="F442" s="152"/>
      <c r="G442" s="128"/>
      <c r="H442" s="146"/>
      <c r="I442" s="146"/>
      <c r="J442" s="6"/>
      <c r="K442" s="6"/>
      <c r="L442" s="6"/>
      <c r="M442" s="6"/>
      <c r="N442" s="6"/>
      <c r="O442" s="6"/>
      <c r="P442" s="6"/>
      <c r="Q442" s="6"/>
      <c r="R442" s="6"/>
      <c r="S442" s="6"/>
      <c r="T442" s="6"/>
      <c r="U442" s="6"/>
      <c r="V442" s="6"/>
      <c r="W442" s="6"/>
      <c r="X442" s="6"/>
      <c r="Y442" s="6"/>
      <c r="Z442" s="6"/>
    </row>
    <row r="443" spans="1:26" ht="18" customHeight="1" x14ac:dyDescent="0.3">
      <c r="A443" s="152"/>
      <c r="B443" s="128"/>
      <c r="C443" s="152"/>
      <c r="D443" s="128"/>
      <c r="E443" s="124"/>
      <c r="F443" s="152"/>
      <c r="G443" s="128"/>
      <c r="H443" s="146"/>
      <c r="I443" s="146"/>
      <c r="J443" s="6"/>
      <c r="K443" s="6"/>
      <c r="L443" s="6"/>
      <c r="M443" s="6"/>
      <c r="N443" s="6"/>
      <c r="O443" s="6"/>
      <c r="P443" s="6"/>
      <c r="Q443" s="6"/>
      <c r="R443" s="6"/>
      <c r="S443" s="6"/>
      <c r="T443" s="6"/>
      <c r="U443" s="6"/>
      <c r="V443" s="6"/>
      <c r="W443" s="6"/>
      <c r="X443" s="6"/>
      <c r="Y443" s="6"/>
      <c r="Z443" s="6"/>
    </row>
    <row r="444" spans="1:26" ht="18" customHeight="1" x14ac:dyDescent="0.3">
      <c r="A444" s="152"/>
      <c r="B444" s="128"/>
      <c r="C444" s="152"/>
      <c r="D444" s="128"/>
      <c r="E444" s="124"/>
      <c r="F444" s="152"/>
      <c r="G444" s="128"/>
      <c r="H444" s="146"/>
      <c r="I444" s="146"/>
      <c r="J444" s="6"/>
      <c r="K444" s="6"/>
      <c r="L444" s="6"/>
      <c r="M444" s="6"/>
      <c r="N444" s="6"/>
      <c r="O444" s="6"/>
      <c r="P444" s="6"/>
      <c r="Q444" s="6"/>
      <c r="R444" s="6"/>
      <c r="S444" s="6"/>
      <c r="T444" s="6"/>
      <c r="U444" s="6"/>
      <c r="V444" s="6"/>
      <c r="W444" s="6"/>
      <c r="X444" s="6"/>
      <c r="Y444" s="6"/>
      <c r="Z444" s="6"/>
    </row>
    <row r="445" spans="1:26" ht="18" customHeight="1" x14ac:dyDescent="0.3">
      <c r="A445" s="152"/>
      <c r="B445" s="128"/>
      <c r="C445" s="152"/>
      <c r="D445" s="128"/>
      <c r="E445" s="124"/>
      <c r="F445" s="152"/>
      <c r="G445" s="128"/>
      <c r="H445" s="146"/>
      <c r="I445" s="146"/>
      <c r="J445" s="6"/>
      <c r="K445" s="6"/>
      <c r="L445" s="6"/>
      <c r="M445" s="6"/>
      <c r="N445" s="6"/>
      <c r="O445" s="6"/>
      <c r="P445" s="6"/>
      <c r="Q445" s="6"/>
      <c r="R445" s="6"/>
      <c r="S445" s="6"/>
      <c r="T445" s="6"/>
      <c r="U445" s="6"/>
      <c r="V445" s="6"/>
      <c r="W445" s="6"/>
      <c r="X445" s="6"/>
      <c r="Y445" s="6"/>
      <c r="Z445" s="6"/>
    </row>
    <row r="446" spans="1:26" ht="18" customHeight="1" x14ac:dyDescent="0.3">
      <c r="A446" s="152"/>
      <c r="B446" s="128"/>
      <c r="C446" s="152"/>
      <c r="D446" s="128"/>
      <c r="E446" s="124"/>
      <c r="F446" s="152"/>
      <c r="G446" s="128"/>
      <c r="H446" s="146"/>
      <c r="I446" s="146"/>
      <c r="J446" s="6"/>
      <c r="K446" s="6"/>
      <c r="L446" s="6"/>
      <c r="M446" s="6"/>
      <c r="N446" s="6"/>
      <c r="O446" s="6"/>
      <c r="P446" s="6"/>
      <c r="Q446" s="6"/>
      <c r="R446" s="6"/>
      <c r="S446" s="6"/>
      <c r="T446" s="6"/>
      <c r="U446" s="6"/>
      <c r="V446" s="6"/>
      <c r="W446" s="6"/>
      <c r="X446" s="6"/>
      <c r="Y446" s="6"/>
      <c r="Z446" s="6"/>
    </row>
    <row r="447" spans="1:26" ht="18" customHeight="1" x14ac:dyDescent="0.3">
      <c r="A447" s="152"/>
      <c r="B447" s="128"/>
      <c r="C447" s="152"/>
      <c r="D447" s="128"/>
      <c r="E447" s="124"/>
      <c r="F447" s="152"/>
      <c r="G447" s="128"/>
      <c r="H447" s="146"/>
      <c r="I447" s="146"/>
      <c r="J447" s="6"/>
      <c r="K447" s="6"/>
      <c r="L447" s="6"/>
      <c r="M447" s="6"/>
      <c r="N447" s="6"/>
      <c r="O447" s="6"/>
      <c r="P447" s="6"/>
      <c r="Q447" s="6"/>
      <c r="R447" s="6"/>
      <c r="S447" s="6"/>
      <c r="T447" s="6"/>
      <c r="U447" s="6"/>
      <c r="V447" s="6"/>
      <c r="W447" s="6"/>
      <c r="X447" s="6"/>
      <c r="Y447" s="6"/>
      <c r="Z447" s="6"/>
    </row>
    <row r="448" spans="1:26" ht="18" customHeight="1" x14ac:dyDescent="0.3">
      <c r="A448" s="152"/>
      <c r="B448" s="128"/>
      <c r="C448" s="152"/>
      <c r="D448" s="128"/>
      <c r="E448" s="124"/>
      <c r="F448" s="152"/>
      <c r="G448" s="128"/>
      <c r="H448" s="146"/>
      <c r="I448" s="146"/>
      <c r="J448" s="6"/>
      <c r="K448" s="6"/>
      <c r="L448" s="6"/>
      <c r="M448" s="6"/>
      <c r="N448" s="6"/>
      <c r="O448" s="6"/>
      <c r="P448" s="6"/>
      <c r="Q448" s="6"/>
      <c r="R448" s="6"/>
      <c r="S448" s="6"/>
      <c r="T448" s="6"/>
      <c r="U448" s="6"/>
      <c r="V448" s="6"/>
      <c r="W448" s="6"/>
      <c r="X448" s="6"/>
      <c r="Y448" s="6"/>
      <c r="Z448" s="6"/>
    </row>
    <row r="449" spans="1:26" ht="18" customHeight="1" x14ac:dyDescent="0.3">
      <c r="A449" s="152"/>
      <c r="B449" s="128"/>
      <c r="C449" s="152"/>
      <c r="D449" s="128"/>
      <c r="E449" s="124"/>
      <c r="F449" s="152"/>
      <c r="G449" s="128"/>
      <c r="H449" s="146"/>
      <c r="I449" s="146"/>
      <c r="J449" s="6"/>
      <c r="K449" s="6"/>
      <c r="L449" s="6"/>
      <c r="M449" s="6"/>
      <c r="N449" s="6"/>
      <c r="O449" s="6"/>
      <c r="P449" s="6"/>
      <c r="Q449" s="6"/>
      <c r="R449" s="6"/>
      <c r="S449" s="6"/>
      <c r="T449" s="6"/>
      <c r="U449" s="6"/>
      <c r="V449" s="6"/>
      <c r="W449" s="6"/>
      <c r="X449" s="6"/>
      <c r="Y449" s="6"/>
      <c r="Z449" s="6"/>
    </row>
    <row r="450" spans="1:26" ht="18" customHeight="1" x14ac:dyDescent="0.3">
      <c r="A450" s="152"/>
      <c r="B450" s="128"/>
      <c r="C450" s="152"/>
      <c r="D450" s="128"/>
      <c r="E450" s="124"/>
      <c r="F450" s="152"/>
      <c r="G450" s="128"/>
      <c r="H450" s="146"/>
      <c r="I450" s="146"/>
      <c r="J450" s="6"/>
      <c r="K450" s="6"/>
      <c r="L450" s="6"/>
      <c r="M450" s="6"/>
      <c r="N450" s="6"/>
      <c r="O450" s="6"/>
      <c r="P450" s="6"/>
      <c r="Q450" s="6"/>
      <c r="R450" s="6"/>
      <c r="S450" s="6"/>
      <c r="T450" s="6"/>
      <c r="U450" s="6"/>
      <c r="V450" s="6"/>
      <c r="W450" s="6"/>
      <c r="X450" s="6"/>
      <c r="Y450" s="6"/>
      <c r="Z450" s="6"/>
    </row>
    <row r="451" spans="1:26" ht="18" customHeight="1" x14ac:dyDescent="0.3">
      <c r="A451" s="152"/>
      <c r="B451" s="128"/>
      <c r="C451" s="152"/>
      <c r="D451" s="128"/>
      <c r="E451" s="124"/>
      <c r="F451" s="152"/>
      <c r="G451" s="128"/>
      <c r="H451" s="146"/>
      <c r="I451" s="146"/>
      <c r="J451" s="6"/>
      <c r="K451" s="6"/>
      <c r="L451" s="6"/>
      <c r="M451" s="6"/>
      <c r="N451" s="6"/>
      <c r="O451" s="6"/>
      <c r="P451" s="6"/>
      <c r="Q451" s="6"/>
      <c r="R451" s="6"/>
      <c r="S451" s="6"/>
      <c r="T451" s="6"/>
      <c r="U451" s="6"/>
      <c r="V451" s="6"/>
      <c r="W451" s="6"/>
      <c r="X451" s="6"/>
      <c r="Y451" s="6"/>
      <c r="Z451" s="6"/>
    </row>
    <row r="452" spans="1:26" ht="18" customHeight="1" x14ac:dyDescent="0.3">
      <c r="A452" s="152"/>
      <c r="B452" s="128"/>
      <c r="C452" s="152"/>
      <c r="D452" s="128"/>
      <c r="E452" s="124"/>
      <c r="F452" s="152"/>
      <c r="G452" s="128"/>
      <c r="H452" s="146"/>
      <c r="I452" s="146"/>
      <c r="J452" s="6"/>
      <c r="K452" s="6"/>
      <c r="L452" s="6"/>
      <c r="M452" s="6"/>
      <c r="N452" s="6"/>
      <c r="O452" s="6"/>
      <c r="P452" s="6"/>
      <c r="Q452" s="6"/>
      <c r="R452" s="6"/>
      <c r="S452" s="6"/>
      <c r="T452" s="6"/>
      <c r="U452" s="6"/>
      <c r="V452" s="6"/>
      <c r="W452" s="6"/>
      <c r="X452" s="6"/>
      <c r="Y452" s="6"/>
      <c r="Z452" s="6"/>
    </row>
    <row r="453" spans="1:26" ht="18" customHeight="1" x14ac:dyDescent="0.3">
      <c r="A453" s="152"/>
      <c r="B453" s="128"/>
      <c r="C453" s="152"/>
      <c r="D453" s="128"/>
      <c r="E453" s="124"/>
      <c r="F453" s="152"/>
      <c r="G453" s="128"/>
      <c r="H453" s="146"/>
      <c r="I453" s="146"/>
      <c r="J453" s="6"/>
      <c r="K453" s="6"/>
      <c r="L453" s="6"/>
      <c r="M453" s="6"/>
      <c r="N453" s="6"/>
      <c r="O453" s="6"/>
      <c r="P453" s="6"/>
      <c r="Q453" s="6"/>
      <c r="R453" s="6"/>
      <c r="S453" s="6"/>
      <c r="T453" s="6"/>
      <c r="U453" s="6"/>
      <c r="V453" s="6"/>
      <c r="W453" s="6"/>
      <c r="X453" s="6"/>
      <c r="Y453" s="6"/>
      <c r="Z453" s="6"/>
    </row>
    <row r="454" spans="1:26" ht="18" customHeight="1" x14ac:dyDescent="0.3">
      <c r="A454" s="152"/>
      <c r="B454" s="128"/>
      <c r="C454" s="152"/>
      <c r="D454" s="128"/>
      <c r="E454" s="124"/>
      <c r="F454" s="152"/>
      <c r="G454" s="128"/>
      <c r="H454" s="146"/>
      <c r="I454" s="146"/>
      <c r="J454" s="6"/>
      <c r="K454" s="6"/>
      <c r="L454" s="6"/>
      <c r="M454" s="6"/>
      <c r="N454" s="6"/>
      <c r="O454" s="6"/>
      <c r="P454" s="6"/>
      <c r="Q454" s="6"/>
      <c r="R454" s="6"/>
      <c r="S454" s="6"/>
      <c r="T454" s="6"/>
      <c r="U454" s="6"/>
      <c r="V454" s="6"/>
      <c r="W454" s="6"/>
      <c r="X454" s="6"/>
      <c r="Y454" s="6"/>
      <c r="Z454" s="6"/>
    </row>
    <row r="455" spans="1:26" ht="18" customHeight="1" x14ac:dyDescent="0.3">
      <c r="A455" s="152"/>
      <c r="B455" s="128"/>
      <c r="C455" s="152"/>
      <c r="D455" s="128"/>
      <c r="E455" s="124"/>
      <c r="F455" s="152"/>
      <c r="G455" s="128"/>
      <c r="H455" s="146"/>
      <c r="I455" s="146"/>
      <c r="J455" s="6"/>
      <c r="K455" s="6"/>
      <c r="L455" s="6"/>
      <c r="M455" s="6"/>
      <c r="N455" s="6"/>
      <c r="O455" s="6"/>
      <c r="P455" s="6"/>
      <c r="Q455" s="6"/>
      <c r="R455" s="6"/>
      <c r="S455" s="6"/>
      <c r="T455" s="6"/>
      <c r="U455" s="6"/>
      <c r="V455" s="6"/>
      <c r="W455" s="6"/>
      <c r="X455" s="6"/>
      <c r="Y455" s="6"/>
      <c r="Z455" s="6"/>
    </row>
    <row r="456" spans="1:26" ht="18" customHeight="1" x14ac:dyDescent="0.3">
      <c r="A456" s="152"/>
      <c r="B456" s="128"/>
      <c r="C456" s="152"/>
      <c r="D456" s="128"/>
      <c r="E456" s="124"/>
      <c r="F456" s="152"/>
      <c r="G456" s="128"/>
      <c r="H456" s="146"/>
      <c r="I456" s="146"/>
      <c r="J456" s="6"/>
      <c r="K456" s="6"/>
      <c r="L456" s="6"/>
      <c r="M456" s="6"/>
      <c r="N456" s="6"/>
      <c r="O456" s="6"/>
      <c r="P456" s="6"/>
      <c r="Q456" s="6"/>
      <c r="R456" s="6"/>
      <c r="S456" s="6"/>
      <c r="T456" s="6"/>
      <c r="U456" s="6"/>
      <c r="V456" s="6"/>
      <c r="W456" s="6"/>
      <c r="X456" s="6"/>
      <c r="Y456" s="6"/>
      <c r="Z456" s="6"/>
    </row>
    <row r="457" spans="1:26" ht="18" customHeight="1" x14ac:dyDescent="0.3">
      <c r="A457" s="152"/>
      <c r="B457" s="128"/>
      <c r="C457" s="152"/>
      <c r="D457" s="128"/>
      <c r="E457" s="124"/>
      <c r="F457" s="152"/>
      <c r="G457" s="128"/>
      <c r="H457" s="146"/>
      <c r="I457" s="146"/>
      <c r="J457" s="6"/>
      <c r="K457" s="6"/>
      <c r="L457" s="6"/>
      <c r="M457" s="6"/>
      <c r="N457" s="6"/>
      <c r="O457" s="6"/>
      <c r="P457" s="6"/>
      <c r="Q457" s="6"/>
      <c r="R457" s="6"/>
      <c r="S457" s="6"/>
      <c r="T457" s="6"/>
      <c r="U457" s="6"/>
      <c r="V457" s="6"/>
      <c r="W457" s="6"/>
      <c r="X457" s="6"/>
      <c r="Y457" s="6"/>
      <c r="Z457" s="6"/>
    </row>
    <row r="458" spans="1:26" ht="18" customHeight="1" x14ac:dyDescent="0.3">
      <c r="A458" s="152"/>
      <c r="B458" s="128"/>
      <c r="C458" s="152"/>
      <c r="D458" s="128"/>
      <c r="E458" s="124"/>
      <c r="F458" s="152"/>
      <c r="G458" s="128"/>
      <c r="H458" s="146"/>
      <c r="I458" s="146"/>
      <c r="J458" s="6"/>
      <c r="K458" s="6"/>
      <c r="L458" s="6"/>
      <c r="M458" s="6"/>
      <c r="N458" s="6"/>
      <c r="O458" s="6"/>
      <c r="P458" s="6"/>
      <c r="Q458" s="6"/>
      <c r="R458" s="6"/>
      <c r="S458" s="6"/>
      <c r="T458" s="6"/>
      <c r="U458" s="6"/>
      <c r="V458" s="6"/>
      <c r="W458" s="6"/>
      <c r="X458" s="6"/>
      <c r="Y458" s="6"/>
      <c r="Z458" s="6"/>
    </row>
    <row r="459" spans="1:26" ht="18" customHeight="1" x14ac:dyDescent="0.3">
      <c r="A459" s="152"/>
      <c r="B459" s="128"/>
      <c r="C459" s="152"/>
      <c r="D459" s="128"/>
      <c r="E459" s="124"/>
      <c r="F459" s="152"/>
      <c r="G459" s="128"/>
      <c r="H459" s="146"/>
      <c r="I459" s="146"/>
      <c r="J459" s="6"/>
      <c r="K459" s="6"/>
      <c r="L459" s="6"/>
      <c r="M459" s="6"/>
      <c r="N459" s="6"/>
      <c r="O459" s="6"/>
      <c r="P459" s="6"/>
      <c r="Q459" s="6"/>
      <c r="R459" s="6"/>
      <c r="S459" s="6"/>
      <c r="T459" s="6"/>
      <c r="U459" s="6"/>
      <c r="V459" s="6"/>
      <c r="W459" s="6"/>
      <c r="X459" s="6"/>
      <c r="Y459" s="6"/>
      <c r="Z459" s="6"/>
    </row>
    <row r="460" spans="1:26" ht="18" customHeight="1" x14ac:dyDescent="0.3">
      <c r="A460" s="152"/>
      <c r="B460" s="128"/>
      <c r="C460" s="152"/>
      <c r="D460" s="128"/>
      <c r="E460" s="124"/>
      <c r="F460" s="152"/>
      <c r="G460" s="128"/>
      <c r="H460" s="146"/>
      <c r="I460" s="146"/>
      <c r="J460" s="6"/>
      <c r="K460" s="6"/>
      <c r="L460" s="6"/>
      <c r="M460" s="6"/>
      <c r="N460" s="6"/>
      <c r="O460" s="6"/>
      <c r="P460" s="6"/>
      <c r="Q460" s="6"/>
      <c r="R460" s="6"/>
      <c r="S460" s="6"/>
      <c r="T460" s="6"/>
      <c r="U460" s="6"/>
      <c r="V460" s="6"/>
      <c r="W460" s="6"/>
      <c r="X460" s="6"/>
      <c r="Y460" s="6"/>
      <c r="Z460" s="6"/>
    </row>
    <row r="461" spans="1:26" ht="18" customHeight="1" x14ac:dyDescent="0.3">
      <c r="A461" s="152"/>
      <c r="B461" s="128"/>
      <c r="C461" s="152"/>
      <c r="D461" s="128"/>
      <c r="E461" s="124"/>
      <c r="F461" s="152"/>
      <c r="G461" s="128"/>
      <c r="H461" s="146"/>
      <c r="I461" s="146"/>
      <c r="J461" s="6"/>
      <c r="K461" s="6"/>
      <c r="L461" s="6"/>
      <c r="M461" s="6"/>
      <c r="N461" s="6"/>
      <c r="O461" s="6"/>
      <c r="P461" s="6"/>
      <c r="Q461" s="6"/>
      <c r="R461" s="6"/>
      <c r="S461" s="6"/>
      <c r="T461" s="6"/>
      <c r="U461" s="6"/>
      <c r="V461" s="6"/>
      <c r="W461" s="6"/>
      <c r="X461" s="6"/>
      <c r="Y461" s="6"/>
      <c r="Z461" s="6"/>
    </row>
    <row r="462" spans="1:26" ht="18" customHeight="1" x14ac:dyDescent="0.3">
      <c r="A462" s="152"/>
      <c r="B462" s="128"/>
      <c r="C462" s="152"/>
      <c r="D462" s="128"/>
      <c r="E462" s="124"/>
      <c r="F462" s="152"/>
      <c r="G462" s="128"/>
      <c r="H462" s="146"/>
      <c r="I462" s="146"/>
      <c r="J462" s="6"/>
      <c r="K462" s="6"/>
      <c r="L462" s="6"/>
      <c r="M462" s="6"/>
      <c r="N462" s="6"/>
      <c r="O462" s="6"/>
      <c r="P462" s="6"/>
      <c r="Q462" s="6"/>
      <c r="R462" s="6"/>
      <c r="S462" s="6"/>
      <c r="T462" s="6"/>
      <c r="U462" s="6"/>
      <c r="V462" s="6"/>
      <c r="W462" s="6"/>
      <c r="X462" s="6"/>
      <c r="Y462" s="6"/>
      <c r="Z462" s="6"/>
    </row>
    <row r="463" spans="1:26" ht="18" customHeight="1" x14ac:dyDescent="0.3">
      <c r="A463" s="152"/>
      <c r="B463" s="128"/>
      <c r="C463" s="152"/>
      <c r="D463" s="128"/>
      <c r="E463" s="124"/>
      <c r="F463" s="152"/>
      <c r="G463" s="128"/>
      <c r="H463" s="146"/>
      <c r="I463" s="146"/>
      <c r="J463" s="6"/>
      <c r="K463" s="6"/>
      <c r="L463" s="6"/>
      <c r="M463" s="6"/>
      <c r="N463" s="6"/>
      <c r="O463" s="6"/>
      <c r="P463" s="6"/>
      <c r="Q463" s="6"/>
      <c r="R463" s="6"/>
      <c r="S463" s="6"/>
      <c r="T463" s="6"/>
      <c r="U463" s="6"/>
      <c r="V463" s="6"/>
      <c r="W463" s="6"/>
      <c r="X463" s="6"/>
      <c r="Y463" s="6"/>
      <c r="Z463" s="6"/>
    </row>
    <row r="464" spans="1:26" ht="18" customHeight="1" x14ac:dyDescent="0.3">
      <c r="A464" s="152"/>
      <c r="B464" s="128"/>
      <c r="C464" s="152"/>
      <c r="D464" s="128"/>
      <c r="E464" s="124"/>
      <c r="F464" s="152"/>
      <c r="G464" s="128"/>
      <c r="H464" s="146"/>
      <c r="I464" s="146"/>
      <c r="J464" s="6"/>
      <c r="K464" s="6"/>
      <c r="L464" s="6"/>
      <c r="M464" s="6"/>
      <c r="N464" s="6"/>
      <c r="O464" s="6"/>
      <c r="P464" s="6"/>
      <c r="Q464" s="6"/>
      <c r="R464" s="6"/>
      <c r="S464" s="6"/>
      <c r="T464" s="6"/>
      <c r="U464" s="6"/>
      <c r="V464" s="6"/>
      <c r="W464" s="6"/>
      <c r="X464" s="6"/>
      <c r="Y464" s="6"/>
      <c r="Z464" s="6"/>
    </row>
    <row r="465" spans="1:26" ht="18" customHeight="1" x14ac:dyDescent="0.3">
      <c r="A465" s="152"/>
      <c r="B465" s="128"/>
      <c r="C465" s="152"/>
      <c r="D465" s="128"/>
      <c r="E465" s="124"/>
      <c r="F465" s="152"/>
      <c r="G465" s="128"/>
      <c r="H465" s="146"/>
      <c r="I465" s="146"/>
      <c r="J465" s="6"/>
      <c r="K465" s="6"/>
      <c r="L465" s="6"/>
      <c r="M465" s="6"/>
      <c r="N465" s="6"/>
      <c r="O465" s="6"/>
      <c r="P465" s="6"/>
      <c r="Q465" s="6"/>
      <c r="R465" s="6"/>
      <c r="S465" s="6"/>
      <c r="T465" s="6"/>
      <c r="U465" s="6"/>
      <c r="V465" s="6"/>
      <c r="W465" s="6"/>
      <c r="X465" s="6"/>
      <c r="Y465" s="6"/>
      <c r="Z465" s="6"/>
    </row>
    <row r="466" spans="1:26" ht="18" customHeight="1" x14ac:dyDescent="0.3">
      <c r="A466" s="152"/>
      <c r="B466" s="128"/>
      <c r="C466" s="152"/>
      <c r="D466" s="128"/>
      <c r="E466" s="124"/>
      <c r="F466" s="152"/>
      <c r="G466" s="128"/>
      <c r="H466" s="146"/>
      <c r="I466" s="146"/>
      <c r="J466" s="6"/>
      <c r="K466" s="6"/>
      <c r="L466" s="6"/>
      <c r="M466" s="6"/>
      <c r="N466" s="6"/>
      <c r="O466" s="6"/>
      <c r="P466" s="6"/>
      <c r="Q466" s="6"/>
      <c r="R466" s="6"/>
      <c r="S466" s="6"/>
      <c r="T466" s="6"/>
      <c r="U466" s="6"/>
      <c r="V466" s="6"/>
      <c r="W466" s="6"/>
      <c r="X466" s="6"/>
      <c r="Y466" s="6"/>
      <c r="Z466" s="6"/>
    </row>
    <row r="467" spans="1:26" ht="18" customHeight="1" x14ac:dyDescent="0.3">
      <c r="A467" s="152"/>
      <c r="B467" s="128"/>
      <c r="C467" s="152"/>
      <c r="D467" s="128"/>
      <c r="E467" s="124"/>
      <c r="F467" s="152"/>
      <c r="G467" s="128"/>
      <c r="H467" s="146"/>
      <c r="I467" s="146"/>
      <c r="J467" s="6"/>
      <c r="K467" s="6"/>
      <c r="L467" s="6"/>
      <c r="M467" s="6"/>
      <c r="N467" s="6"/>
      <c r="O467" s="6"/>
      <c r="P467" s="6"/>
      <c r="Q467" s="6"/>
      <c r="R467" s="6"/>
      <c r="S467" s="6"/>
      <c r="T467" s="6"/>
      <c r="U467" s="6"/>
      <c r="V467" s="6"/>
      <c r="W467" s="6"/>
      <c r="X467" s="6"/>
      <c r="Y467" s="6"/>
      <c r="Z467" s="6"/>
    </row>
    <row r="468" spans="1:26" ht="18" customHeight="1" x14ac:dyDescent="0.3">
      <c r="A468" s="152"/>
      <c r="B468" s="128"/>
      <c r="C468" s="152"/>
      <c r="D468" s="128"/>
      <c r="E468" s="124"/>
      <c r="F468" s="152"/>
      <c r="G468" s="128"/>
      <c r="H468" s="146"/>
      <c r="I468" s="146"/>
      <c r="J468" s="6"/>
      <c r="K468" s="6"/>
      <c r="L468" s="6"/>
      <c r="M468" s="6"/>
      <c r="N468" s="6"/>
      <c r="O468" s="6"/>
      <c r="P468" s="6"/>
      <c r="Q468" s="6"/>
      <c r="R468" s="6"/>
      <c r="S468" s="6"/>
      <c r="T468" s="6"/>
      <c r="U468" s="6"/>
      <c r="V468" s="6"/>
      <c r="W468" s="6"/>
      <c r="X468" s="6"/>
      <c r="Y468" s="6"/>
      <c r="Z468" s="6"/>
    </row>
    <row r="469" spans="1:26" ht="18" customHeight="1" x14ac:dyDescent="0.3">
      <c r="A469" s="152"/>
      <c r="B469" s="128"/>
      <c r="C469" s="152"/>
      <c r="D469" s="128"/>
      <c r="E469" s="124"/>
      <c r="F469" s="152"/>
      <c r="G469" s="128"/>
      <c r="H469" s="146"/>
      <c r="I469" s="146"/>
      <c r="J469" s="6"/>
      <c r="K469" s="6"/>
      <c r="L469" s="6"/>
      <c r="M469" s="6"/>
      <c r="N469" s="6"/>
      <c r="O469" s="6"/>
      <c r="P469" s="6"/>
      <c r="Q469" s="6"/>
      <c r="R469" s="6"/>
      <c r="S469" s="6"/>
      <c r="T469" s="6"/>
      <c r="U469" s="6"/>
      <c r="V469" s="6"/>
      <c r="W469" s="6"/>
      <c r="X469" s="6"/>
      <c r="Y469" s="6"/>
      <c r="Z469" s="6"/>
    </row>
    <row r="470" spans="1:26" ht="18" customHeight="1" x14ac:dyDescent="0.3">
      <c r="A470" s="152"/>
      <c r="B470" s="128"/>
      <c r="C470" s="152"/>
      <c r="D470" s="128"/>
      <c r="E470" s="124"/>
      <c r="F470" s="152"/>
      <c r="G470" s="128"/>
      <c r="H470" s="146"/>
      <c r="I470" s="146"/>
      <c r="J470" s="6"/>
      <c r="K470" s="6"/>
      <c r="L470" s="6"/>
      <c r="M470" s="6"/>
      <c r="N470" s="6"/>
      <c r="O470" s="6"/>
      <c r="P470" s="6"/>
      <c r="Q470" s="6"/>
      <c r="R470" s="6"/>
      <c r="S470" s="6"/>
      <c r="T470" s="6"/>
      <c r="U470" s="6"/>
      <c r="V470" s="6"/>
      <c r="W470" s="6"/>
      <c r="X470" s="6"/>
      <c r="Y470" s="6"/>
      <c r="Z470" s="6"/>
    </row>
    <row r="471" spans="1:26" ht="18" customHeight="1" x14ac:dyDescent="0.3">
      <c r="A471" s="152"/>
      <c r="B471" s="128"/>
      <c r="C471" s="152"/>
      <c r="D471" s="128"/>
      <c r="E471" s="124"/>
      <c r="F471" s="152"/>
      <c r="G471" s="128"/>
      <c r="H471" s="146"/>
      <c r="I471" s="146"/>
      <c r="J471" s="6"/>
      <c r="K471" s="6"/>
      <c r="L471" s="6"/>
      <c r="M471" s="6"/>
      <c r="N471" s="6"/>
      <c r="O471" s="6"/>
      <c r="P471" s="6"/>
      <c r="Q471" s="6"/>
      <c r="R471" s="6"/>
      <c r="S471" s="6"/>
      <c r="T471" s="6"/>
      <c r="U471" s="6"/>
      <c r="V471" s="6"/>
      <c r="W471" s="6"/>
      <c r="X471" s="6"/>
      <c r="Y471" s="6"/>
      <c r="Z471" s="6"/>
    </row>
    <row r="472" spans="1:26" ht="18" customHeight="1" x14ac:dyDescent="0.3">
      <c r="A472" s="152"/>
      <c r="B472" s="128"/>
      <c r="C472" s="152"/>
      <c r="D472" s="128"/>
      <c r="E472" s="124"/>
      <c r="F472" s="152"/>
      <c r="G472" s="128"/>
      <c r="H472" s="146"/>
      <c r="I472" s="146"/>
      <c r="J472" s="6"/>
      <c r="K472" s="6"/>
      <c r="L472" s="6"/>
      <c r="M472" s="6"/>
      <c r="N472" s="6"/>
      <c r="O472" s="6"/>
      <c r="P472" s="6"/>
      <c r="Q472" s="6"/>
      <c r="R472" s="6"/>
      <c r="S472" s="6"/>
      <c r="T472" s="6"/>
      <c r="U472" s="6"/>
      <c r="V472" s="6"/>
      <c r="W472" s="6"/>
      <c r="X472" s="6"/>
      <c r="Y472" s="6"/>
      <c r="Z472" s="6"/>
    </row>
    <row r="473" spans="1:26" ht="18" customHeight="1" x14ac:dyDescent="0.3">
      <c r="A473" s="152"/>
      <c r="B473" s="128"/>
      <c r="C473" s="152"/>
      <c r="D473" s="128"/>
      <c r="E473" s="124"/>
      <c r="F473" s="152"/>
      <c r="G473" s="128"/>
      <c r="H473" s="146"/>
      <c r="I473" s="146"/>
      <c r="J473" s="6"/>
      <c r="K473" s="6"/>
      <c r="L473" s="6"/>
      <c r="M473" s="6"/>
      <c r="N473" s="6"/>
      <c r="O473" s="6"/>
      <c r="P473" s="6"/>
      <c r="Q473" s="6"/>
      <c r="R473" s="6"/>
      <c r="S473" s="6"/>
      <c r="T473" s="6"/>
      <c r="U473" s="6"/>
      <c r="V473" s="6"/>
      <c r="W473" s="6"/>
      <c r="X473" s="6"/>
      <c r="Y473" s="6"/>
      <c r="Z473" s="6"/>
    </row>
    <row r="474" spans="1:26" ht="18" customHeight="1" x14ac:dyDescent="0.3">
      <c r="A474" s="152"/>
      <c r="B474" s="128"/>
      <c r="C474" s="152"/>
      <c r="D474" s="128"/>
      <c r="E474" s="124"/>
      <c r="F474" s="152"/>
      <c r="G474" s="128"/>
      <c r="H474" s="146"/>
      <c r="I474" s="146"/>
      <c r="J474" s="6"/>
      <c r="K474" s="6"/>
      <c r="L474" s="6"/>
      <c r="M474" s="6"/>
      <c r="N474" s="6"/>
      <c r="O474" s="6"/>
      <c r="P474" s="6"/>
      <c r="Q474" s="6"/>
      <c r="R474" s="6"/>
      <c r="S474" s="6"/>
      <c r="T474" s="6"/>
      <c r="U474" s="6"/>
      <c r="V474" s="6"/>
      <c r="W474" s="6"/>
      <c r="X474" s="6"/>
      <c r="Y474" s="6"/>
      <c r="Z474" s="6"/>
    </row>
    <row r="475" spans="1:26" ht="18" customHeight="1" x14ac:dyDescent="0.3">
      <c r="A475" s="152"/>
      <c r="B475" s="128"/>
      <c r="C475" s="152"/>
      <c r="D475" s="128"/>
      <c r="E475" s="124"/>
      <c r="F475" s="152"/>
      <c r="G475" s="128"/>
      <c r="H475" s="146"/>
      <c r="I475" s="146"/>
      <c r="J475" s="6"/>
      <c r="K475" s="6"/>
      <c r="L475" s="6"/>
      <c r="M475" s="6"/>
      <c r="N475" s="6"/>
      <c r="O475" s="6"/>
      <c r="P475" s="6"/>
      <c r="Q475" s="6"/>
      <c r="R475" s="6"/>
      <c r="S475" s="6"/>
      <c r="T475" s="6"/>
      <c r="U475" s="6"/>
      <c r="V475" s="6"/>
      <c r="W475" s="6"/>
      <c r="X475" s="6"/>
      <c r="Y475" s="6"/>
      <c r="Z475" s="6"/>
    </row>
    <row r="476" spans="1:26" ht="18" customHeight="1" x14ac:dyDescent="0.3">
      <c r="A476" s="152"/>
      <c r="B476" s="128"/>
      <c r="C476" s="152"/>
      <c r="D476" s="128"/>
      <c r="E476" s="124"/>
      <c r="F476" s="152"/>
      <c r="G476" s="128"/>
      <c r="H476" s="146"/>
      <c r="I476" s="146"/>
      <c r="J476" s="6"/>
      <c r="K476" s="6"/>
      <c r="L476" s="6"/>
      <c r="M476" s="6"/>
      <c r="N476" s="6"/>
      <c r="O476" s="6"/>
      <c r="P476" s="6"/>
      <c r="Q476" s="6"/>
      <c r="R476" s="6"/>
      <c r="S476" s="6"/>
      <c r="T476" s="6"/>
      <c r="U476" s="6"/>
      <c r="V476" s="6"/>
      <c r="W476" s="6"/>
      <c r="X476" s="6"/>
      <c r="Y476" s="6"/>
      <c r="Z476" s="6"/>
    </row>
    <row r="477" spans="1:26" ht="18" customHeight="1" x14ac:dyDescent="0.3">
      <c r="A477" s="152"/>
      <c r="B477" s="128"/>
      <c r="C477" s="152"/>
      <c r="D477" s="128"/>
      <c r="E477" s="124"/>
      <c r="F477" s="152"/>
      <c r="G477" s="128"/>
      <c r="H477" s="146"/>
      <c r="I477" s="146"/>
      <c r="J477" s="6"/>
      <c r="K477" s="6"/>
      <c r="L477" s="6"/>
      <c r="M477" s="6"/>
      <c r="N477" s="6"/>
      <c r="O477" s="6"/>
      <c r="P477" s="6"/>
      <c r="Q477" s="6"/>
      <c r="R477" s="6"/>
      <c r="S477" s="6"/>
      <c r="T477" s="6"/>
      <c r="U477" s="6"/>
      <c r="V477" s="6"/>
      <c r="W477" s="6"/>
      <c r="X477" s="6"/>
      <c r="Y477" s="6"/>
      <c r="Z477" s="6"/>
    </row>
    <row r="478" spans="1:26" ht="18" customHeight="1" x14ac:dyDescent="0.3">
      <c r="A478" s="152"/>
      <c r="B478" s="128"/>
      <c r="C478" s="152"/>
      <c r="D478" s="128"/>
      <c r="E478" s="124"/>
      <c r="F478" s="152"/>
      <c r="G478" s="128"/>
      <c r="H478" s="146"/>
      <c r="I478" s="146"/>
      <c r="J478" s="6"/>
      <c r="K478" s="6"/>
      <c r="L478" s="6"/>
      <c r="M478" s="6"/>
      <c r="N478" s="6"/>
      <c r="O478" s="6"/>
      <c r="P478" s="6"/>
      <c r="Q478" s="6"/>
      <c r="R478" s="6"/>
      <c r="S478" s="6"/>
      <c r="T478" s="6"/>
      <c r="U478" s="6"/>
      <c r="V478" s="6"/>
      <c r="W478" s="6"/>
      <c r="X478" s="6"/>
      <c r="Y478" s="6"/>
      <c r="Z478" s="6"/>
    </row>
    <row r="479" spans="1:26" ht="18" customHeight="1" x14ac:dyDescent="0.3">
      <c r="A479" s="152"/>
      <c r="B479" s="128"/>
      <c r="C479" s="152"/>
      <c r="D479" s="128"/>
      <c r="E479" s="124"/>
      <c r="F479" s="152"/>
      <c r="G479" s="128"/>
      <c r="H479" s="146"/>
      <c r="I479" s="146"/>
      <c r="J479" s="6"/>
      <c r="K479" s="6"/>
      <c r="L479" s="6"/>
      <c r="M479" s="6"/>
      <c r="N479" s="6"/>
      <c r="O479" s="6"/>
      <c r="P479" s="6"/>
      <c r="Q479" s="6"/>
      <c r="R479" s="6"/>
      <c r="S479" s="6"/>
      <c r="T479" s="6"/>
      <c r="U479" s="6"/>
      <c r="V479" s="6"/>
      <c r="W479" s="6"/>
      <c r="X479" s="6"/>
      <c r="Y479" s="6"/>
      <c r="Z479" s="6"/>
    </row>
    <row r="480" spans="1:26" ht="18" customHeight="1" x14ac:dyDescent="0.3">
      <c r="A480" s="152"/>
      <c r="B480" s="128"/>
      <c r="C480" s="152"/>
      <c r="D480" s="128"/>
      <c r="E480" s="124"/>
      <c r="F480" s="152"/>
      <c r="G480" s="128"/>
      <c r="H480" s="146"/>
      <c r="I480" s="146"/>
      <c r="J480" s="6"/>
      <c r="K480" s="6"/>
      <c r="L480" s="6"/>
      <c r="M480" s="6"/>
      <c r="N480" s="6"/>
      <c r="O480" s="6"/>
      <c r="P480" s="6"/>
      <c r="Q480" s="6"/>
      <c r="R480" s="6"/>
      <c r="S480" s="6"/>
      <c r="T480" s="6"/>
      <c r="U480" s="6"/>
      <c r="V480" s="6"/>
      <c r="W480" s="6"/>
      <c r="X480" s="6"/>
      <c r="Y480" s="6"/>
      <c r="Z480" s="6"/>
    </row>
    <row r="481" spans="1:26" ht="18" customHeight="1" x14ac:dyDescent="0.3">
      <c r="A481" s="152"/>
      <c r="B481" s="128"/>
      <c r="C481" s="152"/>
      <c r="D481" s="128"/>
      <c r="E481" s="124"/>
      <c r="F481" s="152"/>
      <c r="G481" s="128"/>
      <c r="H481" s="146"/>
      <c r="I481" s="146"/>
      <c r="J481" s="6"/>
      <c r="K481" s="6"/>
      <c r="L481" s="6"/>
      <c r="M481" s="6"/>
      <c r="N481" s="6"/>
      <c r="O481" s="6"/>
      <c r="P481" s="6"/>
      <c r="Q481" s="6"/>
      <c r="R481" s="6"/>
      <c r="S481" s="6"/>
      <c r="T481" s="6"/>
      <c r="U481" s="6"/>
      <c r="V481" s="6"/>
      <c r="W481" s="6"/>
      <c r="X481" s="6"/>
      <c r="Y481" s="6"/>
      <c r="Z481" s="6"/>
    </row>
    <row r="482" spans="1:26" ht="18" customHeight="1" x14ac:dyDescent="0.3">
      <c r="A482" s="152"/>
      <c r="B482" s="128"/>
      <c r="C482" s="152"/>
      <c r="D482" s="128"/>
      <c r="E482" s="124"/>
      <c r="F482" s="152"/>
      <c r="G482" s="128"/>
      <c r="H482" s="146"/>
      <c r="I482" s="146"/>
      <c r="J482" s="6"/>
      <c r="K482" s="6"/>
      <c r="L482" s="6"/>
      <c r="M482" s="6"/>
      <c r="N482" s="6"/>
      <c r="O482" s="6"/>
      <c r="P482" s="6"/>
      <c r="Q482" s="6"/>
      <c r="R482" s="6"/>
      <c r="S482" s="6"/>
      <c r="T482" s="6"/>
      <c r="U482" s="6"/>
      <c r="V482" s="6"/>
      <c r="W482" s="6"/>
      <c r="X482" s="6"/>
      <c r="Y482" s="6"/>
      <c r="Z482" s="6"/>
    </row>
    <row r="483" spans="1:26" ht="18" customHeight="1" x14ac:dyDescent="0.3">
      <c r="A483" s="152"/>
      <c r="B483" s="128"/>
      <c r="C483" s="152"/>
      <c r="D483" s="128"/>
      <c r="E483" s="124"/>
      <c r="F483" s="152"/>
      <c r="G483" s="128"/>
      <c r="H483" s="146"/>
      <c r="I483" s="146"/>
      <c r="J483" s="6"/>
      <c r="K483" s="6"/>
      <c r="L483" s="6"/>
      <c r="M483" s="6"/>
      <c r="N483" s="6"/>
      <c r="O483" s="6"/>
      <c r="P483" s="6"/>
      <c r="Q483" s="6"/>
      <c r="R483" s="6"/>
      <c r="S483" s="6"/>
      <c r="T483" s="6"/>
      <c r="U483" s="6"/>
      <c r="V483" s="6"/>
      <c r="W483" s="6"/>
      <c r="X483" s="6"/>
      <c r="Y483" s="6"/>
      <c r="Z483" s="6"/>
    </row>
    <row r="484" spans="1:26" ht="18" customHeight="1" x14ac:dyDescent="0.3">
      <c r="A484" s="152"/>
      <c r="B484" s="128"/>
      <c r="C484" s="152"/>
      <c r="D484" s="128"/>
      <c r="E484" s="124"/>
      <c r="F484" s="152"/>
      <c r="G484" s="128"/>
      <c r="H484" s="146"/>
      <c r="I484" s="146"/>
      <c r="J484" s="6"/>
      <c r="K484" s="6"/>
      <c r="L484" s="6"/>
      <c r="M484" s="6"/>
      <c r="N484" s="6"/>
      <c r="O484" s="6"/>
      <c r="P484" s="6"/>
      <c r="Q484" s="6"/>
      <c r="R484" s="6"/>
      <c r="S484" s="6"/>
      <c r="T484" s="6"/>
      <c r="U484" s="6"/>
      <c r="V484" s="6"/>
      <c r="W484" s="6"/>
      <c r="X484" s="6"/>
      <c r="Y484" s="6"/>
      <c r="Z484" s="6"/>
    </row>
    <row r="485" spans="1:26" ht="18" customHeight="1" x14ac:dyDescent="0.3">
      <c r="A485" s="152"/>
      <c r="B485" s="128"/>
      <c r="C485" s="152"/>
      <c r="D485" s="128"/>
      <c r="E485" s="124"/>
      <c r="F485" s="152"/>
      <c r="G485" s="128"/>
      <c r="H485" s="146"/>
      <c r="I485" s="146"/>
      <c r="J485" s="6"/>
      <c r="K485" s="6"/>
      <c r="L485" s="6"/>
      <c r="M485" s="6"/>
      <c r="N485" s="6"/>
      <c r="O485" s="6"/>
      <c r="P485" s="6"/>
      <c r="Q485" s="6"/>
      <c r="R485" s="6"/>
      <c r="S485" s="6"/>
      <c r="T485" s="6"/>
      <c r="U485" s="6"/>
      <c r="V485" s="6"/>
      <c r="W485" s="6"/>
      <c r="X485" s="6"/>
      <c r="Y485" s="6"/>
      <c r="Z485" s="6"/>
    </row>
    <row r="486" spans="1:26" ht="18" customHeight="1" x14ac:dyDescent="0.3">
      <c r="A486" s="152"/>
      <c r="B486" s="128"/>
      <c r="C486" s="152"/>
      <c r="D486" s="128"/>
      <c r="E486" s="124"/>
      <c r="F486" s="152"/>
      <c r="G486" s="128"/>
      <c r="H486" s="146"/>
      <c r="I486" s="146"/>
      <c r="J486" s="6"/>
      <c r="K486" s="6"/>
      <c r="L486" s="6"/>
      <c r="M486" s="6"/>
      <c r="N486" s="6"/>
      <c r="O486" s="6"/>
      <c r="P486" s="6"/>
      <c r="Q486" s="6"/>
      <c r="R486" s="6"/>
      <c r="S486" s="6"/>
      <c r="T486" s="6"/>
      <c r="U486" s="6"/>
      <c r="V486" s="6"/>
      <c r="W486" s="6"/>
      <c r="X486" s="6"/>
      <c r="Y486" s="6"/>
      <c r="Z486" s="6"/>
    </row>
    <row r="487" spans="1:26" ht="18" customHeight="1" x14ac:dyDescent="0.3">
      <c r="A487" s="152"/>
      <c r="B487" s="128"/>
      <c r="C487" s="152"/>
      <c r="D487" s="128"/>
      <c r="E487" s="124"/>
      <c r="F487" s="152"/>
      <c r="G487" s="128"/>
      <c r="H487" s="146"/>
      <c r="I487" s="146"/>
      <c r="J487" s="6"/>
      <c r="K487" s="6"/>
      <c r="L487" s="6"/>
      <c r="M487" s="6"/>
      <c r="N487" s="6"/>
      <c r="O487" s="6"/>
      <c r="P487" s="6"/>
      <c r="Q487" s="6"/>
      <c r="R487" s="6"/>
      <c r="S487" s="6"/>
      <c r="T487" s="6"/>
      <c r="U487" s="6"/>
      <c r="V487" s="6"/>
      <c r="W487" s="6"/>
      <c r="X487" s="6"/>
      <c r="Y487" s="6"/>
      <c r="Z487" s="6"/>
    </row>
    <row r="488" spans="1:26" ht="18" customHeight="1" x14ac:dyDescent="0.3">
      <c r="A488" s="152"/>
      <c r="B488" s="128"/>
      <c r="C488" s="152"/>
      <c r="D488" s="128"/>
      <c r="E488" s="124"/>
      <c r="F488" s="152"/>
      <c r="G488" s="128"/>
      <c r="H488" s="146"/>
      <c r="I488" s="146"/>
      <c r="J488" s="6"/>
      <c r="K488" s="6"/>
      <c r="L488" s="6"/>
      <c r="M488" s="6"/>
      <c r="N488" s="6"/>
      <c r="O488" s="6"/>
      <c r="P488" s="6"/>
      <c r="Q488" s="6"/>
      <c r="R488" s="6"/>
      <c r="S488" s="6"/>
      <c r="T488" s="6"/>
      <c r="U488" s="6"/>
      <c r="V488" s="6"/>
      <c r="W488" s="6"/>
      <c r="X488" s="6"/>
      <c r="Y488" s="6"/>
      <c r="Z488" s="6"/>
    </row>
    <row r="489" spans="1:26" ht="18" customHeight="1" x14ac:dyDescent="0.3">
      <c r="A489" s="152"/>
      <c r="B489" s="128"/>
      <c r="C489" s="152"/>
      <c r="D489" s="128"/>
      <c r="E489" s="124"/>
      <c r="F489" s="152"/>
      <c r="G489" s="128"/>
      <c r="H489" s="146"/>
      <c r="I489" s="146"/>
      <c r="J489" s="6"/>
      <c r="K489" s="6"/>
      <c r="L489" s="6"/>
      <c r="M489" s="6"/>
      <c r="N489" s="6"/>
      <c r="O489" s="6"/>
      <c r="P489" s="6"/>
      <c r="Q489" s="6"/>
      <c r="R489" s="6"/>
      <c r="S489" s="6"/>
      <c r="T489" s="6"/>
      <c r="U489" s="6"/>
      <c r="V489" s="6"/>
      <c r="W489" s="6"/>
      <c r="X489" s="6"/>
      <c r="Y489" s="6"/>
      <c r="Z489" s="6"/>
    </row>
    <row r="490" spans="1:26" ht="18" customHeight="1" x14ac:dyDescent="0.3">
      <c r="A490" s="152"/>
      <c r="B490" s="128"/>
      <c r="C490" s="152"/>
      <c r="D490" s="128"/>
      <c r="E490" s="124"/>
      <c r="F490" s="152"/>
      <c r="G490" s="128"/>
      <c r="H490" s="146"/>
      <c r="I490" s="146"/>
      <c r="J490" s="6"/>
      <c r="K490" s="6"/>
      <c r="L490" s="6"/>
      <c r="M490" s="6"/>
      <c r="N490" s="6"/>
      <c r="O490" s="6"/>
      <c r="P490" s="6"/>
      <c r="Q490" s="6"/>
      <c r="R490" s="6"/>
      <c r="S490" s="6"/>
      <c r="T490" s="6"/>
      <c r="U490" s="6"/>
      <c r="V490" s="6"/>
      <c r="W490" s="6"/>
      <c r="X490" s="6"/>
      <c r="Y490" s="6"/>
      <c r="Z490" s="6"/>
    </row>
    <row r="491" spans="1:26" ht="18" customHeight="1" x14ac:dyDescent="0.3">
      <c r="A491" s="152"/>
      <c r="B491" s="128"/>
      <c r="C491" s="152"/>
      <c r="D491" s="128"/>
      <c r="E491" s="124"/>
      <c r="F491" s="152"/>
      <c r="G491" s="128"/>
      <c r="H491" s="146"/>
      <c r="I491" s="146"/>
      <c r="J491" s="6"/>
      <c r="K491" s="6"/>
      <c r="L491" s="6"/>
      <c r="M491" s="6"/>
      <c r="N491" s="6"/>
      <c r="O491" s="6"/>
      <c r="P491" s="6"/>
      <c r="Q491" s="6"/>
      <c r="R491" s="6"/>
      <c r="S491" s="6"/>
      <c r="T491" s="6"/>
      <c r="U491" s="6"/>
      <c r="V491" s="6"/>
      <c r="W491" s="6"/>
      <c r="X491" s="6"/>
      <c r="Y491" s="6"/>
      <c r="Z491" s="6"/>
    </row>
    <row r="492" spans="1:26" ht="18" customHeight="1" x14ac:dyDescent="0.3">
      <c r="A492" s="152"/>
      <c r="B492" s="128"/>
      <c r="C492" s="152"/>
      <c r="D492" s="128"/>
      <c r="E492" s="124"/>
      <c r="F492" s="152"/>
      <c r="G492" s="128"/>
      <c r="H492" s="146"/>
      <c r="I492" s="146"/>
      <c r="J492" s="6"/>
      <c r="K492" s="6"/>
      <c r="L492" s="6"/>
      <c r="M492" s="6"/>
      <c r="N492" s="6"/>
      <c r="O492" s="6"/>
      <c r="P492" s="6"/>
      <c r="Q492" s="6"/>
      <c r="R492" s="6"/>
      <c r="S492" s="6"/>
      <c r="T492" s="6"/>
      <c r="U492" s="6"/>
      <c r="V492" s="6"/>
      <c r="W492" s="6"/>
      <c r="X492" s="6"/>
      <c r="Y492" s="6"/>
      <c r="Z492" s="6"/>
    </row>
    <row r="493" spans="1:26" ht="18" customHeight="1" x14ac:dyDescent="0.3">
      <c r="A493" s="152"/>
      <c r="B493" s="128"/>
      <c r="C493" s="152"/>
      <c r="D493" s="128"/>
      <c r="E493" s="124"/>
      <c r="F493" s="152"/>
      <c r="G493" s="128"/>
      <c r="H493" s="146"/>
      <c r="I493" s="146"/>
      <c r="J493" s="6"/>
      <c r="K493" s="6"/>
      <c r="L493" s="6"/>
      <c r="M493" s="6"/>
      <c r="N493" s="6"/>
      <c r="O493" s="6"/>
      <c r="P493" s="6"/>
      <c r="Q493" s="6"/>
      <c r="R493" s="6"/>
      <c r="S493" s="6"/>
      <c r="T493" s="6"/>
      <c r="U493" s="6"/>
      <c r="V493" s="6"/>
      <c r="W493" s="6"/>
      <c r="X493" s="6"/>
      <c r="Y493" s="6"/>
      <c r="Z493" s="6"/>
    </row>
    <row r="494" spans="1:26" ht="18" customHeight="1" x14ac:dyDescent="0.3">
      <c r="A494" s="152"/>
      <c r="B494" s="128"/>
      <c r="C494" s="152"/>
      <c r="D494" s="128"/>
      <c r="E494" s="124"/>
      <c r="F494" s="152"/>
      <c r="G494" s="128"/>
      <c r="H494" s="146"/>
      <c r="I494" s="146"/>
      <c r="J494" s="6"/>
      <c r="K494" s="6"/>
      <c r="L494" s="6"/>
      <c r="M494" s="6"/>
      <c r="N494" s="6"/>
      <c r="O494" s="6"/>
      <c r="P494" s="6"/>
      <c r="Q494" s="6"/>
      <c r="R494" s="6"/>
      <c r="S494" s="6"/>
      <c r="T494" s="6"/>
      <c r="U494" s="6"/>
      <c r="V494" s="6"/>
      <c r="W494" s="6"/>
      <c r="X494" s="6"/>
      <c r="Y494" s="6"/>
      <c r="Z494" s="6"/>
    </row>
    <row r="495" spans="1:26" ht="18" customHeight="1" x14ac:dyDescent="0.3">
      <c r="A495" s="152"/>
      <c r="B495" s="128"/>
      <c r="C495" s="152"/>
      <c r="D495" s="128"/>
      <c r="E495" s="124"/>
      <c r="F495" s="152"/>
      <c r="G495" s="128"/>
      <c r="H495" s="146"/>
      <c r="I495" s="146"/>
      <c r="J495" s="6"/>
      <c r="K495" s="6"/>
      <c r="L495" s="6"/>
      <c r="M495" s="6"/>
      <c r="N495" s="6"/>
      <c r="O495" s="6"/>
      <c r="P495" s="6"/>
      <c r="Q495" s="6"/>
      <c r="R495" s="6"/>
      <c r="S495" s="6"/>
      <c r="T495" s="6"/>
      <c r="U495" s="6"/>
      <c r="V495" s="6"/>
      <c r="W495" s="6"/>
      <c r="X495" s="6"/>
      <c r="Y495" s="6"/>
      <c r="Z495" s="6"/>
    </row>
    <row r="496" spans="1:26" ht="18" customHeight="1" x14ac:dyDescent="0.3">
      <c r="A496" s="152"/>
      <c r="B496" s="128"/>
      <c r="C496" s="152"/>
      <c r="D496" s="128"/>
      <c r="E496" s="124"/>
      <c r="F496" s="152"/>
      <c r="G496" s="128"/>
      <c r="H496" s="146"/>
      <c r="I496" s="146"/>
      <c r="J496" s="6"/>
      <c r="K496" s="6"/>
      <c r="L496" s="6"/>
      <c r="M496" s="6"/>
      <c r="N496" s="6"/>
      <c r="O496" s="6"/>
      <c r="P496" s="6"/>
      <c r="Q496" s="6"/>
      <c r="R496" s="6"/>
      <c r="S496" s="6"/>
      <c r="T496" s="6"/>
      <c r="U496" s="6"/>
      <c r="V496" s="6"/>
      <c r="W496" s="6"/>
      <c r="X496" s="6"/>
      <c r="Y496" s="6"/>
      <c r="Z496" s="6"/>
    </row>
    <row r="497" spans="1:26" ht="18" customHeight="1" x14ac:dyDescent="0.3">
      <c r="A497" s="152"/>
      <c r="B497" s="128"/>
      <c r="C497" s="152"/>
      <c r="D497" s="128"/>
      <c r="E497" s="124"/>
      <c r="F497" s="152"/>
      <c r="G497" s="128"/>
      <c r="H497" s="146"/>
      <c r="I497" s="146"/>
      <c r="J497" s="6"/>
      <c r="K497" s="6"/>
      <c r="L497" s="6"/>
      <c r="M497" s="6"/>
      <c r="N497" s="6"/>
      <c r="O497" s="6"/>
      <c r="P497" s="6"/>
      <c r="Q497" s="6"/>
      <c r="R497" s="6"/>
      <c r="S497" s="6"/>
      <c r="T497" s="6"/>
      <c r="U497" s="6"/>
      <c r="V497" s="6"/>
      <c r="W497" s="6"/>
      <c r="X497" s="6"/>
      <c r="Y497" s="6"/>
      <c r="Z497" s="6"/>
    </row>
    <row r="498" spans="1:26" ht="18" customHeight="1" x14ac:dyDescent="0.3">
      <c r="A498" s="152"/>
      <c r="B498" s="128"/>
      <c r="C498" s="152"/>
      <c r="D498" s="128"/>
      <c r="E498" s="124"/>
      <c r="F498" s="152"/>
      <c r="G498" s="128"/>
      <c r="H498" s="146"/>
      <c r="I498" s="146"/>
      <c r="J498" s="6"/>
      <c r="K498" s="6"/>
      <c r="L498" s="6"/>
      <c r="M498" s="6"/>
      <c r="N498" s="6"/>
      <c r="O498" s="6"/>
      <c r="P498" s="6"/>
      <c r="Q498" s="6"/>
      <c r="R498" s="6"/>
      <c r="S498" s="6"/>
      <c r="T498" s="6"/>
      <c r="U498" s="6"/>
      <c r="V498" s="6"/>
      <c r="W498" s="6"/>
      <c r="X498" s="6"/>
      <c r="Y498" s="6"/>
      <c r="Z498" s="6"/>
    </row>
    <row r="499" spans="1:26" ht="18" customHeight="1" x14ac:dyDescent="0.3">
      <c r="A499" s="152"/>
      <c r="B499" s="128"/>
      <c r="C499" s="152"/>
      <c r="D499" s="128"/>
      <c r="E499" s="124"/>
      <c r="F499" s="152"/>
      <c r="G499" s="128"/>
      <c r="H499" s="146"/>
      <c r="I499" s="146"/>
      <c r="J499" s="6"/>
      <c r="K499" s="6"/>
      <c r="L499" s="6"/>
      <c r="M499" s="6"/>
      <c r="N499" s="6"/>
      <c r="O499" s="6"/>
      <c r="P499" s="6"/>
      <c r="Q499" s="6"/>
      <c r="R499" s="6"/>
      <c r="S499" s="6"/>
      <c r="T499" s="6"/>
      <c r="U499" s="6"/>
      <c r="V499" s="6"/>
      <c r="W499" s="6"/>
      <c r="X499" s="6"/>
      <c r="Y499" s="6"/>
      <c r="Z499" s="6"/>
    </row>
    <row r="500" spans="1:26" ht="18" customHeight="1" x14ac:dyDescent="0.3">
      <c r="A500" s="152"/>
      <c r="B500" s="128"/>
      <c r="C500" s="152"/>
      <c r="D500" s="128"/>
      <c r="E500" s="124"/>
      <c r="F500" s="152"/>
      <c r="G500" s="128"/>
      <c r="H500" s="146"/>
      <c r="I500" s="146"/>
      <c r="J500" s="6"/>
      <c r="K500" s="6"/>
      <c r="L500" s="6"/>
      <c r="M500" s="6"/>
      <c r="N500" s="6"/>
      <c r="O500" s="6"/>
      <c r="P500" s="6"/>
      <c r="Q500" s="6"/>
      <c r="R500" s="6"/>
      <c r="S500" s="6"/>
      <c r="T500" s="6"/>
      <c r="U500" s="6"/>
      <c r="V500" s="6"/>
      <c r="W500" s="6"/>
      <c r="X500" s="6"/>
      <c r="Y500" s="6"/>
      <c r="Z500" s="6"/>
    </row>
    <row r="501" spans="1:26" ht="18" customHeight="1" x14ac:dyDescent="0.3">
      <c r="A501" s="152"/>
      <c r="B501" s="128"/>
      <c r="C501" s="152"/>
      <c r="D501" s="128"/>
      <c r="E501" s="124"/>
      <c r="F501" s="152"/>
      <c r="G501" s="128"/>
      <c r="H501" s="146"/>
      <c r="I501" s="146"/>
      <c r="J501" s="6"/>
      <c r="K501" s="6"/>
      <c r="L501" s="6"/>
      <c r="M501" s="6"/>
      <c r="N501" s="6"/>
      <c r="O501" s="6"/>
      <c r="P501" s="6"/>
      <c r="Q501" s="6"/>
      <c r="R501" s="6"/>
      <c r="S501" s="6"/>
      <c r="T501" s="6"/>
      <c r="U501" s="6"/>
      <c r="V501" s="6"/>
      <c r="W501" s="6"/>
      <c r="X501" s="6"/>
      <c r="Y501" s="6"/>
      <c r="Z501" s="6"/>
    </row>
    <row r="502" spans="1:26" ht="18" customHeight="1" x14ac:dyDescent="0.3">
      <c r="A502" s="152"/>
      <c r="B502" s="128"/>
      <c r="C502" s="152"/>
      <c r="D502" s="128"/>
      <c r="E502" s="124"/>
      <c r="F502" s="152"/>
      <c r="G502" s="128"/>
      <c r="H502" s="146"/>
      <c r="I502" s="146"/>
      <c r="J502" s="6"/>
      <c r="K502" s="6"/>
      <c r="L502" s="6"/>
      <c r="M502" s="6"/>
      <c r="N502" s="6"/>
      <c r="O502" s="6"/>
      <c r="P502" s="6"/>
      <c r="Q502" s="6"/>
      <c r="R502" s="6"/>
      <c r="S502" s="6"/>
      <c r="T502" s="6"/>
      <c r="U502" s="6"/>
      <c r="V502" s="6"/>
      <c r="W502" s="6"/>
      <c r="X502" s="6"/>
      <c r="Y502" s="6"/>
      <c r="Z502" s="6"/>
    </row>
    <row r="503" spans="1:26" ht="18" customHeight="1" x14ac:dyDescent="0.3">
      <c r="A503" s="152"/>
      <c r="B503" s="128"/>
      <c r="C503" s="152"/>
      <c r="D503" s="128"/>
      <c r="E503" s="124"/>
      <c r="F503" s="152"/>
      <c r="G503" s="128"/>
      <c r="H503" s="146"/>
      <c r="I503" s="146"/>
      <c r="J503" s="6"/>
      <c r="K503" s="6"/>
      <c r="L503" s="6"/>
      <c r="M503" s="6"/>
      <c r="N503" s="6"/>
      <c r="O503" s="6"/>
      <c r="P503" s="6"/>
      <c r="Q503" s="6"/>
      <c r="R503" s="6"/>
      <c r="S503" s="6"/>
      <c r="T503" s="6"/>
      <c r="U503" s="6"/>
      <c r="V503" s="6"/>
      <c r="W503" s="6"/>
      <c r="X503" s="6"/>
      <c r="Y503" s="6"/>
      <c r="Z503" s="6"/>
    </row>
    <row r="504" spans="1:26" ht="18" customHeight="1" x14ac:dyDescent="0.3">
      <c r="A504" s="152"/>
      <c r="B504" s="128"/>
      <c r="C504" s="152"/>
      <c r="D504" s="128"/>
      <c r="E504" s="124"/>
      <c r="F504" s="152"/>
      <c r="G504" s="128"/>
      <c r="H504" s="146"/>
      <c r="I504" s="146"/>
      <c r="J504" s="6"/>
      <c r="K504" s="6"/>
      <c r="L504" s="6"/>
      <c r="M504" s="6"/>
      <c r="N504" s="6"/>
      <c r="O504" s="6"/>
      <c r="P504" s="6"/>
      <c r="Q504" s="6"/>
      <c r="R504" s="6"/>
      <c r="S504" s="6"/>
      <c r="T504" s="6"/>
      <c r="U504" s="6"/>
      <c r="V504" s="6"/>
      <c r="W504" s="6"/>
      <c r="X504" s="6"/>
      <c r="Y504" s="6"/>
      <c r="Z504" s="6"/>
    </row>
    <row r="505" spans="1:26" ht="18" customHeight="1" x14ac:dyDescent="0.3">
      <c r="A505" s="152"/>
      <c r="B505" s="128"/>
      <c r="C505" s="152"/>
      <c r="D505" s="128"/>
      <c r="E505" s="124"/>
      <c r="F505" s="152"/>
      <c r="G505" s="128"/>
      <c r="H505" s="146"/>
      <c r="I505" s="146"/>
      <c r="J505" s="6"/>
      <c r="K505" s="6"/>
      <c r="L505" s="6"/>
      <c r="M505" s="6"/>
      <c r="N505" s="6"/>
      <c r="O505" s="6"/>
      <c r="P505" s="6"/>
      <c r="Q505" s="6"/>
      <c r="R505" s="6"/>
      <c r="S505" s="6"/>
      <c r="T505" s="6"/>
      <c r="U505" s="6"/>
      <c r="V505" s="6"/>
      <c r="W505" s="6"/>
      <c r="X505" s="6"/>
      <c r="Y505" s="6"/>
      <c r="Z505" s="6"/>
    </row>
    <row r="506" spans="1:26" ht="18" customHeight="1" x14ac:dyDescent="0.3">
      <c r="A506" s="152"/>
      <c r="B506" s="128"/>
      <c r="C506" s="152"/>
      <c r="D506" s="128"/>
      <c r="E506" s="124"/>
      <c r="F506" s="152"/>
      <c r="G506" s="128"/>
      <c r="H506" s="146"/>
      <c r="I506" s="14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dataValidations count="3">
    <dataValidation type="date" operator="greaterThan" allowBlank="1" showInputMessage="1" showErrorMessage="1" sqref="A7:A506" xr:uid="{7D721AE5-E14C-4DFF-8577-00ED50FC1C16}">
      <formula1>43831</formula1>
    </dataValidation>
    <dataValidation type="list" allowBlank="1" showInputMessage="1" showErrorMessage="1" sqref="B7:B506" xr:uid="{47480D26-620E-44D7-9A02-926367CD480D}">
      <formula1>"Incident,Near miss,Toolbox talk,Inspection,Observation"</formula1>
    </dataValidation>
    <dataValidation type="time" allowBlank="1" showInputMessage="1" showErrorMessage="1" sqref="E7:E506" xr:uid="{6E49A04B-BFBE-46E0-A134-3F5649B37B47}">
      <formula1>0</formula1>
      <formula2>0.999305555555556</formula2>
    </dataValidation>
  </dataValidations>
  <printOptions horizontalCentered="1"/>
  <pageMargins left="0.4" right="0.4" top="0.5" bottom="0.5" header="0.5" footer="0.5"/>
  <pageSetup paperSize="9" scale="10" orientation="landscape"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970A479-F1BF-4297-B7A1-136B54CCAA37}">
          <x14:formula1>
            <xm:f>'14 Setup'!$J$12:$J$26</xm:f>
          </x14:formula1>
          <xm:sqref>D7:D506</xm:sqref>
        </x14:dataValidation>
        <x14:dataValidation type="list" allowBlank="1" showInputMessage="1" showErrorMessage="1" xr:uid="{1CCE0ABC-D363-4CA6-B9D7-6E13BAD88C0A}">
          <x14:formula1>
            <xm:f>'14 Setup'!$H$12:$H$26</xm:f>
          </x14:formula1>
          <xm:sqref>F7:F506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410C"/>
    <pageSetUpPr fitToPage="1"/>
  </sheetPr>
  <dimension ref="A1:Z1000"/>
  <sheetViews>
    <sheetView showGridLines="0" workbookViewId="0">
      <pane ySplit="6" topLeftCell="A7" activePane="bottomLeft" state="frozen"/>
      <selection pane="bottomLeft"/>
    </sheetView>
  </sheetViews>
  <sheetFormatPr defaultRowHeight="14.4" x14ac:dyDescent="0.3"/>
  <cols>
    <col min="1" max="1" width="12" customWidth="1"/>
    <col min="2" max="2" width="36" customWidth="1"/>
    <col min="3" max="3" width="18" customWidth="1"/>
    <col min="4" max="6" width="12" customWidth="1"/>
    <col min="7" max="7" width="10" customWidth="1"/>
    <col min="8" max="8" width="16" customWidth="1"/>
  </cols>
  <sheetData>
    <row r="1" spans="1:26" ht="28.05" customHeight="1" x14ac:dyDescent="0.4">
      <c r="A1" s="112" t="s">
        <v>9</v>
      </c>
      <c r="B1" s="6"/>
      <c r="C1" s="6"/>
      <c r="D1" s="6"/>
      <c r="E1" s="6"/>
      <c r="F1" s="6"/>
      <c r="G1" s="6"/>
      <c r="H1" s="177" t="s">
        <v>32</v>
      </c>
      <c r="I1" s="6"/>
      <c r="J1" s="6"/>
      <c r="K1" s="6"/>
      <c r="L1" s="6"/>
      <c r="M1" s="6"/>
      <c r="N1" s="6"/>
      <c r="O1" s="6"/>
      <c r="P1" s="6"/>
      <c r="Q1" s="6"/>
      <c r="R1" s="6"/>
      <c r="S1" s="6"/>
      <c r="T1" s="6"/>
      <c r="U1" s="6"/>
      <c r="V1" s="6"/>
      <c r="W1" s="6"/>
      <c r="X1" s="6"/>
      <c r="Y1" s="6"/>
      <c r="Z1" s="6"/>
    </row>
    <row r="2" spans="1:26" x14ac:dyDescent="0.3">
      <c r="A2" s="114" t="s">
        <v>182</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183</v>
      </c>
      <c r="B3" s="6"/>
      <c r="C3" s="6"/>
      <c r="D3" s="6"/>
      <c r="E3" s="6"/>
      <c r="F3" s="6"/>
      <c r="G3" s="6"/>
      <c r="H3" s="6"/>
      <c r="I3" s="6"/>
      <c r="J3" s="6"/>
      <c r="K3" s="6"/>
      <c r="L3" s="6"/>
      <c r="M3" s="6"/>
      <c r="N3" s="6"/>
      <c r="O3" s="6"/>
      <c r="P3" s="6"/>
      <c r="Q3" s="6"/>
      <c r="R3" s="6"/>
      <c r="S3" s="6"/>
      <c r="T3" s="6"/>
      <c r="U3" s="6"/>
      <c r="V3" s="6"/>
      <c r="W3" s="6"/>
      <c r="X3" s="6"/>
      <c r="Y3" s="6"/>
      <c r="Z3" s="6"/>
    </row>
    <row r="4" spans="1:26" x14ac:dyDescent="0.3">
      <c r="A4" s="116"/>
      <c r="B4" s="116"/>
      <c r="C4" s="116"/>
      <c r="D4" s="116"/>
      <c r="E4" s="116"/>
      <c r="F4" s="116"/>
      <c r="G4" s="116"/>
      <c r="H4" s="11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166</v>
      </c>
      <c r="B6" s="155" t="s">
        <v>168</v>
      </c>
      <c r="C6" s="141" t="s">
        <v>184</v>
      </c>
      <c r="D6" s="141" t="s">
        <v>185</v>
      </c>
      <c r="E6" s="141" t="s">
        <v>186</v>
      </c>
      <c r="F6" s="141" t="s">
        <v>187</v>
      </c>
      <c r="G6" s="141" t="s">
        <v>188</v>
      </c>
      <c r="H6" s="155" t="s">
        <v>189</v>
      </c>
      <c r="I6" s="6"/>
      <c r="J6" s="6"/>
      <c r="K6" s="6"/>
      <c r="L6" s="6"/>
      <c r="M6" s="6"/>
      <c r="N6" s="6"/>
      <c r="O6" s="6"/>
      <c r="P6" s="6"/>
      <c r="Q6" s="6"/>
      <c r="R6" s="6"/>
      <c r="S6" s="6"/>
      <c r="T6" s="6"/>
      <c r="U6" s="6"/>
      <c r="V6" s="6"/>
      <c r="W6" s="6"/>
      <c r="X6" s="6"/>
      <c r="Y6" s="6"/>
      <c r="Z6" s="6"/>
    </row>
    <row r="7" spans="1:26" x14ac:dyDescent="0.3">
      <c r="A7" s="142">
        <v>46084</v>
      </c>
      <c r="B7" s="143" t="s">
        <v>190</v>
      </c>
      <c r="C7" s="143" t="s">
        <v>79</v>
      </c>
      <c r="D7" s="142">
        <v>46085</v>
      </c>
      <c r="E7" s="142">
        <v>46085</v>
      </c>
      <c r="F7" s="156">
        <v>1</v>
      </c>
      <c r="G7" s="148">
        <f>IF(A7="","",IF(E7&lt;&gt;"",E7-A7,MAX('03 Day log'!$A$8:$A$38,'01 Daily report'!$B$5,A7)-A7))</f>
        <v>1</v>
      </c>
      <c r="H7" s="157" t="str">
        <f>IF(B7="","",IF(E7&lt;&gt;"","Closed",IF(AND(D7&lt;&gt;"",MAX('03 Day log'!$A$8:$A$38,'01 Daily report'!$B$5)&gt;D7),"Overdue","Open")))</f>
        <v>Closed</v>
      </c>
      <c r="I7" s="6"/>
      <c r="J7" s="6"/>
      <c r="K7" s="6"/>
      <c r="L7" s="6"/>
      <c r="M7" s="6"/>
      <c r="N7" s="6"/>
      <c r="O7" s="6"/>
      <c r="P7" s="6"/>
      <c r="Q7" s="6"/>
      <c r="R7" s="6"/>
      <c r="S7" s="6"/>
      <c r="T7" s="6"/>
      <c r="U7" s="6"/>
      <c r="V7" s="6"/>
      <c r="W7" s="6"/>
      <c r="X7" s="6"/>
      <c r="Y7" s="6"/>
      <c r="Z7" s="6"/>
    </row>
    <row r="8" spans="1:26" x14ac:dyDescent="0.3">
      <c r="A8" s="142">
        <v>46084</v>
      </c>
      <c r="B8" s="143" t="s">
        <v>206</v>
      </c>
      <c r="C8" s="143" t="s">
        <v>225</v>
      </c>
      <c r="D8" s="142">
        <v>46085</v>
      </c>
      <c r="E8" s="142"/>
      <c r="F8" s="156"/>
      <c r="G8" s="148">
        <f>IF(A8="","",IF(E8&lt;&gt;"",E8-A8,MAX('03 Day log'!$A$8:$A$38,'01 Daily report'!$B$5,A8)-A8))</f>
        <v>10</v>
      </c>
      <c r="H8" s="157" t="str">
        <f>IF(B8="","",IF(E8&lt;&gt;"","Closed",IF(AND(D8&lt;&gt;"",MAX('03 Day log'!$A$8:$A$38,'01 Daily report'!$B$5)&gt;D8),"Overdue","Open")))</f>
        <v>Overdue</v>
      </c>
      <c r="I8" s="6"/>
      <c r="J8" s="6"/>
      <c r="K8" s="6"/>
      <c r="L8" s="6"/>
      <c r="M8" s="6"/>
      <c r="N8" s="6"/>
      <c r="O8" s="6"/>
      <c r="P8" s="6"/>
      <c r="Q8" s="6"/>
      <c r="R8" s="6"/>
      <c r="S8" s="6"/>
      <c r="T8" s="6"/>
      <c r="U8" s="6"/>
      <c r="V8" s="6"/>
      <c r="W8" s="6"/>
      <c r="X8" s="6"/>
      <c r="Y8" s="6"/>
      <c r="Z8" s="6"/>
    </row>
    <row r="9" spans="1:26" x14ac:dyDescent="0.3">
      <c r="A9" s="142">
        <v>46086</v>
      </c>
      <c r="B9" s="143" t="s">
        <v>191</v>
      </c>
      <c r="C9" s="143" t="s">
        <v>79</v>
      </c>
      <c r="D9" s="142">
        <v>46087</v>
      </c>
      <c r="E9" s="142">
        <v>46087</v>
      </c>
      <c r="F9" s="156">
        <v>2</v>
      </c>
      <c r="G9" s="148">
        <f>IF(A9="","",IF(E9&lt;&gt;"",E9-A9,MAX('03 Day log'!$A$8:$A$38,'01 Daily report'!$B$5,A9)-A9))</f>
        <v>1</v>
      </c>
      <c r="H9" s="157" t="str">
        <f>IF(B9="","",IF(E9&lt;&gt;"","Closed",IF(AND(D9&lt;&gt;"",MAX('03 Day log'!$A$8:$A$38,'01 Daily report'!$B$5)&gt;D9),"Overdue","Open")))</f>
        <v>Closed</v>
      </c>
      <c r="I9" s="6"/>
      <c r="J9" s="6"/>
      <c r="K9" s="6"/>
      <c r="L9" s="6"/>
      <c r="M9" s="6"/>
      <c r="N9" s="6"/>
      <c r="O9" s="6"/>
      <c r="P9" s="6"/>
      <c r="Q9" s="6"/>
      <c r="R9" s="6"/>
      <c r="S9" s="6"/>
      <c r="T9" s="6"/>
      <c r="U9" s="6"/>
      <c r="V9" s="6"/>
      <c r="W9" s="6"/>
      <c r="X9" s="6"/>
      <c r="Y9" s="6"/>
      <c r="Z9" s="6"/>
    </row>
    <row r="10" spans="1:26" x14ac:dyDescent="0.3">
      <c r="A10" s="142">
        <v>46086</v>
      </c>
      <c r="B10" s="143" t="s">
        <v>192</v>
      </c>
      <c r="C10" s="143" t="s">
        <v>225</v>
      </c>
      <c r="D10" s="142">
        <v>46087</v>
      </c>
      <c r="E10" s="142"/>
      <c r="F10" s="156"/>
      <c r="G10" s="148">
        <f>IF(A10="","",IF(E10&lt;&gt;"",E10-A10,MAX('03 Day log'!$A$8:$A$38,'01 Daily report'!$B$5,A10)-A10))</f>
        <v>8</v>
      </c>
      <c r="H10" s="157" t="str">
        <f>IF(B10="","",IF(E10&lt;&gt;"","Closed",IF(AND(D10&lt;&gt;"",MAX('03 Day log'!$A$8:$A$38,'01 Daily report'!$B$5)&gt;D10),"Overdue","Open")))</f>
        <v>Overdue</v>
      </c>
      <c r="I10" s="6"/>
      <c r="J10" s="6"/>
      <c r="K10" s="6"/>
      <c r="L10" s="6"/>
      <c r="M10" s="6"/>
      <c r="N10" s="6"/>
      <c r="O10" s="6"/>
      <c r="P10" s="6"/>
      <c r="Q10" s="6"/>
      <c r="R10" s="6"/>
      <c r="S10" s="6"/>
      <c r="T10" s="6"/>
      <c r="U10" s="6"/>
      <c r="V10" s="6"/>
      <c r="W10" s="6"/>
      <c r="X10" s="6"/>
      <c r="Y10" s="6"/>
      <c r="Z10" s="6"/>
    </row>
    <row r="11" spans="1:26" x14ac:dyDescent="0.3">
      <c r="A11" s="142">
        <v>46091</v>
      </c>
      <c r="B11" s="143" t="s">
        <v>193</v>
      </c>
      <c r="C11" s="143" t="s">
        <v>79</v>
      </c>
      <c r="D11" s="142">
        <v>46092</v>
      </c>
      <c r="E11" s="142">
        <v>46092</v>
      </c>
      <c r="F11" s="156">
        <v>1</v>
      </c>
      <c r="G11" s="148">
        <f>IF(A11="","",IF(E11&lt;&gt;"",E11-A11,MAX('03 Day log'!$A$8:$A$38,'01 Daily report'!$B$5,A11)-A11))</f>
        <v>1</v>
      </c>
      <c r="H11" s="157" t="str">
        <f>IF(B11="","",IF(E11&lt;&gt;"","Closed",IF(AND(D11&lt;&gt;"",MAX('03 Day log'!$A$8:$A$38,'01 Daily report'!$B$5)&gt;D11),"Overdue","Open")))</f>
        <v>Closed</v>
      </c>
      <c r="I11" s="6"/>
      <c r="J11" s="6"/>
      <c r="K11" s="6"/>
      <c r="L11" s="6"/>
      <c r="M11" s="6"/>
      <c r="N11" s="6"/>
      <c r="O11" s="6"/>
      <c r="P11" s="6"/>
      <c r="Q11" s="6"/>
      <c r="R11" s="6"/>
      <c r="S11" s="6"/>
      <c r="T11" s="6"/>
      <c r="U11" s="6"/>
      <c r="V11" s="6"/>
      <c r="W11" s="6"/>
      <c r="X11" s="6"/>
      <c r="Y11" s="6"/>
      <c r="Z11" s="6"/>
    </row>
    <row r="12" spans="1:26" x14ac:dyDescent="0.3">
      <c r="A12" s="142"/>
      <c r="B12" s="143"/>
      <c r="C12" s="143"/>
      <c r="D12" s="142"/>
      <c r="E12" s="142"/>
      <c r="F12" s="156"/>
      <c r="G12" s="148" t="str">
        <f>IF(A12="","",IF(E12&lt;&gt;"",E12-A12,MAX('03 Day log'!$A$8:$A$38,'01 Daily report'!$B$5,A12)-A12))</f>
        <v/>
      </c>
      <c r="H12" s="157" t="str">
        <f>IF(B12="","",IF(E12&lt;&gt;"","Closed",IF(AND(D12&lt;&gt;"",MAX('03 Day log'!$A$8:$A$38,'01 Daily report'!$B$5)&gt;D12),"Overdue","Open")))</f>
        <v/>
      </c>
      <c r="I12" s="6"/>
      <c r="J12" s="6"/>
      <c r="K12" s="6"/>
      <c r="L12" s="6"/>
      <c r="M12" s="6"/>
      <c r="N12" s="6"/>
      <c r="O12" s="6"/>
      <c r="P12" s="6"/>
      <c r="Q12" s="6"/>
      <c r="R12" s="6"/>
      <c r="S12" s="6"/>
      <c r="T12" s="6"/>
      <c r="U12" s="6"/>
      <c r="V12" s="6"/>
      <c r="W12" s="6"/>
      <c r="X12" s="6"/>
      <c r="Y12" s="6"/>
      <c r="Z12" s="6"/>
    </row>
    <row r="13" spans="1:26" x14ac:dyDescent="0.3">
      <c r="A13" s="142"/>
      <c r="B13" s="143"/>
      <c r="C13" s="143"/>
      <c r="D13" s="142"/>
      <c r="E13" s="142"/>
      <c r="F13" s="156"/>
      <c r="G13" s="148" t="str">
        <f>IF(A13="","",IF(E13&lt;&gt;"",E13-A13,MAX('03 Day log'!$A$8:$A$38,'01 Daily report'!$B$5,A13)-A13))</f>
        <v/>
      </c>
      <c r="H13" s="157" t="str">
        <f>IF(B13="","",IF(E13&lt;&gt;"","Closed",IF(AND(D13&lt;&gt;"",MAX('03 Day log'!$A$8:$A$38,'01 Daily report'!$B$5)&gt;D13),"Overdue","Open")))</f>
        <v/>
      </c>
      <c r="I13" s="6"/>
      <c r="J13" s="6"/>
      <c r="K13" s="6"/>
      <c r="L13" s="6"/>
      <c r="M13" s="6"/>
      <c r="N13" s="6"/>
      <c r="O13" s="6"/>
      <c r="P13" s="6"/>
      <c r="Q13" s="6"/>
      <c r="R13" s="6"/>
      <c r="S13" s="6"/>
      <c r="T13" s="6"/>
      <c r="U13" s="6"/>
      <c r="V13" s="6"/>
      <c r="W13" s="6"/>
      <c r="X13" s="6"/>
      <c r="Y13" s="6"/>
      <c r="Z13" s="6"/>
    </row>
    <row r="14" spans="1:26" x14ac:dyDescent="0.3">
      <c r="A14" s="142"/>
      <c r="B14" s="143"/>
      <c r="C14" s="143"/>
      <c r="D14" s="142"/>
      <c r="E14" s="142"/>
      <c r="F14" s="156"/>
      <c r="G14" s="148" t="str">
        <f>IF(A14="","",IF(E14&lt;&gt;"",E14-A14,MAX('03 Day log'!$A$8:$A$38,'01 Daily report'!$B$5,A14)-A14))</f>
        <v/>
      </c>
      <c r="H14" s="157" t="str">
        <f>IF(B14="","",IF(E14&lt;&gt;"","Closed",IF(AND(D14&lt;&gt;"",MAX('03 Day log'!$A$8:$A$38,'01 Daily report'!$B$5)&gt;D14),"Overdue","Open")))</f>
        <v/>
      </c>
      <c r="I14" s="6"/>
      <c r="J14" s="6"/>
      <c r="K14" s="6"/>
      <c r="L14" s="6"/>
      <c r="M14" s="6"/>
      <c r="N14" s="6"/>
      <c r="O14" s="6"/>
      <c r="P14" s="6"/>
      <c r="Q14" s="6"/>
      <c r="R14" s="6"/>
      <c r="S14" s="6"/>
      <c r="T14" s="6"/>
      <c r="U14" s="6"/>
      <c r="V14" s="6"/>
      <c r="W14" s="6"/>
      <c r="X14" s="6"/>
      <c r="Y14" s="6"/>
      <c r="Z14" s="6"/>
    </row>
    <row r="15" spans="1:26" x14ac:dyDescent="0.3">
      <c r="A15" s="142"/>
      <c r="B15" s="143"/>
      <c r="C15" s="143"/>
      <c r="D15" s="142"/>
      <c r="E15" s="142"/>
      <c r="F15" s="156"/>
      <c r="G15" s="148" t="str">
        <f>IF(A15="","",IF(E15&lt;&gt;"",E15-A15,MAX('03 Day log'!$A$8:$A$38,'01 Daily report'!$B$5,A15)-A15))</f>
        <v/>
      </c>
      <c r="H15" s="157" t="str">
        <f>IF(B15="","",IF(E15&lt;&gt;"","Closed",IF(AND(D15&lt;&gt;"",MAX('03 Day log'!$A$8:$A$38,'01 Daily report'!$B$5)&gt;D15),"Overdue","Open")))</f>
        <v/>
      </c>
      <c r="I15" s="6"/>
      <c r="J15" s="6"/>
      <c r="K15" s="6"/>
      <c r="L15" s="6"/>
      <c r="M15" s="6"/>
      <c r="N15" s="6"/>
      <c r="O15" s="6"/>
      <c r="P15" s="6"/>
      <c r="Q15" s="6"/>
      <c r="R15" s="6"/>
      <c r="S15" s="6"/>
      <c r="T15" s="6"/>
      <c r="U15" s="6"/>
      <c r="V15" s="6"/>
      <c r="W15" s="6"/>
      <c r="X15" s="6"/>
      <c r="Y15" s="6"/>
      <c r="Z15" s="6"/>
    </row>
    <row r="16" spans="1:26" x14ac:dyDescent="0.3">
      <c r="A16" s="142"/>
      <c r="B16" s="143"/>
      <c r="C16" s="143"/>
      <c r="D16" s="142"/>
      <c r="E16" s="142"/>
      <c r="F16" s="156"/>
      <c r="G16" s="148" t="str">
        <f>IF(A16="","",IF(E16&lt;&gt;"",E16-A16,MAX('03 Day log'!$A$8:$A$38,'01 Daily report'!$B$5,A16)-A16))</f>
        <v/>
      </c>
      <c r="H16" s="157" t="str">
        <f>IF(B16="","",IF(E16&lt;&gt;"","Closed",IF(AND(D16&lt;&gt;"",MAX('03 Day log'!$A$8:$A$38,'01 Daily report'!$B$5)&gt;D16),"Overdue","Open")))</f>
        <v/>
      </c>
      <c r="I16" s="6"/>
      <c r="J16" s="6"/>
      <c r="K16" s="6"/>
      <c r="L16" s="6"/>
      <c r="M16" s="6"/>
      <c r="N16" s="6"/>
      <c r="O16" s="6"/>
      <c r="P16" s="6"/>
      <c r="Q16" s="6"/>
      <c r="R16" s="6"/>
      <c r="S16" s="6"/>
      <c r="T16" s="6"/>
      <c r="U16" s="6"/>
      <c r="V16" s="6"/>
      <c r="W16" s="6"/>
      <c r="X16" s="6"/>
      <c r="Y16" s="6"/>
      <c r="Z16" s="6"/>
    </row>
    <row r="17" spans="1:26" x14ac:dyDescent="0.3">
      <c r="A17" s="142"/>
      <c r="B17" s="143"/>
      <c r="C17" s="143"/>
      <c r="D17" s="142"/>
      <c r="E17" s="142"/>
      <c r="F17" s="156"/>
      <c r="G17" s="148" t="str">
        <f>IF(A17="","",IF(E17&lt;&gt;"",E17-A17,MAX('03 Day log'!$A$8:$A$38,'01 Daily report'!$B$5,A17)-A17))</f>
        <v/>
      </c>
      <c r="H17" s="157" t="str">
        <f>IF(B17="","",IF(E17&lt;&gt;"","Closed",IF(AND(D17&lt;&gt;"",MAX('03 Day log'!$A$8:$A$38,'01 Daily report'!$B$5)&gt;D17),"Overdue","Open")))</f>
        <v/>
      </c>
      <c r="I17" s="6"/>
      <c r="J17" s="6"/>
      <c r="K17" s="6"/>
      <c r="L17" s="6"/>
      <c r="M17" s="6"/>
      <c r="N17" s="6"/>
      <c r="O17" s="6"/>
      <c r="P17" s="6"/>
      <c r="Q17" s="6"/>
      <c r="R17" s="6"/>
      <c r="S17" s="6"/>
      <c r="T17" s="6"/>
      <c r="U17" s="6"/>
      <c r="V17" s="6"/>
      <c r="W17" s="6"/>
      <c r="X17" s="6"/>
      <c r="Y17" s="6"/>
      <c r="Z17" s="6"/>
    </row>
    <row r="18" spans="1:26" x14ac:dyDescent="0.3">
      <c r="A18" s="142"/>
      <c r="B18" s="143"/>
      <c r="C18" s="143"/>
      <c r="D18" s="142"/>
      <c r="E18" s="142"/>
      <c r="F18" s="156"/>
      <c r="G18" s="148" t="str">
        <f>IF(A18="","",IF(E18&lt;&gt;"",E18-A18,MAX('03 Day log'!$A$8:$A$38,'01 Daily report'!$B$5,A18)-A18))</f>
        <v/>
      </c>
      <c r="H18" s="157" t="str">
        <f>IF(B18="","",IF(E18&lt;&gt;"","Closed",IF(AND(D18&lt;&gt;"",MAX('03 Day log'!$A$8:$A$38,'01 Daily report'!$B$5)&gt;D18),"Overdue","Open")))</f>
        <v/>
      </c>
      <c r="I18" s="6"/>
      <c r="J18" s="6"/>
      <c r="K18" s="6"/>
      <c r="L18" s="6"/>
      <c r="M18" s="6"/>
      <c r="N18" s="6"/>
      <c r="O18" s="6"/>
      <c r="P18" s="6"/>
      <c r="Q18" s="6"/>
      <c r="R18" s="6"/>
      <c r="S18" s="6"/>
      <c r="T18" s="6"/>
      <c r="U18" s="6"/>
      <c r="V18" s="6"/>
      <c r="W18" s="6"/>
      <c r="X18" s="6"/>
      <c r="Y18" s="6"/>
      <c r="Z18" s="6"/>
    </row>
    <row r="19" spans="1:26" x14ac:dyDescent="0.3">
      <c r="A19" s="142"/>
      <c r="B19" s="143"/>
      <c r="C19" s="143"/>
      <c r="D19" s="142"/>
      <c r="E19" s="142"/>
      <c r="F19" s="156"/>
      <c r="G19" s="148" t="str">
        <f>IF(A19="","",IF(E19&lt;&gt;"",E19-A19,MAX('03 Day log'!$A$8:$A$38,'01 Daily report'!$B$5,A19)-A19))</f>
        <v/>
      </c>
      <c r="H19" s="157" t="str">
        <f>IF(B19="","",IF(E19&lt;&gt;"","Closed",IF(AND(D19&lt;&gt;"",MAX('03 Day log'!$A$8:$A$38,'01 Daily report'!$B$5)&gt;D19),"Overdue","Open")))</f>
        <v/>
      </c>
      <c r="I19" s="6"/>
      <c r="J19" s="6"/>
      <c r="K19" s="6"/>
      <c r="L19" s="6"/>
      <c r="M19" s="6"/>
      <c r="N19" s="6"/>
      <c r="O19" s="6"/>
      <c r="P19" s="6"/>
      <c r="Q19" s="6"/>
      <c r="R19" s="6"/>
      <c r="S19" s="6"/>
      <c r="T19" s="6"/>
      <c r="U19" s="6"/>
      <c r="V19" s="6"/>
      <c r="W19" s="6"/>
      <c r="X19" s="6"/>
      <c r="Y19" s="6"/>
      <c r="Z19" s="6"/>
    </row>
    <row r="20" spans="1:26" x14ac:dyDescent="0.3">
      <c r="A20" s="142"/>
      <c r="B20" s="143"/>
      <c r="C20" s="143"/>
      <c r="D20" s="142"/>
      <c r="E20" s="142"/>
      <c r="F20" s="156"/>
      <c r="G20" s="148" t="str">
        <f>IF(A20="","",IF(E20&lt;&gt;"",E20-A20,MAX('03 Day log'!$A$8:$A$38,'01 Daily report'!$B$5,A20)-A20))</f>
        <v/>
      </c>
      <c r="H20" s="157" t="str">
        <f>IF(B20="","",IF(E20&lt;&gt;"","Closed",IF(AND(D20&lt;&gt;"",MAX('03 Day log'!$A$8:$A$38,'01 Daily report'!$B$5)&gt;D20),"Overdue","Open")))</f>
        <v/>
      </c>
      <c r="I20" s="6"/>
      <c r="J20" s="6"/>
      <c r="K20" s="6"/>
      <c r="L20" s="6"/>
      <c r="M20" s="6"/>
      <c r="N20" s="6"/>
      <c r="O20" s="6"/>
      <c r="P20" s="6"/>
      <c r="Q20" s="6"/>
      <c r="R20" s="6"/>
      <c r="S20" s="6"/>
      <c r="T20" s="6"/>
      <c r="U20" s="6"/>
      <c r="V20" s="6"/>
      <c r="W20" s="6"/>
      <c r="X20" s="6"/>
      <c r="Y20" s="6"/>
      <c r="Z20" s="6"/>
    </row>
    <row r="21" spans="1:26" x14ac:dyDescent="0.3">
      <c r="A21" s="142"/>
      <c r="B21" s="143"/>
      <c r="C21" s="143"/>
      <c r="D21" s="142"/>
      <c r="E21" s="142"/>
      <c r="F21" s="156"/>
      <c r="G21" s="148" t="str">
        <f>IF(A21="","",IF(E21&lt;&gt;"",E21-A21,MAX('03 Day log'!$A$8:$A$38,'01 Daily report'!$B$5,A21)-A21))</f>
        <v/>
      </c>
      <c r="H21" s="157" t="str">
        <f>IF(B21="","",IF(E21&lt;&gt;"","Closed",IF(AND(D21&lt;&gt;"",MAX('03 Day log'!$A$8:$A$38,'01 Daily report'!$B$5)&gt;D21),"Overdue","Open")))</f>
        <v/>
      </c>
      <c r="I21" s="6"/>
      <c r="J21" s="6"/>
      <c r="K21" s="6"/>
      <c r="L21" s="6"/>
      <c r="M21" s="6"/>
      <c r="N21" s="6"/>
      <c r="O21" s="6"/>
      <c r="P21" s="6"/>
      <c r="Q21" s="6"/>
      <c r="R21" s="6"/>
      <c r="S21" s="6"/>
      <c r="T21" s="6"/>
      <c r="U21" s="6"/>
      <c r="V21" s="6"/>
      <c r="W21" s="6"/>
      <c r="X21" s="6"/>
      <c r="Y21" s="6"/>
      <c r="Z21" s="6"/>
    </row>
    <row r="22" spans="1:26" x14ac:dyDescent="0.3">
      <c r="A22" s="142"/>
      <c r="B22" s="143"/>
      <c r="C22" s="143"/>
      <c r="D22" s="142"/>
      <c r="E22" s="142"/>
      <c r="F22" s="156"/>
      <c r="G22" s="148" t="str">
        <f>IF(A22="","",IF(E22&lt;&gt;"",E22-A22,MAX('03 Day log'!$A$8:$A$38,'01 Daily report'!$B$5,A22)-A22))</f>
        <v/>
      </c>
      <c r="H22" s="157" t="str">
        <f>IF(B22="","",IF(E22&lt;&gt;"","Closed",IF(AND(D22&lt;&gt;"",MAX('03 Day log'!$A$8:$A$38,'01 Daily report'!$B$5)&gt;D22),"Overdue","Open")))</f>
        <v/>
      </c>
      <c r="I22" s="6"/>
      <c r="J22" s="6"/>
      <c r="K22" s="6"/>
      <c r="L22" s="6"/>
      <c r="M22" s="6"/>
      <c r="N22" s="6"/>
      <c r="O22" s="6"/>
      <c r="P22" s="6"/>
      <c r="Q22" s="6"/>
      <c r="R22" s="6"/>
      <c r="S22" s="6"/>
      <c r="T22" s="6"/>
      <c r="U22" s="6"/>
      <c r="V22" s="6"/>
      <c r="W22" s="6"/>
      <c r="X22" s="6"/>
      <c r="Y22" s="6"/>
      <c r="Z22" s="6"/>
    </row>
    <row r="23" spans="1:26" x14ac:dyDescent="0.3">
      <c r="A23" s="142"/>
      <c r="B23" s="143"/>
      <c r="C23" s="143"/>
      <c r="D23" s="142"/>
      <c r="E23" s="142"/>
      <c r="F23" s="156"/>
      <c r="G23" s="148" t="str">
        <f>IF(A23="","",IF(E23&lt;&gt;"",E23-A23,MAX('03 Day log'!$A$8:$A$38,'01 Daily report'!$B$5,A23)-A23))</f>
        <v/>
      </c>
      <c r="H23" s="157" t="str">
        <f>IF(B23="","",IF(E23&lt;&gt;"","Closed",IF(AND(D23&lt;&gt;"",MAX('03 Day log'!$A$8:$A$38,'01 Daily report'!$B$5)&gt;D23),"Overdue","Open")))</f>
        <v/>
      </c>
      <c r="I23" s="6"/>
      <c r="J23" s="6"/>
      <c r="K23" s="6"/>
      <c r="L23" s="6"/>
      <c r="M23" s="6"/>
      <c r="N23" s="6"/>
      <c r="O23" s="6"/>
      <c r="P23" s="6"/>
      <c r="Q23" s="6"/>
      <c r="R23" s="6"/>
      <c r="S23" s="6"/>
      <c r="T23" s="6"/>
      <c r="U23" s="6"/>
      <c r="V23" s="6"/>
      <c r="W23" s="6"/>
      <c r="X23" s="6"/>
      <c r="Y23" s="6"/>
      <c r="Z23" s="6"/>
    </row>
    <row r="24" spans="1:26" x14ac:dyDescent="0.3">
      <c r="A24" s="142"/>
      <c r="B24" s="143"/>
      <c r="C24" s="143"/>
      <c r="D24" s="142"/>
      <c r="E24" s="142"/>
      <c r="F24" s="156"/>
      <c r="G24" s="148" t="str">
        <f>IF(A24="","",IF(E24&lt;&gt;"",E24-A24,MAX('03 Day log'!$A$8:$A$38,'01 Daily report'!$B$5,A24)-A24))</f>
        <v/>
      </c>
      <c r="H24" s="157" t="str">
        <f>IF(B24="","",IF(E24&lt;&gt;"","Closed",IF(AND(D24&lt;&gt;"",MAX('03 Day log'!$A$8:$A$38,'01 Daily report'!$B$5)&gt;D24),"Overdue","Open")))</f>
        <v/>
      </c>
      <c r="I24" s="6"/>
      <c r="J24" s="6"/>
      <c r="K24" s="6"/>
      <c r="L24" s="6"/>
      <c r="M24" s="6"/>
      <c r="N24" s="6"/>
      <c r="O24" s="6"/>
      <c r="P24" s="6"/>
      <c r="Q24" s="6"/>
      <c r="R24" s="6"/>
      <c r="S24" s="6"/>
      <c r="T24" s="6"/>
      <c r="U24" s="6"/>
      <c r="V24" s="6"/>
      <c r="W24" s="6"/>
      <c r="X24" s="6"/>
      <c r="Y24" s="6"/>
      <c r="Z24" s="6"/>
    </row>
    <row r="25" spans="1:26" x14ac:dyDescent="0.3">
      <c r="A25" s="142"/>
      <c r="B25" s="143"/>
      <c r="C25" s="143"/>
      <c r="D25" s="142"/>
      <c r="E25" s="142"/>
      <c r="F25" s="156"/>
      <c r="G25" s="148" t="str">
        <f>IF(A25="","",IF(E25&lt;&gt;"",E25-A25,MAX('03 Day log'!$A$8:$A$38,'01 Daily report'!$B$5,A25)-A25))</f>
        <v/>
      </c>
      <c r="H25" s="157" t="str">
        <f>IF(B25="","",IF(E25&lt;&gt;"","Closed",IF(AND(D25&lt;&gt;"",MAX('03 Day log'!$A$8:$A$38,'01 Daily report'!$B$5)&gt;D25),"Overdue","Open")))</f>
        <v/>
      </c>
      <c r="I25" s="6"/>
      <c r="J25" s="6"/>
      <c r="K25" s="6"/>
      <c r="L25" s="6"/>
      <c r="M25" s="6"/>
      <c r="N25" s="6"/>
      <c r="O25" s="6"/>
      <c r="P25" s="6"/>
      <c r="Q25" s="6"/>
      <c r="R25" s="6"/>
      <c r="S25" s="6"/>
      <c r="T25" s="6"/>
      <c r="U25" s="6"/>
      <c r="V25" s="6"/>
      <c r="W25" s="6"/>
      <c r="X25" s="6"/>
      <c r="Y25" s="6"/>
      <c r="Z25" s="6"/>
    </row>
    <row r="26" spans="1:26" x14ac:dyDescent="0.3">
      <c r="A26" s="142"/>
      <c r="B26" s="143"/>
      <c r="C26" s="143"/>
      <c r="D26" s="142"/>
      <c r="E26" s="142"/>
      <c r="F26" s="156"/>
      <c r="G26" s="148" t="str">
        <f>IF(A26="","",IF(E26&lt;&gt;"",E26-A26,MAX('03 Day log'!$A$8:$A$38,'01 Daily report'!$B$5,A26)-A26))</f>
        <v/>
      </c>
      <c r="H26" s="157" t="str">
        <f>IF(B26="","",IF(E26&lt;&gt;"","Closed",IF(AND(D26&lt;&gt;"",MAX('03 Day log'!$A$8:$A$38,'01 Daily report'!$B$5)&gt;D26),"Overdue","Open")))</f>
        <v/>
      </c>
      <c r="I26" s="6"/>
      <c r="J26" s="6"/>
      <c r="K26" s="6"/>
      <c r="L26" s="6"/>
      <c r="M26" s="6"/>
      <c r="N26" s="6"/>
      <c r="O26" s="6"/>
      <c r="P26" s="6"/>
      <c r="Q26" s="6"/>
      <c r="R26" s="6"/>
      <c r="S26" s="6"/>
      <c r="T26" s="6"/>
      <c r="U26" s="6"/>
      <c r="V26" s="6"/>
      <c r="W26" s="6"/>
      <c r="X26" s="6"/>
      <c r="Y26" s="6"/>
      <c r="Z26" s="6"/>
    </row>
    <row r="27" spans="1:26" x14ac:dyDescent="0.3">
      <c r="A27" s="142"/>
      <c r="B27" s="143"/>
      <c r="C27" s="143"/>
      <c r="D27" s="142"/>
      <c r="E27" s="142"/>
      <c r="F27" s="156"/>
      <c r="G27" s="148" t="str">
        <f>IF(A27="","",IF(E27&lt;&gt;"",E27-A27,MAX('03 Day log'!$A$8:$A$38,'01 Daily report'!$B$5,A27)-A27))</f>
        <v/>
      </c>
      <c r="H27" s="157" t="str">
        <f>IF(B27="","",IF(E27&lt;&gt;"","Closed",IF(AND(D27&lt;&gt;"",MAX('03 Day log'!$A$8:$A$38,'01 Daily report'!$B$5)&gt;D27),"Overdue","Open")))</f>
        <v/>
      </c>
      <c r="I27" s="6"/>
      <c r="J27" s="6"/>
      <c r="K27" s="6"/>
      <c r="L27" s="6"/>
      <c r="M27" s="6"/>
      <c r="N27" s="6"/>
      <c r="O27" s="6"/>
      <c r="P27" s="6"/>
      <c r="Q27" s="6"/>
      <c r="R27" s="6"/>
      <c r="S27" s="6"/>
      <c r="T27" s="6"/>
      <c r="U27" s="6"/>
      <c r="V27" s="6"/>
      <c r="W27" s="6"/>
      <c r="X27" s="6"/>
      <c r="Y27" s="6"/>
      <c r="Z27" s="6"/>
    </row>
    <row r="28" spans="1:26" x14ac:dyDescent="0.3">
      <c r="A28" s="142"/>
      <c r="B28" s="143"/>
      <c r="C28" s="143"/>
      <c r="D28" s="142"/>
      <c r="E28" s="142"/>
      <c r="F28" s="156"/>
      <c r="G28" s="148" t="str">
        <f>IF(A28="","",IF(E28&lt;&gt;"",E28-A28,MAX('03 Day log'!$A$8:$A$38,'01 Daily report'!$B$5,A28)-A28))</f>
        <v/>
      </c>
      <c r="H28" s="157" t="str">
        <f>IF(B28="","",IF(E28&lt;&gt;"","Closed",IF(AND(D28&lt;&gt;"",MAX('03 Day log'!$A$8:$A$38,'01 Daily report'!$B$5)&gt;D28),"Overdue","Open")))</f>
        <v/>
      </c>
      <c r="I28" s="6"/>
      <c r="J28" s="6"/>
      <c r="K28" s="6"/>
      <c r="L28" s="6"/>
      <c r="M28" s="6"/>
      <c r="N28" s="6"/>
      <c r="O28" s="6"/>
      <c r="P28" s="6"/>
      <c r="Q28" s="6"/>
      <c r="R28" s="6"/>
      <c r="S28" s="6"/>
      <c r="T28" s="6"/>
      <c r="U28" s="6"/>
      <c r="V28" s="6"/>
      <c r="W28" s="6"/>
      <c r="X28" s="6"/>
      <c r="Y28" s="6"/>
      <c r="Z28" s="6"/>
    </row>
    <row r="29" spans="1:26" x14ac:dyDescent="0.3">
      <c r="A29" s="142"/>
      <c r="B29" s="143"/>
      <c r="C29" s="143"/>
      <c r="D29" s="142"/>
      <c r="E29" s="142"/>
      <c r="F29" s="156"/>
      <c r="G29" s="148" t="str">
        <f>IF(A29="","",IF(E29&lt;&gt;"",E29-A29,MAX('03 Day log'!$A$8:$A$38,'01 Daily report'!$B$5,A29)-A29))</f>
        <v/>
      </c>
      <c r="H29" s="157" t="str">
        <f>IF(B29="","",IF(E29&lt;&gt;"","Closed",IF(AND(D29&lt;&gt;"",MAX('03 Day log'!$A$8:$A$38,'01 Daily report'!$B$5)&gt;D29),"Overdue","Open")))</f>
        <v/>
      </c>
      <c r="I29" s="6"/>
      <c r="J29" s="6"/>
      <c r="K29" s="6"/>
      <c r="L29" s="6"/>
      <c r="M29" s="6"/>
      <c r="N29" s="6"/>
      <c r="O29" s="6"/>
      <c r="P29" s="6"/>
      <c r="Q29" s="6"/>
      <c r="R29" s="6"/>
      <c r="S29" s="6"/>
      <c r="T29" s="6"/>
      <c r="U29" s="6"/>
      <c r="V29" s="6"/>
      <c r="W29" s="6"/>
      <c r="X29" s="6"/>
      <c r="Y29" s="6"/>
      <c r="Z29" s="6"/>
    </row>
    <row r="30" spans="1:26" x14ac:dyDescent="0.3">
      <c r="A30" s="142"/>
      <c r="B30" s="143"/>
      <c r="C30" s="143"/>
      <c r="D30" s="142"/>
      <c r="E30" s="142"/>
      <c r="F30" s="156"/>
      <c r="G30" s="148" t="str">
        <f>IF(A30="","",IF(E30&lt;&gt;"",E30-A30,MAX('03 Day log'!$A$8:$A$38,'01 Daily report'!$B$5,A30)-A30))</f>
        <v/>
      </c>
      <c r="H30" s="157" t="str">
        <f>IF(B30="","",IF(E30&lt;&gt;"","Closed",IF(AND(D30&lt;&gt;"",MAX('03 Day log'!$A$8:$A$38,'01 Daily report'!$B$5)&gt;D30),"Overdue","Open")))</f>
        <v/>
      </c>
      <c r="I30" s="6"/>
      <c r="J30" s="6"/>
      <c r="K30" s="6"/>
      <c r="L30" s="6"/>
      <c r="M30" s="6"/>
      <c r="N30" s="6"/>
      <c r="O30" s="6"/>
      <c r="P30" s="6"/>
      <c r="Q30" s="6"/>
      <c r="R30" s="6"/>
      <c r="S30" s="6"/>
      <c r="T30" s="6"/>
      <c r="U30" s="6"/>
      <c r="V30" s="6"/>
      <c r="W30" s="6"/>
      <c r="X30" s="6"/>
      <c r="Y30" s="6"/>
      <c r="Z30" s="6"/>
    </row>
    <row r="31" spans="1:26" x14ac:dyDescent="0.3">
      <c r="A31" s="142"/>
      <c r="B31" s="143"/>
      <c r="C31" s="143"/>
      <c r="D31" s="142"/>
      <c r="E31" s="142"/>
      <c r="F31" s="156"/>
      <c r="G31" s="148" t="str">
        <f>IF(A31="","",IF(E31&lt;&gt;"",E31-A31,MAX('03 Day log'!$A$8:$A$38,'01 Daily report'!$B$5,A31)-A31))</f>
        <v/>
      </c>
      <c r="H31" s="157" t="str">
        <f>IF(B31="","",IF(E31&lt;&gt;"","Closed",IF(AND(D31&lt;&gt;"",MAX('03 Day log'!$A$8:$A$38,'01 Daily report'!$B$5)&gt;D31),"Overdue","Open")))</f>
        <v/>
      </c>
      <c r="I31" s="6"/>
      <c r="J31" s="6"/>
      <c r="K31" s="6"/>
      <c r="L31" s="6"/>
      <c r="M31" s="6"/>
      <c r="N31" s="6"/>
      <c r="O31" s="6"/>
      <c r="P31" s="6"/>
      <c r="Q31" s="6"/>
      <c r="R31" s="6"/>
      <c r="S31" s="6"/>
      <c r="T31" s="6"/>
      <c r="U31" s="6"/>
      <c r="V31" s="6"/>
      <c r="W31" s="6"/>
      <c r="X31" s="6"/>
      <c r="Y31" s="6"/>
      <c r="Z31" s="6"/>
    </row>
    <row r="32" spans="1:26" x14ac:dyDescent="0.3">
      <c r="A32" s="142"/>
      <c r="B32" s="143"/>
      <c r="C32" s="143"/>
      <c r="D32" s="142"/>
      <c r="E32" s="142"/>
      <c r="F32" s="156"/>
      <c r="G32" s="148" t="str">
        <f>IF(A32="","",IF(E32&lt;&gt;"",E32-A32,MAX('03 Day log'!$A$8:$A$38,'01 Daily report'!$B$5,A32)-A32))</f>
        <v/>
      </c>
      <c r="H32" s="157" t="str">
        <f>IF(B32="","",IF(E32&lt;&gt;"","Closed",IF(AND(D32&lt;&gt;"",MAX('03 Day log'!$A$8:$A$38,'01 Daily report'!$B$5)&gt;D32),"Overdue","Open")))</f>
        <v/>
      </c>
      <c r="I32" s="6"/>
      <c r="J32" s="6"/>
      <c r="K32" s="6"/>
      <c r="L32" s="6"/>
      <c r="M32" s="6"/>
      <c r="N32" s="6"/>
      <c r="O32" s="6"/>
      <c r="P32" s="6"/>
      <c r="Q32" s="6"/>
      <c r="R32" s="6"/>
      <c r="S32" s="6"/>
      <c r="T32" s="6"/>
      <c r="U32" s="6"/>
      <c r="V32" s="6"/>
      <c r="W32" s="6"/>
      <c r="X32" s="6"/>
      <c r="Y32" s="6"/>
      <c r="Z32" s="6"/>
    </row>
    <row r="33" spans="1:26" x14ac:dyDescent="0.3">
      <c r="A33" s="142"/>
      <c r="B33" s="143"/>
      <c r="C33" s="143"/>
      <c r="D33" s="142"/>
      <c r="E33" s="142"/>
      <c r="F33" s="156"/>
      <c r="G33" s="148" t="str">
        <f>IF(A33="","",IF(E33&lt;&gt;"",E33-A33,MAX('03 Day log'!$A$8:$A$38,'01 Daily report'!$B$5,A33)-A33))</f>
        <v/>
      </c>
      <c r="H33" s="157" t="str">
        <f>IF(B33="","",IF(E33&lt;&gt;"","Closed",IF(AND(D33&lt;&gt;"",MAX('03 Day log'!$A$8:$A$38,'01 Daily report'!$B$5)&gt;D33),"Overdue","Open")))</f>
        <v/>
      </c>
      <c r="I33" s="6"/>
      <c r="J33" s="6"/>
      <c r="K33" s="6"/>
      <c r="L33" s="6"/>
      <c r="M33" s="6"/>
      <c r="N33" s="6"/>
      <c r="O33" s="6"/>
      <c r="P33" s="6"/>
      <c r="Q33" s="6"/>
      <c r="R33" s="6"/>
      <c r="S33" s="6"/>
      <c r="T33" s="6"/>
      <c r="U33" s="6"/>
      <c r="V33" s="6"/>
      <c r="W33" s="6"/>
      <c r="X33" s="6"/>
      <c r="Y33" s="6"/>
      <c r="Z33" s="6"/>
    </row>
    <row r="34" spans="1:26" x14ac:dyDescent="0.3">
      <c r="A34" s="142"/>
      <c r="B34" s="143"/>
      <c r="C34" s="143"/>
      <c r="D34" s="142"/>
      <c r="E34" s="142"/>
      <c r="F34" s="156"/>
      <c r="G34" s="148" t="str">
        <f>IF(A34="","",IF(E34&lt;&gt;"",E34-A34,MAX('03 Day log'!$A$8:$A$38,'01 Daily report'!$B$5,A34)-A34))</f>
        <v/>
      </c>
      <c r="H34" s="157" t="str">
        <f>IF(B34="","",IF(E34&lt;&gt;"","Closed",IF(AND(D34&lt;&gt;"",MAX('03 Day log'!$A$8:$A$38,'01 Daily report'!$B$5)&gt;D34),"Overdue","Open")))</f>
        <v/>
      </c>
      <c r="I34" s="6"/>
      <c r="J34" s="6"/>
      <c r="K34" s="6"/>
      <c r="L34" s="6"/>
      <c r="M34" s="6"/>
      <c r="N34" s="6"/>
      <c r="O34" s="6"/>
      <c r="P34" s="6"/>
      <c r="Q34" s="6"/>
      <c r="R34" s="6"/>
      <c r="S34" s="6"/>
      <c r="T34" s="6"/>
      <c r="U34" s="6"/>
      <c r="V34" s="6"/>
      <c r="W34" s="6"/>
      <c r="X34" s="6"/>
      <c r="Y34" s="6"/>
      <c r="Z34" s="6"/>
    </row>
    <row r="35" spans="1:26" x14ac:dyDescent="0.3">
      <c r="A35" s="142"/>
      <c r="B35" s="143"/>
      <c r="C35" s="143"/>
      <c r="D35" s="142"/>
      <c r="E35" s="142"/>
      <c r="F35" s="156"/>
      <c r="G35" s="148" t="str">
        <f>IF(A35="","",IF(E35&lt;&gt;"",E35-A35,MAX('03 Day log'!$A$8:$A$38,'01 Daily report'!$B$5,A35)-A35))</f>
        <v/>
      </c>
      <c r="H35" s="157" t="str">
        <f>IF(B35="","",IF(E35&lt;&gt;"","Closed",IF(AND(D35&lt;&gt;"",MAX('03 Day log'!$A$8:$A$38,'01 Daily report'!$B$5)&gt;D35),"Overdue","Open")))</f>
        <v/>
      </c>
      <c r="I35" s="6"/>
      <c r="J35" s="6"/>
      <c r="K35" s="6"/>
      <c r="L35" s="6"/>
      <c r="M35" s="6"/>
      <c r="N35" s="6"/>
      <c r="O35" s="6"/>
      <c r="P35" s="6"/>
      <c r="Q35" s="6"/>
      <c r="R35" s="6"/>
      <c r="S35" s="6"/>
      <c r="T35" s="6"/>
      <c r="U35" s="6"/>
      <c r="V35" s="6"/>
      <c r="W35" s="6"/>
      <c r="X35" s="6"/>
      <c r="Y35" s="6"/>
      <c r="Z35" s="6"/>
    </row>
    <row r="36" spans="1:26" x14ac:dyDescent="0.3">
      <c r="A36" s="142"/>
      <c r="B36" s="143"/>
      <c r="C36" s="143"/>
      <c r="D36" s="142"/>
      <c r="E36" s="142"/>
      <c r="F36" s="156"/>
      <c r="G36" s="148" t="str">
        <f>IF(A36="","",IF(E36&lt;&gt;"",E36-A36,MAX('03 Day log'!$A$8:$A$38,'01 Daily report'!$B$5,A36)-A36))</f>
        <v/>
      </c>
      <c r="H36" s="157" t="str">
        <f>IF(B36="","",IF(E36&lt;&gt;"","Closed",IF(AND(D36&lt;&gt;"",MAX('03 Day log'!$A$8:$A$38,'01 Daily report'!$B$5)&gt;D36),"Overdue","Open")))</f>
        <v/>
      </c>
      <c r="I36" s="6"/>
      <c r="J36" s="6"/>
      <c r="K36" s="6"/>
      <c r="L36" s="6"/>
      <c r="M36" s="6"/>
      <c r="N36" s="6"/>
      <c r="O36" s="6"/>
      <c r="P36" s="6"/>
      <c r="Q36" s="6"/>
      <c r="R36" s="6"/>
      <c r="S36" s="6"/>
      <c r="T36" s="6"/>
      <c r="U36" s="6"/>
      <c r="V36" s="6"/>
      <c r="W36" s="6"/>
      <c r="X36" s="6"/>
      <c r="Y36" s="6"/>
      <c r="Z36" s="6"/>
    </row>
    <row r="37" spans="1:26" x14ac:dyDescent="0.3">
      <c r="A37" s="142"/>
      <c r="B37" s="143"/>
      <c r="C37" s="143"/>
      <c r="D37" s="142"/>
      <c r="E37" s="142"/>
      <c r="F37" s="156"/>
      <c r="G37" s="148" t="str">
        <f>IF(A37="","",IF(E37&lt;&gt;"",E37-A37,MAX('03 Day log'!$A$8:$A$38,'01 Daily report'!$B$5,A37)-A37))</f>
        <v/>
      </c>
      <c r="H37" s="157" t="str">
        <f>IF(B37="","",IF(E37&lt;&gt;"","Closed",IF(AND(D37&lt;&gt;"",MAX('03 Day log'!$A$8:$A$38,'01 Daily report'!$B$5)&gt;D37),"Overdue","Open")))</f>
        <v/>
      </c>
      <c r="I37" s="6"/>
      <c r="J37" s="6"/>
      <c r="K37" s="6"/>
      <c r="L37" s="6"/>
      <c r="M37" s="6"/>
      <c r="N37" s="6"/>
      <c r="O37" s="6"/>
      <c r="P37" s="6"/>
      <c r="Q37" s="6"/>
      <c r="R37" s="6"/>
      <c r="S37" s="6"/>
      <c r="T37" s="6"/>
      <c r="U37" s="6"/>
      <c r="V37" s="6"/>
      <c r="W37" s="6"/>
      <c r="X37" s="6"/>
      <c r="Y37" s="6"/>
      <c r="Z37" s="6"/>
    </row>
    <row r="38" spans="1:26" x14ac:dyDescent="0.3">
      <c r="A38" s="142"/>
      <c r="B38" s="143"/>
      <c r="C38" s="143"/>
      <c r="D38" s="142"/>
      <c r="E38" s="142"/>
      <c r="F38" s="156"/>
      <c r="G38" s="148" t="str">
        <f>IF(A38="","",IF(E38&lt;&gt;"",E38-A38,MAX('03 Day log'!$A$8:$A$38,'01 Daily report'!$B$5,A38)-A38))</f>
        <v/>
      </c>
      <c r="H38" s="157" t="str">
        <f>IF(B38="","",IF(E38&lt;&gt;"","Closed",IF(AND(D38&lt;&gt;"",MAX('03 Day log'!$A$8:$A$38,'01 Daily report'!$B$5)&gt;D38),"Overdue","Open")))</f>
        <v/>
      </c>
      <c r="I38" s="6"/>
      <c r="J38" s="6"/>
      <c r="K38" s="6"/>
      <c r="L38" s="6"/>
      <c r="M38" s="6"/>
      <c r="N38" s="6"/>
      <c r="O38" s="6"/>
      <c r="P38" s="6"/>
      <c r="Q38" s="6"/>
      <c r="R38" s="6"/>
      <c r="S38" s="6"/>
      <c r="T38" s="6"/>
      <c r="U38" s="6"/>
      <c r="V38" s="6"/>
      <c r="W38" s="6"/>
      <c r="X38" s="6"/>
      <c r="Y38" s="6"/>
      <c r="Z38" s="6"/>
    </row>
    <row r="39" spans="1:26" x14ac:dyDescent="0.3">
      <c r="A39" s="142"/>
      <c r="B39" s="143"/>
      <c r="C39" s="143"/>
      <c r="D39" s="142"/>
      <c r="E39" s="142"/>
      <c r="F39" s="156"/>
      <c r="G39" s="148" t="str">
        <f>IF(A39="","",IF(E39&lt;&gt;"",E39-A39,MAX('03 Day log'!$A$8:$A$38,'01 Daily report'!$B$5,A39)-A39))</f>
        <v/>
      </c>
      <c r="H39" s="157" t="str">
        <f>IF(B39="","",IF(E39&lt;&gt;"","Closed",IF(AND(D39&lt;&gt;"",MAX('03 Day log'!$A$8:$A$38,'01 Daily report'!$B$5)&gt;D39),"Overdue","Open")))</f>
        <v/>
      </c>
      <c r="I39" s="6"/>
      <c r="J39" s="6"/>
      <c r="K39" s="6"/>
      <c r="L39" s="6"/>
      <c r="M39" s="6"/>
      <c r="N39" s="6"/>
      <c r="O39" s="6"/>
      <c r="P39" s="6"/>
      <c r="Q39" s="6"/>
      <c r="R39" s="6"/>
      <c r="S39" s="6"/>
      <c r="T39" s="6"/>
      <c r="U39" s="6"/>
      <c r="V39" s="6"/>
      <c r="W39" s="6"/>
      <c r="X39" s="6"/>
      <c r="Y39" s="6"/>
      <c r="Z39" s="6"/>
    </row>
    <row r="40" spans="1:26" x14ac:dyDescent="0.3">
      <c r="A40" s="142"/>
      <c r="B40" s="143"/>
      <c r="C40" s="143"/>
      <c r="D40" s="142"/>
      <c r="E40" s="142"/>
      <c r="F40" s="156"/>
      <c r="G40" s="148" t="str">
        <f>IF(A40="","",IF(E40&lt;&gt;"",E40-A40,MAX('03 Day log'!$A$8:$A$38,'01 Daily report'!$B$5,A40)-A40))</f>
        <v/>
      </c>
      <c r="H40" s="157" t="str">
        <f>IF(B40="","",IF(E40&lt;&gt;"","Closed",IF(AND(D40&lt;&gt;"",MAX('03 Day log'!$A$8:$A$38,'01 Daily report'!$B$5)&gt;D40),"Overdue","Open")))</f>
        <v/>
      </c>
      <c r="I40" s="6"/>
      <c r="J40" s="6"/>
      <c r="K40" s="6"/>
      <c r="L40" s="6"/>
      <c r="M40" s="6"/>
      <c r="N40" s="6"/>
      <c r="O40" s="6"/>
      <c r="P40" s="6"/>
      <c r="Q40" s="6"/>
      <c r="R40" s="6"/>
      <c r="S40" s="6"/>
      <c r="T40" s="6"/>
      <c r="U40" s="6"/>
      <c r="V40" s="6"/>
      <c r="W40" s="6"/>
      <c r="X40" s="6"/>
      <c r="Y40" s="6"/>
      <c r="Z40" s="6"/>
    </row>
    <row r="41" spans="1:26" x14ac:dyDescent="0.3">
      <c r="A41" s="142"/>
      <c r="B41" s="143"/>
      <c r="C41" s="143"/>
      <c r="D41" s="142"/>
      <c r="E41" s="142"/>
      <c r="F41" s="156"/>
      <c r="G41" s="148" t="str">
        <f>IF(A41="","",IF(E41&lt;&gt;"",E41-A41,MAX('03 Day log'!$A$8:$A$38,'01 Daily report'!$B$5,A41)-A41))</f>
        <v/>
      </c>
      <c r="H41" s="157" t="str">
        <f>IF(B41="","",IF(E41&lt;&gt;"","Closed",IF(AND(D41&lt;&gt;"",MAX('03 Day log'!$A$8:$A$38,'01 Daily report'!$B$5)&gt;D41),"Overdue","Open")))</f>
        <v/>
      </c>
      <c r="I41" s="6"/>
      <c r="J41" s="6"/>
      <c r="K41" s="6"/>
      <c r="L41" s="6"/>
      <c r="M41" s="6"/>
      <c r="N41" s="6"/>
      <c r="O41" s="6"/>
      <c r="P41" s="6"/>
      <c r="Q41" s="6"/>
      <c r="R41" s="6"/>
      <c r="S41" s="6"/>
      <c r="T41" s="6"/>
      <c r="U41" s="6"/>
      <c r="V41" s="6"/>
      <c r="W41" s="6"/>
      <c r="X41" s="6"/>
      <c r="Y41" s="6"/>
      <c r="Z41" s="6"/>
    </row>
    <row r="42" spans="1:26" x14ac:dyDescent="0.3">
      <c r="A42" s="142"/>
      <c r="B42" s="143"/>
      <c r="C42" s="143"/>
      <c r="D42" s="142"/>
      <c r="E42" s="142"/>
      <c r="F42" s="156"/>
      <c r="G42" s="148" t="str">
        <f>IF(A42="","",IF(E42&lt;&gt;"",E42-A42,MAX('03 Day log'!$A$8:$A$38,'01 Daily report'!$B$5,A42)-A42))</f>
        <v/>
      </c>
      <c r="H42" s="157" t="str">
        <f>IF(B42="","",IF(E42&lt;&gt;"","Closed",IF(AND(D42&lt;&gt;"",MAX('03 Day log'!$A$8:$A$38,'01 Daily report'!$B$5)&gt;D42),"Overdue","Open")))</f>
        <v/>
      </c>
      <c r="I42" s="6"/>
      <c r="J42" s="6"/>
      <c r="K42" s="6"/>
      <c r="L42" s="6"/>
      <c r="M42" s="6"/>
      <c r="N42" s="6"/>
      <c r="O42" s="6"/>
      <c r="P42" s="6"/>
      <c r="Q42" s="6"/>
      <c r="R42" s="6"/>
      <c r="S42" s="6"/>
      <c r="T42" s="6"/>
      <c r="U42" s="6"/>
      <c r="V42" s="6"/>
      <c r="W42" s="6"/>
      <c r="X42" s="6"/>
      <c r="Y42" s="6"/>
      <c r="Z42" s="6"/>
    </row>
    <row r="43" spans="1:26" x14ac:dyDescent="0.3">
      <c r="A43" s="142"/>
      <c r="B43" s="143"/>
      <c r="C43" s="143"/>
      <c r="D43" s="142"/>
      <c r="E43" s="142"/>
      <c r="F43" s="156"/>
      <c r="G43" s="148" t="str">
        <f>IF(A43="","",IF(E43&lt;&gt;"",E43-A43,MAX('03 Day log'!$A$8:$A$38,'01 Daily report'!$B$5,A43)-A43))</f>
        <v/>
      </c>
      <c r="H43" s="157" t="str">
        <f>IF(B43="","",IF(E43&lt;&gt;"","Closed",IF(AND(D43&lt;&gt;"",MAX('03 Day log'!$A$8:$A$38,'01 Daily report'!$B$5)&gt;D43),"Overdue","Open")))</f>
        <v/>
      </c>
      <c r="I43" s="6"/>
      <c r="J43" s="6"/>
      <c r="K43" s="6"/>
      <c r="L43" s="6"/>
      <c r="M43" s="6"/>
      <c r="N43" s="6"/>
      <c r="O43" s="6"/>
      <c r="P43" s="6"/>
      <c r="Q43" s="6"/>
      <c r="R43" s="6"/>
      <c r="S43" s="6"/>
      <c r="T43" s="6"/>
      <c r="U43" s="6"/>
      <c r="V43" s="6"/>
      <c r="W43" s="6"/>
      <c r="X43" s="6"/>
      <c r="Y43" s="6"/>
      <c r="Z43" s="6"/>
    </row>
    <row r="44" spans="1:26" x14ac:dyDescent="0.3">
      <c r="A44" s="142"/>
      <c r="B44" s="143"/>
      <c r="C44" s="143"/>
      <c r="D44" s="142"/>
      <c r="E44" s="142"/>
      <c r="F44" s="156"/>
      <c r="G44" s="148" t="str">
        <f>IF(A44="","",IF(E44&lt;&gt;"",E44-A44,MAX('03 Day log'!$A$8:$A$38,'01 Daily report'!$B$5,A44)-A44))</f>
        <v/>
      </c>
      <c r="H44" s="157" t="str">
        <f>IF(B44="","",IF(E44&lt;&gt;"","Closed",IF(AND(D44&lt;&gt;"",MAX('03 Day log'!$A$8:$A$38,'01 Daily report'!$B$5)&gt;D44),"Overdue","Open")))</f>
        <v/>
      </c>
      <c r="I44" s="6"/>
      <c r="J44" s="6"/>
      <c r="K44" s="6"/>
      <c r="L44" s="6"/>
      <c r="M44" s="6"/>
      <c r="N44" s="6"/>
      <c r="O44" s="6"/>
      <c r="P44" s="6"/>
      <c r="Q44" s="6"/>
      <c r="R44" s="6"/>
      <c r="S44" s="6"/>
      <c r="T44" s="6"/>
      <c r="U44" s="6"/>
      <c r="V44" s="6"/>
      <c r="W44" s="6"/>
      <c r="X44" s="6"/>
      <c r="Y44" s="6"/>
      <c r="Z44" s="6"/>
    </row>
    <row r="45" spans="1:26" x14ac:dyDescent="0.3">
      <c r="A45" s="142"/>
      <c r="B45" s="143"/>
      <c r="C45" s="143"/>
      <c r="D45" s="142"/>
      <c r="E45" s="142"/>
      <c r="F45" s="156"/>
      <c r="G45" s="148" t="str">
        <f>IF(A45="","",IF(E45&lt;&gt;"",E45-A45,MAX('03 Day log'!$A$8:$A$38,'01 Daily report'!$B$5,A45)-A45))</f>
        <v/>
      </c>
      <c r="H45" s="157" t="str">
        <f>IF(B45="","",IF(E45&lt;&gt;"","Closed",IF(AND(D45&lt;&gt;"",MAX('03 Day log'!$A$8:$A$38,'01 Daily report'!$B$5)&gt;D45),"Overdue","Open")))</f>
        <v/>
      </c>
      <c r="I45" s="6"/>
      <c r="J45" s="6"/>
      <c r="K45" s="6"/>
      <c r="L45" s="6"/>
      <c r="M45" s="6"/>
      <c r="N45" s="6"/>
      <c r="O45" s="6"/>
      <c r="P45" s="6"/>
      <c r="Q45" s="6"/>
      <c r="R45" s="6"/>
      <c r="S45" s="6"/>
      <c r="T45" s="6"/>
      <c r="U45" s="6"/>
      <c r="V45" s="6"/>
      <c r="W45" s="6"/>
      <c r="X45" s="6"/>
      <c r="Y45" s="6"/>
      <c r="Z45" s="6"/>
    </row>
    <row r="46" spans="1:26" x14ac:dyDescent="0.3">
      <c r="A46" s="142"/>
      <c r="B46" s="143"/>
      <c r="C46" s="143"/>
      <c r="D46" s="142"/>
      <c r="E46" s="142"/>
      <c r="F46" s="156"/>
      <c r="G46" s="148" t="str">
        <f>IF(A46="","",IF(E46&lt;&gt;"",E46-A46,MAX('03 Day log'!$A$8:$A$38,'01 Daily report'!$B$5,A46)-A46))</f>
        <v/>
      </c>
      <c r="H46" s="157" t="str">
        <f>IF(B46="","",IF(E46&lt;&gt;"","Closed",IF(AND(D46&lt;&gt;"",MAX('03 Day log'!$A$8:$A$38,'01 Daily report'!$B$5)&gt;D46),"Overdue","Open")))</f>
        <v/>
      </c>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H7:H46">
    <cfRule type="cellIs" dxfId="13" priority="1" operator="equal">
      <formula>"Overdue"</formula>
    </cfRule>
    <cfRule type="cellIs" dxfId="12" priority="2" operator="equal">
      <formula>"Open"</formula>
    </cfRule>
    <cfRule type="cellIs" dxfId="11" priority="3" operator="equal">
      <formula>"Closed"</formula>
    </cfRule>
  </conditionalFormatting>
  <dataValidations count="3">
    <dataValidation type="date" allowBlank="1" showInputMessage="1" showErrorMessage="1" errorTitle="Date" error="Enter a date, e.g. 3/3/2026." sqref="A7:A46" xr:uid="{9060069E-09D1-4467-AFAB-234CE235A2C1}">
      <formula1>43831</formula1>
      <formula2>51501</formula2>
    </dataValidation>
    <dataValidation type="date" allowBlank="1" showInputMessage="1" showErrorMessage="1" errorTitle="Date" error="Enter a date, e.g. 3/3/2026." sqref="D7:D46" xr:uid="{BEC56029-69D5-433C-BA28-60726D1F90D0}">
      <formula1>43831</formula1>
      <formula2>51501</formula2>
    </dataValidation>
    <dataValidation type="date" allowBlank="1" showInputMessage="1" showErrorMessage="1" errorTitle="Date" error="Enter a date, e.g. 3/3/2026." sqref="E7:E46" xr:uid="{0BD33F7B-154C-4D5D-AF8C-129150169DC7}">
      <formula1>43831</formula1>
      <formula2>51501</formula2>
    </dataValidation>
  </dataValidations>
  <printOptions horizontalCentered="1"/>
  <pageMargins left="0.4" right="0.4" top="0.5" bottom="0.5" header="0.5" footer="0.5"/>
  <pageSetup paperSize="9" orientation="landscape"/>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errorTitle="Pick from the list" error="Choose a value from the drop-down. To add a new one, add it to the list on Setup first." xr:uid="{B0130183-41F0-401E-AD84-2C477EB7C244}">
          <x14:formula1>
            <xm:f>'14 Setup'!$H$12:$H$26</xm:f>
          </x14:formula1>
          <xm:sqref>C7:C46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410C"/>
    <pageSetUpPr fitToPage="1"/>
  </sheetPr>
  <dimension ref="A1:Z1000"/>
  <sheetViews>
    <sheetView showGridLines="0" tabSelected="1" workbookViewId="0">
      <pane ySplit="6" topLeftCell="A7" activePane="bottomLeft" state="frozen"/>
      <selection pane="bottomLeft" activeCell="I10" sqref="A7:I10"/>
    </sheetView>
  </sheetViews>
  <sheetFormatPr defaultRowHeight="14.4" x14ac:dyDescent="0.3"/>
  <cols>
    <col min="1" max="1" width="12" customWidth="1"/>
    <col min="2" max="3" width="10" customWidth="1"/>
    <col min="4" max="4" width="30" customWidth="1"/>
    <col min="5" max="5" width="16" customWidth="1"/>
    <col min="6" max="6" width="14" customWidth="1"/>
    <col min="7" max="7" width="34" customWidth="1"/>
    <col min="8" max="8" width="16" customWidth="1"/>
    <col min="9" max="9" width="12" customWidth="1"/>
  </cols>
  <sheetData>
    <row r="1" spans="1:26" ht="28.05" customHeight="1" x14ac:dyDescent="0.4">
      <c r="A1" s="112" t="s">
        <v>24</v>
      </c>
      <c r="B1" s="6"/>
      <c r="C1" s="6"/>
      <c r="D1" s="6"/>
      <c r="E1" s="6"/>
      <c r="F1" s="6"/>
      <c r="G1" s="6"/>
      <c r="H1" s="6"/>
      <c r="I1" s="177" t="s">
        <v>32</v>
      </c>
      <c r="J1" s="6"/>
      <c r="K1" s="6"/>
      <c r="L1" s="6"/>
      <c r="M1" s="6"/>
      <c r="N1" s="6"/>
      <c r="O1" s="6"/>
      <c r="P1" s="6"/>
      <c r="Q1" s="6"/>
      <c r="R1" s="6"/>
      <c r="S1" s="6"/>
      <c r="T1" s="6"/>
      <c r="U1" s="6"/>
      <c r="V1" s="6"/>
      <c r="W1" s="6"/>
      <c r="X1" s="6"/>
      <c r="Y1" s="6"/>
      <c r="Z1" s="6"/>
    </row>
    <row r="2" spans="1:26" x14ac:dyDescent="0.3">
      <c r="A2" s="114" t="s">
        <v>164</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165</v>
      </c>
      <c r="B3" s="6"/>
      <c r="C3" s="6"/>
      <c r="D3" s="6"/>
      <c r="E3" s="6"/>
      <c r="F3" s="6"/>
      <c r="G3" s="6"/>
      <c r="H3" s="6"/>
      <c r="I3" s="6"/>
      <c r="J3" s="6"/>
      <c r="K3" s="6"/>
      <c r="L3" s="6"/>
      <c r="M3" s="6"/>
      <c r="N3" s="6"/>
      <c r="O3" s="6"/>
      <c r="P3" s="6"/>
      <c r="Q3" s="6"/>
      <c r="R3" s="6"/>
      <c r="S3" s="6"/>
      <c r="T3" s="6"/>
      <c r="U3" s="6"/>
      <c r="V3" s="6"/>
      <c r="W3" s="6"/>
      <c r="X3" s="6"/>
      <c r="Y3" s="6"/>
      <c r="Z3" s="6"/>
    </row>
    <row r="4" spans="1:26" x14ac:dyDescent="0.3">
      <c r="A4" s="116"/>
      <c r="B4" s="116"/>
      <c r="C4" s="116"/>
      <c r="D4" s="116"/>
      <c r="E4" s="116"/>
      <c r="F4" s="116"/>
      <c r="G4" s="116"/>
      <c r="H4" s="116"/>
      <c r="I4" s="11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166</v>
      </c>
      <c r="B6" s="141" t="s">
        <v>74</v>
      </c>
      <c r="C6" s="141" t="s">
        <v>167</v>
      </c>
      <c r="D6" s="155" t="s">
        <v>168</v>
      </c>
      <c r="E6" s="141" t="s">
        <v>169</v>
      </c>
      <c r="F6" s="141" t="s">
        <v>170</v>
      </c>
      <c r="G6" s="155" t="s">
        <v>171</v>
      </c>
      <c r="H6" s="141" t="s">
        <v>172</v>
      </c>
      <c r="I6" s="141" t="s">
        <v>173</v>
      </c>
      <c r="J6" s="6"/>
      <c r="K6" s="6"/>
      <c r="L6" s="6"/>
      <c r="M6" s="6"/>
      <c r="N6" s="6"/>
      <c r="O6" s="6"/>
      <c r="P6" s="6"/>
      <c r="Q6" s="6"/>
      <c r="R6" s="6"/>
      <c r="S6" s="6"/>
      <c r="T6" s="6"/>
      <c r="U6" s="6"/>
      <c r="V6" s="6"/>
      <c r="W6" s="6"/>
      <c r="X6" s="6"/>
      <c r="Y6" s="6"/>
      <c r="Z6" s="6"/>
    </row>
    <row r="7" spans="1:26" ht="26.4" x14ac:dyDescent="0.3">
      <c r="A7" s="142">
        <v>46084</v>
      </c>
      <c r="B7" s="127">
        <f>IF(A7="","",IFERROR(INDEX('03 Day log'!$B$8:$B$38,MATCH(A7,'03 Day log'!$A$8:$A$38,0)),""))</f>
        <v>41</v>
      </c>
      <c r="C7" s="127">
        <f>IF(A7="","",COUNTIF($A$7:A7,A7))</f>
        <v>1</v>
      </c>
      <c r="D7" s="143" t="s">
        <v>262</v>
      </c>
      <c r="E7" s="143" t="s">
        <v>9</v>
      </c>
      <c r="F7" s="143" t="s">
        <v>174</v>
      </c>
      <c r="G7" s="158" t="s">
        <v>296</v>
      </c>
      <c r="H7" s="143" t="s">
        <v>79</v>
      </c>
      <c r="I7" s="142">
        <v>46085</v>
      </c>
      <c r="J7" s="6"/>
      <c r="K7" s="6"/>
      <c r="L7" s="6"/>
      <c r="M7" s="6"/>
      <c r="N7" s="6"/>
      <c r="O7" s="6"/>
      <c r="P7" s="6"/>
      <c r="Q7" s="6"/>
      <c r="R7" s="6"/>
      <c r="S7" s="6"/>
      <c r="T7" s="6"/>
      <c r="U7" s="6"/>
      <c r="V7" s="6"/>
      <c r="W7" s="6"/>
      <c r="X7" s="6"/>
      <c r="Y7" s="6"/>
      <c r="Z7" s="6"/>
    </row>
    <row r="8" spans="1:26" ht="26.4" x14ac:dyDescent="0.3">
      <c r="A8" s="142">
        <v>46086</v>
      </c>
      <c r="B8" s="127">
        <f>IF(A8="","",IFERROR(INDEX('03 Day log'!$B$8:$B$38,MATCH(A8,'03 Day log'!$A$8:$A$38,0)),""))</f>
        <v>43</v>
      </c>
      <c r="C8" s="127">
        <f>IF(A8="","",COUNTIF($A$7:A8,A8))</f>
        <v>1</v>
      </c>
      <c r="D8" s="143" t="s">
        <v>259</v>
      </c>
      <c r="E8" s="143" t="s">
        <v>175</v>
      </c>
      <c r="F8" s="143" t="s">
        <v>176</v>
      </c>
      <c r="G8" s="158" t="s">
        <v>297</v>
      </c>
      <c r="H8" s="143" t="s">
        <v>177</v>
      </c>
      <c r="I8" s="142">
        <v>46087</v>
      </c>
      <c r="J8" s="6"/>
      <c r="K8" s="6"/>
      <c r="L8" s="6"/>
      <c r="M8" s="6"/>
      <c r="N8" s="6"/>
      <c r="O8" s="6"/>
      <c r="P8" s="6"/>
      <c r="Q8" s="6"/>
      <c r="R8" s="6"/>
      <c r="S8" s="6"/>
      <c r="T8" s="6"/>
      <c r="U8" s="6"/>
      <c r="V8" s="6"/>
      <c r="W8" s="6"/>
      <c r="X8" s="6"/>
      <c r="Y8" s="6"/>
      <c r="Z8" s="6"/>
    </row>
    <row r="9" spans="1:26" x14ac:dyDescent="0.3">
      <c r="A9" s="142">
        <v>46086</v>
      </c>
      <c r="B9" s="127">
        <f>IF(A9="","",IFERROR(INDEX('03 Day log'!$B$8:$B$38,MATCH(A9,'03 Day log'!$A$8:$A$38,0)),""))</f>
        <v>43</v>
      </c>
      <c r="C9" s="127">
        <f>IF(A9="","",COUNTIF($A$7:A9,A9))</f>
        <v>2</v>
      </c>
      <c r="D9" s="143" t="s">
        <v>178</v>
      </c>
      <c r="E9" s="143" t="s">
        <v>9</v>
      </c>
      <c r="F9" s="143" t="s">
        <v>179</v>
      </c>
      <c r="G9" s="158" t="s">
        <v>180</v>
      </c>
      <c r="H9" s="143" t="s">
        <v>79</v>
      </c>
      <c r="I9" s="142">
        <v>46087</v>
      </c>
      <c r="J9" s="6"/>
      <c r="K9" s="6"/>
      <c r="L9" s="6"/>
      <c r="M9" s="6"/>
      <c r="N9" s="6"/>
      <c r="O9" s="6"/>
      <c r="P9" s="6"/>
      <c r="Q9" s="6"/>
      <c r="R9" s="6"/>
      <c r="S9" s="6"/>
      <c r="T9" s="6"/>
      <c r="U9" s="6"/>
      <c r="V9" s="6"/>
      <c r="W9" s="6"/>
      <c r="X9" s="6"/>
      <c r="Y9" s="6"/>
      <c r="Z9" s="6"/>
    </row>
    <row r="10" spans="1:26" ht="26.4" x14ac:dyDescent="0.3">
      <c r="A10" s="142">
        <v>46091</v>
      </c>
      <c r="B10" s="127">
        <f>IF(A10="","",IFERROR(INDEX('03 Day log'!$B$8:$B$38,MATCH(A10,'03 Day log'!$A$8:$A$38,0)),""))</f>
        <v>46</v>
      </c>
      <c r="C10" s="127">
        <f>IF(A10="","",COUNTIF($A$7:A10,A10))</f>
        <v>1</v>
      </c>
      <c r="D10" s="143" t="s">
        <v>262</v>
      </c>
      <c r="E10" s="143" t="s">
        <v>9</v>
      </c>
      <c r="F10" s="143" t="s">
        <v>181</v>
      </c>
      <c r="G10" s="158" t="s">
        <v>298</v>
      </c>
      <c r="H10" s="143" t="s">
        <v>79</v>
      </c>
      <c r="I10" s="142">
        <v>46092</v>
      </c>
      <c r="J10" s="6"/>
      <c r="K10" s="6"/>
      <c r="L10" s="6"/>
      <c r="M10" s="6"/>
      <c r="N10" s="6"/>
      <c r="O10" s="6"/>
      <c r="P10" s="6"/>
      <c r="Q10" s="6"/>
      <c r="R10" s="6"/>
      <c r="S10" s="6"/>
      <c r="T10" s="6"/>
      <c r="U10" s="6"/>
      <c r="V10" s="6"/>
      <c r="W10" s="6"/>
      <c r="X10" s="6"/>
      <c r="Y10" s="6"/>
      <c r="Z10" s="6"/>
    </row>
    <row r="11" spans="1:26" x14ac:dyDescent="0.3">
      <c r="A11" s="142"/>
      <c r="B11" s="127" t="str">
        <f>IF(A11="","",IFERROR(INDEX('03 Day log'!$B$8:$B$38,MATCH(A11,'03 Day log'!$A$8:$A$38,0)),""))</f>
        <v/>
      </c>
      <c r="C11" s="127" t="str">
        <f>IF(A11="","",COUNTIF($A$7:A11,A11))</f>
        <v/>
      </c>
      <c r="D11" s="143"/>
      <c r="E11" s="143"/>
      <c r="F11" s="143"/>
      <c r="G11" s="158"/>
      <c r="H11" s="143"/>
      <c r="I11" s="142"/>
      <c r="J11" s="6"/>
      <c r="K11" s="6"/>
      <c r="L11" s="6"/>
      <c r="M11" s="6"/>
      <c r="N11" s="6"/>
      <c r="O11" s="6"/>
      <c r="P11" s="6"/>
      <c r="Q11" s="6"/>
      <c r="R11" s="6"/>
      <c r="S11" s="6"/>
      <c r="T11" s="6"/>
      <c r="U11" s="6"/>
      <c r="V11" s="6"/>
      <c r="W11" s="6"/>
      <c r="X11" s="6"/>
      <c r="Y11" s="6"/>
      <c r="Z11" s="6"/>
    </row>
    <row r="12" spans="1:26" x14ac:dyDescent="0.3">
      <c r="A12" s="142"/>
      <c r="B12" s="127" t="str">
        <f>IF(A12="","",IFERROR(INDEX('03 Day log'!$B$8:$B$38,MATCH(A12,'03 Day log'!$A$8:$A$38,0)),""))</f>
        <v/>
      </c>
      <c r="C12" s="127" t="str">
        <f>IF(A12="","",COUNTIF($A$7:A12,A12))</f>
        <v/>
      </c>
      <c r="D12" s="143"/>
      <c r="E12" s="143"/>
      <c r="F12" s="143"/>
      <c r="G12" s="158"/>
      <c r="H12" s="143"/>
      <c r="I12" s="142"/>
      <c r="J12" s="6"/>
      <c r="K12" s="6"/>
      <c r="L12" s="6"/>
      <c r="M12" s="6"/>
      <c r="N12" s="6"/>
      <c r="O12" s="6"/>
      <c r="P12" s="6"/>
      <c r="Q12" s="6"/>
      <c r="R12" s="6"/>
      <c r="S12" s="6"/>
      <c r="T12" s="6"/>
      <c r="U12" s="6"/>
      <c r="V12" s="6"/>
      <c r="W12" s="6"/>
      <c r="X12" s="6"/>
      <c r="Y12" s="6"/>
      <c r="Z12" s="6"/>
    </row>
    <row r="13" spans="1:26" x14ac:dyDescent="0.3">
      <c r="A13" s="142"/>
      <c r="B13" s="127" t="str">
        <f>IF(A13="","",IFERROR(INDEX('03 Day log'!$B$8:$B$38,MATCH(A13,'03 Day log'!$A$8:$A$38,0)),""))</f>
        <v/>
      </c>
      <c r="C13" s="127" t="str">
        <f>IF(A13="","",COUNTIF($A$7:A13,A13))</f>
        <v/>
      </c>
      <c r="D13" s="143"/>
      <c r="E13" s="143"/>
      <c r="F13" s="143"/>
      <c r="G13" s="158"/>
      <c r="H13" s="143"/>
      <c r="I13" s="142"/>
      <c r="J13" s="6"/>
      <c r="K13" s="6"/>
      <c r="L13" s="6"/>
      <c r="M13" s="6"/>
      <c r="N13" s="6"/>
      <c r="O13" s="6"/>
      <c r="P13" s="6"/>
      <c r="Q13" s="6"/>
      <c r="R13" s="6"/>
      <c r="S13" s="6"/>
      <c r="T13" s="6"/>
      <c r="U13" s="6"/>
      <c r="V13" s="6"/>
      <c r="W13" s="6"/>
      <c r="X13" s="6"/>
      <c r="Y13" s="6"/>
      <c r="Z13" s="6"/>
    </row>
    <row r="14" spans="1:26" x14ac:dyDescent="0.3">
      <c r="A14" s="142"/>
      <c r="B14" s="127" t="str">
        <f>IF(A14="","",IFERROR(INDEX('03 Day log'!$B$8:$B$38,MATCH(A14,'03 Day log'!$A$8:$A$38,0)),""))</f>
        <v/>
      </c>
      <c r="C14" s="127" t="str">
        <f>IF(A14="","",COUNTIF($A$7:A14,A14))</f>
        <v/>
      </c>
      <c r="D14" s="143"/>
      <c r="E14" s="143"/>
      <c r="F14" s="143"/>
      <c r="G14" s="158"/>
      <c r="H14" s="143"/>
      <c r="I14" s="142"/>
      <c r="J14" s="6"/>
      <c r="K14" s="6"/>
      <c r="L14" s="6"/>
      <c r="M14" s="6"/>
      <c r="N14" s="6"/>
      <c r="O14" s="6"/>
      <c r="P14" s="6"/>
      <c r="Q14" s="6"/>
      <c r="R14" s="6"/>
      <c r="S14" s="6"/>
      <c r="T14" s="6"/>
      <c r="U14" s="6"/>
      <c r="V14" s="6"/>
      <c r="W14" s="6"/>
      <c r="X14" s="6"/>
      <c r="Y14" s="6"/>
      <c r="Z14" s="6"/>
    </row>
    <row r="15" spans="1:26" x14ac:dyDescent="0.3">
      <c r="A15" s="142"/>
      <c r="B15" s="127" t="str">
        <f>IF(A15="","",IFERROR(INDEX('03 Day log'!$B$8:$B$38,MATCH(A15,'03 Day log'!$A$8:$A$38,0)),""))</f>
        <v/>
      </c>
      <c r="C15" s="127" t="str">
        <f>IF(A15="","",COUNTIF($A$7:A15,A15))</f>
        <v/>
      </c>
      <c r="D15" s="143"/>
      <c r="E15" s="143"/>
      <c r="F15" s="143"/>
      <c r="G15" s="158"/>
      <c r="H15" s="143"/>
      <c r="I15" s="142"/>
      <c r="J15" s="6"/>
      <c r="K15" s="6"/>
      <c r="L15" s="6"/>
      <c r="M15" s="6"/>
      <c r="N15" s="6"/>
      <c r="O15" s="6"/>
      <c r="P15" s="6"/>
      <c r="Q15" s="6"/>
      <c r="R15" s="6"/>
      <c r="S15" s="6"/>
      <c r="T15" s="6"/>
      <c r="U15" s="6"/>
      <c r="V15" s="6"/>
      <c r="W15" s="6"/>
      <c r="X15" s="6"/>
      <c r="Y15" s="6"/>
      <c r="Z15" s="6"/>
    </row>
    <row r="16" spans="1:26" x14ac:dyDescent="0.3">
      <c r="A16" s="142"/>
      <c r="B16" s="127" t="str">
        <f>IF(A16="","",IFERROR(INDEX('03 Day log'!$B$8:$B$38,MATCH(A16,'03 Day log'!$A$8:$A$38,0)),""))</f>
        <v/>
      </c>
      <c r="C16" s="127" t="str">
        <f>IF(A16="","",COUNTIF($A$7:A16,A16))</f>
        <v/>
      </c>
      <c r="D16" s="143"/>
      <c r="E16" s="143"/>
      <c r="F16" s="143"/>
      <c r="G16" s="158"/>
      <c r="H16" s="143"/>
      <c r="I16" s="142"/>
      <c r="J16" s="6"/>
      <c r="K16" s="6"/>
      <c r="L16" s="6"/>
      <c r="M16" s="6"/>
      <c r="N16" s="6"/>
      <c r="O16" s="6"/>
      <c r="P16" s="6"/>
      <c r="Q16" s="6"/>
      <c r="R16" s="6"/>
      <c r="S16" s="6"/>
      <c r="T16" s="6"/>
      <c r="U16" s="6"/>
      <c r="V16" s="6"/>
      <c r="W16" s="6"/>
      <c r="X16" s="6"/>
      <c r="Y16" s="6"/>
      <c r="Z16" s="6"/>
    </row>
    <row r="17" spans="1:26" x14ac:dyDescent="0.3">
      <c r="A17" s="142"/>
      <c r="B17" s="127" t="str">
        <f>IF(A17="","",IFERROR(INDEX('03 Day log'!$B$8:$B$38,MATCH(A17,'03 Day log'!$A$8:$A$38,0)),""))</f>
        <v/>
      </c>
      <c r="C17" s="127" t="str">
        <f>IF(A17="","",COUNTIF($A$7:A17,A17))</f>
        <v/>
      </c>
      <c r="D17" s="143"/>
      <c r="E17" s="143"/>
      <c r="F17" s="143"/>
      <c r="G17" s="158"/>
      <c r="H17" s="143"/>
      <c r="I17" s="142"/>
      <c r="J17" s="6"/>
      <c r="K17" s="6"/>
      <c r="L17" s="6"/>
      <c r="M17" s="6"/>
      <c r="N17" s="6"/>
      <c r="O17" s="6"/>
      <c r="P17" s="6"/>
      <c r="Q17" s="6"/>
      <c r="R17" s="6"/>
      <c r="S17" s="6"/>
      <c r="T17" s="6"/>
      <c r="U17" s="6"/>
      <c r="V17" s="6"/>
      <c r="W17" s="6"/>
      <c r="X17" s="6"/>
      <c r="Y17" s="6"/>
      <c r="Z17" s="6"/>
    </row>
    <row r="18" spans="1:26" x14ac:dyDescent="0.3">
      <c r="A18" s="142"/>
      <c r="B18" s="127" t="str">
        <f>IF(A18="","",IFERROR(INDEX('03 Day log'!$B$8:$B$38,MATCH(A18,'03 Day log'!$A$8:$A$38,0)),""))</f>
        <v/>
      </c>
      <c r="C18" s="127" t="str">
        <f>IF(A18="","",COUNTIF($A$7:A18,A18))</f>
        <v/>
      </c>
      <c r="D18" s="143"/>
      <c r="E18" s="143"/>
      <c r="F18" s="143"/>
      <c r="G18" s="158"/>
      <c r="H18" s="143"/>
      <c r="I18" s="142"/>
      <c r="J18" s="6"/>
      <c r="K18" s="6"/>
      <c r="L18" s="6"/>
      <c r="M18" s="6"/>
      <c r="N18" s="6"/>
      <c r="O18" s="6"/>
      <c r="P18" s="6"/>
      <c r="Q18" s="6"/>
      <c r="R18" s="6"/>
      <c r="S18" s="6"/>
      <c r="T18" s="6"/>
      <c r="U18" s="6"/>
      <c r="V18" s="6"/>
      <c r="W18" s="6"/>
      <c r="X18" s="6"/>
      <c r="Y18" s="6"/>
      <c r="Z18" s="6"/>
    </row>
    <row r="19" spans="1:26" x14ac:dyDescent="0.3">
      <c r="A19" s="142"/>
      <c r="B19" s="127" t="str">
        <f>IF(A19="","",IFERROR(INDEX('03 Day log'!$B$8:$B$38,MATCH(A19,'03 Day log'!$A$8:$A$38,0)),""))</f>
        <v/>
      </c>
      <c r="C19" s="127" t="str">
        <f>IF(A19="","",COUNTIF($A$7:A19,A19))</f>
        <v/>
      </c>
      <c r="D19" s="143"/>
      <c r="E19" s="143"/>
      <c r="F19" s="143"/>
      <c r="G19" s="158"/>
      <c r="H19" s="143"/>
      <c r="I19" s="142"/>
      <c r="J19" s="6"/>
      <c r="K19" s="6"/>
      <c r="L19" s="6"/>
      <c r="M19" s="6"/>
      <c r="N19" s="6"/>
      <c r="O19" s="6"/>
      <c r="P19" s="6"/>
      <c r="Q19" s="6"/>
      <c r="R19" s="6"/>
      <c r="S19" s="6"/>
      <c r="T19" s="6"/>
      <c r="U19" s="6"/>
      <c r="V19" s="6"/>
      <c r="W19" s="6"/>
      <c r="X19" s="6"/>
      <c r="Y19" s="6"/>
      <c r="Z19" s="6"/>
    </row>
    <row r="20" spans="1:26" x14ac:dyDescent="0.3">
      <c r="A20" s="142"/>
      <c r="B20" s="127" t="str">
        <f>IF(A20="","",IFERROR(INDEX('03 Day log'!$B$8:$B$38,MATCH(A20,'03 Day log'!$A$8:$A$38,0)),""))</f>
        <v/>
      </c>
      <c r="C20" s="127" t="str">
        <f>IF(A20="","",COUNTIF($A$7:A20,A20))</f>
        <v/>
      </c>
      <c r="D20" s="143"/>
      <c r="E20" s="143"/>
      <c r="F20" s="143"/>
      <c r="G20" s="158"/>
      <c r="H20" s="143"/>
      <c r="I20" s="142"/>
      <c r="J20" s="6"/>
      <c r="K20" s="6"/>
      <c r="L20" s="6"/>
      <c r="M20" s="6"/>
      <c r="N20" s="6"/>
      <c r="O20" s="6"/>
      <c r="P20" s="6"/>
      <c r="Q20" s="6"/>
      <c r="R20" s="6"/>
      <c r="S20" s="6"/>
      <c r="T20" s="6"/>
      <c r="U20" s="6"/>
      <c r="V20" s="6"/>
      <c r="W20" s="6"/>
      <c r="X20" s="6"/>
      <c r="Y20" s="6"/>
      <c r="Z20" s="6"/>
    </row>
    <row r="21" spans="1:26" x14ac:dyDescent="0.3">
      <c r="A21" s="142"/>
      <c r="B21" s="127" t="str">
        <f>IF(A21="","",IFERROR(INDEX('03 Day log'!$B$8:$B$38,MATCH(A21,'03 Day log'!$A$8:$A$38,0)),""))</f>
        <v/>
      </c>
      <c r="C21" s="127" t="str">
        <f>IF(A21="","",COUNTIF($A$7:A21,A21))</f>
        <v/>
      </c>
      <c r="D21" s="143"/>
      <c r="E21" s="143"/>
      <c r="F21" s="143"/>
      <c r="G21" s="158"/>
      <c r="H21" s="143"/>
      <c r="I21" s="142"/>
      <c r="J21" s="6"/>
      <c r="K21" s="6"/>
      <c r="L21" s="6"/>
      <c r="M21" s="6"/>
      <c r="N21" s="6"/>
      <c r="O21" s="6"/>
      <c r="P21" s="6"/>
      <c r="Q21" s="6"/>
      <c r="R21" s="6"/>
      <c r="S21" s="6"/>
      <c r="T21" s="6"/>
      <c r="U21" s="6"/>
      <c r="V21" s="6"/>
      <c r="W21" s="6"/>
      <c r="X21" s="6"/>
      <c r="Y21" s="6"/>
      <c r="Z21" s="6"/>
    </row>
    <row r="22" spans="1:26" x14ac:dyDescent="0.3">
      <c r="A22" s="142"/>
      <c r="B22" s="127" t="str">
        <f>IF(A22="","",IFERROR(INDEX('03 Day log'!$B$8:$B$38,MATCH(A22,'03 Day log'!$A$8:$A$38,0)),""))</f>
        <v/>
      </c>
      <c r="C22" s="127" t="str">
        <f>IF(A22="","",COUNTIF($A$7:A22,A22))</f>
        <v/>
      </c>
      <c r="D22" s="143"/>
      <c r="E22" s="143"/>
      <c r="F22" s="143"/>
      <c r="G22" s="158"/>
      <c r="H22" s="143"/>
      <c r="I22" s="142"/>
      <c r="J22" s="6"/>
      <c r="K22" s="6"/>
      <c r="L22" s="6"/>
      <c r="M22" s="6"/>
      <c r="N22" s="6"/>
      <c r="O22" s="6"/>
      <c r="P22" s="6"/>
      <c r="Q22" s="6"/>
      <c r="R22" s="6"/>
      <c r="S22" s="6"/>
      <c r="T22" s="6"/>
      <c r="U22" s="6"/>
      <c r="V22" s="6"/>
      <c r="W22" s="6"/>
      <c r="X22" s="6"/>
      <c r="Y22" s="6"/>
      <c r="Z22" s="6"/>
    </row>
    <row r="23" spans="1:26" x14ac:dyDescent="0.3">
      <c r="A23" s="142"/>
      <c r="B23" s="127" t="str">
        <f>IF(A23="","",IFERROR(INDEX('03 Day log'!$B$8:$B$38,MATCH(A23,'03 Day log'!$A$8:$A$38,0)),""))</f>
        <v/>
      </c>
      <c r="C23" s="127" t="str">
        <f>IF(A23="","",COUNTIF($A$7:A23,A23))</f>
        <v/>
      </c>
      <c r="D23" s="143"/>
      <c r="E23" s="143"/>
      <c r="F23" s="143"/>
      <c r="G23" s="158"/>
      <c r="H23" s="143"/>
      <c r="I23" s="142"/>
      <c r="J23" s="6"/>
      <c r="K23" s="6"/>
      <c r="L23" s="6"/>
      <c r="M23" s="6"/>
      <c r="N23" s="6"/>
      <c r="O23" s="6"/>
      <c r="P23" s="6"/>
      <c r="Q23" s="6"/>
      <c r="R23" s="6"/>
      <c r="S23" s="6"/>
      <c r="T23" s="6"/>
      <c r="U23" s="6"/>
      <c r="V23" s="6"/>
      <c r="W23" s="6"/>
      <c r="X23" s="6"/>
      <c r="Y23" s="6"/>
      <c r="Z23" s="6"/>
    </row>
    <row r="24" spans="1:26" x14ac:dyDescent="0.3">
      <c r="A24" s="142"/>
      <c r="B24" s="127" t="str">
        <f>IF(A24="","",IFERROR(INDEX('03 Day log'!$B$8:$B$38,MATCH(A24,'03 Day log'!$A$8:$A$38,0)),""))</f>
        <v/>
      </c>
      <c r="C24" s="127" t="str">
        <f>IF(A24="","",COUNTIF($A$7:A24,A24))</f>
        <v/>
      </c>
      <c r="D24" s="143"/>
      <c r="E24" s="143"/>
      <c r="F24" s="143"/>
      <c r="G24" s="158"/>
      <c r="H24" s="143"/>
      <c r="I24" s="142"/>
      <c r="J24" s="6"/>
      <c r="K24" s="6"/>
      <c r="L24" s="6"/>
      <c r="M24" s="6"/>
      <c r="N24" s="6"/>
      <c r="O24" s="6"/>
      <c r="P24" s="6"/>
      <c r="Q24" s="6"/>
      <c r="R24" s="6"/>
      <c r="S24" s="6"/>
      <c r="T24" s="6"/>
      <c r="U24" s="6"/>
      <c r="V24" s="6"/>
      <c r="W24" s="6"/>
      <c r="X24" s="6"/>
      <c r="Y24" s="6"/>
      <c r="Z24" s="6"/>
    </row>
    <row r="25" spans="1:26" x14ac:dyDescent="0.3">
      <c r="A25" s="142"/>
      <c r="B25" s="127" t="str">
        <f>IF(A25="","",IFERROR(INDEX('03 Day log'!$B$8:$B$38,MATCH(A25,'03 Day log'!$A$8:$A$38,0)),""))</f>
        <v/>
      </c>
      <c r="C25" s="127" t="str">
        <f>IF(A25="","",COUNTIF($A$7:A25,A25))</f>
        <v/>
      </c>
      <c r="D25" s="143"/>
      <c r="E25" s="143"/>
      <c r="F25" s="143"/>
      <c r="G25" s="158"/>
      <c r="H25" s="143"/>
      <c r="I25" s="142"/>
      <c r="J25" s="6"/>
      <c r="K25" s="6"/>
      <c r="L25" s="6"/>
      <c r="M25" s="6"/>
      <c r="N25" s="6"/>
      <c r="O25" s="6"/>
      <c r="P25" s="6"/>
      <c r="Q25" s="6"/>
      <c r="R25" s="6"/>
      <c r="S25" s="6"/>
      <c r="T25" s="6"/>
      <c r="U25" s="6"/>
      <c r="V25" s="6"/>
      <c r="W25" s="6"/>
      <c r="X25" s="6"/>
      <c r="Y25" s="6"/>
      <c r="Z25" s="6"/>
    </row>
    <row r="26" spans="1:26" x14ac:dyDescent="0.3">
      <c r="A26" s="142"/>
      <c r="B26" s="127" t="str">
        <f>IF(A26="","",IFERROR(INDEX('03 Day log'!$B$8:$B$38,MATCH(A26,'03 Day log'!$A$8:$A$38,0)),""))</f>
        <v/>
      </c>
      <c r="C26" s="127" t="str">
        <f>IF(A26="","",COUNTIF($A$7:A26,A26))</f>
        <v/>
      </c>
      <c r="D26" s="143"/>
      <c r="E26" s="143"/>
      <c r="F26" s="143"/>
      <c r="G26" s="158"/>
      <c r="H26" s="143"/>
      <c r="I26" s="142"/>
      <c r="J26" s="6"/>
      <c r="K26" s="6"/>
      <c r="L26" s="6"/>
      <c r="M26" s="6"/>
      <c r="N26" s="6"/>
      <c r="O26" s="6"/>
      <c r="P26" s="6"/>
      <c r="Q26" s="6"/>
      <c r="R26" s="6"/>
      <c r="S26" s="6"/>
      <c r="T26" s="6"/>
      <c r="U26" s="6"/>
      <c r="V26" s="6"/>
      <c r="W26" s="6"/>
      <c r="X26" s="6"/>
      <c r="Y26" s="6"/>
      <c r="Z26" s="6"/>
    </row>
    <row r="27" spans="1:26" x14ac:dyDescent="0.3">
      <c r="A27" s="142"/>
      <c r="B27" s="127" t="str">
        <f>IF(A27="","",IFERROR(INDEX('03 Day log'!$B$8:$B$38,MATCH(A27,'03 Day log'!$A$8:$A$38,0)),""))</f>
        <v/>
      </c>
      <c r="C27" s="127" t="str">
        <f>IF(A27="","",COUNTIF($A$7:A27,A27))</f>
        <v/>
      </c>
      <c r="D27" s="143"/>
      <c r="E27" s="143"/>
      <c r="F27" s="143"/>
      <c r="G27" s="158"/>
      <c r="H27" s="143"/>
      <c r="I27" s="142"/>
      <c r="J27" s="6"/>
      <c r="K27" s="6"/>
      <c r="L27" s="6"/>
      <c r="M27" s="6"/>
      <c r="N27" s="6"/>
      <c r="O27" s="6"/>
      <c r="P27" s="6"/>
      <c r="Q27" s="6"/>
      <c r="R27" s="6"/>
      <c r="S27" s="6"/>
      <c r="T27" s="6"/>
      <c r="U27" s="6"/>
      <c r="V27" s="6"/>
      <c r="W27" s="6"/>
      <c r="X27" s="6"/>
      <c r="Y27" s="6"/>
      <c r="Z27" s="6"/>
    </row>
    <row r="28" spans="1:26" x14ac:dyDescent="0.3">
      <c r="A28" s="142"/>
      <c r="B28" s="127" t="str">
        <f>IF(A28="","",IFERROR(INDEX('03 Day log'!$B$8:$B$38,MATCH(A28,'03 Day log'!$A$8:$A$38,0)),""))</f>
        <v/>
      </c>
      <c r="C28" s="127" t="str">
        <f>IF(A28="","",COUNTIF($A$7:A28,A28))</f>
        <v/>
      </c>
      <c r="D28" s="143"/>
      <c r="E28" s="143"/>
      <c r="F28" s="143"/>
      <c r="G28" s="158"/>
      <c r="H28" s="143"/>
      <c r="I28" s="142"/>
      <c r="J28" s="6"/>
      <c r="K28" s="6"/>
      <c r="L28" s="6"/>
      <c r="M28" s="6"/>
      <c r="N28" s="6"/>
      <c r="O28" s="6"/>
      <c r="P28" s="6"/>
      <c r="Q28" s="6"/>
      <c r="R28" s="6"/>
      <c r="S28" s="6"/>
      <c r="T28" s="6"/>
      <c r="U28" s="6"/>
      <c r="V28" s="6"/>
      <c r="W28" s="6"/>
      <c r="X28" s="6"/>
      <c r="Y28" s="6"/>
      <c r="Z28" s="6"/>
    </row>
    <row r="29" spans="1:26" x14ac:dyDescent="0.3">
      <c r="A29" s="142"/>
      <c r="B29" s="127" t="str">
        <f>IF(A29="","",IFERROR(INDEX('03 Day log'!$B$8:$B$38,MATCH(A29,'03 Day log'!$A$8:$A$38,0)),""))</f>
        <v/>
      </c>
      <c r="C29" s="127" t="str">
        <f>IF(A29="","",COUNTIF($A$7:A29,A29))</f>
        <v/>
      </c>
      <c r="D29" s="143"/>
      <c r="E29" s="143"/>
      <c r="F29" s="143"/>
      <c r="G29" s="158"/>
      <c r="H29" s="143"/>
      <c r="I29" s="142"/>
      <c r="J29" s="6"/>
      <c r="K29" s="6"/>
      <c r="L29" s="6"/>
      <c r="M29" s="6"/>
      <c r="N29" s="6"/>
      <c r="O29" s="6"/>
      <c r="P29" s="6"/>
      <c r="Q29" s="6"/>
      <c r="R29" s="6"/>
      <c r="S29" s="6"/>
      <c r="T29" s="6"/>
      <c r="U29" s="6"/>
      <c r="V29" s="6"/>
      <c r="W29" s="6"/>
      <c r="X29" s="6"/>
      <c r="Y29" s="6"/>
      <c r="Z29" s="6"/>
    </row>
    <row r="30" spans="1:26" x14ac:dyDescent="0.3">
      <c r="A30" s="142"/>
      <c r="B30" s="127" t="str">
        <f>IF(A30="","",IFERROR(INDEX('03 Day log'!$B$8:$B$38,MATCH(A30,'03 Day log'!$A$8:$A$38,0)),""))</f>
        <v/>
      </c>
      <c r="C30" s="127" t="str">
        <f>IF(A30="","",COUNTIF($A$7:A30,A30))</f>
        <v/>
      </c>
      <c r="D30" s="143"/>
      <c r="E30" s="143"/>
      <c r="F30" s="143"/>
      <c r="G30" s="158"/>
      <c r="H30" s="143"/>
      <c r="I30" s="142"/>
      <c r="J30" s="6"/>
      <c r="K30" s="6"/>
      <c r="L30" s="6"/>
      <c r="M30" s="6"/>
      <c r="N30" s="6"/>
      <c r="O30" s="6"/>
      <c r="P30" s="6"/>
      <c r="Q30" s="6"/>
      <c r="R30" s="6"/>
      <c r="S30" s="6"/>
      <c r="T30" s="6"/>
      <c r="U30" s="6"/>
      <c r="V30" s="6"/>
      <c r="W30" s="6"/>
      <c r="X30" s="6"/>
      <c r="Y30" s="6"/>
      <c r="Z30" s="6"/>
    </row>
    <row r="31" spans="1:26" x14ac:dyDescent="0.3">
      <c r="A31" s="142"/>
      <c r="B31" s="127" t="str">
        <f>IF(A31="","",IFERROR(INDEX('03 Day log'!$B$8:$B$38,MATCH(A31,'03 Day log'!$A$8:$A$38,0)),""))</f>
        <v/>
      </c>
      <c r="C31" s="127" t="str">
        <f>IF(A31="","",COUNTIF($A$7:A31,A31))</f>
        <v/>
      </c>
      <c r="D31" s="143"/>
      <c r="E31" s="143"/>
      <c r="F31" s="143"/>
      <c r="G31" s="158"/>
      <c r="H31" s="143"/>
      <c r="I31" s="142"/>
      <c r="J31" s="6"/>
      <c r="K31" s="6"/>
      <c r="L31" s="6"/>
      <c r="M31" s="6"/>
      <c r="N31" s="6"/>
      <c r="O31" s="6"/>
      <c r="P31" s="6"/>
      <c r="Q31" s="6"/>
      <c r="R31" s="6"/>
      <c r="S31" s="6"/>
      <c r="T31" s="6"/>
      <c r="U31" s="6"/>
      <c r="V31" s="6"/>
      <c r="W31" s="6"/>
      <c r="X31" s="6"/>
      <c r="Y31" s="6"/>
      <c r="Z31" s="6"/>
    </row>
    <row r="32" spans="1:26" x14ac:dyDescent="0.3">
      <c r="A32" s="142"/>
      <c r="B32" s="127" t="str">
        <f>IF(A32="","",IFERROR(INDEX('03 Day log'!$B$8:$B$38,MATCH(A32,'03 Day log'!$A$8:$A$38,0)),""))</f>
        <v/>
      </c>
      <c r="C32" s="127" t="str">
        <f>IF(A32="","",COUNTIF($A$7:A32,A32))</f>
        <v/>
      </c>
      <c r="D32" s="143"/>
      <c r="E32" s="143"/>
      <c r="F32" s="143"/>
      <c r="G32" s="158"/>
      <c r="H32" s="143"/>
      <c r="I32" s="142"/>
      <c r="J32" s="6"/>
      <c r="K32" s="6"/>
      <c r="L32" s="6"/>
      <c r="M32" s="6"/>
      <c r="N32" s="6"/>
      <c r="O32" s="6"/>
      <c r="P32" s="6"/>
      <c r="Q32" s="6"/>
      <c r="R32" s="6"/>
      <c r="S32" s="6"/>
      <c r="T32" s="6"/>
      <c r="U32" s="6"/>
      <c r="V32" s="6"/>
      <c r="W32" s="6"/>
      <c r="X32" s="6"/>
      <c r="Y32" s="6"/>
      <c r="Z32" s="6"/>
    </row>
    <row r="33" spans="1:26" x14ac:dyDescent="0.3">
      <c r="A33" s="142"/>
      <c r="B33" s="127" t="str">
        <f>IF(A33="","",IFERROR(INDEX('03 Day log'!$B$8:$B$38,MATCH(A33,'03 Day log'!$A$8:$A$38,0)),""))</f>
        <v/>
      </c>
      <c r="C33" s="127" t="str">
        <f>IF(A33="","",COUNTIF($A$7:A33,A33))</f>
        <v/>
      </c>
      <c r="D33" s="143"/>
      <c r="E33" s="143"/>
      <c r="F33" s="143"/>
      <c r="G33" s="158"/>
      <c r="H33" s="143"/>
      <c r="I33" s="142"/>
      <c r="J33" s="6"/>
      <c r="K33" s="6"/>
      <c r="L33" s="6"/>
      <c r="M33" s="6"/>
      <c r="N33" s="6"/>
      <c r="O33" s="6"/>
      <c r="P33" s="6"/>
      <c r="Q33" s="6"/>
      <c r="R33" s="6"/>
      <c r="S33" s="6"/>
      <c r="T33" s="6"/>
      <c r="U33" s="6"/>
      <c r="V33" s="6"/>
      <c r="W33" s="6"/>
      <c r="X33" s="6"/>
      <c r="Y33" s="6"/>
      <c r="Z33" s="6"/>
    </row>
    <row r="34" spans="1:26" x14ac:dyDescent="0.3">
      <c r="A34" s="142"/>
      <c r="B34" s="127" t="str">
        <f>IF(A34="","",IFERROR(INDEX('03 Day log'!$B$8:$B$38,MATCH(A34,'03 Day log'!$A$8:$A$38,0)),""))</f>
        <v/>
      </c>
      <c r="C34" s="127" t="str">
        <f>IF(A34="","",COUNTIF($A$7:A34,A34))</f>
        <v/>
      </c>
      <c r="D34" s="143"/>
      <c r="E34" s="143"/>
      <c r="F34" s="143"/>
      <c r="G34" s="158"/>
      <c r="H34" s="143"/>
      <c r="I34" s="142"/>
      <c r="J34" s="6"/>
      <c r="K34" s="6"/>
      <c r="L34" s="6"/>
      <c r="M34" s="6"/>
      <c r="N34" s="6"/>
      <c r="O34" s="6"/>
      <c r="P34" s="6"/>
      <c r="Q34" s="6"/>
      <c r="R34" s="6"/>
      <c r="S34" s="6"/>
      <c r="T34" s="6"/>
      <c r="U34" s="6"/>
      <c r="V34" s="6"/>
      <c r="W34" s="6"/>
      <c r="X34" s="6"/>
      <c r="Y34" s="6"/>
      <c r="Z34" s="6"/>
    </row>
    <row r="35" spans="1:26" x14ac:dyDescent="0.3">
      <c r="A35" s="142"/>
      <c r="B35" s="127" t="str">
        <f>IF(A35="","",IFERROR(INDEX('03 Day log'!$B$8:$B$38,MATCH(A35,'03 Day log'!$A$8:$A$38,0)),""))</f>
        <v/>
      </c>
      <c r="C35" s="127" t="str">
        <f>IF(A35="","",COUNTIF($A$7:A35,A35))</f>
        <v/>
      </c>
      <c r="D35" s="143"/>
      <c r="E35" s="143"/>
      <c r="F35" s="143"/>
      <c r="G35" s="158"/>
      <c r="H35" s="143"/>
      <c r="I35" s="142"/>
      <c r="J35" s="6"/>
      <c r="K35" s="6"/>
      <c r="L35" s="6"/>
      <c r="M35" s="6"/>
      <c r="N35" s="6"/>
      <c r="O35" s="6"/>
      <c r="P35" s="6"/>
      <c r="Q35" s="6"/>
      <c r="R35" s="6"/>
      <c r="S35" s="6"/>
      <c r="T35" s="6"/>
      <c r="U35" s="6"/>
      <c r="V35" s="6"/>
      <c r="W35" s="6"/>
      <c r="X35" s="6"/>
      <c r="Y35" s="6"/>
      <c r="Z35" s="6"/>
    </row>
    <row r="36" spans="1:26" x14ac:dyDescent="0.3">
      <c r="A36" s="142"/>
      <c r="B36" s="127" t="str">
        <f>IF(A36="","",IFERROR(INDEX('03 Day log'!$B$8:$B$38,MATCH(A36,'03 Day log'!$A$8:$A$38,0)),""))</f>
        <v/>
      </c>
      <c r="C36" s="127" t="str">
        <f>IF(A36="","",COUNTIF($A$7:A36,A36))</f>
        <v/>
      </c>
      <c r="D36" s="143"/>
      <c r="E36" s="143"/>
      <c r="F36" s="143"/>
      <c r="G36" s="158"/>
      <c r="H36" s="143"/>
      <c r="I36" s="142"/>
      <c r="J36" s="6"/>
      <c r="K36" s="6"/>
      <c r="L36" s="6"/>
      <c r="M36" s="6"/>
      <c r="N36" s="6"/>
      <c r="O36" s="6"/>
      <c r="P36" s="6"/>
      <c r="Q36" s="6"/>
      <c r="R36" s="6"/>
      <c r="S36" s="6"/>
      <c r="T36" s="6"/>
      <c r="U36" s="6"/>
      <c r="V36" s="6"/>
      <c r="W36" s="6"/>
      <c r="X36" s="6"/>
      <c r="Y36" s="6"/>
      <c r="Z36" s="6"/>
    </row>
    <row r="37" spans="1:26" x14ac:dyDescent="0.3">
      <c r="A37" s="142"/>
      <c r="B37" s="127" t="str">
        <f>IF(A37="","",IFERROR(INDEX('03 Day log'!$B$8:$B$38,MATCH(A37,'03 Day log'!$A$8:$A$38,0)),""))</f>
        <v/>
      </c>
      <c r="C37" s="127" t="str">
        <f>IF(A37="","",COUNTIF($A$7:A37,A37))</f>
        <v/>
      </c>
      <c r="D37" s="143"/>
      <c r="E37" s="143"/>
      <c r="F37" s="143"/>
      <c r="G37" s="158"/>
      <c r="H37" s="143"/>
      <c r="I37" s="142"/>
      <c r="J37" s="6"/>
      <c r="K37" s="6"/>
      <c r="L37" s="6"/>
      <c r="M37" s="6"/>
      <c r="N37" s="6"/>
      <c r="O37" s="6"/>
      <c r="P37" s="6"/>
      <c r="Q37" s="6"/>
      <c r="R37" s="6"/>
      <c r="S37" s="6"/>
      <c r="T37" s="6"/>
      <c r="U37" s="6"/>
      <c r="V37" s="6"/>
      <c r="W37" s="6"/>
      <c r="X37" s="6"/>
      <c r="Y37" s="6"/>
      <c r="Z37" s="6"/>
    </row>
    <row r="38" spans="1:26" x14ac:dyDescent="0.3">
      <c r="A38" s="142"/>
      <c r="B38" s="127" t="str">
        <f>IF(A38="","",IFERROR(INDEX('03 Day log'!$B$8:$B$38,MATCH(A38,'03 Day log'!$A$8:$A$38,0)),""))</f>
        <v/>
      </c>
      <c r="C38" s="127" t="str">
        <f>IF(A38="","",COUNTIF($A$7:A38,A38))</f>
        <v/>
      </c>
      <c r="D38" s="143"/>
      <c r="E38" s="143"/>
      <c r="F38" s="143"/>
      <c r="G38" s="158"/>
      <c r="H38" s="143"/>
      <c r="I38" s="142"/>
      <c r="J38" s="6"/>
      <c r="K38" s="6"/>
      <c r="L38" s="6"/>
      <c r="M38" s="6"/>
      <c r="N38" s="6"/>
      <c r="O38" s="6"/>
      <c r="P38" s="6"/>
      <c r="Q38" s="6"/>
      <c r="R38" s="6"/>
      <c r="S38" s="6"/>
      <c r="T38" s="6"/>
      <c r="U38" s="6"/>
      <c r="V38" s="6"/>
      <c r="W38" s="6"/>
      <c r="X38" s="6"/>
      <c r="Y38" s="6"/>
      <c r="Z38" s="6"/>
    </row>
    <row r="39" spans="1:26" x14ac:dyDescent="0.3">
      <c r="A39" s="142"/>
      <c r="B39" s="127" t="str">
        <f>IF(A39="","",IFERROR(INDEX('03 Day log'!$B$8:$B$38,MATCH(A39,'03 Day log'!$A$8:$A$38,0)),""))</f>
        <v/>
      </c>
      <c r="C39" s="127" t="str">
        <f>IF(A39="","",COUNTIF($A$7:A39,A39))</f>
        <v/>
      </c>
      <c r="D39" s="143"/>
      <c r="E39" s="143"/>
      <c r="F39" s="143"/>
      <c r="G39" s="158"/>
      <c r="H39" s="143"/>
      <c r="I39" s="142"/>
      <c r="J39" s="6"/>
      <c r="K39" s="6"/>
      <c r="L39" s="6"/>
      <c r="M39" s="6"/>
      <c r="N39" s="6"/>
      <c r="O39" s="6"/>
      <c r="P39" s="6"/>
      <c r="Q39" s="6"/>
      <c r="R39" s="6"/>
      <c r="S39" s="6"/>
      <c r="T39" s="6"/>
      <c r="U39" s="6"/>
      <c r="V39" s="6"/>
      <c r="W39" s="6"/>
      <c r="X39" s="6"/>
      <c r="Y39" s="6"/>
      <c r="Z39" s="6"/>
    </row>
    <row r="40" spans="1:26" x14ac:dyDescent="0.3">
      <c r="A40" s="142"/>
      <c r="B40" s="127" t="str">
        <f>IF(A40="","",IFERROR(INDEX('03 Day log'!$B$8:$B$38,MATCH(A40,'03 Day log'!$A$8:$A$38,0)),""))</f>
        <v/>
      </c>
      <c r="C40" s="127" t="str">
        <f>IF(A40="","",COUNTIF($A$7:A40,A40))</f>
        <v/>
      </c>
      <c r="D40" s="143"/>
      <c r="E40" s="143"/>
      <c r="F40" s="143"/>
      <c r="G40" s="158"/>
      <c r="H40" s="143"/>
      <c r="I40" s="142"/>
      <c r="J40" s="6"/>
      <c r="K40" s="6"/>
      <c r="L40" s="6"/>
      <c r="M40" s="6"/>
      <c r="N40" s="6"/>
      <c r="O40" s="6"/>
      <c r="P40" s="6"/>
      <c r="Q40" s="6"/>
      <c r="R40" s="6"/>
      <c r="S40" s="6"/>
      <c r="T40" s="6"/>
      <c r="U40" s="6"/>
      <c r="V40" s="6"/>
      <c r="W40" s="6"/>
      <c r="X40" s="6"/>
      <c r="Y40" s="6"/>
      <c r="Z40" s="6"/>
    </row>
    <row r="41" spans="1:26" x14ac:dyDescent="0.3">
      <c r="A41" s="142"/>
      <c r="B41" s="127" t="str">
        <f>IF(A41="","",IFERROR(INDEX('03 Day log'!$B$8:$B$38,MATCH(A41,'03 Day log'!$A$8:$A$38,0)),""))</f>
        <v/>
      </c>
      <c r="C41" s="127" t="str">
        <f>IF(A41="","",COUNTIF($A$7:A41,A41))</f>
        <v/>
      </c>
      <c r="D41" s="143"/>
      <c r="E41" s="143"/>
      <c r="F41" s="143"/>
      <c r="G41" s="158"/>
      <c r="H41" s="143"/>
      <c r="I41" s="142"/>
      <c r="J41" s="6"/>
      <c r="K41" s="6"/>
      <c r="L41" s="6"/>
      <c r="M41" s="6"/>
      <c r="N41" s="6"/>
      <c r="O41" s="6"/>
      <c r="P41" s="6"/>
      <c r="Q41" s="6"/>
      <c r="R41" s="6"/>
      <c r="S41" s="6"/>
      <c r="T41" s="6"/>
      <c r="U41" s="6"/>
      <c r="V41" s="6"/>
      <c r="W41" s="6"/>
      <c r="X41" s="6"/>
      <c r="Y41" s="6"/>
      <c r="Z41" s="6"/>
    </row>
    <row r="42" spans="1:26" x14ac:dyDescent="0.3">
      <c r="A42" s="142"/>
      <c r="B42" s="127" t="str">
        <f>IF(A42="","",IFERROR(INDEX('03 Day log'!$B$8:$B$38,MATCH(A42,'03 Day log'!$A$8:$A$38,0)),""))</f>
        <v/>
      </c>
      <c r="C42" s="127" t="str">
        <f>IF(A42="","",COUNTIF($A$7:A42,A42))</f>
        <v/>
      </c>
      <c r="D42" s="143"/>
      <c r="E42" s="143"/>
      <c r="F42" s="143"/>
      <c r="G42" s="158"/>
      <c r="H42" s="143"/>
      <c r="I42" s="142"/>
      <c r="J42" s="6"/>
      <c r="K42" s="6"/>
      <c r="L42" s="6"/>
      <c r="M42" s="6"/>
      <c r="N42" s="6"/>
      <c r="O42" s="6"/>
      <c r="P42" s="6"/>
      <c r="Q42" s="6"/>
      <c r="R42" s="6"/>
      <c r="S42" s="6"/>
      <c r="T42" s="6"/>
      <c r="U42" s="6"/>
      <c r="V42" s="6"/>
      <c r="W42" s="6"/>
      <c r="X42" s="6"/>
      <c r="Y42" s="6"/>
      <c r="Z42" s="6"/>
    </row>
    <row r="43" spans="1:26" x14ac:dyDescent="0.3">
      <c r="A43" s="142"/>
      <c r="B43" s="127" t="str">
        <f>IF(A43="","",IFERROR(INDEX('03 Day log'!$B$8:$B$38,MATCH(A43,'03 Day log'!$A$8:$A$38,0)),""))</f>
        <v/>
      </c>
      <c r="C43" s="127" t="str">
        <f>IF(A43="","",COUNTIF($A$7:A43,A43))</f>
        <v/>
      </c>
      <c r="D43" s="143"/>
      <c r="E43" s="143"/>
      <c r="F43" s="143"/>
      <c r="G43" s="158"/>
      <c r="H43" s="143"/>
      <c r="I43" s="142"/>
      <c r="J43" s="6"/>
      <c r="K43" s="6"/>
      <c r="L43" s="6"/>
      <c r="M43" s="6"/>
      <c r="N43" s="6"/>
      <c r="O43" s="6"/>
      <c r="P43" s="6"/>
      <c r="Q43" s="6"/>
      <c r="R43" s="6"/>
      <c r="S43" s="6"/>
      <c r="T43" s="6"/>
      <c r="U43" s="6"/>
      <c r="V43" s="6"/>
      <c r="W43" s="6"/>
      <c r="X43" s="6"/>
      <c r="Y43" s="6"/>
      <c r="Z43" s="6"/>
    </row>
    <row r="44" spans="1:26" x14ac:dyDescent="0.3">
      <c r="A44" s="142"/>
      <c r="B44" s="127" t="str">
        <f>IF(A44="","",IFERROR(INDEX('03 Day log'!$B$8:$B$38,MATCH(A44,'03 Day log'!$A$8:$A$38,0)),""))</f>
        <v/>
      </c>
      <c r="C44" s="127" t="str">
        <f>IF(A44="","",COUNTIF($A$7:A44,A44))</f>
        <v/>
      </c>
      <c r="D44" s="143"/>
      <c r="E44" s="143"/>
      <c r="F44" s="143"/>
      <c r="G44" s="158"/>
      <c r="H44" s="143"/>
      <c r="I44" s="142"/>
      <c r="J44" s="6"/>
      <c r="K44" s="6"/>
      <c r="L44" s="6"/>
      <c r="M44" s="6"/>
      <c r="N44" s="6"/>
      <c r="O44" s="6"/>
      <c r="P44" s="6"/>
      <c r="Q44" s="6"/>
      <c r="R44" s="6"/>
      <c r="S44" s="6"/>
      <c r="T44" s="6"/>
      <c r="U44" s="6"/>
      <c r="V44" s="6"/>
      <c r="W44" s="6"/>
      <c r="X44" s="6"/>
      <c r="Y44" s="6"/>
      <c r="Z44" s="6"/>
    </row>
    <row r="45" spans="1:26" x14ac:dyDescent="0.3">
      <c r="A45" s="142"/>
      <c r="B45" s="127" t="str">
        <f>IF(A45="","",IFERROR(INDEX('03 Day log'!$B$8:$B$38,MATCH(A45,'03 Day log'!$A$8:$A$38,0)),""))</f>
        <v/>
      </c>
      <c r="C45" s="127" t="str">
        <f>IF(A45="","",COUNTIF($A$7:A45,A45))</f>
        <v/>
      </c>
      <c r="D45" s="143"/>
      <c r="E45" s="143"/>
      <c r="F45" s="143"/>
      <c r="G45" s="158"/>
      <c r="H45" s="143"/>
      <c r="I45" s="142"/>
      <c r="J45" s="6"/>
      <c r="K45" s="6"/>
      <c r="L45" s="6"/>
      <c r="M45" s="6"/>
      <c r="N45" s="6"/>
      <c r="O45" s="6"/>
      <c r="P45" s="6"/>
      <c r="Q45" s="6"/>
      <c r="R45" s="6"/>
      <c r="S45" s="6"/>
      <c r="T45" s="6"/>
      <c r="U45" s="6"/>
      <c r="V45" s="6"/>
      <c r="W45" s="6"/>
      <c r="X45" s="6"/>
      <c r="Y45" s="6"/>
      <c r="Z45" s="6"/>
    </row>
    <row r="46" spans="1:26" x14ac:dyDescent="0.3">
      <c r="A46" s="142"/>
      <c r="B46" s="127" t="str">
        <f>IF(A46="","",IFERROR(INDEX('03 Day log'!$B$8:$B$38,MATCH(A46,'03 Day log'!$A$8:$A$38,0)),""))</f>
        <v/>
      </c>
      <c r="C46" s="127" t="str">
        <f>IF(A46="","",COUNTIF($A$7:A46,A46))</f>
        <v/>
      </c>
      <c r="D46" s="143"/>
      <c r="E46" s="143"/>
      <c r="F46" s="143"/>
      <c r="G46" s="158"/>
      <c r="H46" s="143"/>
      <c r="I46" s="142"/>
      <c r="J46" s="6"/>
      <c r="K46" s="6"/>
      <c r="L46" s="6"/>
      <c r="M46" s="6"/>
      <c r="N46" s="6"/>
      <c r="O46" s="6"/>
      <c r="P46" s="6"/>
      <c r="Q46" s="6"/>
      <c r="R46" s="6"/>
      <c r="S46" s="6"/>
      <c r="T46" s="6"/>
      <c r="U46" s="6"/>
      <c r="V46" s="6"/>
      <c r="W46" s="6"/>
      <c r="X46" s="6"/>
      <c r="Y46" s="6"/>
      <c r="Z46" s="6"/>
    </row>
    <row r="47" spans="1:26" x14ac:dyDescent="0.3">
      <c r="A47" s="142"/>
      <c r="B47" s="127" t="str">
        <f>IF(A47="","",IFERROR(INDEX('03 Day log'!$B$8:$B$38,MATCH(A47,'03 Day log'!$A$8:$A$38,0)),""))</f>
        <v/>
      </c>
      <c r="C47" s="127" t="str">
        <f>IF(A47="","",COUNTIF($A$7:A47,A47))</f>
        <v/>
      </c>
      <c r="D47" s="143"/>
      <c r="E47" s="143"/>
      <c r="F47" s="143"/>
      <c r="G47" s="158"/>
      <c r="H47" s="143"/>
      <c r="I47" s="142"/>
      <c r="J47" s="6"/>
      <c r="K47" s="6"/>
      <c r="L47" s="6"/>
      <c r="M47" s="6"/>
      <c r="N47" s="6"/>
      <c r="O47" s="6"/>
      <c r="P47" s="6"/>
      <c r="Q47" s="6"/>
      <c r="R47" s="6"/>
      <c r="S47" s="6"/>
      <c r="T47" s="6"/>
      <c r="U47" s="6"/>
      <c r="V47" s="6"/>
      <c r="W47" s="6"/>
      <c r="X47" s="6"/>
      <c r="Y47" s="6"/>
      <c r="Z47" s="6"/>
    </row>
    <row r="48" spans="1:26" x14ac:dyDescent="0.3">
      <c r="A48" s="142"/>
      <c r="B48" s="127" t="str">
        <f>IF(A48="","",IFERROR(INDEX('03 Day log'!$B$8:$B$38,MATCH(A48,'03 Day log'!$A$8:$A$38,0)),""))</f>
        <v/>
      </c>
      <c r="C48" s="127" t="str">
        <f>IF(A48="","",COUNTIF($A$7:A48,A48))</f>
        <v/>
      </c>
      <c r="D48" s="143"/>
      <c r="E48" s="143"/>
      <c r="F48" s="143"/>
      <c r="G48" s="158"/>
      <c r="H48" s="143"/>
      <c r="I48" s="142"/>
      <c r="J48" s="6"/>
      <c r="K48" s="6"/>
      <c r="L48" s="6"/>
      <c r="M48" s="6"/>
      <c r="N48" s="6"/>
      <c r="O48" s="6"/>
      <c r="P48" s="6"/>
      <c r="Q48" s="6"/>
      <c r="R48" s="6"/>
      <c r="S48" s="6"/>
      <c r="T48" s="6"/>
      <c r="U48" s="6"/>
      <c r="V48" s="6"/>
      <c r="W48" s="6"/>
      <c r="X48" s="6"/>
      <c r="Y48" s="6"/>
      <c r="Z48" s="6"/>
    </row>
    <row r="49" spans="1:26" x14ac:dyDescent="0.3">
      <c r="A49" s="142"/>
      <c r="B49" s="127" t="str">
        <f>IF(A49="","",IFERROR(INDEX('03 Day log'!$B$8:$B$38,MATCH(A49,'03 Day log'!$A$8:$A$38,0)),""))</f>
        <v/>
      </c>
      <c r="C49" s="127" t="str">
        <f>IF(A49="","",COUNTIF($A$7:A49,A49))</f>
        <v/>
      </c>
      <c r="D49" s="143"/>
      <c r="E49" s="143"/>
      <c r="F49" s="143"/>
      <c r="G49" s="158"/>
      <c r="H49" s="143"/>
      <c r="I49" s="142"/>
      <c r="J49" s="6"/>
      <c r="K49" s="6"/>
      <c r="L49" s="6"/>
      <c r="M49" s="6"/>
      <c r="N49" s="6"/>
      <c r="O49" s="6"/>
      <c r="P49" s="6"/>
      <c r="Q49" s="6"/>
      <c r="R49" s="6"/>
      <c r="S49" s="6"/>
      <c r="T49" s="6"/>
      <c r="U49" s="6"/>
      <c r="V49" s="6"/>
      <c r="W49" s="6"/>
      <c r="X49" s="6"/>
      <c r="Y49" s="6"/>
      <c r="Z49" s="6"/>
    </row>
    <row r="50" spans="1:26" x14ac:dyDescent="0.3">
      <c r="A50" s="142"/>
      <c r="B50" s="127" t="str">
        <f>IF(A50="","",IFERROR(INDEX('03 Day log'!$B$8:$B$38,MATCH(A50,'03 Day log'!$A$8:$A$38,0)),""))</f>
        <v/>
      </c>
      <c r="C50" s="127" t="str">
        <f>IF(A50="","",COUNTIF($A$7:A50,A50))</f>
        <v/>
      </c>
      <c r="D50" s="143"/>
      <c r="E50" s="143"/>
      <c r="F50" s="143"/>
      <c r="G50" s="158"/>
      <c r="H50" s="143"/>
      <c r="I50" s="142"/>
      <c r="J50" s="6"/>
      <c r="K50" s="6"/>
      <c r="L50" s="6"/>
      <c r="M50" s="6"/>
      <c r="N50" s="6"/>
      <c r="O50" s="6"/>
      <c r="P50" s="6"/>
      <c r="Q50" s="6"/>
      <c r="R50" s="6"/>
      <c r="S50" s="6"/>
      <c r="T50" s="6"/>
      <c r="U50" s="6"/>
      <c r="V50" s="6"/>
      <c r="W50" s="6"/>
      <c r="X50" s="6"/>
      <c r="Y50" s="6"/>
      <c r="Z50" s="6"/>
    </row>
    <row r="51" spans="1:26" x14ac:dyDescent="0.3">
      <c r="A51" s="142"/>
      <c r="B51" s="127" t="str">
        <f>IF(A51="","",IFERROR(INDEX('03 Day log'!$B$8:$B$38,MATCH(A51,'03 Day log'!$A$8:$A$38,0)),""))</f>
        <v/>
      </c>
      <c r="C51" s="127" t="str">
        <f>IF(A51="","",COUNTIF($A$7:A51,A51))</f>
        <v/>
      </c>
      <c r="D51" s="143"/>
      <c r="E51" s="143"/>
      <c r="F51" s="143"/>
      <c r="G51" s="158"/>
      <c r="H51" s="143"/>
      <c r="I51" s="142"/>
      <c r="J51" s="6"/>
      <c r="K51" s="6"/>
      <c r="L51" s="6"/>
      <c r="M51" s="6"/>
      <c r="N51" s="6"/>
      <c r="O51" s="6"/>
      <c r="P51" s="6"/>
      <c r="Q51" s="6"/>
      <c r="R51" s="6"/>
      <c r="S51" s="6"/>
      <c r="T51" s="6"/>
      <c r="U51" s="6"/>
      <c r="V51" s="6"/>
      <c r="W51" s="6"/>
      <c r="X51" s="6"/>
      <c r="Y51" s="6"/>
      <c r="Z51" s="6"/>
    </row>
    <row r="52" spans="1:26" x14ac:dyDescent="0.3">
      <c r="A52" s="142"/>
      <c r="B52" s="127" t="str">
        <f>IF(A52="","",IFERROR(INDEX('03 Day log'!$B$8:$B$38,MATCH(A52,'03 Day log'!$A$8:$A$38,0)),""))</f>
        <v/>
      </c>
      <c r="C52" s="127" t="str">
        <f>IF(A52="","",COUNTIF($A$7:A52,A52))</f>
        <v/>
      </c>
      <c r="D52" s="143"/>
      <c r="E52" s="143"/>
      <c r="F52" s="143"/>
      <c r="G52" s="158"/>
      <c r="H52" s="143"/>
      <c r="I52" s="142"/>
      <c r="J52" s="6"/>
      <c r="K52" s="6"/>
      <c r="L52" s="6"/>
      <c r="M52" s="6"/>
      <c r="N52" s="6"/>
      <c r="O52" s="6"/>
      <c r="P52" s="6"/>
      <c r="Q52" s="6"/>
      <c r="R52" s="6"/>
      <c r="S52" s="6"/>
      <c r="T52" s="6"/>
      <c r="U52" s="6"/>
      <c r="V52" s="6"/>
      <c r="W52" s="6"/>
      <c r="X52" s="6"/>
      <c r="Y52" s="6"/>
      <c r="Z52" s="6"/>
    </row>
    <row r="53" spans="1:26" x14ac:dyDescent="0.3">
      <c r="A53" s="142"/>
      <c r="B53" s="127" t="str">
        <f>IF(A53="","",IFERROR(INDEX('03 Day log'!$B$8:$B$38,MATCH(A53,'03 Day log'!$A$8:$A$38,0)),""))</f>
        <v/>
      </c>
      <c r="C53" s="127" t="str">
        <f>IF(A53="","",COUNTIF($A$7:A53,A53))</f>
        <v/>
      </c>
      <c r="D53" s="143"/>
      <c r="E53" s="143"/>
      <c r="F53" s="143"/>
      <c r="G53" s="158"/>
      <c r="H53" s="143"/>
      <c r="I53" s="142"/>
      <c r="J53" s="6"/>
      <c r="K53" s="6"/>
      <c r="L53" s="6"/>
      <c r="M53" s="6"/>
      <c r="N53" s="6"/>
      <c r="O53" s="6"/>
      <c r="P53" s="6"/>
      <c r="Q53" s="6"/>
      <c r="R53" s="6"/>
      <c r="S53" s="6"/>
      <c r="T53" s="6"/>
      <c r="U53" s="6"/>
      <c r="V53" s="6"/>
      <c r="W53" s="6"/>
      <c r="X53" s="6"/>
      <c r="Y53" s="6"/>
      <c r="Z53" s="6"/>
    </row>
    <row r="54" spans="1:26" x14ac:dyDescent="0.3">
      <c r="A54" s="142"/>
      <c r="B54" s="127" t="str">
        <f>IF(A54="","",IFERROR(INDEX('03 Day log'!$B$8:$B$38,MATCH(A54,'03 Day log'!$A$8:$A$38,0)),""))</f>
        <v/>
      </c>
      <c r="C54" s="127" t="str">
        <f>IF(A54="","",COUNTIF($A$7:A54,A54))</f>
        <v/>
      </c>
      <c r="D54" s="143"/>
      <c r="E54" s="143"/>
      <c r="F54" s="143"/>
      <c r="G54" s="158"/>
      <c r="H54" s="143"/>
      <c r="I54" s="142"/>
      <c r="J54" s="6"/>
      <c r="K54" s="6"/>
      <c r="L54" s="6"/>
      <c r="M54" s="6"/>
      <c r="N54" s="6"/>
      <c r="O54" s="6"/>
      <c r="P54" s="6"/>
      <c r="Q54" s="6"/>
      <c r="R54" s="6"/>
      <c r="S54" s="6"/>
      <c r="T54" s="6"/>
      <c r="U54" s="6"/>
      <c r="V54" s="6"/>
      <c r="W54" s="6"/>
      <c r="X54" s="6"/>
      <c r="Y54" s="6"/>
      <c r="Z54" s="6"/>
    </row>
    <row r="55" spans="1:26" x14ac:dyDescent="0.3">
      <c r="A55" s="142"/>
      <c r="B55" s="127" t="str">
        <f>IF(A55="","",IFERROR(INDEX('03 Day log'!$B$8:$B$38,MATCH(A55,'03 Day log'!$A$8:$A$38,0)),""))</f>
        <v/>
      </c>
      <c r="C55" s="127" t="str">
        <f>IF(A55="","",COUNTIF($A$7:A55,A55))</f>
        <v/>
      </c>
      <c r="D55" s="143"/>
      <c r="E55" s="143"/>
      <c r="F55" s="143"/>
      <c r="G55" s="158"/>
      <c r="H55" s="143"/>
      <c r="I55" s="142"/>
      <c r="J55" s="6"/>
      <c r="K55" s="6"/>
      <c r="L55" s="6"/>
      <c r="M55" s="6"/>
      <c r="N55" s="6"/>
      <c r="O55" s="6"/>
      <c r="P55" s="6"/>
      <c r="Q55" s="6"/>
      <c r="R55" s="6"/>
      <c r="S55" s="6"/>
      <c r="T55" s="6"/>
      <c r="U55" s="6"/>
      <c r="V55" s="6"/>
      <c r="W55" s="6"/>
      <c r="X55" s="6"/>
      <c r="Y55" s="6"/>
      <c r="Z55" s="6"/>
    </row>
    <row r="56" spans="1:26" x14ac:dyDescent="0.3">
      <c r="A56" s="142"/>
      <c r="B56" s="127" t="str">
        <f>IF(A56="","",IFERROR(INDEX('03 Day log'!$B$8:$B$38,MATCH(A56,'03 Day log'!$A$8:$A$38,0)),""))</f>
        <v/>
      </c>
      <c r="C56" s="127" t="str">
        <f>IF(A56="","",COUNTIF($A$7:A56,A56))</f>
        <v/>
      </c>
      <c r="D56" s="143"/>
      <c r="E56" s="143"/>
      <c r="F56" s="143"/>
      <c r="G56" s="158"/>
      <c r="H56" s="143"/>
      <c r="I56" s="142"/>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dataValidations count="2">
    <dataValidation type="date" allowBlank="1" showInputMessage="1" showErrorMessage="1" errorTitle="Date" error="Enter a date, e.g. 3/3/2026." sqref="A7:A56" xr:uid="{96E137A2-0262-4FE5-8AC7-4D8C56CC515D}">
      <formula1>43831</formula1>
      <formula2>51501</formula2>
    </dataValidation>
    <dataValidation type="date" allowBlank="1" showInputMessage="1" showErrorMessage="1" errorTitle="Date" error="Enter a date, e.g. 3/3/2026." sqref="I7:I56" xr:uid="{169CB90B-6D2B-4AD8-A4E9-E952B8EFF68F}">
      <formula1>43831</formula1>
      <formula2>51501</formula2>
    </dataValidation>
  </dataValidations>
  <printOptions horizontalCentered="1"/>
  <pageMargins left="0.4" right="0.4" top="0.5" bottom="0.5" header="0.5" footer="0.5"/>
  <pageSetup paperSize="9" orientation="landscape"/>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errorTitle="Pick from the list" error="Choose a value from the drop-down. To add a new one, add it to the list on Setup first." xr:uid="{044EEE78-8D3B-44BB-B68B-22E4A490A57D}">
          <x14:formula1>
            <xm:f>'14 Setup'!$V$12:$V$26</xm:f>
          </x14:formula1>
          <xm:sqref>D7:D56</xm:sqref>
        </x14:dataValidation>
        <x14:dataValidation type="list" allowBlank="1" showInputMessage="1" showErrorMessage="1" errorTitle="Pick from the list" error="Choose a value from the drop-down. To add a new one, add it to the list on Setup first." xr:uid="{F00FDEFB-840E-47EB-8AAB-DE8874FA493A}">
          <x14:formula1>
            <xm:f>'14 Setup'!$H$12:$H$26</xm:f>
          </x14:formula1>
          <xm:sqref>H7:H56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490E-CE22-41A2-BC7A-DF4BE988901B}">
  <sheetPr>
    <tabColor rgb="FFC2410C"/>
    <pageSetUpPr fitToPage="1"/>
  </sheetPr>
  <dimension ref="A1:Z1000"/>
  <sheetViews>
    <sheetView showGridLines="0" workbookViewId="0">
      <pane ySplit="6" topLeftCell="A7" activePane="bottomLeft" state="frozen"/>
      <selection pane="bottomLeft" activeCell="J8" sqref="J8"/>
    </sheetView>
  </sheetViews>
  <sheetFormatPr defaultRowHeight="14.4" x14ac:dyDescent="0.3"/>
  <cols>
    <col min="1" max="1" width="12" customWidth="1"/>
    <col min="2" max="2" width="12.5546875" customWidth="1"/>
    <col min="3" max="3" width="36" customWidth="1"/>
    <col min="4" max="6" width="12" customWidth="1"/>
    <col min="7" max="7" width="10" customWidth="1"/>
    <col min="8" max="8" width="16" customWidth="1"/>
    <col min="9" max="9" width="17.5546875" customWidth="1"/>
    <col min="10" max="10" width="33.33203125" customWidth="1"/>
    <col min="11" max="11" width="18.5546875" customWidth="1"/>
  </cols>
  <sheetData>
    <row r="1" spans="1:26" ht="28.05" customHeight="1" x14ac:dyDescent="0.4">
      <c r="A1" s="112" t="s">
        <v>207</v>
      </c>
      <c r="B1" s="6"/>
      <c r="C1" s="6"/>
      <c r="D1" s="6"/>
      <c r="E1" s="6"/>
      <c r="F1" s="6"/>
      <c r="G1" s="6"/>
      <c r="H1" s="6"/>
      <c r="I1" s="113"/>
      <c r="J1" s="113"/>
      <c r="K1" s="177" t="s">
        <v>32</v>
      </c>
      <c r="L1" s="6"/>
      <c r="M1" s="6"/>
      <c r="N1" s="6"/>
      <c r="O1" s="6"/>
      <c r="P1" s="6"/>
      <c r="Q1" s="6"/>
      <c r="R1" s="6"/>
      <c r="S1" s="6"/>
      <c r="T1" s="6"/>
      <c r="U1" s="6"/>
      <c r="V1" s="6"/>
      <c r="W1" s="6"/>
      <c r="X1" s="6"/>
      <c r="Y1" s="6"/>
      <c r="Z1" s="6"/>
    </row>
    <row r="2" spans="1:26" x14ac:dyDescent="0.3">
      <c r="A2" s="114" t="s">
        <v>208</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209</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16"/>
      <c r="B4" s="116"/>
      <c r="C4" s="116"/>
      <c r="D4" s="116"/>
      <c r="E4" s="116"/>
      <c r="F4" s="116"/>
      <c r="G4" s="116"/>
      <c r="H4" s="11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ht="31.95" customHeight="1" x14ac:dyDescent="0.3">
      <c r="A6" s="141" t="s">
        <v>210</v>
      </c>
      <c r="B6" s="141" t="s">
        <v>74</v>
      </c>
      <c r="C6" s="141" t="s">
        <v>134</v>
      </c>
      <c r="D6" s="141" t="s">
        <v>211</v>
      </c>
      <c r="E6" s="141" t="s">
        <v>212</v>
      </c>
      <c r="F6" s="141" t="s">
        <v>213</v>
      </c>
      <c r="G6" s="141" t="s">
        <v>189</v>
      </c>
      <c r="H6" s="141" t="s">
        <v>214</v>
      </c>
      <c r="I6" s="141" t="s">
        <v>294</v>
      </c>
      <c r="J6" s="159" t="s">
        <v>405</v>
      </c>
      <c r="K6" s="159" t="s">
        <v>406</v>
      </c>
      <c r="L6" s="6"/>
      <c r="M6" s="6"/>
      <c r="N6" s="6"/>
      <c r="O6" s="6"/>
      <c r="P6" s="6"/>
      <c r="Q6" s="6"/>
      <c r="R6" s="6"/>
      <c r="S6" s="6"/>
      <c r="T6" s="6"/>
      <c r="U6" s="6"/>
      <c r="V6" s="6"/>
      <c r="W6" s="6"/>
      <c r="X6" s="6"/>
      <c r="Y6" s="6"/>
      <c r="Z6" s="6"/>
    </row>
    <row r="7" spans="1:26" ht="26.4" x14ac:dyDescent="0.3">
      <c r="A7" s="142">
        <v>46084</v>
      </c>
      <c r="B7" s="156">
        <v>41</v>
      </c>
      <c r="C7" s="158" t="s">
        <v>215</v>
      </c>
      <c r="D7" s="145">
        <f>IF(A7="","",A7+'14 Setup'!$B$10)</f>
        <v>46112</v>
      </c>
      <c r="E7" s="142"/>
      <c r="F7" s="148">
        <f>IF(OR(A7="",E7&lt;&gt;""),"",D7-MAX('03 Day log'!$A$8:$A$38,'01 Daily report'!$B$5))</f>
        <v>18</v>
      </c>
      <c r="G7" s="148" t="str">
        <f>IF(A7="","",IF(E7&lt;&gt;"","Sent",IF(MAX('03 Day log'!$A$8:$A$38,'01 Daily report'!$B$5)&gt;D7,"Overdue","Open")))</f>
        <v>Open</v>
      </c>
      <c r="H7" s="143" t="s">
        <v>217</v>
      </c>
      <c r="I7" s="143" t="s">
        <v>275</v>
      </c>
      <c r="J7" s="160" t="str">
        <f>IF(I7="","",IFERROR(INDEX('12 P6 activities'!$B$7:$B$206,MATCH(I7,'12 P6 activities'!$A$7:$A$206,0)),"⚠ not in P6 list"))</f>
        <v>Bored piles, north</v>
      </c>
      <c r="K7" s="160" t="str">
        <f>IF(I7="","",IFERROR(INDEX('12 P6 activities'!$C$7:$C$206,MATCH(I7,'12 P6 activities'!$A$7:$A$206,0)),"⚠ not in P6 list"))</f>
        <v>SITE.FND.PIL</v>
      </c>
      <c r="L7" s="6"/>
      <c r="M7" s="6"/>
      <c r="N7" s="6"/>
      <c r="O7" s="6"/>
      <c r="P7" s="6"/>
      <c r="Q7" s="6"/>
      <c r="R7" s="6"/>
      <c r="S7" s="6"/>
      <c r="T7" s="6"/>
      <c r="U7" s="6"/>
      <c r="V7" s="6"/>
      <c r="W7" s="6"/>
      <c r="X7" s="6"/>
      <c r="Y7" s="6"/>
      <c r="Z7" s="6"/>
    </row>
    <row r="8" spans="1:26" ht="26.4" x14ac:dyDescent="0.3">
      <c r="A8" s="142">
        <v>46084</v>
      </c>
      <c r="B8" s="156">
        <v>41</v>
      </c>
      <c r="C8" s="158" t="s">
        <v>216</v>
      </c>
      <c r="D8" s="145">
        <f>IF(A8="","",A8+'14 Setup'!$B$10)</f>
        <v>46112</v>
      </c>
      <c r="E8" s="142"/>
      <c r="F8" s="148">
        <f>IF(OR(A8="",E8&lt;&gt;""),"",D8-MAX('03 Day log'!$A$8:$A$38,'01 Daily report'!$B$5))</f>
        <v>18</v>
      </c>
      <c r="G8" s="148" t="str">
        <f>IF(A8="","",IF(E8&lt;&gt;"","Sent",IF(MAX('03 Day log'!$A$8:$A$38,'01 Daily report'!$B$5)&gt;D8,"Overdue","Open")))</f>
        <v>Open</v>
      </c>
      <c r="H8" s="143" t="s">
        <v>217</v>
      </c>
      <c r="I8" s="143" t="s">
        <v>275</v>
      </c>
      <c r="J8" s="160" t="str">
        <f>IF(I8="","",IFERROR(INDEX('12 P6 activities'!$B$7:$B$206,MATCH(I8,'12 P6 activities'!$A$7:$A$206,0)),"⚠ not in P6 list"))</f>
        <v>Bored piles, north</v>
      </c>
      <c r="K8" s="160" t="str">
        <f>IF(I8="","",IFERROR(INDEX('12 P6 activities'!$C$7:$C$206,MATCH(I8,'12 P6 activities'!$A$7:$A$206,0)),"⚠ not in P6 list"))</f>
        <v>SITE.FND.PIL</v>
      </c>
      <c r="L8" s="6"/>
      <c r="M8" s="6"/>
      <c r="N8" s="6"/>
      <c r="O8" s="6"/>
      <c r="P8" s="6"/>
      <c r="Q8" s="6"/>
      <c r="R8" s="6"/>
      <c r="S8" s="6"/>
      <c r="T8" s="6"/>
      <c r="U8" s="6"/>
      <c r="V8" s="6"/>
      <c r="W8" s="6"/>
      <c r="X8" s="6"/>
      <c r="Y8" s="6"/>
      <c r="Z8" s="6"/>
    </row>
    <row r="9" spans="1:26" x14ac:dyDescent="0.3">
      <c r="A9" s="142"/>
      <c r="B9" s="156"/>
      <c r="C9" s="158"/>
      <c r="D9" s="145" t="str">
        <f>IF(A9="","",A9+'14 Setup'!$B$10)</f>
        <v/>
      </c>
      <c r="E9" s="142"/>
      <c r="F9" s="148" t="str">
        <f>IF(OR(A9="",E9&lt;&gt;""),"",D9-MAX('03 Day log'!$A$8:$A$38,'01 Daily report'!$B$5))</f>
        <v/>
      </c>
      <c r="G9" s="148" t="str">
        <f>IF(A9="","",IF(E9&lt;&gt;"","Sent",IF(MAX('03 Day log'!$A$8:$A$38,'01 Daily report'!$B$5)&gt;D9,"Overdue","Open")))</f>
        <v/>
      </c>
      <c r="H9" s="143"/>
      <c r="I9" s="143"/>
      <c r="J9" s="160" t="str">
        <f>IF(I9="","",IFERROR(INDEX('12 P6 activities'!$B$7:$B$206,MATCH(I9,'12 P6 activities'!$A$7:$A$206,0)),"⚠ not in P6 list"))</f>
        <v/>
      </c>
      <c r="K9" s="160" t="str">
        <f>IF(I9="","",IFERROR(INDEX('12 P6 activities'!$C$7:$C$206,MATCH(I9,'12 P6 activities'!$A$7:$A$206,0)),"⚠ not in P6 list"))</f>
        <v/>
      </c>
      <c r="L9" s="6"/>
      <c r="M9" s="6"/>
      <c r="N9" s="6"/>
      <c r="O9" s="6"/>
      <c r="P9" s="6"/>
      <c r="Q9" s="6"/>
      <c r="R9" s="6"/>
      <c r="S9" s="6"/>
      <c r="T9" s="6"/>
      <c r="U9" s="6"/>
      <c r="V9" s="6"/>
      <c r="W9" s="6"/>
      <c r="X9" s="6"/>
      <c r="Y9" s="6"/>
      <c r="Z9" s="6"/>
    </row>
    <row r="10" spans="1:26" x14ac:dyDescent="0.3">
      <c r="A10" s="142"/>
      <c r="B10" s="156"/>
      <c r="C10" s="158"/>
      <c r="D10" s="145" t="str">
        <f>IF(A10="","",A10+'14 Setup'!$B$10)</f>
        <v/>
      </c>
      <c r="E10" s="142"/>
      <c r="F10" s="148" t="str">
        <f>IF(OR(A10="",E10&lt;&gt;""),"",D10-MAX('03 Day log'!$A$8:$A$38,'01 Daily report'!$B$5))</f>
        <v/>
      </c>
      <c r="G10" s="148" t="str">
        <f>IF(A10="","",IF(E10&lt;&gt;"","Sent",IF(MAX('03 Day log'!$A$8:$A$38,'01 Daily report'!$B$5)&gt;D10,"Overdue","Open")))</f>
        <v/>
      </c>
      <c r="H10" s="143"/>
      <c r="I10" s="143"/>
      <c r="J10" s="160" t="str">
        <f>IF(I10="","",IFERROR(INDEX('12 P6 activities'!$B$7:$B$206,MATCH(I10,'12 P6 activities'!$A$7:$A$206,0)),"⚠ not in P6 list"))</f>
        <v/>
      </c>
      <c r="K10" s="160" t="str">
        <f>IF(I10="","",IFERROR(INDEX('12 P6 activities'!$C$7:$C$206,MATCH(I10,'12 P6 activities'!$A$7:$A$206,0)),"⚠ not in P6 list"))</f>
        <v/>
      </c>
      <c r="L10" s="6"/>
      <c r="M10" s="6"/>
      <c r="N10" s="6"/>
      <c r="O10" s="6"/>
      <c r="P10" s="6"/>
      <c r="Q10" s="6"/>
      <c r="R10" s="6"/>
      <c r="S10" s="6"/>
      <c r="T10" s="6"/>
      <c r="U10" s="6"/>
      <c r="V10" s="6"/>
      <c r="W10" s="6"/>
      <c r="X10" s="6"/>
      <c r="Y10" s="6"/>
      <c r="Z10" s="6"/>
    </row>
    <row r="11" spans="1:26" x14ac:dyDescent="0.3">
      <c r="A11" s="142"/>
      <c r="B11" s="156"/>
      <c r="C11" s="158"/>
      <c r="D11" s="145" t="str">
        <f>IF(A11="","",A11+'14 Setup'!$B$10)</f>
        <v/>
      </c>
      <c r="E11" s="142"/>
      <c r="F11" s="148" t="str">
        <f>IF(OR(A11="",E11&lt;&gt;""),"",D11-MAX('03 Day log'!$A$8:$A$38,'01 Daily report'!$B$5))</f>
        <v/>
      </c>
      <c r="G11" s="148" t="str">
        <f>IF(A11="","",IF(E11&lt;&gt;"","Sent",IF(MAX('03 Day log'!$A$8:$A$38,'01 Daily report'!$B$5)&gt;D11,"Overdue","Open")))</f>
        <v/>
      </c>
      <c r="H11" s="143"/>
      <c r="I11" s="143"/>
      <c r="J11" s="160" t="str">
        <f>IF(I11="","",IFERROR(INDEX('12 P6 activities'!$B$7:$B$206,MATCH(I11,'12 P6 activities'!$A$7:$A$206,0)),"⚠ not in P6 list"))</f>
        <v/>
      </c>
      <c r="K11" s="160" t="str">
        <f>IF(I11="","",IFERROR(INDEX('12 P6 activities'!$C$7:$C$206,MATCH(I11,'12 P6 activities'!$A$7:$A$206,0)),"⚠ not in P6 list"))</f>
        <v/>
      </c>
      <c r="L11" s="6"/>
      <c r="M11" s="6"/>
      <c r="N11" s="6"/>
      <c r="O11" s="6"/>
      <c r="P11" s="6"/>
      <c r="Q11" s="6"/>
      <c r="R11" s="6"/>
      <c r="S11" s="6"/>
      <c r="T11" s="6"/>
      <c r="U11" s="6"/>
      <c r="V11" s="6"/>
      <c r="W11" s="6"/>
      <c r="X11" s="6"/>
      <c r="Y11" s="6"/>
      <c r="Z11" s="6"/>
    </row>
    <row r="12" spans="1:26" x14ac:dyDescent="0.3">
      <c r="A12" s="142"/>
      <c r="B12" s="156"/>
      <c r="C12" s="158"/>
      <c r="D12" s="145" t="str">
        <f>IF(A12="","",A12+'14 Setup'!$B$10)</f>
        <v/>
      </c>
      <c r="E12" s="142"/>
      <c r="F12" s="148" t="str">
        <f>IF(OR(A12="",E12&lt;&gt;""),"",D12-MAX('03 Day log'!$A$8:$A$38,'01 Daily report'!$B$5))</f>
        <v/>
      </c>
      <c r="G12" s="148" t="str">
        <f>IF(A12="","",IF(E12&lt;&gt;"","Sent",IF(MAX('03 Day log'!$A$8:$A$38,'01 Daily report'!$B$5)&gt;D12,"Overdue","Open")))</f>
        <v/>
      </c>
      <c r="H12" s="143"/>
      <c r="I12" s="143"/>
      <c r="J12" s="160" t="str">
        <f>IF(I12="","",IFERROR(INDEX('12 P6 activities'!$B$7:$B$206,MATCH(I12,'12 P6 activities'!$A$7:$A$206,0)),"⚠ not in P6 list"))</f>
        <v/>
      </c>
      <c r="K12" s="160" t="str">
        <f>IF(I12="","",IFERROR(INDEX('12 P6 activities'!$C$7:$C$206,MATCH(I12,'12 P6 activities'!$A$7:$A$206,0)),"⚠ not in P6 list"))</f>
        <v/>
      </c>
      <c r="L12" s="6"/>
      <c r="M12" s="6"/>
      <c r="N12" s="6"/>
      <c r="O12" s="6"/>
      <c r="P12" s="6"/>
      <c r="Q12" s="6"/>
      <c r="R12" s="6"/>
      <c r="S12" s="6"/>
      <c r="T12" s="6"/>
      <c r="U12" s="6"/>
      <c r="V12" s="6"/>
      <c r="W12" s="6"/>
      <c r="X12" s="6"/>
      <c r="Y12" s="6"/>
      <c r="Z12" s="6"/>
    </row>
    <row r="13" spans="1:26" x14ac:dyDescent="0.3">
      <c r="A13" s="142"/>
      <c r="B13" s="156"/>
      <c r="C13" s="158"/>
      <c r="D13" s="145" t="str">
        <f>IF(A13="","",A13+'14 Setup'!$B$10)</f>
        <v/>
      </c>
      <c r="E13" s="142"/>
      <c r="F13" s="148" t="str">
        <f>IF(OR(A13="",E13&lt;&gt;""),"",D13-MAX('03 Day log'!$A$8:$A$38,'01 Daily report'!$B$5))</f>
        <v/>
      </c>
      <c r="G13" s="148" t="str">
        <f>IF(A13="","",IF(E13&lt;&gt;"","Sent",IF(MAX('03 Day log'!$A$8:$A$38,'01 Daily report'!$B$5)&gt;D13,"Overdue","Open")))</f>
        <v/>
      </c>
      <c r="H13" s="143"/>
      <c r="I13" s="143"/>
      <c r="J13" s="160" t="str">
        <f>IF(I13="","",IFERROR(INDEX('12 P6 activities'!$B$7:$B$206,MATCH(I13,'12 P6 activities'!$A$7:$A$206,0)),"⚠ not in P6 list"))</f>
        <v/>
      </c>
      <c r="K13" s="160" t="str">
        <f>IF(I13="","",IFERROR(INDEX('12 P6 activities'!$C$7:$C$206,MATCH(I13,'12 P6 activities'!$A$7:$A$206,0)),"⚠ not in P6 list"))</f>
        <v/>
      </c>
      <c r="L13" s="6"/>
      <c r="M13" s="6"/>
      <c r="N13" s="6"/>
      <c r="O13" s="6"/>
      <c r="P13" s="6"/>
      <c r="Q13" s="6"/>
      <c r="R13" s="6"/>
      <c r="S13" s="6"/>
      <c r="T13" s="6"/>
      <c r="U13" s="6"/>
      <c r="V13" s="6"/>
      <c r="W13" s="6"/>
      <c r="X13" s="6"/>
      <c r="Y13" s="6"/>
      <c r="Z13" s="6"/>
    </row>
    <row r="14" spans="1:26" x14ac:dyDescent="0.3">
      <c r="A14" s="142"/>
      <c r="B14" s="156"/>
      <c r="C14" s="158"/>
      <c r="D14" s="145" t="str">
        <f>IF(A14="","",A14+'14 Setup'!$B$10)</f>
        <v/>
      </c>
      <c r="E14" s="142"/>
      <c r="F14" s="148" t="str">
        <f>IF(OR(A14="",E14&lt;&gt;""),"",D14-MAX('03 Day log'!$A$8:$A$38,'01 Daily report'!$B$5))</f>
        <v/>
      </c>
      <c r="G14" s="148" t="str">
        <f>IF(A14="","",IF(E14&lt;&gt;"","Sent",IF(MAX('03 Day log'!$A$8:$A$38,'01 Daily report'!$B$5)&gt;D14,"Overdue","Open")))</f>
        <v/>
      </c>
      <c r="H14" s="143"/>
      <c r="I14" s="143"/>
      <c r="J14" s="160" t="str">
        <f>IF(I14="","",IFERROR(INDEX('12 P6 activities'!$B$7:$B$206,MATCH(I14,'12 P6 activities'!$A$7:$A$206,0)),"⚠ not in P6 list"))</f>
        <v/>
      </c>
      <c r="K14" s="160" t="str">
        <f>IF(I14="","",IFERROR(INDEX('12 P6 activities'!$C$7:$C$206,MATCH(I14,'12 P6 activities'!$A$7:$A$206,0)),"⚠ not in P6 list"))</f>
        <v/>
      </c>
      <c r="L14" s="6"/>
      <c r="M14" s="6"/>
      <c r="N14" s="6"/>
      <c r="O14" s="6"/>
      <c r="P14" s="6"/>
      <c r="Q14" s="6"/>
      <c r="R14" s="6"/>
      <c r="S14" s="6"/>
      <c r="T14" s="6"/>
      <c r="U14" s="6"/>
      <c r="V14" s="6"/>
      <c r="W14" s="6"/>
      <c r="X14" s="6"/>
      <c r="Y14" s="6"/>
      <c r="Z14" s="6"/>
    </row>
    <row r="15" spans="1:26" x14ac:dyDescent="0.3">
      <c r="A15" s="142"/>
      <c r="B15" s="156"/>
      <c r="C15" s="158"/>
      <c r="D15" s="145" t="str">
        <f>IF(A15="","",A15+'14 Setup'!$B$10)</f>
        <v/>
      </c>
      <c r="E15" s="142"/>
      <c r="F15" s="148" t="str">
        <f>IF(OR(A15="",E15&lt;&gt;""),"",D15-MAX('03 Day log'!$A$8:$A$38,'01 Daily report'!$B$5))</f>
        <v/>
      </c>
      <c r="G15" s="148" t="str">
        <f>IF(A15="","",IF(E15&lt;&gt;"","Sent",IF(MAX('03 Day log'!$A$8:$A$38,'01 Daily report'!$B$5)&gt;D15,"Overdue","Open")))</f>
        <v/>
      </c>
      <c r="H15" s="143"/>
      <c r="I15" s="143"/>
      <c r="J15" s="160" t="str">
        <f>IF(I15="","",IFERROR(INDEX('12 P6 activities'!$B$7:$B$206,MATCH(I15,'12 P6 activities'!$A$7:$A$206,0)),"⚠ not in P6 list"))</f>
        <v/>
      </c>
      <c r="K15" s="160" t="str">
        <f>IF(I15="","",IFERROR(INDEX('12 P6 activities'!$C$7:$C$206,MATCH(I15,'12 P6 activities'!$A$7:$A$206,0)),"⚠ not in P6 list"))</f>
        <v/>
      </c>
      <c r="L15" s="6"/>
      <c r="M15" s="6"/>
      <c r="N15" s="6"/>
      <c r="O15" s="6"/>
      <c r="P15" s="6"/>
      <c r="Q15" s="6"/>
      <c r="R15" s="6"/>
      <c r="S15" s="6"/>
      <c r="T15" s="6"/>
      <c r="U15" s="6"/>
      <c r="V15" s="6"/>
      <c r="W15" s="6"/>
      <c r="X15" s="6"/>
      <c r="Y15" s="6"/>
      <c r="Z15" s="6"/>
    </row>
    <row r="16" spans="1:26" x14ac:dyDescent="0.3">
      <c r="A16" s="142"/>
      <c r="B16" s="156"/>
      <c r="C16" s="158"/>
      <c r="D16" s="145" t="str">
        <f>IF(A16="","",A16+'14 Setup'!$B$10)</f>
        <v/>
      </c>
      <c r="E16" s="142"/>
      <c r="F16" s="148" t="str">
        <f>IF(OR(A16="",E16&lt;&gt;""),"",D16-MAX('03 Day log'!$A$8:$A$38,'01 Daily report'!$B$5))</f>
        <v/>
      </c>
      <c r="G16" s="148" t="str">
        <f>IF(A16="","",IF(E16&lt;&gt;"","Sent",IF(MAX('03 Day log'!$A$8:$A$38,'01 Daily report'!$B$5)&gt;D16,"Overdue","Open")))</f>
        <v/>
      </c>
      <c r="H16" s="143"/>
      <c r="I16" s="143"/>
      <c r="J16" s="160" t="str">
        <f>IF(I16="","",IFERROR(INDEX('12 P6 activities'!$B$7:$B$206,MATCH(I16,'12 P6 activities'!$A$7:$A$206,0)),"⚠ not in P6 list"))</f>
        <v/>
      </c>
      <c r="K16" s="160" t="str">
        <f>IF(I16="","",IFERROR(INDEX('12 P6 activities'!$C$7:$C$206,MATCH(I16,'12 P6 activities'!$A$7:$A$206,0)),"⚠ not in P6 list"))</f>
        <v/>
      </c>
      <c r="L16" s="6"/>
      <c r="M16" s="6"/>
      <c r="N16" s="6"/>
      <c r="O16" s="6"/>
      <c r="P16" s="6"/>
      <c r="Q16" s="6"/>
      <c r="R16" s="6"/>
      <c r="S16" s="6"/>
      <c r="T16" s="6"/>
      <c r="U16" s="6"/>
      <c r="V16" s="6"/>
      <c r="W16" s="6"/>
      <c r="X16" s="6"/>
      <c r="Y16" s="6"/>
      <c r="Z16" s="6"/>
    </row>
    <row r="17" spans="1:26" x14ac:dyDescent="0.3">
      <c r="A17" s="142"/>
      <c r="B17" s="156"/>
      <c r="C17" s="158"/>
      <c r="D17" s="145" t="str">
        <f>IF(A17="","",A17+'14 Setup'!$B$10)</f>
        <v/>
      </c>
      <c r="E17" s="142"/>
      <c r="F17" s="148" t="str">
        <f>IF(OR(A17="",E17&lt;&gt;""),"",D17-MAX('03 Day log'!$A$8:$A$38,'01 Daily report'!$B$5))</f>
        <v/>
      </c>
      <c r="G17" s="148" t="str">
        <f>IF(A17="","",IF(E17&lt;&gt;"","Sent",IF(MAX('03 Day log'!$A$8:$A$38,'01 Daily report'!$B$5)&gt;D17,"Overdue","Open")))</f>
        <v/>
      </c>
      <c r="H17" s="143"/>
      <c r="I17" s="143"/>
      <c r="J17" s="160" t="str">
        <f>IF(I17="","",IFERROR(INDEX('12 P6 activities'!$B$7:$B$206,MATCH(I17,'12 P6 activities'!$A$7:$A$206,0)),"⚠ not in P6 list"))</f>
        <v/>
      </c>
      <c r="K17" s="160" t="str">
        <f>IF(I17="","",IFERROR(INDEX('12 P6 activities'!$C$7:$C$206,MATCH(I17,'12 P6 activities'!$A$7:$A$206,0)),"⚠ not in P6 list"))</f>
        <v/>
      </c>
      <c r="L17" s="6"/>
      <c r="M17" s="6"/>
      <c r="N17" s="6"/>
      <c r="O17" s="6"/>
      <c r="P17" s="6"/>
      <c r="Q17" s="6"/>
      <c r="R17" s="6"/>
      <c r="S17" s="6"/>
      <c r="T17" s="6"/>
      <c r="U17" s="6"/>
      <c r="V17" s="6"/>
      <c r="W17" s="6"/>
      <c r="X17" s="6"/>
      <c r="Y17" s="6"/>
      <c r="Z17" s="6"/>
    </row>
    <row r="18" spans="1:26" x14ac:dyDescent="0.3">
      <c r="A18" s="142"/>
      <c r="B18" s="156"/>
      <c r="C18" s="158"/>
      <c r="D18" s="145" t="str">
        <f>IF(A18="","",A18+'14 Setup'!$B$10)</f>
        <v/>
      </c>
      <c r="E18" s="142"/>
      <c r="F18" s="148" t="str">
        <f>IF(OR(A18="",E18&lt;&gt;""),"",D18-MAX('03 Day log'!$A$8:$A$38,'01 Daily report'!$B$5))</f>
        <v/>
      </c>
      <c r="G18" s="148" t="str">
        <f>IF(A18="","",IF(E18&lt;&gt;"","Sent",IF(MAX('03 Day log'!$A$8:$A$38,'01 Daily report'!$B$5)&gt;D18,"Overdue","Open")))</f>
        <v/>
      </c>
      <c r="H18" s="143"/>
      <c r="I18" s="143"/>
      <c r="J18" s="160" t="str">
        <f>IF(I18="","",IFERROR(INDEX('12 P6 activities'!$B$7:$B$206,MATCH(I18,'12 P6 activities'!$A$7:$A$206,0)),"⚠ not in P6 list"))</f>
        <v/>
      </c>
      <c r="K18" s="160" t="str">
        <f>IF(I18="","",IFERROR(INDEX('12 P6 activities'!$C$7:$C$206,MATCH(I18,'12 P6 activities'!$A$7:$A$206,0)),"⚠ not in P6 list"))</f>
        <v/>
      </c>
      <c r="L18" s="6"/>
      <c r="M18" s="6"/>
      <c r="N18" s="6"/>
      <c r="O18" s="6"/>
      <c r="P18" s="6"/>
      <c r="Q18" s="6"/>
      <c r="R18" s="6"/>
      <c r="S18" s="6"/>
      <c r="T18" s="6"/>
      <c r="U18" s="6"/>
      <c r="V18" s="6"/>
      <c r="W18" s="6"/>
      <c r="X18" s="6"/>
      <c r="Y18" s="6"/>
      <c r="Z18" s="6"/>
    </row>
    <row r="19" spans="1:26" x14ac:dyDescent="0.3">
      <c r="A19" s="142"/>
      <c r="B19" s="156"/>
      <c r="C19" s="158"/>
      <c r="D19" s="145" t="str">
        <f>IF(A19="","",A19+'14 Setup'!$B$10)</f>
        <v/>
      </c>
      <c r="E19" s="142"/>
      <c r="F19" s="148" t="str">
        <f>IF(OR(A19="",E19&lt;&gt;""),"",D19-MAX('03 Day log'!$A$8:$A$38,'01 Daily report'!$B$5))</f>
        <v/>
      </c>
      <c r="G19" s="148" t="str">
        <f>IF(A19="","",IF(E19&lt;&gt;"","Sent",IF(MAX('03 Day log'!$A$8:$A$38,'01 Daily report'!$B$5)&gt;D19,"Overdue","Open")))</f>
        <v/>
      </c>
      <c r="H19" s="143"/>
      <c r="I19" s="143"/>
      <c r="J19" s="160" t="str">
        <f>IF(I19="","",IFERROR(INDEX('12 P6 activities'!$B$7:$B$206,MATCH(I19,'12 P6 activities'!$A$7:$A$206,0)),"⚠ not in P6 list"))</f>
        <v/>
      </c>
      <c r="K19" s="160" t="str">
        <f>IF(I19="","",IFERROR(INDEX('12 P6 activities'!$C$7:$C$206,MATCH(I19,'12 P6 activities'!$A$7:$A$206,0)),"⚠ not in P6 list"))</f>
        <v/>
      </c>
      <c r="L19" s="6"/>
      <c r="M19" s="6"/>
      <c r="N19" s="6"/>
      <c r="O19" s="6"/>
      <c r="P19" s="6"/>
      <c r="Q19" s="6"/>
      <c r="R19" s="6"/>
      <c r="S19" s="6"/>
      <c r="T19" s="6"/>
      <c r="U19" s="6"/>
      <c r="V19" s="6"/>
      <c r="W19" s="6"/>
      <c r="X19" s="6"/>
      <c r="Y19" s="6"/>
      <c r="Z19" s="6"/>
    </row>
    <row r="20" spans="1:26" x14ac:dyDescent="0.3">
      <c r="A20" s="142"/>
      <c r="B20" s="156"/>
      <c r="C20" s="158"/>
      <c r="D20" s="145" t="str">
        <f>IF(A20="","",A20+'14 Setup'!$B$10)</f>
        <v/>
      </c>
      <c r="E20" s="142"/>
      <c r="F20" s="148" t="str">
        <f>IF(OR(A20="",E20&lt;&gt;""),"",D20-MAX('03 Day log'!$A$8:$A$38,'01 Daily report'!$B$5))</f>
        <v/>
      </c>
      <c r="G20" s="148" t="str">
        <f>IF(A20="","",IF(E20&lt;&gt;"","Sent",IF(MAX('03 Day log'!$A$8:$A$38,'01 Daily report'!$B$5)&gt;D20,"Overdue","Open")))</f>
        <v/>
      </c>
      <c r="H20" s="143"/>
      <c r="I20" s="143"/>
      <c r="J20" s="160" t="str">
        <f>IF(I20="","",IFERROR(INDEX('12 P6 activities'!$B$7:$B$206,MATCH(I20,'12 P6 activities'!$A$7:$A$206,0)),"⚠ not in P6 list"))</f>
        <v/>
      </c>
      <c r="K20" s="160" t="str">
        <f>IF(I20="","",IFERROR(INDEX('12 P6 activities'!$C$7:$C$206,MATCH(I20,'12 P6 activities'!$A$7:$A$206,0)),"⚠ not in P6 list"))</f>
        <v/>
      </c>
      <c r="L20" s="6"/>
      <c r="M20" s="6"/>
      <c r="N20" s="6"/>
      <c r="O20" s="6"/>
      <c r="P20" s="6"/>
      <c r="Q20" s="6"/>
      <c r="R20" s="6"/>
      <c r="S20" s="6"/>
      <c r="T20" s="6"/>
      <c r="U20" s="6"/>
      <c r="V20" s="6"/>
      <c r="W20" s="6"/>
      <c r="X20" s="6"/>
      <c r="Y20" s="6"/>
      <c r="Z20" s="6"/>
    </row>
    <row r="21" spans="1:26" x14ac:dyDescent="0.3">
      <c r="A21" s="142"/>
      <c r="B21" s="156"/>
      <c r="C21" s="158"/>
      <c r="D21" s="145" t="str">
        <f>IF(A21="","",A21+'14 Setup'!$B$10)</f>
        <v/>
      </c>
      <c r="E21" s="142"/>
      <c r="F21" s="148" t="str">
        <f>IF(OR(A21="",E21&lt;&gt;""),"",D21-MAX('03 Day log'!$A$8:$A$38,'01 Daily report'!$B$5))</f>
        <v/>
      </c>
      <c r="G21" s="148" t="str">
        <f>IF(A21="","",IF(E21&lt;&gt;"","Sent",IF(MAX('03 Day log'!$A$8:$A$38,'01 Daily report'!$B$5)&gt;D21,"Overdue","Open")))</f>
        <v/>
      </c>
      <c r="H21" s="143"/>
      <c r="I21" s="143"/>
      <c r="J21" s="160" t="str">
        <f>IF(I21="","",IFERROR(INDEX('12 P6 activities'!$B$7:$B$206,MATCH(I21,'12 P6 activities'!$A$7:$A$206,0)),"⚠ not in P6 list"))</f>
        <v/>
      </c>
      <c r="K21" s="160" t="str">
        <f>IF(I21="","",IFERROR(INDEX('12 P6 activities'!$C$7:$C$206,MATCH(I21,'12 P6 activities'!$A$7:$A$206,0)),"⚠ not in P6 list"))</f>
        <v/>
      </c>
      <c r="L21" s="6"/>
      <c r="M21" s="6"/>
      <c r="N21" s="6"/>
      <c r="O21" s="6"/>
      <c r="P21" s="6"/>
      <c r="Q21" s="6"/>
      <c r="R21" s="6"/>
      <c r="S21" s="6"/>
      <c r="T21" s="6"/>
      <c r="U21" s="6"/>
      <c r="V21" s="6"/>
      <c r="W21" s="6"/>
      <c r="X21" s="6"/>
      <c r="Y21" s="6"/>
      <c r="Z21" s="6"/>
    </row>
    <row r="22" spans="1:26" x14ac:dyDescent="0.3">
      <c r="A22" s="142"/>
      <c r="B22" s="156"/>
      <c r="C22" s="158"/>
      <c r="D22" s="145" t="str">
        <f>IF(A22="","",A22+'14 Setup'!$B$10)</f>
        <v/>
      </c>
      <c r="E22" s="142"/>
      <c r="F22" s="148" t="str">
        <f>IF(OR(A22="",E22&lt;&gt;""),"",D22-MAX('03 Day log'!$A$8:$A$38,'01 Daily report'!$B$5))</f>
        <v/>
      </c>
      <c r="G22" s="148" t="str">
        <f>IF(A22="","",IF(E22&lt;&gt;"","Sent",IF(MAX('03 Day log'!$A$8:$A$38,'01 Daily report'!$B$5)&gt;D22,"Overdue","Open")))</f>
        <v/>
      </c>
      <c r="H22" s="143"/>
      <c r="I22" s="143"/>
      <c r="J22" s="160" t="str">
        <f>IF(I22="","",IFERROR(INDEX('12 P6 activities'!$B$7:$B$206,MATCH(I22,'12 P6 activities'!$A$7:$A$206,0)),"⚠ not in P6 list"))</f>
        <v/>
      </c>
      <c r="K22" s="160" t="str">
        <f>IF(I22="","",IFERROR(INDEX('12 P6 activities'!$C$7:$C$206,MATCH(I22,'12 P6 activities'!$A$7:$A$206,0)),"⚠ not in P6 list"))</f>
        <v/>
      </c>
      <c r="L22" s="6"/>
      <c r="M22" s="6"/>
      <c r="N22" s="6"/>
      <c r="O22" s="6"/>
      <c r="P22" s="6"/>
      <c r="Q22" s="6"/>
      <c r="R22" s="6"/>
      <c r="S22" s="6"/>
      <c r="T22" s="6"/>
      <c r="U22" s="6"/>
      <c r="V22" s="6"/>
      <c r="W22" s="6"/>
      <c r="X22" s="6"/>
      <c r="Y22" s="6"/>
      <c r="Z22" s="6"/>
    </row>
    <row r="23" spans="1:26" x14ac:dyDescent="0.3">
      <c r="A23" s="142"/>
      <c r="B23" s="156"/>
      <c r="C23" s="158"/>
      <c r="D23" s="145" t="str">
        <f>IF(A23="","",A23+'14 Setup'!$B$10)</f>
        <v/>
      </c>
      <c r="E23" s="142"/>
      <c r="F23" s="148" t="str">
        <f>IF(OR(A23="",E23&lt;&gt;""),"",D23-MAX('03 Day log'!$A$8:$A$38,'01 Daily report'!$B$5))</f>
        <v/>
      </c>
      <c r="G23" s="148" t="str">
        <f>IF(A23="","",IF(E23&lt;&gt;"","Sent",IF(MAX('03 Day log'!$A$8:$A$38,'01 Daily report'!$B$5)&gt;D23,"Overdue","Open")))</f>
        <v/>
      </c>
      <c r="H23" s="143"/>
      <c r="I23" s="143"/>
      <c r="J23" s="160" t="str">
        <f>IF(I23="","",IFERROR(INDEX('12 P6 activities'!$B$7:$B$206,MATCH(I23,'12 P6 activities'!$A$7:$A$206,0)),"⚠ not in P6 list"))</f>
        <v/>
      </c>
      <c r="K23" s="160" t="str">
        <f>IF(I23="","",IFERROR(INDEX('12 P6 activities'!$C$7:$C$206,MATCH(I23,'12 P6 activities'!$A$7:$A$206,0)),"⚠ not in P6 list"))</f>
        <v/>
      </c>
      <c r="L23" s="6"/>
      <c r="M23" s="6"/>
      <c r="N23" s="6"/>
      <c r="O23" s="6"/>
      <c r="P23" s="6"/>
      <c r="Q23" s="6"/>
      <c r="R23" s="6"/>
      <c r="S23" s="6"/>
      <c r="T23" s="6"/>
      <c r="U23" s="6"/>
      <c r="V23" s="6"/>
      <c r="W23" s="6"/>
      <c r="X23" s="6"/>
      <c r="Y23" s="6"/>
      <c r="Z23" s="6"/>
    </row>
    <row r="24" spans="1:26" x14ac:dyDescent="0.3">
      <c r="A24" s="142"/>
      <c r="B24" s="156"/>
      <c r="C24" s="158"/>
      <c r="D24" s="145" t="str">
        <f>IF(A24="","",A24+'14 Setup'!$B$10)</f>
        <v/>
      </c>
      <c r="E24" s="142"/>
      <c r="F24" s="148" t="str">
        <f>IF(OR(A24="",E24&lt;&gt;""),"",D24-MAX('03 Day log'!$A$8:$A$38,'01 Daily report'!$B$5))</f>
        <v/>
      </c>
      <c r="G24" s="148" t="str">
        <f>IF(A24="","",IF(E24&lt;&gt;"","Sent",IF(MAX('03 Day log'!$A$8:$A$38,'01 Daily report'!$B$5)&gt;D24,"Overdue","Open")))</f>
        <v/>
      </c>
      <c r="H24" s="143"/>
      <c r="I24" s="143"/>
      <c r="J24" s="160" t="str">
        <f>IF(I24="","",IFERROR(INDEX('12 P6 activities'!$B$7:$B$206,MATCH(I24,'12 P6 activities'!$A$7:$A$206,0)),"⚠ not in P6 list"))</f>
        <v/>
      </c>
      <c r="K24" s="160" t="str">
        <f>IF(I24="","",IFERROR(INDEX('12 P6 activities'!$C$7:$C$206,MATCH(I24,'12 P6 activities'!$A$7:$A$206,0)),"⚠ not in P6 list"))</f>
        <v/>
      </c>
      <c r="L24" s="6"/>
      <c r="M24" s="6"/>
      <c r="N24" s="6"/>
      <c r="O24" s="6"/>
      <c r="P24" s="6"/>
      <c r="Q24" s="6"/>
      <c r="R24" s="6"/>
      <c r="S24" s="6"/>
      <c r="T24" s="6"/>
      <c r="U24" s="6"/>
      <c r="V24" s="6"/>
      <c r="W24" s="6"/>
      <c r="X24" s="6"/>
      <c r="Y24" s="6"/>
      <c r="Z24" s="6"/>
    </row>
    <row r="25" spans="1:26" x14ac:dyDescent="0.3">
      <c r="A25" s="142"/>
      <c r="B25" s="156"/>
      <c r="C25" s="158"/>
      <c r="D25" s="145" t="str">
        <f>IF(A25="","",A25+'14 Setup'!$B$10)</f>
        <v/>
      </c>
      <c r="E25" s="142"/>
      <c r="F25" s="148" t="str">
        <f>IF(OR(A25="",E25&lt;&gt;""),"",D25-MAX('03 Day log'!$A$8:$A$38,'01 Daily report'!$B$5))</f>
        <v/>
      </c>
      <c r="G25" s="148" t="str">
        <f>IF(A25="","",IF(E25&lt;&gt;"","Sent",IF(MAX('03 Day log'!$A$8:$A$38,'01 Daily report'!$B$5)&gt;D25,"Overdue","Open")))</f>
        <v/>
      </c>
      <c r="H25" s="143"/>
      <c r="I25" s="143"/>
      <c r="J25" s="160" t="str">
        <f>IF(I25="","",IFERROR(INDEX('12 P6 activities'!$B$7:$B$206,MATCH(I25,'12 P6 activities'!$A$7:$A$206,0)),"⚠ not in P6 list"))</f>
        <v/>
      </c>
      <c r="K25" s="160" t="str">
        <f>IF(I25="","",IFERROR(INDEX('12 P6 activities'!$C$7:$C$206,MATCH(I25,'12 P6 activities'!$A$7:$A$206,0)),"⚠ not in P6 list"))</f>
        <v/>
      </c>
      <c r="L25" s="6"/>
      <c r="M25" s="6"/>
      <c r="N25" s="6"/>
      <c r="O25" s="6"/>
      <c r="P25" s="6"/>
      <c r="Q25" s="6"/>
      <c r="R25" s="6"/>
      <c r="S25" s="6"/>
      <c r="T25" s="6"/>
      <c r="U25" s="6"/>
      <c r="V25" s="6"/>
      <c r="W25" s="6"/>
      <c r="X25" s="6"/>
      <c r="Y25" s="6"/>
      <c r="Z25" s="6"/>
    </row>
    <row r="26" spans="1:26" x14ac:dyDescent="0.3">
      <c r="A26" s="142"/>
      <c r="B26" s="156"/>
      <c r="C26" s="158"/>
      <c r="D26" s="145" t="str">
        <f>IF(A26="","",A26+'14 Setup'!$B$10)</f>
        <v/>
      </c>
      <c r="E26" s="142"/>
      <c r="F26" s="148" t="str">
        <f>IF(OR(A26="",E26&lt;&gt;""),"",D26-MAX('03 Day log'!$A$8:$A$38,'01 Daily report'!$B$5))</f>
        <v/>
      </c>
      <c r="G26" s="148" t="str">
        <f>IF(A26="","",IF(E26&lt;&gt;"","Sent",IF(MAX('03 Day log'!$A$8:$A$38,'01 Daily report'!$B$5)&gt;D26,"Overdue","Open")))</f>
        <v/>
      </c>
      <c r="H26" s="143"/>
      <c r="I26" s="143"/>
      <c r="J26" s="160" t="str">
        <f>IF(I26="","",IFERROR(INDEX('12 P6 activities'!$B$7:$B$206,MATCH(I26,'12 P6 activities'!$A$7:$A$206,0)),"⚠ not in P6 list"))</f>
        <v/>
      </c>
      <c r="K26" s="160" t="str">
        <f>IF(I26="","",IFERROR(INDEX('12 P6 activities'!$C$7:$C$206,MATCH(I26,'12 P6 activities'!$A$7:$A$206,0)),"⚠ not in P6 list"))</f>
        <v/>
      </c>
      <c r="L26" s="6"/>
      <c r="M26" s="6"/>
      <c r="N26" s="6"/>
      <c r="O26" s="6"/>
      <c r="P26" s="6"/>
      <c r="Q26" s="6"/>
      <c r="R26" s="6"/>
      <c r="S26" s="6"/>
      <c r="T26" s="6"/>
      <c r="U26" s="6"/>
      <c r="V26" s="6"/>
      <c r="W26" s="6"/>
      <c r="X26" s="6"/>
      <c r="Y26" s="6"/>
      <c r="Z26" s="6"/>
    </row>
    <row r="27" spans="1:26" x14ac:dyDescent="0.3">
      <c r="A27" s="142"/>
      <c r="B27" s="156"/>
      <c r="C27" s="158"/>
      <c r="D27" s="145" t="str">
        <f>IF(A27="","",A27+'14 Setup'!$B$10)</f>
        <v/>
      </c>
      <c r="E27" s="142"/>
      <c r="F27" s="148" t="str">
        <f>IF(OR(A27="",E27&lt;&gt;""),"",D27-MAX('03 Day log'!$A$8:$A$38,'01 Daily report'!$B$5))</f>
        <v/>
      </c>
      <c r="G27" s="148" t="str">
        <f>IF(A27="","",IF(E27&lt;&gt;"","Sent",IF(MAX('03 Day log'!$A$8:$A$38,'01 Daily report'!$B$5)&gt;D27,"Overdue","Open")))</f>
        <v/>
      </c>
      <c r="H27" s="143"/>
      <c r="I27" s="143"/>
      <c r="J27" s="160" t="str">
        <f>IF(I27="","",IFERROR(INDEX('12 P6 activities'!$B$7:$B$206,MATCH(I27,'12 P6 activities'!$A$7:$A$206,0)),"⚠ not in P6 list"))</f>
        <v/>
      </c>
      <c r="K27" s="160" t="str">
        <f>IF(I27="","",IFERROR(INDEX('12 P6 activities'!$C$7:$C$206,MATCH(I27,'12 P6 activities'!$A$7:$A$206,0)),"⚠ not in P6 list"))</f>
        <v/>
      </c>
      <c r="L27" s="6"/>
      <c r="M27" s="6"/>
      <c r="N27" s="6"/>
      <c r="O27" s="6"/>
      <c r="P27" s="6"/>
      <c r="Q27" s="6"/>
      <c r="R27" s="6"/>
      <c r="S27" s="6"/>
      <c r="T27" s="6"/>
      <c r="U27" s="6"/>
      <c r="V27" s="6"/>
      <c r="W27" s="6"/>
      <c r="X27" s="6"/>
      <c r="Y27" s="6"/>
      <c r="Z27" s="6"/>
    </row>
    <row r="28" spans="1:26" x14ac:dyDescent="0.3">
      <c r="A28" s="142"/>
      <c r="B28" s="156"/>
      <c r="C28" s="158"/>
      <c r="D28" s="145" t="str">
        <f>IF(A28="","",A28+'14 Setup'!$B$10)</f>
        <v/>
      </c>
      <c r="E28" s="142"/>
      <c r="F28" s="148" t="str">
        <f>IF(OR(A28="",E28&lt;&gt;""),"",D28-MAX('03 Day log'!$A$8:$A$38,'01 Daily report'!$B$5))</f>
        <v/>
      </c>
      <c r="G28" s="148" t="str">
        <f>IF(A28="","",IF(E28&lt;&gt;"","Sent",IF(MAX('03 Day log'!$A$8:$A$38,'01 Daily report'!$B$5)&gt;D28,"Overdue","Open")))</f>
        <v/>
      </c>
      <c r="H28" s="143"/>
      <c r="I28" s="143"/>
      <c r="J28" s="160" t="str">
        <f>IF(I28="","",IFERROR(INDEX('12 P6 activities'!$B$7:$B$206,MATCH(I28,'12 P6 activities'!$A$7:$A$206,0)),"⚠ not in P6 list"))</f>
        <v/>
      </c>
      <c r="K28" s="160" t="str">
        <f>IF(I28="","",IFERROR(INDEX('12 P6 activities'!$C$7:$C$206,MATCH(I28,'12 P6 activities'!$A$7:$A$206,0)),"⚠ not in P6 list"))</f>
        <v/>
      </c>
      <c r="L28" s="6"/>
      <c r="M28" s="6"/>
      <c r="N28" s="6"/>
      <c r="O28" s="6"/>
      <c r="P28" s="6"/>
      <c r="Q28" s="6"/>
      <c r="R28" s="6"/>
      <c r="S28" s="6"/>
      <c r="T28" s="6"/>
      <c r="U28" s="6"/>
      <c r="V28" s="6"/>
      <c r="W28" s="6"/>
      <c r="X28" s="6"/>
      <c r="Y28" s="6"/>
      <c r="Z28" s="6"/>
    </row>
    <row r="29" spans="1:26" x14ac:dyDescent="0.3">
      <c r="A29" s="142"/>
      <c r="B29" s="156"/>
      <c r="C29" s="158"/>
      <c r="D29" s="145" t="str">
        <f>IF(A29="","",A29+'14 Setup'!$B$10)</f>
        <v/>
      </c>
      <c r="E29" s="142"/>
      <c r="F29" s="148" t="str">
        <f>IF(OR(A29="",E29&lt;&gt;""),"",D29-MAX('03 Day log'!$A$8:$A$38,'01 Daily report'!$B$5))</f>
        <v/>
      </c>
      <c r="G29" s="148" t="str">
        <f>IF(A29="","",IF(E29&lt;&gt;"","Sent",IF(MAX('03 Day log'!$A$8:$A$38,'01 Daily report'!$B$5)&gt;D29,"Overdue","Open")))</f>
        <v/>
      </c>
      <c r="H29" s="143"/>
      <c r="I29" s="143"/>
      <c r="J29" s="160" t="str">
        <f>IF(I29="","",IFERROR(INDEX('12 P6 activities'!$B$7:$B$206,MATCH(I29,'12 P6 activities'!$A$7:$A$206,0)),"⚠ not in P6 list"))</f>
        <v/>
      </c>
      <c r="K29" s="160" t="str">
        <f>IF(I29="","",IFERROR(INDEX('12 P6 activities'!$C$7:$C$206,MATCH(I29,'12 P6 activities'!$A$7:$A$206,0)),"⚠ not in P6 list"))</f>
        <v/>
      </c>
      <c r="L29" s="6"/>
      <c r="M29" s="6"/>
      <c r="N29" s="6"/>
      <c r="O29" s="6"/>
      <c r="P29" s="6"/>
      <c r="Q29" s="6"/>
      <c r="R29" s="6"/>
      <c r="S29" s="6"/>
      <c r="T29" s="6"/>
      <c r="U29" s="6"/>
      <c r="V29" s="6"/>
      <c r="W29" s="6"/>
      <c r="X29" s="6"/>
      <c r="Y29" s="6"/>
      <c r="Z29" s="6"/>
    </row>
    <row r="30" spans="1:26" x14ac:dyDescent="0.3">
      <c r="A30" s="142"/>
      <c r="B30" s="156"/>
      <c r="C30" s="158"/>
      <c r="D30" s="145" t="str">
        <f>IF(A30="","",A30+'14 Setup'!$B$10)</f>
        <v/>
      </c>
      <c r="E30" s="142"/>
      <c r="F30" s="148" t="str">
        <f>IF(OR(A30="",E30&lt;&gt;""),"",D30-MAX('03 Day log'!$A$8:$A$38,'01 Daily report'!$B$5))</f>
        <v/>
      </c>
      <c r="G30" s="148" t="str">
        <f>IF(A30="","",IF(E30&lt;&gt;"","Sent",IF(MAX('03 Day log'!$A$8:$A$38,'01 Daily report'!$B$5)&gt;D30,"Overdue","Open")))</f>
        <v/>
      </c>
      <c r="H30" s="143"/>
      <c r="I30" s="143"/>
      <c r="J30" s="160" t="str">
        <f>IF(I30="","",IFERROR(INDEX('12 P6 activities'!$B$7:$B$206,MATCH(I30,'12 P6 activities'!$A$7:$A$206,0)),"⚠ not in P6 list"))</f>
        <v/>
      </c>
      <c r="K30" s="160" t="str">
        <f>IF(I30="","",IFERROR(INDEX('12 P6 activities'!$C$7:$C$206,MATCH(I30,'12 P6 activities'!$A$7:$A$206,0)),"⚠ not in P6 list"))</f>
        <v/>
      </c>
      <c r="L30" s="6"/>
      <c r="M30" s="6"/>
      <c r="N30" s="6"/>
      <c r="O30" s="6"/>
      <c r="P30" s="6"/>
      <c r="Q30" s="6"/>
      <c r="R30" s="6"/>
      <c r="S30" s="6"/>
      <c r="T30" s="6"/>
      <c r="U30" s="6"/>
      <c r="V30" s="6"/>
      <c r="W30" s="6"/>
      <c r="X30" s="6"/>
      <c r="Y30" s="6"/>
      <c r="Z30" s="6"/>
    </row>
    <row r="31" spans="1:26" x14ac:dyDescent="0.3">
      <c r="A31" s="142"/>
      <c r="B31" s="156"/>
      <c r="C31" s="158"/>
      <c r="D31" s="145" t="str">
        <f>IF(A31="","",A31+'14 Setup'!$B$10)</f>
        <v/>
      </c>
      <c r="E31" s="142"/>
      <c r="F31" s="148" t="str">
        <f>IF(OR(A31="",E31&lt;&gt;""),"",D31-MAX('03 Day log'!$A$8:$A$38,'01 Daily report'!$B$5))</f>
        <v/>
      </c>
      <c r="G31" s="148" t="str">
        <f>IF(A31="","",IF(E31&lt;&gt;"","Sent",IF(MAX('03 Day log'!$A$8:$A$38,'01 Daily report'!$B$5)&gt;D31,"Overdue","Open")))</f>
        <v/>
      </c>
      <c r="H31" s="143"/>
      <c r="I31" s="143"/>
      <c r="J31" s="160" t="str">
        <f>IF(I31="","",IFERROR(INDEX('12 P6 activities'!$B$7:$B$206,MATCH(I31,'12 P6 activities'!$A$7:$A$206,0)),"⚠ not in P6 list"))</f>
        <v/>
      </c>
      <c r="K31" s="160" t="str">
        <f>IF(I31="","",IFERROR(INDEX('12 P6 activities'!$C$7:$C$206,MATCH(I31,'12 P6 activities'!$A$7:$A$206,0)),"⚠ not in P6 list"))</f>
        <v/>
      </c>
      <c r="L31" s="6"/>
      <c r="M31" s="6"/>
      <c r="N31" s="6"/>
      <c r="O31" s="6"/>
      <c r="P31" s="6"/>
      <c r="Q31" s="6"/>
      <c r="R31" s="6"/>
      <c r="S31" s="6"/>
      <c r="T31" s="6"/>
      <c r="U31" s="6"/>
      <c r="V31" s="6"/>
      <c r="W31" s="6"/>
      <c r="X31" s="6"/>
      <c r="Y31" s="6"/>
      <c r="Z31" s="6"/>
    </row>
    <row r="32" spans="1:26" x14ac:dyDescent="0.3">
      <c r="A32" s="142"/>
      <c r="B32" s="156"/>
      <c r="C32" s="158"/>
      <c r="D32" s="145" t="str">
        <f>IF(A32="","",A32+'14 Setup'!$B$10)</f>
        <v/>
      </c>
      <c r="E32" s="142"/>
      <c r="F32" s="148" t="str">
        <f>IF(OR(A32="",E32&lt;&gt;""),"",D32-MAX('03 Day log'!$A$8:$A$38,'01 Daily report'!$B$5))</f>
        <v/>
      </c>
      <c r="G32" s="148" t="str">
        <f>IF(A32="","",IF(E32&lt;&gt;"","Sent",IF(MAX('03 Day log'!$A$8:$A$38,'01 Daily report'!$B$5)&gt;D32,"Overdue","Open")))</f>
        <v/>
      </c>
      <c r="H32" s="143"/>
      <c r="I32" s="143"/>
      <c r="J32" s="160" t="str">
        <f>IF(I32="","",IFERROR(INDEX('12 P6 activities'!$B$7:$B$206,MATCH(I32,'12 P6 activities'!$A$7:$A$206,0)),"⚠ not in P6 list"))</f>
        <v/>
      </c>
      <c r="K32" s="160" t="str">
        <f>IF(I32="","",IFERROR(INDEX('12 P6 activities'!$C$7:$C$206,MATCH(I32,'12 P6 activities'!$A$7:$A$206,0)),"⚠ not in P6 list"))</f>
        <v/>
      </c>
      <c r="L32" s="6"/>
      <c r="M32" s="6"/>
      <c r="N32" s="6"/>
      <c r="O32" s="6"/>
      <c r="P32" s="6"/>
      <c r="Q32" s="6"/>
      <c r="R32" s="6"/>
      <c r="S32" s="6"/>
      <c r="T32" s="6"/>
      <c r="U32" s="6"/>
      <c r="V32" s="6"/>
      <c r="W32" s="6"/>
      <c r="X32" s="6"/>
      <c r="Y32" s="6"/>
      <c r="Z32" s="6"/>
    </row>
    <row r="33" spans="1:26" x14ac:dyDescent="0.3">
      <c r="A33" s="142"/>
      <c r="B33" s="156"/>
      <c r="C33" s="158"/>
      <c r="D33" s="145" t="str">
        <f>IF(A33="","",A33+'14 Setup'!$B$10)</f>
        <v/>
      </c>
      <c r="E33" s="142"/>
      <c r="F33" s="148" t="str">
        <f>IF(OR(A33="",E33&lt;&gt;""),"",D33-MAX('03 Day log'!$A$8:$A$38,'01 Daily report'!$B$5))</f>
        <v/>
      </c>
      <c r="G33" s="148" t="str">
        <f>IF(A33="","",IF(E33&lt;&gt;"","Sent",IF(MAX('03 Day log'!$A$8:$A$38,'01 Daily report'!$B$5)&gt;D33,"Overdue","Open")))</f>
        <v/>
      </c>
      <c r="H33" s="143"/>
      <c r="I33" s="143"/>
      <c r="J33" s="160" t="str">
        <f>IF(I33="","",IFERROR(INDEX('12 P6 activities'!$B$7:$B$206,MATCH(I33,'12 P6 activities'!$A$7:$A$206,0)),"⚠ not in P6 list"))</f>
        <v/>
      </c>
      <c r="K33" s="160" t="str">
        <f>IF(I33="","",IFERROR(INDEX('12 P6 activities'!$C$7:$C$206,MATCH(I33,'12 P6 activities'!$A$7:$A$206,0)),"⚠ not in P6 list"))</f>
        <v/>
      </c>
      <c r="L33" s="6"/>
      <c r="M33" s="6"/>
      <c r="N33" s="6"/>
      <c r="O33" s="6"/>
      <c r="P33" s="6"/>
      <c r="Q33" s="6"/>
      <c r="R33" s="6"/>
      <c r="S33" s="6"/>
      <c r="T33" s="6"/>
      <c r="U33" s="6"/>
      <c r="V33" s="6"/>
      <c r="W33" s="6"/>
      <c r="X33" s="6"/>
      <c r="Y33" s="6"/>
      <c r="Z33" s="6"/>
    </row>
    <row r="34" spans="1:26" x14ac:dyDescent="0.3">
      <c r="A34" s="142"/>
      <c r="B34" s="156"/>
      <c r="C34" s="158"/>
      <c r="D34" s="145" t="str">
        <f>IF(A34="","",A34+'14 Setup'!$B$10)</f>
        <v/>
      </c>
      <c r="E34" s="142"/>
      <c r="F34" s="148" t="str">
        <f>IF(OR(A34="",E34&lt;&gt;""),"",D34-MAX('03 Day log'!$A$8:$A$38,'01 Daily report'!$B$5))</f>
        <v/>
      </c>
      <c r="G34" s="148" t="str">
        <f>IF(A34="","",IF(E34&lt;&gt;"","Sent",IF(MAX('03 Day log'!$A$8:$A$38,'01 Daily report'!$B$5)&gt;D34,"Overdue","Open")))</f>
        <v/>
      </c>
      <c r="H34" s="143"/>
      <c r="I34" s="143"/>
      <c r="J34" s="160" t="str">
        <f>IF(I34="","",IFERROR(INDEX('12 P6 activities'!$B$7:$B$206,MATCH(I34,'12 P6 activities'!$A$7:$A$206,0)),"⚠ not in P6 list"))</f>
        <v/>
      </c>
      <c r="K34" s="160" t="str">
        <f>IF(I34="","",IFERROR(INDEX('12 P6 activities'!$C$7:$C$206,MATCH(I34,'12 P6 activities'!$A$7:$A$206,0)),"⚠ not in P6 list"))</f>
        <v/>
      </c>
      <c r="L34" s="6"/>
      <c r="M34" s="6"/>
      <c r="N34" s="6"/>
      <c r="O34" s="6"/>
      <c r="P34" s="6"/>
      <c r="Q34" s="6"/>
      <c r="R34" s="6"/>
      <c r="S34" s="6"/>
      <c r="T34" s="6"/>
      <c r="U34" s="6"/>
      <c r="V34" s="6"/>
      <c r="W34" s="6"/>
      <c r="X34" s="6"/>
      <c r="Y34" s="6"/>
      <c r="Z34" s="6"/>
    </row>
    <row r="35" spans="1:26" x14ac:dyDescent="0.3">
      <c r="A35" s="142"/>
      <c r="B35" s="156"/>
      <c r="C35" s="158"/>
      <c r="D35" s="145" t="str">
        <f>IF(A35="","",A35+'14 Setup'!$B$10)</f>
        <v/>
      </c>
      <c r="E35" s="142"/>
      <c r="F35" s="148" t="str">
        <f>IF(OR(A35="",E35&lt;&gt;""),"",D35-MAX('03 Day log'!$A$8:$A$38,'01 Daily report'!$B$5))</f>
        <v/>
      </c>
      <c r="G35" s="148" t="str">
        <f>IF(A35="","",IF(E35&lt;&gt;"","Sent",IF(MAX('03 Day log'!$A$8:$A$38,'01 Daily report'!$B$5)&gt;D35,"Overdue","Open")))</f>
        <v/>
      </c>
      <c r="H35" s="143"/>
      <c r="I35" s="143"/>
      <c r="J35" s="160" t="str">
        <f>IF(I35="","",IFERROR(INDEX('12 P6 activities'!$B$7:$B$206,MATCH(I35,'12 P6 activities'!$A$7:$A$206,0)),"⚠ not in P6 list"))</f>
        <v/>
      </c>
      <c r="K35" s="160" t="str">
        <f>IF(I35="","",IFERROR(INDEX('12 P6 activities'!$C$7:$C$206,MATCH(I35,'12 P6 activities'!$A$7:$A$206,0)),"⚠ not in P6 list"))</f>
        <v/>
      </c>
      <c r="L35" s="6"/>
      <c r="M35" s="6"/>
      <c r="N35" s="6"/>
      <c r="O35" s="6"/>
      <c r="P35" s="6"/>
      <c r="Q35" s="6"/>
      <c r="R35" s="6"/>
      <c r="S35" s="6"/>
      <c r="T35" s="6"/>
      <c r="U35" s="6"/>
      <c r="V35" s="6"/>
      <c r="W35" s="6"/>
      <c r="X35" s="6"/>
      <c r="Y35" s="6"/>
      <c r="Z35" s="6"/>
    </row>
    <row r="36" spans="1:26" x14ac:dyDescent="0.3">
      <c r="A36" s="142"/>
      <c r="B36" s="156"/>
      <c r="C36" s="158"/>
      <c r="D36" s="145" t="str">
        <f>IF(A36="","",A36+'14 Setup'!$B$10)</f>
        <v/>
      </c>
      <c r="E36" s="142"/>
      <c r="F36" s="148" t="str">
        <f>IF(OR(A36="",E36&lt;&gt;""),"",D36-MAX('03 Day log'!$A$8:$A$38,'01 Daily report'!$B$5))</f>
        <v/>
      </c>
      <c r="G36" s="148" t="str">
        <f>IF(A36="","",IF(E36&lt;&gt;"","Sent",IF(MAX('03 Day log'!$A$8:$A$38,'01 Daily report'!$B$5)&gt;D36,"Overdue","Open")))</f>
        <v/>
      </c>
      <c r="H36" s="143"/>
      <c r="I36" s="143"/>
      <c r="J36" s="160" t="str">
        <f>IF(I36="","",IFERROR(INDEX('12 P6 activities'!$B$7:$B$206,MATCH(I36,'12 P6 activities'!$A$7:$A$206,0)),"⚠ not in P6 list"))</f>
        <v/>
      </c>
      <c r="K36" s="160" t="str">
        <f>IF(I36="","",IFERROR(INDEX('12 P6 activities'!$C$7:$C$206,MATCH(I36,'12 P6 activities'!$A$7:$A$206,0)),"⚠ not in P6 list"))</f>
        <v/>
      </c>
      <c r="L36" s="6"/>
      <c r="M36" s="6"/>
      <c r="N36" s="6"/>
      <c r="O36" s="6"/>
      <c r="P36" s="6"/>
      <c r="Q36" s="6"/>
      <c r="R36" s="6"/>
      <c r="S36" s="6"/>
      <c r="T36" s="6"/>
      <c r="U36" s="6"/>
      <c r="V36" s="6"/>
      <c r="W36" s="6"/>
      <c r="X36" s="6"/>
      <c r="Y36" s="6"/>
      <c r="Z36" s="6"/>
    </row>
    <row r="37" spans="1:26" x14ac:dyDescent="0.3">
      <c r="A37" s="142"/>
      <c r="B37" s="156"/>
      <c r="C37" s="158"/>
      <c r="D37" s="145" t="str">
        <f>IF(A37="","",A37+'14 Setup'!$B$10)</f>
        <v/>
      </c>
      <c r="E37" s="142"/>
      <c r="F37" s="148" t="str">
        <f>IF(OR(A37="",E37&lt;&gt;""),"",D37-MAX('03 Day log'!$A$8:$A$38,'01 Daily report'!$B$5))</f>
        <v/>
      </c>
      <c r="G37" s="148" t="str">
        <f>IF(A37="","",IF(E37&lt;&gt;"","Sent",IF(MAX('03 Day log'!$A$8:$A$38,'01 Daily report'!$B$5)&gt;D37,"Overdue","Open")))</f>
        <v/>
      </c>
      <c r="H37" s="143"/>
      <c r="I37" s="143"/>
      <c r="J37" s="160" t="str">
        <f>IF(I37="","",IFERROR(INDEX('12 P6 activities'!$B$7:$B$206,MATCH(I37,'12 P6 activities'!$A$7:$A$206,0)),"⚠ not in P6 list"))</f>
        <v/>
      </c>
      <c r="K37" s="160" t="str">
        <f>IF(I37="","",IFERROR(INDEX('12 P6 activities'!$C$7:$C$206,MATCH(I37,'12 P6 activities'!$A$7:$A$206,0)),"⚠ not in P6 list"))</f>
        <v/>
      </c>
      <c r="L37" s="6"/>
      <c r="M37" s="6"/>
      <c r="N37" s="6"/>
      <c r="O37" s="6"/>
      <c r="P37" s="6"/>
      <c r="Q37" s="6"/>
      <c r="R37" s="6"/>
      <c r="S37" s="6"/>
      <c r="T37" s="6"/>
      <c r="U37" s="6"/>
      <c r="V37" s="6"/>
      <c r="W37" s="6"/>
      <c r="X37" s="6"/>
      <c r="Y37" s="6"/>
      <c r="Z37" s="6"/>
    </row>
    <row r="38" spans="1:26" x14ac:dyDescent="0.3">
      <c r="A38" s="142"/>
      <c r="B38" s="156"/>
      <c r="C38" s="158"/>
      <c r="D38" s="145" t="str">
        <f>IF(A38="","",A38+'14 Setup'!$B$10)</f>
        <v/>
      </c>
      <c r="E38" s="142"/>
      <c r="F38" s="148" t="str">
        <f>IF(OR(A38="",E38&lt;&gt;""),"",D38-MAX('03 Day log'!$A$8:$A$38,'01 Daily report'!$B$5))</f>
        <v/>
      </c>
      <c r="G38" s="148" t="str">
        <f>IF(A38="","",IF(E38&lt;&gt;"","Sent",IF(MAX('03 Day log'!$A$8:$A$38,'01 Daily report'!$B$5)&gt;D38,"Overdue","Open")))</f>
        <v/>
      </c>
      <c r="H38" s="143"/>
      <c r="I38" s="143"/>
      <c r="J38" s="160" t="str">
        <f>IF(I38="","",IFERROR(INDEX('12 P6 activities'!$B$7:$B$206,MATCH(I38,'12 P6 activities'!$A$7:$A$206,0)),"⚠ not in P6 list"))</f>
        <v/>
      </c>
      <c r="K38" s="160" t="str">
        <f>IF(I38="","",IFERROR(INDEX('12 P6 activities'!$C$7:$C$206,MATCH(I38,'12 P6 activities'!$A$7:$A$206,0)),"⚠ not in P6 list"))</f>
        <v/>
      </c>
      <c r="L38" s="6"/>
      <c r="M38" s="6"/>
      <c r="N38" s="6"/>
      <c r="O38" s="6"/>
      <c r="P38" s="6"/>
      <c r="Q38" s="6"/>
      <c r="R38" s="6"/>
      <c r="S38" s="6"/>
      <c r="T38" s="6"/>
      <c r="U38" s="6"/>
      <c r="V38" s="6"/>
      <c r="W38" s="6"/>
      <c r="X38" s="6"/>
      <c r="Y38" s="6"/>
      <c r="Z38" s="6"/>
    </row>
    <row r="39" spans="1:26" x14ac:dyDescent="0.3">
      <c r="A39" s="142"/>
      <c r="B39" s="156"/>
      <c r="C39" s="158"/>
      <c r="D39" s="145" t="str">
        <f>IF(A39="","",A39+'14 Setup'!$B$10)</f>
        <v/>
      </c>
      <c r="E39" s="142"/>
      <c r="F39" s="148" t="str">
        <f>IF(OR(A39="",E39&lt;&gt;""),"",D39-MAX('03 Day log'!$A$8:$A$38,'01 Daily report'!$B$5))</f>
        <v/>
      </c>
      <c r="G39" s="148" t="str">
        <f>IF(A39="","",IF(E39&lt;&gt;"","Sent",IF(MAX('03 Day log'!$A$8:$A$38,'01 Daily report'!$B$5)&gt;D39,"Overdue","Open")))</f>
        <v/>
      </c>
      <c r="H39" s="143"/>
      <c r="I39" s="143"/>
      <c r="J39" s="160" t="str">
        <f>IF(I39="","",IFERROR(INDEX('12 P6 activities'!$B$7:$B$206,MATCH(I39,'12 P6 activities'!$A$7:$A$206,0)),"⚠ not in P6 list"))</f>
        <v/>
      </c>
      <c r="K39" s="160" t="str">
        <f>IF(I39="","",IFERROR(INDEX('12 P6 activities'!$C$7:$C$206,MATCH(I39,'12 P6 activities'!$A$7:$A$206,0)),"⚠ not in P6 list"))</f>
        <v/>
      </c>
      <c r="L39" s="6"/>
      <c r="M39" s="6"/>
      <c r="N39" s="6"/>
      <c r="O39" s="6"/>
      <c r="P39" s="6"/>
      <c r="Q39" s="6"/>
      <c r="R39" s="6"/>
      <c r="S39" s="6"/>
      <c r="T39" s="6"/>
      <c r="U39" s="6"/>
      <c r="V39" s="6"/>
      <c r="W39" s="6"/>
      <c r="X39" s="6"/>
      <c r="Y39" s="6"/>
      <c r="Z39" s="6"/>
    </row>
    <row r="40" spans="1:26" x14ac:dyDescent="0.3">
      <c r="A40" s="142"/>
      <c r="B40" s="156"/>
      <c r="C40" s="158"/>
      <c r="D40" s="145" t="str">
        <f>IF(A40="","",A40+'14 Setup'!$B$10)</f>
        <v/>
      </c>
      <c r="E40" s="142"/>
      <c r="F40" s="148" t="str">
        <f>IF(OR(A40="",E40&lt;&gt;""),"",D40-MAX('03 Day log'!$A$8:$A$38,'01 Daily report'!$B$5))</f>
        <v/>
      </c>
      <c r="G40" s="148" t="str">
        <f>IF(A40="","",IF(E40&lt;&gt;"","Sent",IF(MAX('03 Day log'!$A$8:$A$38,'01 Daily report'!$B$5)&gt;D40,"Overdue","Open")))</f>
        <v/>
      </c>
      <c r="H40" s="143"/>
      <c r="I40" s="143"/>
      <c r="J40" s="160" t="str">
        <f>IF(I40="","",IFERROR(INDEX('12 P6 activities'!$B$7:$B$206,MATCH(I40,'12 P6 activities'!$A$7:$A$206,0)),"⚠ not in P6 list"))</f>
        <v/>
      </c>
      <c r="K40" s="160" t="str">
        <f>IF(I40="","",IFERROR(INDEX('12 P6 activities'!$C$7:$C$206,MATCH(I40,'12 P6 activities'!$A$7:$A$206,0)),"⚠ not in P6 list"))</f>
        <v/>
      </c>
      <c r="L40" s="6"/>
      <c r="M40" s="6"/>
      <c r="N40" s="6"/>
      <c r="O40" s="6"/>
      <c r="P40" s="6"/>
      <c r="Q40" s="6"/>
      <c r="R40" s="6"/>
      <c r="S40" s="6"/>
      <c r="T40" s="6"/>
      <c r="U40" s="6"/>
      <c r="V40" s="6"/>
      <c r="W40" s="6"/>
      <c r="X40" s="6"/>
      <c r="Y40" s="6"/>
      <c r="Z40" s="6"/>
    </row>
    <row r="41" spans="1:26" x14ac:dyDescent="0.3">
      <c r="A41" s="142"/>
      <c r="B41" s="156"/>
      <c r="C41" s="158"/>
      <c r="D41" s="145" t="str">
        <f>IF(A41="","",A41+'14 Setup'!$B$10)</f>
        <v/>
      </c>
      <c r="E41" s="142"/>
      <c r="F41" s="148" t="str">
        <f>IF(OR(A41="",E41&lt;&gt;""),"",D41-MAX('03 Day log'!$A$8:$A$38,'01 Daily report'!$B$5))</f>
        <v/>
      </c>
      <c r="G41" s="148" t="str">
        <f>IF(A41="","",IF(E41&lt;&gt;"","Sent",IF(MAX('03 Day log'!$A$8:$A$38,'01 Daily report'!$B$5)&gt;D41,"Overdue","Open")))</f>
        <v/>
      </c>
      <c r="H41" s="143"/>
      <c r="I41" s="143"/>
      <c r="J41" s="160" t="str">
        <f>IF(I41="","",IFERROR(INDEX('12 P6 activities'!$B$7:$B$206,MATCH(I41,'12 P6 activities'!$A$7:$A$206,0)),"⚠ not in P6 list"))</f>
        <v/>
      </c>
      <c r="K41" s="160" t="str">
        <f>IF(I41="","",IFERROR(INDEX('12 P6 activities'!$C$7:$C$206,MATCH(I41,'12 P6 activities'!$A$7:$A$206,0)),"⚠ not in P6 list"))</f>
        <v/>
      </c>
      <c r="L41" s="6"/>
      <c r="M41" s="6"/>
      <c r="N41" s="6"/>
      <c r="O41" s="6"/>
      <c r="P41" s="6"/>
      <c r="Q41" s="6"/>
      <c r="R41" s="6"/>
      <c r="S41" s="6"/>
      <c r="T41" s="6"/>
      <c r="U41" s="6"/>
      <c r="V41" s="6"/>
      <c r="W41" s="6"/>
      <c r="X41" s="6"/>
      <c r="Y41" s="6"/>
      <c r="Z41" s="6"/>
    </row>
    <row r="42" spans="1:26" x14ac:dyDescent="0.3">
      <c r="A42" s="142"/>
      <c r="B42" s="156"/>
      <c r="C42" s="158"/>
      <c r="D42" s="145" t="str">
        <f>IF(A42="","",A42+'14 Setup'!$B$10)</f>
        <v/>
      </c>
      <c r="E42" s="142"/>
      <c r="F42" s="148" t="str">
        <f>IF(OR(A42="",E42&lt;&gt;""),"",D42-MAX('03 Day log'!$A$8:$A$38,'01 Daily report'!$B$5))</f>
        <v/>
      </c>
      <c r="G42" s="148" t="str">
        <f>IF(A42="","",IF(E42&lt;&gt;"","Sent",IF(MAX('03 Day log'!$A$8:$A$38,'01 Daily report'!$B$5)&gt;D42,"Overdue","Open")))</f>
        <v/>
      </c>
      <c r="H42" s="143"/>
      <c r="I42" s="143"/>
      <c r="J42" s="160" t="str">
        <f>IF(I42="","",IFERROR(INDEX('12 P6 activities'!$B$7:$B$206,MATCH(I42,'12 P6 activities'!$A$7:$A$206,0)),"⚠ not in P6 list"))</f>
        <v/>
      </c>
      <c r="K42" s="160" t="str">
        <f>IF(I42="","",IFERROR(INDEX('12 P6 activities'!$C$7:$C$206,MATCH(I42,'12 P6 activities'!$A$7:$A$206,0)),"⚠ not in P6 list"))</f>
        <v/>
      </c>
      <c r="L42" s="6"/>
      <c r="M42" s="6"/>
      <c r="N42" s="6"/>
      <c r="O42" s="6"/>
      <c r="P42" s="6"/>
      <c r="Q42" s="6"/>
      <c r="R42" s="6"/>
      <c r="S42" s="6"/>
      <c r="T42" s="6"/>
      <c r="U42" s="6"/>
      <c r="V42" s="6"/>
      <c r="W42" s="6"/>
      <c r="X42" s="6"/>
      <c r="Y42" s="6"/>
      <c r="Z42" s="6"/>
    </row>
    <row r="43" spans="1:26" x14ac:dyDescent="0.3">
      <c r="A43" s="142"/>
      <c r="B43" s="156"/>
      <c r="C43" s="158"/>
      <c r="D43" s="145" t="str">
        <f>IF(A43="","",A43+'14 Setup'!$B$10)</f>
        <v/>
      </c>
      <c r="E43" s="142"/>
      <c r="F43" s="148" t="str">
        <f>IF(OR(A43="",E43&lt;&gt;""),"",D43-MAX('03 Day log'!$A$8:$A$38,'01 Daily report'!$B$5))</f>
        <v/>
      </c>
      <c r="G43" s="148" t="str">
        <f>IF(A43="","",IF(E43&lt;&gt;"","Sent",IF(MAX('03 Day log'!$A$8:$A$38,'01 Daily report'!$B$5)&gt;D43,"Overdue","Open")))</f>
        <v/>
      </c>
      <c r="H43" s="143"/>
      <c r="I43" s="143"/>
      <c r="J43" s="160" t="str">
        <f>IF(I43="","",IFERROR(INDEX('12 P6 activities'!$B$7:$B$206,MATCH(I43,'12 P6 activities'!$A$7:$A$206,0)),"⚠ not in P6 list"))</f>
        <v/>
      </c>
      <c r="K43" s="160" t="str">
        <f>IF(I43="","",IFERROR(INDEX('12 P6 activities'!$C$7:$C$206,MATCH(I43,'12 P6 activities'!$A$7:$A$206,0)),"⚠ not in P6 list"))</f>
        <v/>
      </c>
      <c r="L43" s="6"/>
      <c r="M43" s="6"/>
      <c r="N43" s="6"/>
      <c r="O43" s="6"/>
      <c r="P43" s="6"/>
      <c r="Q43" s="6"/>
      <c r="R43" s="6"/>
      <c r="S43" s="6"/>
      <c r="T43" s="6"/>
      <c r="U43" s="6"/>
      <c r="V43" s="6"/>
      <c r="W43" s="6"/>
      <c r="X43" s="6"/>
      <c r="Y43" s="6"/>
      <c r="Z43" s="6"/>
    </row>
    <row r="44" spans="1:26" x14ac:dyDescent="0.3">
      <c r="A44" s="142"/>
      <c r="B44" s="156"/>
      <c r="C44" s="158"/>
      <c r="D44" s="145" t="str">
        <f>IF(A44="","",A44+'14 Setup'!$B$10)</f>
        <v/>
      </c>
      <c r="E44" s="142"/>
      <c r="F44" s="148" t="str">
        <f>IF(OR(A44="",E44&lt;&gt;""),"",D44-MAX('03 Day log'!$A$8:$A$38,'01 Daily report'!$B$5))</f>
        <v/>
      </c>
      <c r="G44" s="148" t="str">
        <f>IF(A44="","",IF(E44&lt;&gt;"","Sent",IF(MAX('03 Day log'!$A$8:$A$38,'01 Daily report'!$B$5)&gt;D44,"Overdue","Open")))</f>
        <v/>
      </c>
      <c r="H44" s="143"/>
      <c r="I44" s="143"/>
      <c r="J44" s="160" t="str">
        <f>IF(I44="","",IFERROR(INDEX('12 P6 activities'!$B$7:$B$206,MATCH(I44,'12 P6 activities'!$A$7:$A$206,0)),"⚠ not in P6 list"))</f>
        <v/>
      </c>
      <c r="K44" s="160" t="str">
        <f>IF(I44="","",IFERROR(INDEX('12 P6 activities'!$C$7:$C$206,MATCH(I44,'12 P6 activities'!$A$7:$A$206,0)),"⚠ not in P6 list"))</f>
        <v/>
      </c>
      <c r="L44" s="6"/>
      <c r="M44" s="6"/>
      <c r="N44" s="6"/>
      <c r="O44" s="6"/>
      <c r="P44" s="6"/>
      <c r="Q44" s="6"/>
      <c r="R44" s="6"/>
      <c r="S44" s="6"/>
      <c r="T44" s="6"/>
      <c r="U44" s="6"/>
      <c r="V44" s="6"/>
      <c r="W44" s="6"/>
      <c r="X44" s="6"/>
      <c r="Y44" s="6"/>
      <c r="Z44" s="6"/>
    </row>
    <row r="45" spans="1:26" x14ac:dyDescent="0.3">
      <c r="A45" s="142"/>
      <c r="B45" s="156"/>
      <c r="C45" s="158"/>
      <c r="D45" s="145" t="str">
        <f>IF(A45="","",A45+'14 Setup'!$B$10)</f>
        <v/>
      </c>
      <c r="E45" s="142"/>
      <c r="F45" s="148" t="str">
        <f>IF(OR(A45="",E45&lt;&gt;""),"",D45-MAX('03 Day log'!$A$8:$A$38,'01 Daily report'!$B$5))</f>
        <v/>
      </c>
      <c r="G45" s="148" t="str">
        <f>IF(A45="","",IF(E45&lt;&gt;"","Sent",IF(MAX('03 Day log'!$A$8:$A$38,'01 Daily report'!$B$5)&gt;D45,"Overdue","Open")))</f>
        <v/>
      </c>
      <c r="H45" s="143"/>
      <c r="I45" s="143"/>
      <c r="J45" s="160" t="str">
        <f>IF(I45="","",IFERROR(INDEX('12 P6 activities'!$B$7:$B$206,MATCH(I45,'12 P6 activities'!$A$7:$A$206,0)),"⚠ not in P6 list"))</f>
        <v/>
      </c>
      <c r="K45" s="160" t="str">
        <f>IF(I45="","",IFERROR(INDEX('12 P6 activities'!$C$7:$C$206,MATCH(I45,'12 P6 activities'!$A$7:$A$206,0)),"⚠ not in P6 list"))</f>
        <v/>
      </c>
      <c r="L45" s="6"/>
      <c r="M45" s="6"/>
      <c r="N45" s="6"/>
      <c r="O45" s="6"/>
      <c r="P45" s="6"/>
      <c r="Q45" s="6"/>
      <c r="R45" s="6"/>
      <c r="S45" s="6"/>
      <c r="T45" s="6"/>
      <c r="U45" s="6"/>
      <c r="V45" s="6"/>
      <c r="W45" s="6"/>
      <c r="X45" s="6"/>
      <c r="Y45" s="6"/>
      <c r="Z45" s="6"/>
    </row>
    <row r="46" spans="1:26" x14ac:dyDescent="0.3">
      <c r="A46" s="142"/>
      <c r="B46" s="156"/>
      <c r="C46" s="158"/>
      <c r="D46" s="145" t="str">
        <f>IF(A46="","",A46+'14 Setup'!$B$10)</f>
        <v/>
      </c>
      <c r="E46" s="142"/>
      <c r="F46" s="148" t="str">
        <f>IF(OR(A46="",E46&lt;&gt;""),"",D46-MAX('03 Day log'!$A$8:$A$38,'01 Daily report'!$B$5))</f>
        <v/>
      </c>
      <c r="G46" s="148" t="str">
        <f>IF(A46="","",IF(E46&lt;&gt;"","Sent",IF(MAX('03 Day log'!$A$8:$A$38,'01 Daily report'!$B$5)&gt;D46,"Overdue","Open")))</f>
        <v/>
      </c>
      <c r="H46" s="143"/>
      <c r="I46" s="143"/>
      <c r="J46" s="160" t="str">
        <f>IF(I46="","",IFERROR(INDEX('12 P6 activities'!$B$7:$B$206,MATCH(I46,'12 P6 activities'!$A$7:$A$206,0)),"⚠ not in P6 list"))</f>
        <v/>
      </c>
      <c r="K46" s="160" t="str">
        <f>IF(I46="","",IFERROR(INDEX('12 P6 activities'!$C$7:$C$206,MATCH(I46,'12 P6 activities'!$A$7:$A$206,0)),"⚠ not in P6 list"))</f>
        <v/>
      </c>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J7:J46">
    <cfRule type="containsText" dxfId="6" priority="1" operator="containsText" text="not in P6">
      <formula>NOT(ISERROR(SEARCH("not in P6",J7)))</formula>
    </cfRule>
  </conditionalFormatting>
  <conditionalFormatting sqref="K7:K46">
    <cfRule type="containsText" dxfId="5" priority="2" operator="containsText" text="not in P6">
      <formula>NOT(ISERROR(SEARCH("not in P6",K7)))</formula>
    </cfRule>
  </conditionalFormatting>
  <dataValidations count="1">
    <dataValidation type="date" allowBlank="1" showInputMessage="1" showErrorMessage="1" errorTitle="Date" error="Enter a date, e.g. 3/3/2026." sqref="A7:A46 E7:E46" xr:uid="{AE86F4E5-3568-4D9C-A4ED-D1F8983C75E0}">
      <formula1>43831</formula1>
      <formula2>51501</formula2>
    </dataValidation>
  </dataValidations>
  <printOptions horizontalCentered="1"/>
  <pageMargins left="0.4" right="0.4" top="0.5" bottom="0.5" header="0.5" footer="0.5"/>
  <pageSetup paperSize="9" scale="72" orientation="landscape" r:id="rId1"/>
  <headerFooter>
    <oddHeader>&amp;R&amp;BThe Project Control Hub</oddHeader>
    <oddFooter>&amp;L&amp;8The Project Control Hub · &amp;A&amp;R&amp;8Page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errorTitle="Pick from the list" error="Choose a value from the drop-down. To add a new one, add it to the list on Setup first." xr:uid="{685147DC-0DD7-4116-997B-B73F9FD88257}">
          <x14:formula1>
            <xm:f>'14 Setup'!$H$12:$H$26</xm:f>
          </x14:formula1>
          <xm:sqref>H7:H46</xm:sqref>
        </x14:dataValidation>
        <x14:dataValidation type="list" allowBlank="1" showInputMessage="1" showErrorMessage="1" xr:uid="{C562B034-6FB4-4E1E-9040-7D336A5B8DFA}">
          <x14:formula1>
            <xm:f>'12 P6 activities'!$A$7:$A$206</xm:f>
          </x14:formula1>
          <xm:sqref>I7:I46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B6CE-84B3-4096-86CC-D63D4FA83F20}">
  <sheetPr>
    <tabColor rgb="FF64748B"/>
    <pageSetUpPr fitToPage="1"/>
  </sheetPr>
  <dimension ref="A1:AJ1000"/>
  <sheetViews>
    <sheetView showGridLines="0" zoomScale="70" zoomScaleNormal="70" workbookViewId="0">
      <pane ySplit="6" topLeftCell="A7" activePane="bottomLeft" state="frozen"/>
      <selection pane="bottomLeft" activeCell="A7" sqref="A7:P15"/>
    </sheetView>
  </sheetViews>
  <sheetFormatPr defaultRowHeight="14.4" x14ac:dyDescent="0.3"/>
  <cols>
    <col min="1" max="1" width="16.6640625" customWidth="1"/>
    <col min="2" max="2" width="40.77734375" customWidth="1"/>
    <col min="3" max="3" width="20.33203125" customWidth="1"/>
    <col min="4" max="4" width="27.77734375" customWidth="1"/>
    <col min="5" max="5" width="11.109375" customWidth="1"/>
    <col min="6" max="6" width="14.77734375" customWidth="1"/>
    <col min="7" max="7" width="15.77734375" customWidth="1"/>
    <col min="8" max="8" width="13.88671875" customWidth="1"/>
    <col min="9" max="10" width="14.77734375" customWidth="1"/>
    <col min="11" max="11" width="15.77734375" customWidth="1"/>
    <col min="12" max="13" width="14.77734375" customWidth="1"/>
    <col min="14" max="14" width="16.6640625" customWidth="1"/>
    <col min="15" max="15" width="15.77734375" customWidth="1"/>
    <col min="16" max="16" width="37" customWidth="1"/>
    <col min="17" max="17" width="10" customWidth="1"/>
    <col min="18" max="18" width="16" customWidth="1"/>
  </cols>
  <sheetData>
    <row r="1" spans="1:36" ht="28.05" customHeight="1" x14ac:dyDescent="0.4">
      <c r="A1" s="112" t="s">
        <v>269</v>
      </c>
      <c r="B1" s="6"/>
      <c r="C1" s="6"/>
      <c r="D1" s="6"/>
      <c r="E1" s="6"/>
      <c r="F1" s="6"/>
      <c r="G1" s="6"/>
      <c r="H1" s="6"/>
      <c r="I1" s="6"/>
      <c r="J1" s="6"/>
      <c r="K1" s="6"/>
      <c r="L1" s="6"/>
      <c r="M1" s="6"/>
      <c r="N1" s="6"/>
      <c r="O1" s="6"/>
      <c r="P1" s="177" t="s">
        <v>32</v>
      </c>
      <c r="Q1" s="6"/>
      <c r="R1" s="6"/>
      <c r="S1" s="6"/>
      <c r="T1" s="6"/>
      <c r="U1" s="6"/>
      <c r="V1" s="6"/>
      <c r="W1" s="6"/>
      <c r="X1" s="6"/>
      <c r="Y1" s="6"/>
      <c r="Z1" s="6"/>
      <c r="AA1" s="6"/>
      <c r="AB1" s="6"/>
      <c r="AC1" s="6"/>
      <c r="AD1" s="6"/>
      <c r="AE1" s="6"/>
      <c r="AF1" s="6"/>
      <c r="AG1" s="6"/>
      <c r="AH1" s="6"/>
      <c r="AI1" s="6"/>
      <c r="AJ1" s="6"/>
    </row>
    <row r="2" spans="1:36" x14ac:dyDescent="0.3">
      <c r="A2" s="114" t="s">
        <v>270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x14ac:dyDescent="0.3">
      <c r="A3" s="115" t="s">
        <v>418</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row>
    <row r="4" spans="1:36" ht="15" thickBot="1" x14ac:dyDescent="0.35">
      <c r="A4" s="116"/>
      <c r="B4" s="116"/>
      <c r="C4" s="116"/>
      <c r="D4" s="116"/>
      <c r="E4" s="116"/>
      <c r="F4" s="116"/>
      <c r="G4" s="116"/>
      <c r="H4" s="116"/>
      <c r="I4" s="116"/>
      <c r="J4" s="116"/>
      <c r="K4" s="116"/>
      <c r="L4" s="116"/>
      <c r="M4" s="116"/>
      <c r="N4" s="116"/>
      <c r="O4" s="116"/>
      <c r="P4" s="116"/>
      <c r="Q4" s="116"/>
      <c r="R4" s="116"/>
      <c r="S4" s="6"/>
      <c r="T4" s="6"/>
      <c r="U4" s="6"/>
      <c r="V4" s="6"/>
      <c r="W4" s="6"/>
      <c r="X4" s="6"/>
      <c r="Y4" s="6"/>
      <c r="Z4" s="6"/>
      <c r="AA4" s="6"/>
      <c r="AB4" s="6"/>
      <c r="AC4" s="6"/>
      <c r="AD4" s="6"/>
      <c r="AE4" s="6"/>
      <c r="AF4" s="6"/>
      <c r="AG4" s="6"/>
      <c r="AH4" s="6"/>
      <c r="AI4" s="6"/>
      <c r="AJ4" s="6"/>
    </row>
    <row r="5" spans="1:36"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6" ht="42" customHeight="1" x14ac:dyDescent="0.3">
      <c r="A6" s="141" t="s">
        <v>271</v>
      </c>
      <c r="B6" s="141" t="s">
        <v>272</v>
      </c>
      <c r="C6" s="141" t="s">
        <v>273</v>
      </c>
      <c r="D6" s="141" t="s">
        <v>101</v>
      </c>
      <c r="E6" s="141" t="s">
        <v>103</v>
      </c>
      <c r="F6" s="141" t="s">
        <v>411</v>
      </c>
      <c r="G6" s="141" t="s">
        <v>412</v>
      </c>
      <c r="H6" s="141" t="s">
        <v>334</v>
      </c>
      <c r="I6" s="141" t="s">
        <v>413</v>
      </c>
      <c r="J6" s="141" t="s">
        <v>414</v>
      </c>
      <c r="K6" s="141" t="s">
        <v>335</v>
      </c>
      <c r="L6" s="141" t="s">
        <v>415</v>
      </c>
      <c r="M6" s="141" t="s">
        <v>342</v>
      </c>
      <c r="N6" s="141" t="s">
        <v>416</v>
      </c>
      <c r="O6" s="141" t="s">
        <v>417</v>
      </c>
      <c r="P6" s="141" t="s">
        <v>274</v>
      </c>
      <c r="Q6" s="6"/>
      <c r="R6" s="6"/>
      <c r="S6" s="6"/>
      <c r="T6" s="6"/>
      <c r="U6" s="6"/>
      <c r="V6" s="6"/>
      <c r="W6" s="6"/>
      <c r="X6" s="6"/>
      <c r="Y6" s="6"/>
      <c r="Z6" s="6"/>
      <c r="AA6" s="6"/>
      <c r="AB6" s="6"/>
      <c r="AC6" s="6"/>
      <c r="AD6" s="6"/>
      <c r="AE6" s="6"/>
      <c r="AF6" s="6"/>
      <c r="AG6" s="6"/>
      <c r="AH6" s="6"/>
      <c r="AI6" s="6"/>
      <c r="AJ6" s="6"/>
    </row>
    <row r="7" spans="1:36" ht="18" customHeight="1" x14ac:dyDescent="0.3">
      <c r="A7" s="161" t="s">
        <v>275</v>
      </c>
      <c r="B7" s="161" t="s">
        <v>106</v>
      </c>
      <c r="C7" s="161" t="s">
        <v>276</v>
      </c>
      <c r="D7" s="161" t="s">
        <v>227</v>
      </c>
      <c r="E7" s="161" t="s">
        <v>107</v>
      </c>
      <c r="F7" s="267">
        <v>40</v>
      </c>
      <c r="G7" s="268">
        <v>1000</v>
      </c>
      <c r="H7" s="269">
        <f>IF($A7="","",SUMIFS('05 Work done log'!$F$7:$F$506,'05 Work done log'!$B$7:$B$506,$A7))</f>
        <v>2</v>
      </c>
      <c r="I7" s="270">
        <f>IF(OR($A7="",N($F7)=0),"",$H7/$F7)</f>
        <v>0.05</v>
      </c>
      <c r="J7" s="269">
        <f>IF(OR($A7="",N($F7)=0),"",$F7-$H7)</f>
        <v>38</v>
      </c>
      <c r="K7" s="271">
        <f>IF($A7="","",SUMIFS('04 Resource log'!$J$7:$J$506,'04 Resource log'!$B$7:$B$506,$A7,'04 Resource log'!$E$7:$E$506,"Labour"))</f>
        <v>54</v>
      </c>
      <c r="L7" s="270">
        <f>IF(OR($A7="",N($G7)=0),"",$K7/$G7)</f>
        <v>5.3999999999999999E-2</v>
      </c>
      <c r="M7" s="271">
        <f>IF(OR($A7="",N($F7)=0,N($G7)=0),"",$I7*$G7)</f>
        <v>50</v>
      </c>
      <c r="N7" s="272">
        <f>IF(OR($M7="",N($K7)=0),"",$M7/$K7)</f>
        <v>0.92592592592592593</v>
      </c>
      <c r="O7" s="273">
        <f>IF($A7="","",IFERROR(1/(1/_xlfn.MAXIFS('05 Work done log'!$A$7:$A$506,'05 Work done log'!$B$7:$B$506,$A7)),"not yet"))</f>
        <v>46084</v>
      </c>
      <c r="P7" s="161"/>
      <c r="Q7" s="6"/>
      <c r="R7" s="6"/>
      <c r="S7" s="6"/>
      <c r="T7" s="6"/>
      <c r="U7" s="6"/>
      <c r="V7" s="6"/>
      <c r="W7" s="6"/>
      <c r="X7" s="6"/>
      <c r="Y7" s="6"/>
      <c r="Z7" s="6"/>
      <c r="AA7" s="6"/>
      <c r="AB7" s="6"/>
      <c r="AC7" s="6"/>
      <c r="AD7" s="6"/>
      <c r="AE7" s="6"/>
      <c r="AF7" s="6"/>
      <c r="AG7" s="6"/>
      <c r="AH7" s="6"/>
      <c r="AI7" s="6"/>
      <c r="AJ7" s="6"/>
    </row>
    <row r="8" spans="1:36" ht="18" customHeight="1" x14ac:dyDescent="0.3">
      <c r="A8" s="161" t="s">
        <v>277</v>
      </c>
      <c r="B8" s="161" t="s">
        <v>278</v>
      </c>
      <c r="C8" s="161" t="s">
        <v>276</v>
      </c>
      <c r="D8" s="161" t="s">
        <v>228</v>
      </c>
      <c r="E8" s="161" t="s">
        <v>107</v>
      </c>
      <c r="F8" s="267">
        <v>40</v>
      </c>
      <c r="G8" s="268">
        <v>1000</v>
      </c>
      <c r="H8" s="269">
        <f>IF($A8="","",SUMIFS('05 Work done log'!$F$7:$F$506,'05 Work done log'!$B$7:$B$506,$A8))</f>
        <v>0</v>
      </c>
      <c r="I8" s="270">
        <f>IF(OR($A8="",N($F8)=0),"",$H8/$F8)</f>
        <v>0</v>
      </c>
      <c r="J8" s="269">
        <f>IF(OR($A8="",N($F8)=0),"",$F8-$H8)</f>
        <v>40</v>
      </c>
      <c r="K8" s="271">
        <f>IF($A8="","",SUMIFS('04 Resource log'!$J$7:$J$506,'04 Resource log'!$B$7:$B$506,$A8,'04 Resource log'!$E$7:$E$506,"Labour"))</f>
        <v>0</v>
      </c>
      <c r="L8" s="270">
        <f>IF(OR($A8="",N($G8)=0),"",$K8/$G8)</f>
        <v>0</v>
      </c>
      <c r="M8" s="271">
        <f>IF(OR($A8="",N($F8)=0,N($G8)=0),"",$I8*$G8)</f>
        <v>0</v>
      </c>
      <c r="N8" s="272" t="str">
        <f>IF(OR($M8="",N($K8)=0),"",$M8/$K8)</f>
        <v/>
      </c>
      <c r="O8" s="273" t="str">
        <f>IF($A8="","",IFERROR(1/(1/_xlfn.MAXIFS('05 Work done log'!$A$7:$A$506,'05 Work done log'!$B$7:$B$506,$A8)),"not yet"))</f>
        <v>not yet</v>
      </c>
      <c r="P8" s="161"/>
      <c r="Q8" s="6"/>
      <c r="R8" s="6"/>
      <c r="S8" s="6"/>
      <c r="T8" s="6"/>
      <c r="U8" s="6"/>
      <c r="V8" s="6"/>
      <c r="W8" s="6"/>
      <c r="X8" s="6"/>
      <c r="Y8" s="6"/>
      <c r="Z8" s="6"/>
      <c r="AA8" s="6"/>
      <c r="AB8" s="6"/>
      <c r="AC8" s="6"/>
      <c r="AD8" s="6"/>
      <c r="AE8" s="6"/>
      <c r="AF8" s="6"/>
      <c r="AG8" s="6"/>
      <c r="AH8" s="6"/>
      <c r="AI8" s="6"/>
      <c r="AJ8" s="6"/>
    </row>
    <row r="9" spans="1:36" ht="18" customHeight="1" x14ac:dyDescent="0.3">
      <c r="A9" s="161" t="s">
        <v>279</v>
      </c>
      <c r="B9" s="161" t="s">
        <v>280</v>
      </c>
      <c r="C9" s="161" t="s">
        <v>281</v>
      </c>
      <c r="D9" s="161" t="s">
        <v>229</v>
      </c>
      <c r="E9" s="161" t="s">
        <v>108</v>
      </c>
      <c r="F9" s="267">
        <v>60</v>
      </c>
      <c r="G9" s="268">
        <v>900</v>
      </c>
      <c r="H9" s="269">
        <f>IF($A9="","",SUMIFS('05 Work done log'!$F$7:$F$506,'05 Work done log'!$B$7:$B$506,$A9))</f>
        <v>3.5</v>
      </c>
      <c r="I9" s="270">
        <f>IF(OR($A9="",N($F9)=0),"",$H9/$F9)</f>
        <v>5.8333333333333334E-2</v>
      </c>
      <c r="J9" s="269">
        <f>IF(OR($A9="",N($F9)=0),"",$F9-$H9)</f>
        <v>56.5</v>
      </c>
      <c r="K9" s="271">
        <f>IF($A9="","",SUMIFS('04 Resource log'!$J$7:$J$506,'04 Resource log'!$B$7:$B$506,$A9,'04 Resource log'!$E$7:$E$506,"Labour"))</f>
        <v>72</v>
      </c>
      <c r="L9" s="270">
        <f>IF(OR($A9="",N($G9)=0),"",$K9/$G9)</f>
        <v>0.08</v>
      </c>
      <c r="M9" s="271">
        <f>IF(OR($A9="",N($F9)=0,N($G9)=0),"",$I9*$G9)</f>
        <v>52.5</v>
      </c>
      <c r="N9" s="272">
        <f>IF(OR($M9="",N($K9)=0),"",$M9/$K9)</f>
        <v>0.72916666666666663</v>
      </c>
      <c r="O9" s="273">
        <f>IF($A9="","",IFERROR(1/(1/_xlfn.MAXIFS('05 Work done log'!$A$7:$A$506,'05 Work done log'!$B$7:$B$506,$A9)),"not yet"))</f>
        <v>46084</v>
      </c>
      <c r="P9" s="161"/>
      <c r="Q9" s="6"/>
      <c r="R9" s="6"/>
      <c r="S9" s="6"/>
      <c r="T9" s="6"/>
      <c r="U9" s="6"/>
      <c r="V9" s="6"/>
      <c r="W9" s="6"/>
      <c r="X9" s="6"/>
      <c r="Y9" s="6"/>
      <c r="Z9" s="6"/>
      <c r="AA9" s="6"/>
      <c r="AB9" s="6"/>
      <c r="AC9" s="6"/>
      <c r="AD9" s="6"/>
      <c r="AE9" s="6"/>
      <c r="AF9" s="6"/>
      <c r="AG9" s="6"/>
      <c r="AH9" s="6"/>
      <c r="AI9" s="6"/>
      <c r="AJ9" s="6"/>
    </row>
    <row r="10" spans="1:36" ht="18" customHeight="1" x14ac:dyDescent="0.3">
      <c r="A10" s="161" t="s">
        <v>282</v>
      </c>
      <c r="B10" s="161" t="s">
        <v>283</v>
      </c>
      <c r="C10" s="161" t="s">
        <v>281</v>
      </c>
      <c r="D10" s="161" t="s">
        <v>230</v>
      </c>
      <c r="E10" s="161" t="s">
        <v>108</v>
      </c>
      <c r="F10" s="267">
        <v>60</v>
      </c>
      <c r="G10" s="268">
        <v>900</v>
      </c>
      <c r="H10" s="269">
        <f>IF($A10="","",SUMIFS('05 Work done log'!$F$7:$F$506,'05 Work done log'!$B$7:$B$506,$A10))</f>
        <v>0</v>
      </c>
      <c r="I10" s="270">
        <f>IF(OR($A10="",N($F10)=0),"",$H10/$F10)</f>
        <v>0</v>
      </c>
      <c r="J10" s="269">
        <f>IF(OR($A10="",N($F10)=0),"",$F10-$H10)</f>
        <v>60</v>
      </c>
      <c r="K10" s="271">
        <f>IF($A10="","",SUMIFS('04 Resource log'!$J$7:$J$506,'04 Resource log'!$B$7:$B$506,$A10,'04 Resource log'!$E$7:$E$506,"Labour"))</f>
        <v>0</v>
      </c>
      <c r="L10" s="270">
        <f>IF(OR($A10="",N($G10)=0),"",$K10/$G10)</f>
        <v>0</v>
      </c>
      <c r="M10" s="271">
        <f>IF(OR($A10="",N($F10)=0,N($G10)=0),"",$I10*$G10)</f>
        <v>0</v>
      </c>
      <c r="N10" s="272" t="str">
        <f>IF(OR($M10="",N($K10)=0),"",$M10/$K10)</f>
        <v/>
      </c>
      <c r="O10" s="273" t="str">
        <f>IF($A10="","",IFERROR(1/(1/_xlfn.MAXIFS('05 Work done log'!$A$7:$A$506,'05 Work done log'!$B$7:$B$506,$A10)),"not yet"))</f>
        <v>not yet</v>
      </c>
      <c r="P10" s="161"/>
      <c r="Q10" s="6"/>
      <c r="R10" s="6"/>
      <c r="S10" s="6"/>
      <c r="T10" s="6"/>
      <c r="U10" s="6"/>
      <c r="V10" s="6"/>
      <c r="W10" s="6"/>
      <c r="X10" s="6"/>
      <c r="Y10" s="6"/>
      <c r="Z10" s="6"/>
      <c r="AA10" s="6"/>
      <c r="AB10" s="6"/>
      <c r="AC10" s="6"/>
      <c r="AD10" s="6"/>
      <c r="AE10" s="6"/>
      <c r="AF10" s="6"/>
      <c r="AG10" s="6"/>
      <c r="AH10" s="6"/>
      <c r="AI10" s="6"/>
      <c r="AJ10" s="6"/>
    </row>
    <row r="11" spans="1:36" ht="18" customHeight="1" x14ac:dyDescent="0.3">
      <c r="A11" s="161" t="s">
        <v>284</v>
      </c>
      <c r="B11" s="161" t="s">
        <v>110</v>
      </c>
      <c r="C11" s="161" t="s">
        <v>285</v>
      </c>
      <c r="D11" s="161" t="s">
        <v>299</v>
      </c>
      <c r="E11" s="161" t="s">
        <v>111</v>
      </c>
      <c r="F11" s="267">
        <v>150</v>
      </c>
      <c r="G11" s="268">
        <v>300</v>
      </c>
      <c r="H11" s="269">
        <f>IF($A11="","",SUMIFS('05 Work done log'!$F$7:$F$506,'05 Work done log'!$B$7:$B$506,$A11))</f>
        <v>38</v>
      </c>
      <c r="I11" s="270">
        <f>IF(OR($A11="",N($F11)=0),"",$H11/$F11)</f>
        <v>0.25333333333333335</v>
      </c>
      <c r="J11" s="269">
        <f>IF(OR($A11="",N($F11)=0),"",$F11-$H11)</f>
        <v>112</v>
      </c>
      <c r="K11" s="271">
        <f>IF($A11="","",SUMIFS('04 Resource log'!$J$7:$J$506,'04 Resource log'!$B$7:$B$506,$A11,'04 Resource log'!$E$7:$E$506,"Labour"))</f>
        <v>54</v>
      </c>
      <c r="L11" s="270">
        <f>IF(OR($A11="",N($G11)=0),"",$K11/$G11)</f>
        <v>0.18</v>
      </c>
      <c r="M11" s="271">
        <f>IF(OR($A11="",N($F11)=0,N($G11)=0),"",$I11*$G11)</f>
        <v>76</v>
      </c>
      <c r="N11" s="272">
        <f>IF(OR($M11="",N($K11)=0),"",$M11/$K11)</f>
        <v>1.4074074074074074</v>
      </c>
      <c r="O11" s="273">
        <f>IF($A11="","",IFERROR(1/(1/_xlfn.MAXIFS('05 Work done log'!$A$7:$A$506,'05 Work done log'!$B$7:$B$506,$A11)),"not yet"))</f>
        <v>46084</v>
      </c>
      <c r="P11" s="161"/>
      <c r="Q11" s="6"/>
      <c r="R11" s="6"/>
      <c r="S11" s="6"/>
      <c r="T11" s="6"/>
      <c r="U11" s="6"/>
      <c r="V11" s="6"/>
      <c r="W11" s="6"/>
      <c r="X11" s="6"/>
      <c r="Y11" s="6"/>
      <c r="Z11" s="6"/>
      <c r="AA11" s="6"/>
      <c r="AB11" s="6"/>
      <c r="AC11" s="6"/>
      <c r="AD11" s="6"/>
      <c r="AE11" s="6"/>
      <c r="AF11" s="6"/>
      <c r="AG11" s="6"/>
      <c r="AH11" s="6"/>
      <c r="AI11" s="6"/>
      <c r="AJ11" s="6"/>
    </row>
    <row r="12" spans="1:36" ht="18" customHeight="1" x14ac:dyDescent="0.3">
      <c r="A12" s="161" t="s">
        <v>286</v>
      </c>
      <c r="B12" s="161" t="s">
        <v>112</v>
      </c>
      <c r="C12" s="161" t="s">
        <v>287</v>
      </c>
      <c r="D12" s="161" t="s">
        <v>113</v>
      </c>
      <c r="E12" s="161" t="s">
        <v>114</v>
      </c>
      <c r="F12" s="267">
        <v>120</v>
      </c>
      <c r="G12" s="268">
        <v>240</v>
      </c>
      <c r="H12" s="269">
        <f>IF($A12="","",SUMIFS('05 Work done log'!$F$7:$F$506,'05 Work done log'!$B$7:$B$506,$A12))</f>
        <v>24</v>
      </c>
      <c r="I12" s="270">
        <f>IF(OR($A12="",N($F12)=0),"",$H12/$F12)</f>
        <v>0.2</v>
      </c>
      <c r="J12" s="269">
        <f>IF(OR($A12="",N($F12)=0),"",$F12-$H12)</f>
        <v>96</v>
      </c>
      <c r="K12" s="271">
        <f>IF($A12="","",SUMIFS('04 Resource log'!$J$7:$J$506,'04 Resource log'!$B$7:$B$506,$A12,'04 Resource log'!$E$7:$E$506,"Labour"))</f>
        <v>45</v>
      </c>
      <c r="L12" s="270">
        <f>IF(OR($A12="",N($G12)=0),"",$K12/$G12)</f>
        <v>0.1875</v>
      </c>
      <c r="M12" s="271">
        <f>IF(OR($A12="",N($F12)=0,N($G12)=0),"",$I12*$G12)</f>
        <v>48</v>
      </c>
      <c r="N12" s="272">
        <f>IF(OR($M12="",N($K12)=0),"",$M12/$K12)</f>
        <v>1.0666666666666667</v>
      </c>
      <c r="O12" s="273">
        <f>IF($A12="","",IFERROR(1/(1/_xlfn.MAXIFS('05 Work done log'!$A$7:$A$506,'05 Work done log'!$B$7:$B$506,$A12)),"not yet"))</f>
        <v>46084</v>
      </c>
      <c r="P12" s="161"/>
      <c r="Q12" s="6"/>
      <c r="R12" s="6"/>
      <c r="S12" s="6"/>
      <c r="T12" s="6"/>
      <c r="U12" s="6"/>
      <c r="V12" s="6"/>
      <c r="W12" s="6"/>
      <c r="X12" s="6"/>
      <c r="Y12" s="6"/>
      <c r="Z12" s="6"/>
      <c r="AA12" s="6"/>
      <c r="AB12" s="6"/>
      <c r="AC12" s="6"/>
      <c r="AD12" s="6"/>
      <c r="AE12" s="6"/>
      <c r="AF12" s="6"/>
      <c r="AG12" s="6"/>
      <c r="AH12" s="6"/>
      <c r="AI12" s="6"/>
      <c r="AJ12" s="6"/>
    </row>
    <row r="13" spans="1:36" ht="18" customHeight="1" x14ac:dyDescent="0.3">
      <c r="A13" s="161" t="s">
        <v>288</v>
      </c>
      <c r="B13" s="161" t="s">
        <v>289</v>
      </c>
      <c r="C13" s="161" t="s">
        <v>287</v>
      </c>
      <c r="D13" s="161" t="s">
        <v>113</v>
      </c>
      <c r="E13" s="161" t="s">
        <v>114</v>
      </c>
      <c r="F13" s="267">
        <v>100</v>
      </c>
      <c r="G13" s="268">
        <v>200</v>
      </c>
      <c r="H13" s="269">
        <f>IF($A13="","",SUMIFS('05 Work done log'!$F$7:$F$506,'05 Work done log'!$B$7:$B$506,$A13))</f>
        <v>0</v>
      </c>
      <c r="I13" s="270">
        <f>IF(OR($A13="",N($F13)=0),"",$H13/$F13)</f>
        <v>0</v>
      </c>
      <c r="J13" s="269">
        <f>IF(OR($A13="",N($F13)=0),"",$F13-$H13)</f>
        <v>100</v>
      </c>
      <c r="K13" s="271">
        <f>IF($A13="","",SUMIFS('04 Resource log'!$J$7:$J$506,'04 Resource log'!$B$7:$B$506,$A13,'04 Resource log'!$E$7:$E$506,"Labour"))</f>
        <v>0</v>
      </c>
      <c r="L13" s="270">
        <f>IF(OR($A13="",N($G13)=0),"",$K13/$G13)</f>
        <v>0</v>
      </c>
      <c r="M13" s="271">
        <f>IF(OR($A13="",N($F13)=0,N($G13)=0),"",$I13*$G13)</f>
        <v>0</v>
      </c>
      <c r="N13" s="272" t="str">
        <f>IF(OR($M13="",N($K13)=0),"",$M13/$K13)</f>
        <v/>
      </c>
      <c r="O13" s="273" t="str">
        <f>IF($A13="","",IFERROR(1/(1/_xlfn.MAXIFS('05 Work done log'!$A$7:$A$506,'05 Work done log'!$B$7:$B$506,$A13)),"not yet"))</f>
        <v>not yet</v>
      </c>
      <c r="P13" s="161"/>
      <c r="Q13" s="6"/>
      <c r="R13" s="6"/>
      <c r="S13" s="6"/>
      <c r="T13" s="6"/>
      <c r="U13" s="6"/>
      <c r="V13" s="6"/>
      <c r="W13" s="6"/>
      <c r="X13" s="6"/>
      <c r="Y13" s="6"/>
      <c r="Z13" s="6"/>
      <c r="AA13" s="6"/>
      <c r="AB13" s="6"/>
      <c r="AC13" s="6"/>
      <c r="AD13" s="6"/>
      <c r="AE13" s="6"/>
      <c r="AF13" s="6"/>
      <c r="AG13" s="6"/>
      <c r="AH13" s="6"/>
      <c r="AI13" s="6"/>
      <c r="AJ13" s="6"/>
    </row>
    <row r="14" spans="1:36" ht="18" customHeight="1" x14ac:dyDescent="0.3">
      <c r="A14" s="161" t="s">
        <v>290</v>
      </c>
      <c r="B14" s="161" t="s">
        <v>291</v>
      </c>
      <c r="C14" s="161" t="s">
        <v>292</v>
      </c>
      <c r="D14" s="161" t="s">
        <v>229</v>
      </c>
      <c r="E14" s="161" t="s">
        <v>234</v>
      </c>
      <c r="F14" s="267">
        <v>45</v>
      </c>
      <c r="G14" s="268">
        <v>360</v>
      </c>
      <c r="H14" s="269">
        <f>IF($A14="","",SUMIFS('05 Work done log'!$F$7:$F$506,'05 Work done log'!$B$7:$B$506,$A14))</f>
        <v>0</v>
      </c>
      <c r="I14" s="270">
        <f>IF(OR($A14="",N($F14)=0),"",$H14/$F14)</f>
        <v>0</v>
      </c>
      <c r="J14" s="269">
        <f>IF(OR($A14="",N($F14)=0),"",$F14-$H14)</f>
        <v>45</v>
      </c>
      <c r="K14" s="271">
        <f>IF($A14="","",SUMIFS('04 Resource log'!$J$7:$J$506,'04 Resource log'!$B$7:$B$506,$A14,'04 Resource log'!$E$7:$E$506,"Labour"))</f>
        <v>0</v>
      </c>
      <c r="L14" s="270">
        <f>IF(OR($A14="",N($G14)=0),"",$K14/$G14)</f>
        <v>0</v>
      </c>
      <c r="M14" s="271">
        <f>IF(OR($A14="",N($F14)=0,N($G14)=0),"",$I14*$G14)</f>
        <v>0</v>
      </c>
      <c r="N14" s="272" t="str">
        <f>IF(OR($M14="",N($K14)=0),"",$M14/$K14)</f>
        <v/>
      </c>
      <c r="O14" s="273" t="str">
        <f>IF($A14="","",IFERROR(1/(1/_xlfn.MAXIFS('05 Work done log'!$A$7:$A$506,'05 Work done log'!$B$7:$B$506,$A14)),"not yet"))</f>
        <v>not yet</v>
      </c>
      <c r="P14" s="161"/>
      <c r="Q14" s="6"/>
      <c r="R14" s="6"/>
      <c r="S14" s="6"/>
      <c r="T14" s="6"/>
      <c r="U14" s="6"/>
      <c r="V14" s="6"/>
      <c r="W14" s="6"/>
      <c r="X14" s="6"/>
      <c r="Y14" s="6"/>
      <c r="Z14" s="6"/>
      <c r="AA14" s="6"/>
      <c r="AB14" s="6"/>
      <c r="AC14" s="6"/>
      <c r="AD14" s="6"/>
      <c r="AE14" s="6"/>
      <c r="AF14" s="6"/>
      <c r="AG14" s="6"/>
      <c r="AH14" s="6"/>
      <c r="AI14" s="6"/>
      <c r="AJ14" s="6"/>
    </row>
    <row r="15" spans="1:36" ht="18" customHeight="1" x14ac:dyDescent="0.3">
      <c r="A15" s="161" t="s">
        <v>323</v>
      </c>
      <c r="B15" s="161" t="s">
        <v>324</v>
      </c>
      <c r="C15" s="161" t="s">
        <v>325</v>
      </c>
      <c r="D15" s="161" t="s">
        <v>326</v>
      </c>
      <c r="E15" s="161" t="s">
        <v>236</v>
      </c>
      <c r="F15" s="267" t="s">
        <v>326</v>
      </c>
      <c r="G15" s="268" t="s">
        <v>326</v>
      </c>
      <c r="H15" s="269">
        <f>IF($A15="","",SUMIFS('05 Work done log'!$F$7:$F$506,'05 Work done log'!$B$7:$B$506,$A15))</f>
        <v>0</v>
      </c>
      <c r="I15" s="270" t="str">
        <f>IF(OR($A15="",N($F15)=0),"",$H15/$F15)</f>
        <v/>
      </c>
      <c r="J15" s="269" t="str">
        <f>IF(OR($A15="",N($F15)=0),"",$F15-$H15)</f>
        <v/>
      </c>
      <c r="K15" s="271">
        <f>IF($A15="","",SUMIFS('04 Resource log'!$J$7:$J$506,'04 Resource log'!$B$7:$B$506,$A15,'04 Resource log'!$E$7:$E$506,"Labour"))</f>
        <v>30</v>
      </c>
      <c r="L15" s="270" t="str">
        <f>IF(OR($A15="",N($G15)=0),"",$K15/$G15)</f>
        <v/>
      </c>
      <c r="M15" s="271" t="str">
        <f>IF(OR($A15="",N($F15)=0,N($G15)=0),"",$I15*$G15)</f>
        <v/>
      </c>
      <c r="N15" s="272" t="str">
        <f>IF(OR($M15="",N($K15)=0),"",$M15/$K15)</f>
        <v/>
      </c>
      <c r="O15" s="273" t="str">
        <f>IF($A15="","",IFERROR(1/(1/_xlfn.MAXIFS('05 Work done log'!$A$7:$A$506,'05 Work done log'!$B$7:$B$506,$A15)),"not yet"))</f>
        <v>not yet</v>
      </c>
      <c r="P15" s="161" t="s">
        <v>327</v>
      </c>
      <c r="Q15" s="6"/>
      <c r="R15" s="6"/>
      <c r="S15" s="6"/>
      <c r="T15" s="6"/>
      <c r="U15" s="6"/>
      <c r="V15" s="6"/>
      <c r="W15" s="6"/>
      <c r="X15" s="6"/>
      <c r="Y15" s="6"/>
      <c r="Z15" s="6"/>
      <c r="AA15" s="6"/>
      <c r="AB15" s="6"/>
      <c r="AC15" s="6"/>
      <c r="AD15" s="6"/>
      <c r="AE15" s="6"/>
      <c r="AF15" s="6"/>
      <c r="AG15" s="6"/>
      <c r="AH15" s="6"/>
      <c r="AI15" s="6"/>
      <c r="AJ15" s="6"/>
    </row>
    <row r="16" spans="1:36" ht="18" customHeight="1" x14ac:dyDescent="0.3">
      <c r="A16" s="161"/>
      <c r="B16" s="161"/>
      <c r="C16" s="161"/>
      <c r="D16" s="161"/>
      <c r="E16" s="161"/>
      <c r="F16" s="267"/>
      <c r="G16" s="268"/>
      <c r="H16" s="269" t="str">
        <f>IF($A16="","",SUMIFS('05 Work done log'!$F$7:$F$506,'05 Work done log'!$B$7:$B$506,$A16))</f>
        <v/>
      </c>
      <c r="I16" s="270" t="str">
        <f>IF(OR($A16="",N($F16)=0),"",$H16/$F16)</f>
        <v/>
      </c>
      <c r="J16" s="269" t="str">
        <f>IF(OR($A16="",N($F16)=0),"",$F16-$H16)</f>
        <v/>
      </c>
      <c r="K16" s="271" t="str">
        <f>IF($A16="","",SUMIFS('04 Resource log'!$J$7:$J$506,'04 Resource log'!$B$7:$B$506,$A16,'04 Resource log'!$E$7:$E$506,"Labour"))</f>
        <v/>
      </c>
      <c r="L16" s="270" t="str">
        <f>IF(OR($A16="",N($G16)=0),"",$K16/$G16)</f>
        <v/>
      </c>
      <c r="M16" s="271" t="str">
        <f>IF(OR($A16="",N($F16)=0,N($G16)=0),"",$I16*$G16)</f>
        <v/>
      </c>
      <c r="N16" s="272" t="str">
        <f>IF(OR($M16="",N($K16)=0),"",$M16/$K16)</f>
        <v/>
      </c>
      <c r="O16" s="273" t="str">
        <f>IF($A16="","",IFERROR(1/(1/_xlfn.MAXIFS('05 Work done log'!$A$7:$A$506,'05 Work done log'!$B$7:$B$506,$A16)),"not yet"))</f>
        <v/>
      </c>
      <c r="P16" s="161"/>
      <c r="Q16" s="6"/>
      <c r="R16" s="6"/>
      <c r="S16" s="6"/>
      <c r="T16" s="6"/>
      <c r="U16" s="6"/>
      <c r="V16" s="6"/>
      <c r="W16" s="6"/>
      <c r="X16" s="6"/>
      <c r="Y16" s="6"/>
      <c r="Z16" s="6"/>
      <c r="AA16" s="6"/>
      <c r="AB16" s="6"/>
      <c r="AC16" s="6"/>
      <c r="AD16" s="6"/>
      <c r="AE16" s="6"/>
      <c r="AF16" s="6"/>
      <c r="AG16" s="6"/>
      <c r="AH16" s="6"/>
      <c r="AI16" s="6"/>
      <c r="AJ16" s="6"/>
    </row>
    <row r="17" spans="1:36" ht="18" customHeight="1" x14ac:dyDescent="0.3">
      <c r="A17" s="161"/>
      <c r="B17" s="161"/>
      <c r="C17" s="161"/>
      <c r="D17" s="161"/>
      <c r="E17" s="161"/>
      <c r="F17" s="267"/>
      <c r="G17" s="268"/>
      <c r="H17" s="269" t="str">
        <f>IF($A17="","",SUMIFS('05 Work done log'!$F$7:$F$506,'05 Work done log'!$B$7:$B$506,$A17))</f>
        <v/>
      </c>
      <c r="I17" s="270" t="str">
        <f>IF(OR($A17="",N($F17)=0),"",$H17/$F17)</f>
        <v/>
      </c>
      <c r="J17" s="269" t="str">
        <f>IF(OR($A17="",N($F17)=0),"",$F17-$H17)</f>
        <v/>
      </c>
      <c r="K17" s="271" t="str">
        <f>IF($A17="","",SUMIFS('04 Resource log'!$J$7:$J$506,'04 Resource log'!$B$7:$B$506,$A17,'04 Resource log'!$E$7:$E$506,"Labour"))</f>
        <v/>
      </c>
      <c r="L17" s="270" t="str">
        <f>IF(OR($A17="",N($G17)=0),"",$K17/$G17)</f>
        <v/>
      </c>
      <c r="M17" s="271" t="str">
        <f>IF(OR($A17="",N($F17)=0,N($G17)=0),"",$I17*$G17)</f>
        <v/>
      </c>
      <c r="N17" s="272" t="str">
        <f>IF(OR($M17="",N($K17)=0),"",$M17/$K17)</f>
        <v/>
      </c>
      <c r="O17" s="273" t="str">
        <f>IF($A17="","",IFERROR(1/(1/_xlfn.MAXIFS('05 Work done log'!$A$7:$A$506,'05 Work done log'!$B$7:$B$506,$A17)),"not yet"))</f>
        <v/>
      </c>
      <c r="P17" s="161"/>
      <c r="Q17" s="6"/>
      <c r="R17" s="6"/>
      <c r="S17" s="6"/>
      <c r="T17" s="6"/>
      <c r="U17" s="6"/>
      <c r="V17" s="6"/>
      <c r="W17" s="6"/>
      <c r="X17" s="6"/>
      <c r="Y17" s="6"/>
      <c r="Z17" s="6"/>
      <c r="AA17" s="6"/>
      <c r="AB17" s="6"/>
      <c r="AC17" s="6"/>
      <c r="AD17" s="6"/>
      <c r="AE17" s="6"/>
      <c r="AF17" s="6"/>
      <c r="AG17" s="6"/>
      <c r="AH17" s="6"/>
      <c r="AI17" s="6"/>
      <c r="AJ17" s="6"/>
    </row>
    <row r="18" spans="1:36" ht="18" customHeight="1" x14ac:dyDescent="0.3">
      <c r="A18" s="161"/>
      <c r="B18" s="161"/>
      <c r="C18" s="161"/>
      <c r="D18" s="161"/>
      <c r="E18" s="161"/>
      <c r="F18" s="267"/>
      <c r="G18" s="268"/>
      <c r="H18" s="269" t="str">
        <f>IF($A18="","",SUMIFS('05 Work done log'!$F$7:$F$506,'05 Work done log'!$B$7:$B$506,$A18))</f>
        <v/>
      </c>
      <c r="I18" s="270" t="str">
        <f>IF(OR($A18="",N($F18)=0),"",$H18/$F18)</f>
        <v/>
      </c>
      <c r="J18" s="269" t="str">
        <f>IF(OR($A18="",N($F18)=0),"",$F18-$H18)</f>
        <v/>
      </c>
      <c r="K18" s="271" t="str">
        <f>IF($A18="","",SUMIFS('04 Resource log'!$J$7:$J$506,'04 Resource log'!$B$7:$B$506,$A18,'04 Resource log'!$E$7:$E$506,"Labour"))</f>
        <v/>
      </c>
      <c r="L18" s="270" t="str">
        <f>IF(OR($A18="",N($G18)=0),"",$K18/$G18)</f>
        <v/>
      </c>
      <c r="M18" s="271" t="str">
        <f>IF(OR($A18="",N($F18)=0,N($G18)=0),"",$I18*$G18)</f>
        <v/>
      </c>
      <c r="N18" s="272" t="str">
        <f>IF(OR($M18="",N($K18)=0),"",$M18/$K18)</f>
        <v/>
      </c>
      <c r="O18" s="273" t="str">
        <f>IF($A18="","",IFERROR(1/(1/_xlfn.MAXIFS('05 Work done log'!$A$7:$A$506,'05 Work done log'!$B$7:$B$506,$A18)),"not yet"))</f>
        <v/>
      </c>
      <c r="P18" s="161"/>
      <c r="Q18" s="6"/>
      <c r="R18" s="6"/>
      <c r="S18" s="6"/>
      <c r="T18" s="6"/>
      <c r="U18" s="6"/>
      <c r="V18" s="6"/>
      <c r="W18" s="6"/>
      <c r="X18" s="6"/>
      <c r="Y18" s="6"/>
      <c r="Z18" s="6"/>
      <c r="AA18" s="6"/>
      <c r="AB18" s="6"/>
      <c r="AC18" s="6"/>
      <c r="AD18" s="6"/>
      <c r="AE18" s="6"/>
      <c r="AF18" s="6"/>
      <c r="AG18" s="6"/>
      <c r="AH18" s="6"/>
      <c r="AI18" s="6"/>
      <c r="AJ18" s="6"/>
    </row>
    <row r="19" spans="1:36" ht="18" customHeight="1" x14ac:dyDescent="0.3">
      <c r="A19" s="161"/>
      <c r="B19" s="161"/>
      <c r="C19" s="161"/>
      <c r="D19" s="161"/>
      <c r="E19" s="161"/>
      <c r="F19" s="267"/>
      <c r="G19" s="268"/>
      <c r="H19" s="269" t="str">
        <f>IF($A19="","",SUMIFS('05 Work done log'!$F$7:$F$506,'05 Work done log'!$B$7:$B$506,$A19))</f>
        <v/>
      </c>
      <c r="I19" s="270" t="str">
        <f>IF(OR($A19="",N($F19)=0),"",$H19/$F19)</f>
        <v/>
      </c>
      <c r="J19" s="269" t="str">
        <f>IF(OR($A19="",N($F19)=0),"",$F19-$H19)</f>
        <v/>
      </c>
      <c r="K19" s="271" t="str">
        <f>IF($A19="","",SUMIFS('04 Resource log'!$J$7:$J$506,'04 Resource log'!$B$7:$B$506,$A19,'04 Resource log'!$E$7:$E$506,"Labour"))</f>
        <v/>
      </c>
      <c r="L19" s="270" t="str">
        <f>IF(OR($A19="",N($G19)=0),"",$K19/$G19)</f>
        <v/>
      </c>
      <c r="M19" s="271" t="str">
        <f>IF(OR($A19="",N($F19)=0,N($G19)=0),"",$I19*$G19)</f>
        <v/>
      </c>
      <c r="N19" s="272" t="str">
        <f>IF(OR($M19="",N($K19)=0),"",$M19/$K19)</f>
        <v/>
      </c>
      <c r="O19" s="273" t="str">
        <f>IF($A19="","",IFERROR(1/(1/_xlfn.MAXIFS('05 Work done log'!$A$7:$A$506,'05 Work done log'!$B$7:$B$506,$A19)),"not yet"))</f>
        <v/>
      </c>
      <c r="P19" s="161"/>
      <c r="Q19" s="6"/>
      <c r="R19" s="6"/>
      <c r="S19" s="6"/>
      <c r="T19" s="6"/>
      <c r="U19" s="6"/>
      <c r="V19" s="6"/>
      <c r="W19" s="6"/>
      <c r="X19" s="6"/>
      <c r="Y19" s="6"/>
      <c r="Z19" s="6"/>
      <c r="AA19" s="6"/>
      <c r="AB19" s="6"/>
      <c r="AC19" s="6"/>
      <c r="AD19" s="6"/>
      <c r="AE19" s="6"/>
      <c r="AF19" s="6"/>
      <c r="AG19" s="6"/>
      <c r="AH19" s="6"/>
      <c r="AI19" s="6"/>
      <c r="AJ19" s="6"/>
    </row>
    <row r="20" spans="1:36" ht="18" customHeight="1" x14ac:dyDescent="0.3">
      <c r="A20" s="161"/>
      <c r="B20" s="161"/>
      <c r="C20" s="161"/>
      <c r="D20" s="161"/>
      <c r="E20" s="161"/>
      <c r="F20" s="267"/>
      <c r="G20" s="268"/>
      <c r="H20" s="269" t="str">
        <f>IF($A20="","",SUMIFS('05 Work done log'!$F$7:$F$506,'05 Work done log'!$B$7:$B$506,$A20))</f>
        <v/>
      </c>
      <c r="I20" s="270" t="str">
        <f>IF(OR($A20="",N($F20)=0),"",$H20/$F20)</f>
        <v/>
      </c>
      <c r="J20" s="269" t="str">
        <f>IF(OR($A20="",N($F20)=0),"",$F20-$H20)</f>
        <v/>
      </c>
      <c r="K20" s="271" t="str">
        <f>IF($A20="","",SUMIFS('04 Resource log'!$J$7:$J$506,'04 Resource log'!$B$7:$B$506,$A20,'04 Resource log'!$E$7:$E$506,"Labour"))</f>
        <v/>
      </c>
      <c r="L20" s="270" t="str">
        <f>IF(OR($A20="",N($G20)=0),"",$K20/$G20)</f>
        <v/>
      </c>
      <c r="M20" s="271" t="str">
        <f>IF(OR($A20="",N($F20)=0,N($G20)=0),"",$I20*$G20)</f>
        <v/>
      </c>
      <c r="N20" s="272" t="str">
        <f>IF(OR($M20="",N($K20)=0),"",$M20/$K20)</f>
        <v/>
      </c>
      <c r="O20" s="273" t="str">
        <f>IF($A20="","",IFERROR(1/(1/_xlfn.MAXIFS('05 Work done log'!$A$7:$A$506,'05 Work done log'!$B$7:$B$506,$A20)),"not yet"))</f>
        <v/>
      </c>
      <c r="P20" s="161"/>
      <c r="Q20" s="6"/>
      <c r="R20" s="6"/>
      <c r="S20" s="6"/>
      <c r="T20" s="6"/>
      <c r="U20" s="6"/>
      <c r="V20" s="6"/>
      <c r="W20" s="6"/>
      <c r="X20" s="6"/>
      <c r="Y20" s="6"/>
      <c r="Z20" s="6"/>
      <c r="AA20" s="6"/>
      <c r="AB20" s="6"/>
      <c r="AC20" s="6"/>
      <c r="AD20" s="6"/>
      <c r="AE20" s="6"/>
      <c r="AF20" s="6"/>
      <c r="AG20" s="6"/>
      <c r="AH20" s="6"/>
      <c r="AI20" s="6"/>
      <c r="AJ20" s="6"/>
    </row>
    <row r="21" spans="1:36" ht="18" customHeight="1" x14ac:dyDescent="0.3">
      <c r="A21" s="161"/>
      <c r="B21" s="161"/>
      <c r="C21" s="161"/>
      <c r="D21" s="161"/>
      <c r="E21" s="161"/>
      <c r="F21" s="267"/>
      <c r="G21" s="268"/>
      <c r="H21" s="269" t="str">
        <f>IF($A21="","",SUMIFS('05 Work done log'!$F$7:$F$506,'05 Work done log'!$B$7:$B$506,$A21))</f>
        <v/>
      </c>
      <c r="I21" s="270" t="str">
        <f>IF(OR($A21="",N($F21)=0),"",$H21/$F21)</f>
        <v/>
      </c>
      <c r="J21" s="269" t="str">
        <f>IF(OR($A21="",N($F21)=0),"",$F21-$H21)</f>
        <v/>
      </c>
      <c r="K21" s="271" t="str">
        <f>IF($A21="","",SUMIFS('04 Resource log'!$J$7:$J$506,'04 Resource log'!$B$7:$B$506,$A21,'04 Resource log'!$E$7:$E$506,"Labour"))</f>
        <v/>
      </c>
      <c r="L21" s="270" t="str">
        <f>IF(OR($A21="",N($G21)=0),"",$K21/$G21)</f>
        <v/>
      </c>
      <c r="M21" s="271" t="str">
        <f>IF(OR($A21="",N($F21)=0,N($G21)=0),"",$I21*$G21)</f>
        <v/>
      </c>
      <c r="N21" s="272" t="str">
        <f>IF(OR($M21="",N($K21)=0),"",$M21/$K21)</f>
        <v/>
      </c>
      <c r="O21" s="273" t="str">
        <f>IF($A21="","",IFERROR(1/(1/_xlfn.MAXIFS('05 Work done log'!$A$7:$A$506,'05 Work done log'!$B$7:$B$506,$A21)),"not yet"))</f>
        <v/>
      </c>
      <c r="P21" s="161"/>
      <c r="Q21" s="6"/>
      <c r="R21" s="6"/>
      <c r="S21" s="6"/>
      <c r="T21" s="6"/>
      <c r="U21" s="6"/>
      <c r="V21" s="6"/>
      <c r="W21" s="6"/>
      <c r="X21" s="6"/>
      <c r="Y21" s="6"/>
      <c r="Z21" s="6"/>
      <c r="AA21" s="6"/>
      <c r="AB21" s="6"/>
      <c r="AC21" s="6"/>
      <c r="AD21" s="6"/>
      <c r="AE21" s="6"/>
      <c r="AF21" s="6"/>
      <c r="AG21" s="6"/>
      <c r="AH21" s="6"/>
      <c r="AI21" s="6"/>
      <c r="AJ21" s="6"/>
    </row>
    <row r="22" spans="1:36" ht="18" customHeight="1" x14ac:dyDescent="0.3">
      <c r="A22" s="161"/>
      <c r="B22" s="161"/>
      <c r="C22" s="161"/>
      <c r="D22" s="161"/>
      <c r="E22" s="161"/>
      <c r="F22" s="267"/>
      <c r="G22" s="268"/>
      <c r="H22" s="269" t="str">
        <f>IF($A22="","",SUMIFS('05 Work done log'!$F$7:$F$506,'05 Work done log'!$B$7:$B$506,$A22))</f>
        <v/>
      </c>
      <c r="I22" s="270" t="str">
        <f>IF(OR($A22="",N($F22)=0),"",$H22/$F22)</f>
        <v/>
      </c>
      <c r="J22" s="269" t="str">
        <f>IF(OR($A22="",N($F22)=0),"",$F22-$H22)</f>
        <v/>
      </c>
      <c r="K22" s="271" t="str">
        <f>IF($A22="","",SUMIFS('04 Resource log'!$J$7:$J$506,'04 Resource log'!$B$7:$B$506,$A22,'04 Resource log'!$E$7:$E$506,"Labour"))</f>
        <v/>
      </c>
      <c r="L22" s="270" t="str">
        <f>IF(OR($A22="",N($G22)=0),"",$K22/$G22)</f>
        <v/>
      </c>
      <c r="M22" s="271" t="str">
        <f>IF(OR($A22="",N($F22)=0,N($G22)=0),"",$I22*$G22)</f>
        <v/>
      </c>
      <c r="N22" s="272" t="str">
        <f>IF(OR($M22="",N($K22)=0),"",$M22/$K22)</f>
        <v/>
      </c>
      <c r="O22" s="273" t="str">
        <f>IF($A22="","",IFERROR(1/(1/_xlfn.MAXIFS('05 Work done log'!$A$7:$A$506,'05 Work done log'!$B$7:$B$506,$A22)),"not yet"))</f>
        <v/>
      </c>
      <c r="P22" s="161"/>
      <c r="Q22" s="6"/>
      <c r="R22" s="6"/>
      <c r="S22" s="6"/>
      <c r="T22" s="6"/>
      <c r="U22" s="6"/>
      <c r="V22" s="6"/>
      <c r="W22" s="6"/>
      <c r="X22" s="6"/>
      <c r="Y22" s="6"/>
      <c r="Z22" s="6"/>
      <c r="AA22" s="6"/>
      <c r="AB22" s="6"/>
      <c r="AC22" s="6"/>
      <c r="AD22" s="6"/>
      <c r="AE22" s="6"/>
      <c r="AF22" s="6"/>
      <c r="AG22" s="6"/>
      <c r="AH22" s="6"/>
      <c r="AI22" s="6"/>
      <c r="AJ22" s="6"/>
    </row>
    <row r="23" spans="1:36" ht="18" customHeight="1" x14ac:dyDescent="0.3">
      <c r="A23" s="161"/>
      <c r="B23" s="161"/>
      <c r="C23" s="161"/>
      <c r="D23" s="161"/>
      <c r="E23" s="161"/>
      <c r="F23" s="267"/>
      <c r="G23" s="268"/>
      <c r="H23" s="269" t="str">
        <f>IF($A23="","",SUMIFS('05 Work done log'!$F$7:$F$506,'05 Work done log'!$B$7:$B$506,$A23))</f>
        <v/>
      </c>
      <c r="I23" s="270" t="str">
        <f>IF(OR($A23="",N($F23)=0),"",$H23/$F23)</f>
        <v/>
      </c>
      <c r="J23" s="269" t="str">
        <f>IF(OR($A23="",N($F23)=0),"",$F23-$H23)</f>
        <v/>
      </c>
      <c r="K23" s="271" t="str">
        <f>IF($A23="","",SUMIFS('04 Resource log'!$J$7:$J$506,'04 Resource log'!$B$7:$B$506,$A23,'04 Resource log'!$E$7:$E$506,"Labour"))</f>
        <v/>
      </c>
      <c r="L23" s="270" t="str">
        <f>IF(OR($A23="",N($G23)=0),"",$K23/$G23)</f>
        <v/>
      </c>
      <c r="M23" s="271" t="str">
        <f>IF(OR($A23="",N($F23)=0,N($G23)=0),"",$I23*$G23)</f>
        <v/>
      </c>
      <c r="N23" s="272" t="str">
        <f>IF(OR($M23="",N($K23)=0),"",$M23/$K23)</f>
        <v/>
      </c>
      <c r="O23" s="273" t="str">
        <f>IF($A23="","",IFERROR(1/(1/_xlfn.MAXIFS('05 Work done log'!$A$7:$A$506,'05 Work done log'!$B$7:$B$506,$A23)),"not yet"))</f>
        <v/>
      </c>
      <c r="P23" s="161"/>
      <c r="Q23" s="6"/>
      <c r="R23" s="6"/>
      <c r="S23" s="6"/>
      <c r="T23" s="6"/>
      <c r="U23" s="6"/>
      <c r="V23" s="6"/>
      <c r="W23" s="6"/>
      <c r="X23" s="6"/>
      <c r="Y23" s="6"/>
      <c r="Z23" s="6"/>
      <c r="AA23" s="6"/>
      <c r="AB23" s="6"/>
      <c r="AC23" s="6"/>
      <c r="AD23" s="6"/>
      <c r="AE23" s="6"/>
      <c r="AF23" s="6"/>
      <c r="AG23" s="6"/>
      <c r="AH23" s="6"/>
      <c r="AI23" s="6"/>
      <c r="AJ23" s="6"/>
    </row>
    <row r="24" spans="1:36" ht="18" customHeight="1" x14ac:dyDescent="0.3">
      <c r="A24" s="161"/>
      <c r="B24" s="161"/>
      <c r="C24" s="161"/>
      <c r="D24" s="161"/>
      <c r="E24" s="161"/>
      <c r="F24" s="267"/>
      <c r="G24" s="268"/>
      <c r="H24" s="269" t="str">
        <f>IF($A24="","",SUMIFS('05 Work done log'!$F$7:$F$506,'05 Work done log'!$B$7:$B$506,$A24))</f>
        <v/>
      </c>
      <c r="I24" s="270" t="str">
        <f>IF(OR($A24="",N($F24)=0),"",$H24/$F24)</f>
        <v/>
      </c>
      <c r="J24" s="269" t="str">
        <f>IF(OR($A24="",N($F24)=0),"",$F24-$H24)</f>
        <v/>
      </c>
      <c r="K24" s="271" t="str">
        <f>IF($A24="","",SUMIFS('04 Resource log'!$J$7:$J$506,'04 Resource log'!$B$7:$B$506,$A24,'04 Resource log'!$E$7:$E$506,"Labour"))</f>
        <v/>
      </c>
      <c r="L24" s="270" t="str">
        <f>IF(OR($A24="",N($G24)=0),"",$K24/$G24)</f>
        <v/>
      </c>
      <c r="M24" s="271" t="str">
        <f>IF(OR($A24="",N($F24)=0,N($G24)=0),"",$I24*$G24)</f>
        <v/>
      </c>
      <c r="N24" s="272" t="str">
        <f>IF(OR($M24="",N($K24)=0),"",$M24/$K24)</f>
        <v/>
      </c>
      <c r="O24" s="273" t="str">
        <f>IF($A24="","",IFERROR(1/(1/_xlfn.MAXIFS('05 Work done log'!$A$7:$A$506,'05 Work done log'!$B$7:$B$506,$A24)),"not yet"))</f>
        <v/>
      </c>
      <c r="P24" s="161"/>
      <c r="Q24" s="6"/>
      <c r="R24" s="6"/>
      <c r="S24" s="6"/>
      <c r="T24" s="6"/>
      <c r="U24" s="6"/>
      <c r="V24" s="6"/>
      <c r="W24" s="6"/>
      <c r="X24" s="6"/>
      <c r="Y24" s="6"/>
      <c r="Z24" s="6"/>
      <c r="AA24" s="6"/>
      <c r="AB24" s="6"/>
      <c r="AC24" s="6"/>
      <c r="AD24" s="6"/>
      <c r="AE24" s="6"/>
      <c r="AF24" s="6"/>
      <c r="AG24" s="6"/>
      <c r="AH24" s="6"/>
      <c r="AI24" s="6"/>
      <c r="AJ24" s="6"/>
    </row>
    <row r="25" spans="1:36" ht="18" customHeight="1" x14ac:dyDescent="0.3">
      <c r="A25" s="161"/>
      <c r="B25" s="161"/>
      <c r="C25" s="161"/>
      <c r="D25" s="161"/>
      <c r="E25" s="161"/>
      <c r="F25" s="267"/>
      <c r="G25" s="268"/>
      <c r="H25" s="269" t="str">
        <f>IF($A25="","",SUMIFS('05 Work done log'!$F$7:$F$506,'05 Work done log'!$B$7:$B$506,$A25))</f>
        <v/>
      </c>
      <c r="I25" s="270" t="str">
        <f>IF(OR($A25="",N($F25)=0),"",$H25/$F25)</f>
        <v/>
      </c>
      <c r="J25" s="269" t="str">
        <f>IF(OR($A25="",N($F25)=0),"",$F25-$H25)</f>
        <v/>
      </c>
      <c r="K25" s="271" t="str">
        <f>IF($A25="","",SUMIFS('04 Resource log'!$J$7:$J$506,'04 Resource log'!$B$7:$B$506,$A25,'04 Resource log'!$E$7:$E$506,"Labour"))</f>
        <v/>
      </c>
      <c r="L25" s="270" t="str">
        <f>IF(OR($A25="",N($G25)=0),"",$K25/$G25)</f>
        <v/>
      </c>
      <c r="M25" s="271" t="str">
        <f>IF(OR($A25="",N($F25)=0,N($G25)=0),"",$I25*$G25)</f>
        <v/>
      </c>
      <c r="N25" s="272" t="str">
        <f>IF(OR($M25="",N($K25)=0),"",$M25/$K25)</f>
        <v/>
      </c>
      <c r="O25" s="273" t="str">
        <f>IF($A25="","",IFERROR(1/(1/_xlfn.MAXIFS('05 Work done log'!$A$7:$A$506,'05 Work done log'!$B$7:$B$506,$A25)),"not yet"))</f>
        <v/>
      </c>
      <c r="P25" s="161"/>
      <c r="Q25" s="6"/>
      <c r="R25" s="6"/>
      <c r="S25" s="6"/>
      <c r="T25" s="6"/>
      <c r="U25" s="6"/>
      <c r="V25" s="6"/>
      <c r="W25" s="6"/>
      <c r="X25" s="6"/>
      <c r="Y25" s="6"/>
      <c r="Z25" s="6"/>
      <c r="AA25" s="6"/>
      <c r="AB25" s="6"/>
      <c r="AC25" s="6"/>
      <c r="AD25" s="6"/>
      <c r="AE25" s="6"/>
      <c r="AF25" s="6"/>
      <c r="AG25" s="6"/>
      <c r="AH25" s="6"/>
      <c r="AI25" s="6"/>
      <c r="AJ25" s="6"/>
    </row>
    <row r="26" spans="1:36" ht="18" customHeight="1" x14ac:dyDescent="0.3">
      <c r="A26" s="161"/>
      <c r="B26" s="161"/>
      <c r="C26" s="161"/>
      <c r="D26" s="161"/>
      <c r="E26" s="161"/>
      <c r="F26" s="267"/>
      <c r="G26" s="268"/>
      <c r="H26" s="269" t="str">
        <f>IF($A26="","",SUMIFS('05 Work done log'!$F$7:$F$506,'05 Work done log'!$B$7:$B$506,$A26))</f>
        <v/>
      </c>
      <c r="I26" s="270" t="str">
        <f>IF(OR($A26="",N($F26)=0),"",$H26/$F26)</f>
        <v/>
      </c>
      <c r="J26" s="269" t="str">
        <f>IF(OR($A26="",N($F26)=0),"",$F26-$H26)</f>
        <v/>
      </c>
      <c r="K26" s="271" t="str">
        <f>IF($A26="","",SUMIFS('04 Resource log'!$J$7:$J$506,'04 Resource log'!$B$7:$B$506,$A26,'04 Resource log'!$E$7:$E$506,"Labour"))</f>
        <v/>
      </c>
      <c r="L26" s="270" t="str">
        <f>IF(OR($A26="",N($G26)=0),"",$K26/$G26)</f>
        <v/>
      </c>
      <c r="M26" s="271" t="str">
        <f>IF(OR($A26="",N($F26)=0,N($G26)=0),"",$I26*$G26)</f>
        <v/>
      </c>
      <c r="N26" s="272" t="str">
        <f>IF(OR($M26="",N($K26)=0),"",$M26/$K26)</f>
        <v/>
      </c>
      <c r="O26" s="273" t="str">
        <f>IF($A26="","",IFERROR(1/(1/_xlfn.MAXIFS('05 Work done log'!$A$7:$A$506,'05 Work done log'!$B$7:$B$506,$A26)),"not yet"))</f>
        <v/>
      </c>
      <c r="P26" s="161"/>
      <c r="Q26" s="6"/>
      <c r="R26" s="6"/>
      <c r="S26" s="6"/>
      <c r="T26" s="6"/>
      <c r="U26" s="6"/>
      <c r="V26" s="6"/>
      <c r="W26" s="6"/>
      <c r="X26" s="6"/>
      <c r="Y26" s="6"/>
      <c r="Z26" s="6"/>
      <c r="AA26" s="6"/>
      <c r="AB26" s="6"/>
      <c r="AC26" s="6"/>
      <c r="AD26" s="6"/>
      <c r="AE26" s="6"/>
      <c r="AF26" s="6"/>
      <c r="AG26" s="6"/>
      <c r="AH26" s="6"/>
      <c r="AI26" s="6"/>
      <c r="AJ26" s="6"/>
    </row>
    <row r="27" spans="1:36" ht="18" customHeight="1" x14ac:dyDescent="0.3">
      <c r="A27" s="161"/>
      <c r="B27" s="161"/>
      <c r="C27" s="161"/>
      <c r="D27" s="161"/>
      <c r="E27" s="161"/>
      <c r="F27" s="267"/>
      <c r="G27" s="268"/>
      <c r="H27" s="269" t="str">
        <f>IF($A27="","",SUMIFS('05 Work done log'!$F$7:$F$506,'05 Work done log'!$B$7:$B$506,$A27))</f>
        <v/>
      </c>
      <c r="I27" s="270" t="str">
        <f>IF(OR($A27="",N($F27)=0),"",$H27/$F27)</f>
        <v/>
      </c>
      <c r="J27" s="269" t="str">
        <f>IF(OR($A27="",N($F27)=0),"",$F27-$H27)</f>
        <v/>
      </c>
      <c r="K27" s="271" t="str">
        <f>IF($A27="","",SUMIFS('04 Resource log'!$J$7:$J$506,'04 Resource log'!$B$7:$B$506,$A27,'04 Resource log'!$E$7:$E$506,"Labour"))</f>
        <v/>
      </c>
      <c r="L27" s="270" t="str">
        <f>IF(OR($A27="",N($G27)=0),"",$K27/$G27)</f>
        <v/>
      </c>
      <c r="M27" s="271" t="str">
        <f>IF(OR($A27="",N($F27)=0,N($G27)=0),"",$I27*$G27)</f>
        <v/>
      </c>
      <c r="N27" s="272" t="str">
        <f>IF(OR($M27="",N($K27)=0),"",$M27/$K27)</f>
        <v/>
      </c>
      <c r="O27" s="273" t="str">
        <f>IF($A27="","",IFERROR(1/(1/_xlfn.MAXIFS('05 Work done log'!$A$7:$A$506,'05 Work done log'!$B$7:$B$506,$A27)),"not yet"))</f>
        <v/>
      </c>
      <c r="P27" s="161"/>
      <c r="Q27" s="6"/>
      <c r="R27" s="6"/>
      <c r="S27" s="6"/>
      <c r="T27" s="6"/>
      <c r="U27" s="6"/>
      <c r="V27" s="6"/>
      <c r="W27" s="6"/>
      <c r="X27" s="6"/>
      <c r="Y27" s="6"/>
      <c r="Z27" s="6"/>
      <c r="AA27" s="6"/>
      <c r="AB27" s="6"/>
      <c r="AC27" s="6"/>
      <c r="AD27" s="6"/>
      <c r="AE27" s="6"/>
      <c r="AF27" s="6"/>
      <c r="AG27" s="6"/>
      <c r="AH27" s="6"/>
      <c r="AI27" s="6"/>
      <c r="AJ27" s="6"/>
    </row>
    <row r="28" spans="1:36" ht="18" customHeight="1" x14ac:dyDescent="0.3">
      <c r="A28" s="161"/>
      <c r="B28" s="161"/>
      <c r="C28" s="161"/>
      <c r="D28" s="161"/>
      <c r="E28" s="161"/>
      <c r="F28" s="267"/>
      <c r="G28" s="268"/>
      <c r="H28" s="269" t="str">
        <f>IF($A28="","",SUMIFS('05 Work done log'!$F$7:$F$506,'05 Work done log'!$B$7:$B$506,$A28))</f>
        <v/>
      </c>
      <c r="I28" s="270" t="str">
        <f>IF(OR($A28="",N($F28)=0),"",$H28/$F28)</f>
        <v/>
      </c>
      <c r="J28" s="269" t="str">
        <f>IF(OR($A28="",N($F28)=0),"",$F28-$H28)</f>
        <v/>
      </c>
      <c r="K28" s="271" t="str">
        <f>IF($A28="","",SUMIFS('04 Resource log'!$J$7:$J$506,'04 Resource log'!$B$7:$B$506,$A28,'04 Resource log'!$E$7:$E$506,"Labour"))</f>
        <v/>
      </c>
      <c r="L28" s="270" t="str">
        <f>IF(OR($A28="",N($G28)=0),"",$K28/$G28)</f>
        <v/>
      </c>
      <c r="M28" s="271" t="str">
        <f>IF(OR($A28="",N($F28)=0,N($G28)=0),"",$I28*$G28)</f>
        <v/>
      </c>
      <c r="N28" s="272" t="str">
        <f>IF(OR($M28="",N($K28)=0),"",$M28/$K28)</f>
        <v/>
      </c>
      <c r="O28" s="273" t="str">
        <f>IF($A28="","",IFERROR(1/(1/_xlfn.MAXIFS('05 Work done log'!$A$7:$A$506,'05 Work done log'!$B$7:$B$506,$A28)),"not yet"))</f>
        <v/>
      </c>
      <c r="P28" s="161"/>
      <c r="Q28" s="6"/>
      <c r="R28" s="6"/>
      <c r="S28" s="6"/>
      <c r="T28" s="6"/>
      <c r="U28" s="6"/>
      <c r="V28" s="6"/>
      <c r="W28" s="6"/>
      <c r="X28" s="6"/>
      <c r="Y28" s="6"/>
      <c r="Z28" s="6"/>
      <c r="AA28" s="6"/>
      <c r="AB28" s="6"/>
      <c r="AC28" s="6"/>
      <c r="AD28" s="6"/>
      <c r="AE28" s="6"/>
      <c r="AF28" s="6"/>
      <c r="AG28" s="6"/>
      <c r="AH28" s="6"/>
      <c r="AI28" s="6"/>
      <c r="AJ28" s="6"/>
    </row>
    <row r="29" spans="1:36" ht="18" customHeight="1" x14ac:dyDescent="0.3">
      <c r="A29" s="161"/>
      <c r="B29" s="161"/>
      <c r="C29" s="161"/>
      <c r="D29" s="161"/>
      <c r="E29" s="161"/>
      <c r="F29" s="267"/>
      <c r="G29" s="268"/>
      <c r="H29" s="269" t="str">
        <f>IF($A29="","",SUMIFS('05 Work done log'!$F$7:$F$506,'05 Work done log'!$B$7:$B$506,$A29))</f>
        <v/>
      </c>
      <c r="I29" s="270" t="str">
        <f>IF(OR($A29="",N($F29)=0),"",$H29/$F29)</f>
        <v/>
      </c>
      <c r="J29" s="269" t="str">
        <f>IF(OR($A29="",N($F29)=0),"",$F29-$H29)</f>
        <v/>
      </c>
      <c r="K29" s="271" t="str">
        <f>IF($A29="","",SUMIFS('04 Resource log'!$J$7:$J$506,'04 Resource log'!$B$7:$B$506,$A29,'04 Resource log'!$E$7:$E$506,"Labour"))</f>
        <v/>
      </c>
      <c r="L29" s="270" t="str">
        <f>IF(OR($A29="",N($G29)=0),"",$K29/$G29)</f>
        <v/>
      </c>
      <c r="M29" s="271" t="str">
        <f>IF(OR($A29="",N($F29)=0,N($G29)=0),"",$I29*$G29)</f>
        <v/>
      </c>
      <c r="N29" s="272" t="str">
        <f>IF(OR($M29="",N($K29)=0),"",$M29/$K29)</f>
        <v/>
      </c>
      <c r="O29" s="273" t="str">
        <f>IF($A29="","",IFERROR(1/(1/_xlfn.MAXIFS('05 Work done log'!$A$7:$A$506,'05 Work done log'!$B$7:$B$506,$A29)),"not yet"))</f>
        <v/>
      </c>
      <c r="P29" s="161"/>
      <c r="Q29" s="6"/>
      <c r="R29" s="6"/>
      <c r="S29" s="6"/>
      <c r="T29" s="6"/>
      <c r="U29" s="6"/>
      <c r="V29" s="6"/>
      <c r="W29" s="6"/>
      <c r="X29" s="6"/>
      <c r="Y29" s="6"/>
      <c r="Z29" s="6"/>
      <c r="AA29" s="6"/>
      <c r="AB29" s="6"/>
      <c r="AC29" s="6"/>
      <c r="AD29" s="6"/>
      <c r="AE29" s="6"/>
      <c r="AF29" s="6"/>
      <c r="AG29" s="6"/>
      <c r="AH29" s="6"/>
      <c r="AI29" s="6"/>
      <c r="AJ29" s="6"/>
    </row>
    <row r="30" spans="1:36" ht="18" customHeight="1" x14ac:dyDescent="0.3">
      <c r="A30" s="161"/>
      <c r="B30" s="161"/>
      <c r="C30" s="161"/>
      <c r="D30" s="161"/>
      <c r="E30" s="161"/>
      <c r="F30" s="267"/>
      <c r="G30" s="268"/>
      <c r="H30" s="269" t="str">
        <f>IF($A30="","",SUMIFS('05 Work done log'!$F$7:$F$506,'05 Work done log'!$B$7:$B$506,$A30))</f>
        <v/>
      </c>
      <c r="I30" s="270" t="str">
        <f>IF(OR($A30="",N($F30)=0),"",$H30/$F30)</f>
        <v/>
      </c>
      <c r="J30" s="269" t="str">
        <f>IF(OR($A30="",N($F30)=0),"",$F30-$H30)</f>
        <v/>
      </c>
      <c r="K30" s="271" t="str">
        <f>IF($A30="","",SUMIFS('04 Resource log'!$J$7:$J$506,'04 Resource log'!$B$7:$B$506,$A30,'04 Resource log'!$E$7:$E$506,"Labour"))</f>
        <v/>
      </c>
      <c r="L30" s="270" t="str">
        <f>IF(OR($A30="",N($G30)=0),"",$K30/$G30)</f>
        <v/>
      </c>
      <c r="M30" s="271" t="str">
        <f>IF(OR($A30="",N($F30)=0,N($G30)=0),"",$I30*$G30)</f>
        <v/>
      </c>
      <c r="N30" s="272" t="str">
        <f>IF(OR($M30="",N($K30)=0),"",$M30/$K30)</f>
        <v/>
      </c>
      <c r="O30" s="273" t="str">
        <f>IF($A30="","",IFERROR(1/(1/_xlfn.MAXIFS('05 Work done log'!$A$7:$A$506,'05 Work done log'!$B$7:$B$506,$A30)),"not yet"))</f>
        <v/>
      </c>
      <c r="P30" s="161"/>
      <c r="Q30" s="6"/>
      <c r="R30" s="6"/>
      <c r="S30" s="6"/>
      <c r="T30" s="6"/>
      <c r="U30" s="6"/>
      <c r="V30" s="6"/>
      <c r="W30" s="6"/>
      <c r="X30" s="6"/>
      <c r="Y30" s="6"/>
      <c r="Z30" s="6"/>
      <c r="AA30" s="6"/>
      <c r="AB30" s="6"/>
      <c r="AC30" s="6"/>
      <c r="AD30" s="6"/>
      <c r="AE30" s="6"/>
      <c r="AF30" s="6"/>
      <c r="AG30" s="6"/>
      <c r="AH30" s="6"/>
      <c r="AI30" s="6"/>
      <c r="AJ30" s="6"/>
    </row>
    <row r="31" spans="1:36" ht="18" customHeight="1" x14ac:dyDescent="0.3">
      <c r="A31" s="161"/>
      <c r="B31" s="161"/>
      <c r="C31" s="161"/>
      <c r="D31" s="161"/>
      <c r="E31" s="161"/>
      <c r="F31" s="267"/>
      <c r="G31" s="268"/>
      <c r="H31" s="269" t="str">
        <f>IF($A31="","",SUMIFS('05 Work done log'!$F$7:$F$506,'05 Work done log'!$B$7:$B$506,$A31))</f>
        <v/>
      </c>
      <c r="I31" s="270" t="str">
        <f>IF(OR($A31="",N($F31)=0),"",$H31/$F31)</f>
        <v/>
      </c>
      <c r="J31" s="269" t="str">
        <f>IF(OR($A31="",N($F31)=0),"",$F31-$H31)</f>
        <v/>
      </c>
      <c r="K31" s="271" t="str">
        <f>IF($A31="","",SUMIFS('04 Resource log'!$J$7:$J$506,'04 Resource log'!$B$7:$B$506,$A31,'04 Resource log'!$E$7:$E$506,"Labour"))</f>
        <v/>
      </c>
      <c r="L31" s="270" t="str">
        <f>IF(OR($A31="",N($G31)=0),"",$K31/$G31)</f>
        <v/>
      </c>
      <c r="M31" s="271" t="str">
        <f>IF(OR($A31="",N($F31)=0,N($G31)=0),"",$I31*$G31)</f>
        <v/>
      </c>
      <c r="N31" s="272" t="str">
        <f>IF(OR($M31="",N($K31)=0),"",$M31/$K31)</f>
        <v/>
      </c>
      <c r="O31" s="273" t="str">
        <f>IF($A31="","",IFERROR(1/(1/_xlfn.MAXIFS('05 Work done log'!$A$7:$A$506,'05 Work done log'!$B$7:$B$506,$A31)),"not yet"))</f>
        <v/>
      </c>
      <c r="P31" s="161"/>
      <c r="Q31" s="6"/>
      <c r="R31" s="6"/>
      <c r="S31" s="6"/>
      <c r="T31" s="6"/>
      <c r="U31" s="6"/>
      <c r="V31" s="6"/>
      <c r="W31" s="6"/>
      <c r="X31" s="6"/>
      <c r="Y31" s="6"/>
      <c r="Z31" s="6"/>
      <c r="AA31" s="6"/>
      <c r="AB31" s="6"/>
      <c r="AC31" s="6"/>
      <c r="AD31" s="6"/>
      <c r="AE31" s="6"/>
      <c r="AF31" s="6"/>
      <c r="AG31" s="6"/>
      <c r="AH31" s="6"/>
      <c r="AI31" s="6"/>
      <c r="AJ31" s="6"/>
    </row>
    <row r="32" spans="1:36" ht="18" customHeight="1" x14ac:dyDescent="0.3">
      <c r="A32" s="161"/>
      <c r="B32" s="161"/>
      <c r="C32" s="161"/>
      <c r="D32" s="161"/>
      <c r="E32" s="161"/>
      <c r="F32" s="267"/>
      <c r="G32" s="268"/>
      <c r="H32" s="269" t="str">
        <f>IF($A32="","",SUMIFS('05 Work done log'!$F$7:$F$506,'05 Work done log'!$B$7:$B$506,$A32))</f>
        <v/>
      </c>
      <c r="I32" s="270" t="str">
        <f>IF(OR($A32="",N($F32)=0),"",$H32/$F32)</f>
        <v/>
      </c>
      <c r="J32" s="269" t="str">
        <f>IF(OR($A32="",N($F32)=0),"",$F32-$H32)</f>
        <v/>
      </c>
      <c r="K32" s="271" t="str">
        <f>IF($A32="","",SUMIFS('04 Resource log'!$J$7:$J$506,'04 Resource log'!$B$7:$B$506,$A32,'04 Resource log'!$E$7:$E$506,"Labour"))</f>
        <v/>
      </c>
      <c r="L32" s="270" t="str">
        <f>IF(OR($A32="",N($G32)=0),"",$K32/$G32)</f>
        <v/>
      </c>
      <c r="M32" s="271" t="str">
        <f>IF(OR($A32="",N($F32)=0,N($G32)=0),"",$I32*$G32)</f>
        <v/>
      </c>
      <c r="N32" s="272" t="str">
        <f>IF(OR($M32="",N($K32)=0),"",$M32/$K32)</f>
        <v/>
      </c>
      <c r="O32" s="273" t="str">
        <f>IF($A32="","",IFERROR(1/(1/_xlfn.MAXIFS('05 Work done log'!$A$7:$A$506,'05 Work done log'!$B$7:$B$506,$A32)),"not yet"))</f>
        <v/>
      </c>
      <c r="P32" s="161"/>
      <c r="Q32" s="6"/>
      <c r="R32" s="6"/>
      <c r="S32" s="6"/>
      <c r="T32" s="6"/>
      <c r="U32" s="6"/>
      <c r="V32" s="6"/>
      <c r="W32" s="6"/>
      <c r="X32" s="6"/>
      <c r="Y32" s="6"/>
      <c r="Z32" s="6"/>
      <c r="AA32" s="6"/>
      <c r="AB32" s="6"/>
      <c r="AC32" s="6"/>
      <c r="AD32" s="6"/>
      <c r="AE32" s="6"/>
      <c r="AF32" s="6"/>
      <c r="AG32" s="6"/>
      <c r="AH32" s="6"/>
      <c r="AI32" s="6"/>
      <c r="AJ32" s="6"/>
    </row>
    <row r="33" spans="1:36" ht="18" customHeight="1" x14ac:dyDescent="0.3">
      <c r="A33" s="161"/>
      <c r="B33" s="161"/>
      <c r="C33" s="161"/>
      <c r="D33" s="161"/>
      <c r="E33" s="161"/>
      <c r="F33" s="267"/>
      <c r="G33" s="268"/>
      <c r="H33" s="269" t="str">
        <f>IF($A33="","",SUMIFS('05 Work done log'!$F$7:$F$506,'05 Work done log'!$B$7:$B$506,$A33))</f>
        <v/>
      </c>
      <c r="I33" s="270" t="str">
        <f>IF(OR($A33="",N($F33)=0),"",$H33/$F33)</f>
        <v/>
      </c>
      <c r="J33" s="269" t="str">
        <f>IF(OR($A33="",N($F33)=0),"",$F33-$H33)</f>
        <v/>
      </c>
      <c r="K33" s="271" t="str">
        <f>IF($A33="","",SUMIFS('04 Resource log'!$J$7:$J$506,'04 Resource log'!$B$7:$B$506,$A33,'04 Resource log'!$E$7:$E$506,"Labour"))</f>
        <v/>
      </c>
      <c r="L33" s="270" t="str">
        <f>IF(OR($A33="",N($G33)=0),"",$K33/$G33)</f>
        <v/>
      </c>
      <c r="M33" s="271" t="str">
        <f>IF(OR($A33="",N($F33)=0,N($G33)=0),"",$I33*$G33)</f>
        <v/>
      </c>
      <c r="N33" s="272" t="str">
        <f>IF(OR($M33="",N($K33)=0),"",$M33/$K33)</f>
        <v/>
      </c>
      <c r="O33" s="273" t="str">
        <f>IF($A33="","",IFERROR(1/(1/_xlfn.MAXIFS('05 Work done log'!$A$7:$A$506,'05 Work done log'!$B$7:$B$506,$A33)),"not yet"))</f>
        <v/>
      </c>
      <c r="P33" s="161"/>
      <c r="Q33" s="6"/>
      <c r="R33" s="6"/>
      <c r="S33" s="6"/>
      <c r="T33" s="6"/>
      <c r="U33" s="6"/>
      <c r="V33" s="6"/>
      <c r="W33" s="6"/>
      <c r="X33" s="6"/>
      <c r="Y33" s="6"/>
      <c r="Z33" s="6"/>
      <c r="AA33" s="6"/>
      <c r="AB33" s="6"/>
      <c r="AC33" s="6"/>
      <c r="AD33" s="6"/>
      <c r="AE33" s="6"/>
      <c r="AF33" s="6"/>
      <c r="AG33" s="6"/>
      <c r="AH33" s="6"/>
      <c r="AI33" s="6"/>
      <c r="AJ33" s="6"/>
    </row>
    <row r="34" spans="1:36" ht="18" customHeight="1" x14ac:dyDescent="0.3">
      <c r="A34" s="161"/>
      <c r="B34" s="161"/>
      <c r="C34" s="161"/>
      <c r="D34" s="161"/>
      <c r="E34" s="161"/>
      <c r="F34" s="267"/>
      <c r="G34" s="268"/>
      <c r="H34" s="269" t="str">
        <f>IF($A34="","",SUMIFS('05 Work done log'!$F$7:$F$506,'05 Work done log'!$B$7:$B$506,$A34))</f>
        <v/>
      </c>
      <c r="I34" s="270" t="str">
        <f>IF(OR($A34="",N($F34)=0),"",$H34/$F34)</f>
        <v/>
      </c>
      <c r="J34" s="269" t="str">
        <f>IF(OR($A34="",N($F34)=0),"",$F34-$H34)</f>
        <v/>
      </c>
      <c r="K34" s="271" t="str">
        <f>IF($A34="","",SUMIFS('04 Resource log'!$J$7:$J$506,'04 Resource log'!$B$7:$B$506,$A34,'04 Resource log'!$E$7:$E$506,"Labour"))</f>
        <v/>
      </c>
      <c r="L34" s="270" t="str">
        <f>IF(OR($A34="",N($G34)=0),"",$K34/$G34)</f>
        <v/>
      </c>
      <c r="M34" s="271" t="str">
        <f>IF(OR($A34="",N($F34)=0,N($G34)=0),"",$I34*$G34)</f>
        <v/>
      </c>
      <c r="N34" s="272" t="str">
        <f>IF(OR($M34="",N($K34)=0),"",$M34/$K34)</f>
        <v/>
      </c>
      <c r="O34" s="273" t="str">
        <f>IF($A34="","",IFERROR(1/(1/_xlfn.MAXIFS('05 Work done log'!$A$7:$A$506,'05 Work done log'!$B$7:$B$506,$A34)),"not yet"))</f>
        <v/>
      </c>
      <c r="P34" s="161"/>
      <c r="Q34" s="6"/>
      <c r="R34" s="6"/>
      <c r="S34" s="6"/>
      <c r="T34" s="6"/>
      <c r="U34" s="6"/>
      <c r="V34" s="6"/>
      <c r="W34" s="6"/>
      <c r="X34" s="6"/>
      <c r="Y34" s="6"/>
      <c r="Z34" s="6"/>
      <c r="AA34" s="6"/>
      <c r="AB34" s="6"/>
      <c r="AC34" s="6"/>
      <c r="AD34" s="6"/>
      <c r="AE34" s="6"/>
      <c r="AF34" s="6"/>
      <c r="AG34" s="6"/>
      <c r="AH34" s="6"/>
      <c r="AI34" s="6"/>
      <c r="AJ34" s="6"/>
    </row>
    <row r="35" spans="1:36" ht="18" customHeight="1" x14ac:dyDescent="0.3">
      <c r="A35" s="161"/>
      <c r="B35" s="161"/>
      <c r="C35" s="161"/>
      <c r="D35" s="161"/>
      <c r="E35" s="161"/>
      <c r="F35" s="267"/>
      <c r="G35" s="268"/>
      <c r="H35" s="269" t="str">
        <f>IF($A35="","",SUMIFS('05 Work done log'!$F$7:$F$506,'05 Work done log'!$B$7:$B$506,$A35))</f>
        <v/>
      </c>
      <c r="I35" s="270" t="str">
        <f>IF(OR($A35="",N($F35)=0),"",$H35/$F35)</f>
        <v/>
      </c>
      <c r="J35" s="269" t="str">
        <f>IF(OR($A35="",N($F35)=0),"",$F35-$H35)</f>
        <v/>
      </c>
      <c r="K35" s="271" t="str">
        <f>IF($A35="","",SUMIFS('04 Resource log'!$J$7:$J$506,'04 Resource log'!$B$7:$B$506,$A35,'04 Resource log'!$E$7:$E$506,"Labour"))</f>
        <v/>
      </c>
      <c r="L35" s="270" t="str">
        <f>IF(OR($A35="",N($G35)=0),"",$K35/$G35)</f>
        <v/>
      </c>
      <c r="M35" s="271" t="str">
        <f>IF(OR($A35="",N($F35)=0,N($G35)=0),"",$I35*$G35)</f>
        <v/>
      </c>
      <c r="N35" s="272" t="str">
        <f>IF(OR($M35="",N($K35)=0),"",$M35/$K35)</f>
        <v/>
      </c>
      <c r="O35" s="273" t="str">
        <f>IF($A35="","",IFERROR(1/(1/_xlfn.MAXIFS('05 Work done log'!$A$7:$A$506,'05 Work done log'!$B$7:$B$506,$A35)),"not yet"))</f>
        <v/>
      </c>
      <c r="P35" s="161"/>
      <c r="Q35" s="6"/>
      <c r="R35" s="6"/>
      <c r="S35" s="6"/>
      <c r="T35" s="6"/>
      <c r="U35" s="6"/>
      <c r="V35" s="6"/>
      <c r="W35" s="6"/>
      <c r="X35" s="6"/>
      <c r="Y35" s="6"/>
      <c r="Z35" s="6"/>
      <c r="AA35" s="6"/>
      <c r="AB35" s="6"/>
      <c r="AC35" s="6"/>
      <c r="AD35" s="6"/>
      <c r="AE35" s="6"/>
      <c r="AF35" s="6"/>
      <c r="AG35" s="6"/>
      <c r="AH35" s="6"/>
      <c r="AI35" s="6"/>
      <c r="AJ35" s="6"/>
    </row>
    <row r="36" spans="1:36" ht="18" customHeight="1" x14ac:dyDescent="0.3">
      <c r="A36" s="161"/>
      <c r="B36" s="161"/>
      <c r="C36" s="161"/>
      <c r="D36" s="161"/>
      <c r="E36" s="161"/>
      <c r="F36" s="267"/>
      <c r="G36" s="268"/>
      <c r="H36" s="269" t="str">
        <f>IF($A36="","",SUMIFS('05 Work done log'!$F$7:$F$506,'05 Work done log'!$B$7:$B$506,$A36))</f>
        <v/>
      </c>
      <c r="I36" s="270" t="str">
        <f>IF(OR($A36="",N($F36)=0),"",$H36/$F36)</f>
        <v/>
      </c>
      <c r="J36" s="269" t="str">
        <f>IF(OR($A36="",N($F36)=0),"",$F36-$H36)</f>
        <v/>
      </c>
      <c r="K36" s="271" t="str">
        <f>IF($A36="","",SUMIFS('04 Resource log'!$J$7:$J$506,'04 Resource log'!$B$7:$B$506,$A36,'04 Resource log'!$E$7:$E$506,"Labour"))</f>
        <v/>
      </c>
      <c r="L36" s="270" t="str">
        <f>IF(OR($A36="",N($G36)=0),"",$K36/$G36)</f>
        <v/>
      </c>
      <c r="M36" s="271" t="str">
        <f>IF(OR($A36="",N($F36)=0,N($G36)=0),"",$I36*$G36)</f>
        <v/>
      </c>
      <c r="N36" s="272" t="str">
        <f>IF(OR($M36="",N($K36)=0),"",$M36/$K36)</f>
        <v/>
      </c>
      <c r="O36" s="273" t="str">
        <f>IF($A36="","",IFERROR(1/(1/_xlfn.MAXIFS('05 Work done log'!$A$7:$A$506,'05 Work done log'!$B$7:$B$506,$A36)),"not yet"))</f>
        <v/>
      </c>
      <c r="P36" s="161"/>
      <c r="Q36" s="6"/>
      <c r="R36" s="6"/>
      <c r="S36" s="6"/>
      <c r="T36" s="6"/>
      <c r="U36" s="6"/>
      <c r="V36" s="6"/>
      <c r="W36" s="6"/>
      <c r="X36" s="6"/>
      <c r="Y36" s="6"/>
      <c r="Z36" s="6"/>
      <c r="AA36" s="6"/>
      <c r="AB36" s="6"/>
      <c r="AC36" s="6"/>
      <c r="AD36" s="6"/>
      <c r="AE36" s="6"/>
      <c r="AF36" s="6"/>
      <c r="AG36" s="6"/>
      <c r="AH36" s="6"/>
      <c r="AI36" s="6"/>
      <c r="AJ36" s="6"/>
    </row>
    <row r="37" spans="1:36" ht="18" customHeight="1" x14ac:dyDescent="0.3">
      <c r="A37" s="161"/>
      <c r="B37" s="161"/>
      <c r="C37" s="161"/>
      <c r="D37" s="161"/>
      <c r="E37" s="161"/>
      <c r="F37" s="267"/>
      <c r="G37" s="268"/>
      <c r="H37" s="269" t="str">
        <f>IF($A37="","",SUMIFS('05 Work done log'!$F$7:$F$506,'05 Work done log'!$B$7:$B$506,$A37))</f>
        <v/>
      </c>
      <c r="I37" s="270" t="str">
        <f>IF(OR($A37="",N($F37)=0),"",$H37/$F37)</f>
        <v/>
      </c>
      <c r="J37" s="269" t="str">
        <f>IF(OR($A37="",N($F37)=0),"",$F37-$H37)</f>
        <v/>
      </c>
      <c r="K37" s="271" t="str">
        <f>IF($A37="","",SUMIFS('04 Resource log'!$J$7:$J$506,'04 Resource log'!$B$7:$B$506,$A37,'04 Resource log'!$E$7:$E$506,"Labour"))</f>
        <v/>
      </c>
      <c r="L37" s="270" t="str">
        <f>IF(OR($A37="",N($G37)=0),"",$K37/$G37)</f>
        <v/>
      </c>
      <c r="M37" s="271" t="str">
        <f>IF(OR($A37="",N($F37)=0,N($G37)=0),"",$I37*$G37)</f>
        <v/>
      </c>
      <c r="N37" s="272" t="str">
        <f>IF(OR($M37="",N($K37)=0),"",$M37/$K37)</f>
        <v/>
      </c>
      <c r="O37" s="273" t="str">
        <f>IF($A37="","",IFERROR(1/(1/_xlfn.MAXIFS('05 Work done log'!$A$7:$A$506,'05 Work done log'!$B$7:$B$506,$A37)),"not yet"))</f>
        <v/>
      </c>
      <c r="P37" s="161"/>
      <c r="Q37" s="6"/>
      <c r="R37" s="6"/>
      <c r="S37" s="6"/>
      <c r="T37" s="6"/>
      <c r="U37" s="6"/>
      <c r="V37" s="6"/>
      <c r="W37" s="6"/>
      <c r="X37" s="6"/>
      <c r="Y37" s="6"/>
      <c r="Z37" s="6"/>
      <c r="AA37" s="6"/>
      <c r="AB37" s="6"/>
      <c r="AC37" s="6"/>
      <c r="AD37" s="6"/>
      <c r="AE37" s="6"/>
      <c r="AF37" s="6"/>
      <c r="AG37" s="6"/>
      <c r="AH37" s="6"/>
      <c r="AI37" s="6"/>
      <c r="AJ37" s="6"/>
    </row>
    <row r="38" spans="1:36" ht="18" customHeight="1" x14ac:dyDescent="0.3">
      <c r="A38" s="161"/>
      <c r="B38" s="161"/>
      <c r="C38" s="161"/>
      <c r="D38" s="161"/>
      <c r="E38" s="161"/>
      <c r="F38" s="267"/>
      <c r="G38" s="268"/>
      <c r="H38" s="269" t="str">
        <f>IF($A38="","",SUMIFS('05 Work done log'!$F$7:$F$506,'05 Work done log'!$B$7:$B$506,$A38))</f>
        <v/>
      </c>
      <c r="I38" s="270" t="str">
        <f>IF(OR($A38="",N($F38)=0),"",$H38/$F38)</f>
        <v/>
      </c>
      <c r="J38" s="269" t="str">
        <f>IF(OR($A38="",N($F38)=0),"",$F38-$H38)</f>
        <v/>
      </c>
      <c r="K38" s="271" t="str">
        <f>IF($A38="","",SUMIFS('04 Resource log'!$J$7:$J$506,'04 Resource log'!$B$7:$B$506,$A38,'04 Resource log'!$E$7:$E$506,"Labour"))</f>
        <v/>
      </c>
      <c r="L38" s="270" t="str">
        <f>IF(OR($A38="",N($G38)=0),"",$K38/$G38)</f>
        <v/>
      </c>
      <c r="M38" s="271" t="str">
        <f>IF(OR($A38="",N($F38)=0,N($G38)=0),"",$I38*$G38)</f>
        <v/>
      </c>
      <c r="N38" s="272" t="str">
        <f>IF(OR($M38="",N($K38)=0),"",$M38/$K38)</f>
        <v/>
      </c>
      <c r="O38" s="273" t="str">
        <f>IF($A38="","",IFERROR(1/(1/_xlfn.MAXIFS('05 Work done log'!$A$7:$A$506,'05 Work done log'!$B$7:$B$506,$A38)),"not yet"))</f>
        <v/>
      </c>
      <c r="P38" s="161"/>
      <c r="Q38" s="6"/>
      <c r="R38" s="6"/>
      <c r="S38" s="6"/>
      <c r="T38" s="6"/>
      <c r="U38" s="6"/>
      <c r="V38" s="6"/>
      <c r="W38" s="6"/>
      <c r="X38" s="6"/>
      <c r="Y38" s="6"/>
      <c r="Z38" s="6"/>
      <c r="AA38" s="6"/>
      <c r="AB38" s="6"/>
      <c r="AC38" s="6"/>
      <c r="AD38" s="6"/>
      <c r="AE38" s="6"/>
      <c r="AF38" s="6"/>
      <c r="AG38" s="6"/>
      <c r="AH38" s="6"/>
      <c r="AI38" s="6"/>
      <c r="AJ38" s="6"/>
    </row>
    <row r="39" spans="1:36" ht="18" customHeight="1" x14ac:dyDescent="0.3">
      <c r="A39" s="161"/>
      <c r="B39" s="161"/>
      <c r="C39" s="161"/>
      <c r="D39" s="161"/>
      <c r="E39" s="161"/>
      <c r="F39" s="267"/>
      <c r="G39" s="268"/>
      <c r="H39" s="269" t="str">
        <f>IF($A39="","",SUMIFS('05 Work done log'!$F$7:$F$506,'05 Work done log'!$B$7:$B$506,$A39))</f>
        <v/>
      </c>
      <c r="I39" s="270" t="str">
        <f>IF(OR($A39="",N($F39)=0),"",$H39/$F39)</f>
        <v/>
      </c>
      <c r="J39" s="269" t="str">
        <f>IF(OR($A39="",N($F39)=0),"",$F39-$H39)</f>
        <v/>
      </c>
      <c r="K39" s="271" t="str">
        <f>IF($A39="","",SUMIFS('04 Resource log'!$J$7:$J$506,'04 Resource log'!$B$7:$B$506,$A39,'04 Resource log'!$E$7:$E$506,"Labour"))</f>
        <v/>
      </c>
      <c r="L39" s="270" t="str">
        <f>IF(OR($A39="",N($G39)=0),"",$K39/$G39)</f>
        <v/>
      </c>
      <c r="M39" s="271" t="str">
        <f>IF(OR($A39="",N($F39)=0,N($G39)=0),"",$I39*$G39)</f>
        <v/>
      </c>
      <c r="N39" s="272" t="str">
        <f>IF(OR($M39="",N($K39)=0),"",$M39/$K39)</f>
        <v/>
      </c>
      <c r="O39" s="273" t="str">
        <f>IF($A39="","",IFERROR(1/(1/_xlfn.MAXIFS('05 Work done log'!$A$7:$A$506,'05 Work done log'!$B$7:$B$506,$A39)),"not yet"))</f>
        <v/>
      </c>
      <c r="P39" s="161"/>
      <c r="Q39" s="6"/>
      <c r="R39" s="6"/>
      <c r="S39" s="6"/>
      <c r="T39" s="6"/>
      <c r="U39" s="6"/>
      <c r="V39" s="6"/>
      <c r="W39" s="6"/>
      <c r="X39" s="6"/>
      <c r="Y39" s="6"/>
      <c r="Z39" s="6"/>
      <c r="AA39" s="6"/>
      <c r="AB39" s="6"/>
      <c r="AC39" s="6"/>
      <c r="AD39" s="6"/>
      <c r="AE39" s="6"/>
      <c r="AF39" s="6"/>
      <c r="AG39" s="6"/>
      <c r="AH39" s="6"/>
      <c r="AI39" s="6"/>
      <c r="AJ39" s="6"/>
    </row>
    <row r="40" spans="1:36" ht="18" customHeight="1" x14ac:dyDescent="0.3">
      <c r="A40" s="161"/>
      <c r="B40" s="161"/>
      <c r="C40" s="161"/>
      <c r="D40" s="161"/>
      <c r="E40" s="161"/>
      <c r="F40" s="267"/>
      <c r="G40" s="268"/>
      <c r="H40" s="269" t="str">
        <f>IF($A40="","",SUMIFS('05 Work done log'!$F$7:$F$506,'05 Work done log'!$B$7:$B$506,$A40))</f>
        <v/>
      </c>
      <c r="I40" s="270" t="str">
        <f>IF(OR($A40="",N($F40)=0),"",$H40/$F40)</f>
        <v/>
      </c>
      <c r="J40" s="269" t="str">
        <f>IF(OR($A40="",N($F40)=0),"",$F40-$H40)</f>
        <v/>
      </c>
      <c r="K40" s="271" t="str">
        <f>IF($A40="","",SUMIFS('04 Resource log'!$J$7:$J$506,'04 Resource log'!$B$7:$B$506,$A40,'04 Resource log'!$E$7:$E$506,"Labour"))</f>
        <v/>
      </c>
      <c r="L40" s="270" t="str">
        <f>IF(OR($A40="",N($G40)=0),"",$K40/$G40)</f>
        <v/>
      </c>
      <c r="M40" s="271" t="str">
        <f>IF(OR($A40="",N($F40)=0,N($G40)=0),"",$I40*$G40)</f>
        <v/>
      </c>
      <c r="N40" s="272" t="str">
        <f>IF(OR($M40="",N($K40)=0),"",$M40/$K40)</f>
        <v/>
      </c>
      <c r="O40" s="273" t="str">
        <f>IF($A40="","",IFERROR(1/(1/_xlfn.MAXIFS('05 Work done log'!$A$7:$A$506,'05 Work done log'!$B$7:$B$506,$A40)),"not yet"))</f>
        <v/>
      </c>
      <c r="P40" s="161"/>
      <c r="Q40" s="6"/>
      <c r="R40" s="6"/>
      <c r="S40" s="6"/>
      <c r="T40" s="6"/>
      <c r="U40" s="6"/>
      <c r="V40" s="6"/>
      <c r="W40" s="6"/>
      <c r="X40" s="6"/>
      <c r="Y40" s="6"/>
      <c r="Z40" s="6"/>
      <c r="AA40" s="6"/>
      <c r="AB40" s="6"/>
      <c r="AC40" s="6"/>
      <c r="AD40" s="6"/>
      <c r="AE40" s="6"/>
      <c r="AF40" s="6"/>
      <c r="AG40" s="6"/>
      <c r="AH40" s="6"/>
      <c r="AI40" s="6"/>
      <c r="AJ40" s="6"/>
    </row>
    <row r="41" spans="1:36" ht="18" customHeight="1" x14ac:dyDescent="0.3">
      <c r="A41" s="161"/>
      <c r="B41" s="161"/>
      <c r="C41" s="161"/>
      <c r="D41" s="161"/>
      <c r="E41" s="161"/>
      <c r="F41" s="267"/>
      <c r="G41" s="268"/>
      <c r="H41" s="269" t="str">
        <f>IF($A41="","",SUMIFS('05 Work done log'!$F$7:$F$506,'05 Work done log'!$B$7:$B$506,$A41))</f>
        <v/>
      </c>
      <c r="I41" s="270" t="str">
        <f>IF(OR($A41="",N($F41)=0),"",$H41/$F41)</f>
        <v/>
      </c>
      <c r="J41" s="269" t="str">
        <f>IF(OR($A41="",N($F41)=0),"",$F41-$H41)</f>
        <v/>
      </c>
      <c r="K41" s="271" t="str">
        <f>IF($A41="","",SUMIFS('04 Resource log'!$J$7:$J$506,'04 Resource log'!$B$7:$B$506,$A41,'04 Resource log'!$E$7:$E$506,"Labour"))</f>
        <v/>
      </c>
      <c r="L41" s="270" t="str">
        <f>IF(OR($A41="",N($G41)=0),"",$K41/$G41)</f>
        <v/>
      </c>
      <c r="M41" s="271" t="str">
        <f>IF(OR($A41="",N($F41)=0,N($G41)=0),"",$I41*$G41)</f>
        <v/>
      </c>
      <c r="N41" s="272" t="str">
        <f>IF(OR($M41="",N($K41)=0),"",$M41/$K41)</f>
        <v/>
      </c>
      <c r="O41" s="273" t="str">
        <f>IF($A41="","",IFERROR(1/(1/_xlfn.MAXIFS('05 Work done log'!$A$7:$A$506,'05 Work done log'!$B$7:$B$506,$A41)),"not yet"))</f>
        <v/>
      </c>
      <c r="P41" s="161"/>
      <c r="Q41" s="6"/>
      <c r="R41" s="6"/>
      <c r="S41" s="6"/>
      <c r="T41" s="6"/>
      <c r="U41" s="6"/>
      <c r="V41" s="6"/>
      <c r="W41" s="6"/>
      <c r="X41" s="6"/>
      <c r="Y41" s="6"/>
      <c r="Z41" s="6"/>
      <c r="AA41" s="6"/>
      <c r="AB41" s="6"/>
      <c r="AC41" s="6"/>
      <c r="AD41" s="6"/>
      <c r="AE41" s="6"/>
      <c r="AF41" s="6"/>
      <c r="AG41" s="6"/>
      <c r="AH41" s="6"/>
      <c r="AI41" s="6"/>
      <c r="AJ41" s="6"/>
    </row>
    <row r="42" spans="1:36" ht="18" customHeight="1" x14ac:dyDescent="0.3">
      <c r="A42" s="161"/>
      <c r="B42" s="161"/>
      <c r="C42" s="161"/>
      <c r="D42" s="161"/>
      <c r="E42" s="161"/>
      <c r="F42" s="267"/>
      <c r="G42" s="268"/>
      <c r="H42" s="269" t="str">
        <f>IF($A42="","",SUMIFS('05 Work done log'!$F$7:$F$506,'05 Work done log'!$B$7:$B$506,$A42))</f>
        <v/>
      </c>
      <c r="I42" s="270" t="str">
        <f>IF(OR($A42="",N($F42)=0),"",$H42/$F42)</f>
        <v/>
      </c>
      <c r="J42" s="269" t="str">
        <f>IF(OR($A42="",N($F42)=0),"",$F42-$H42)</f>
        <v/>
      </c>
      <c r="K42" s="271" t="str">
        <f>IF($A42="","",SUMIFS('04 Resource log'!$J$7:$J$506,'04 Resource log'!$B$7:$B$506,$A42,'04 Resource log'!$E$7:$E$506,"Labour"))</f>
        <v/>
      </c>
      <c r="L42" s="270" t="str">
        <f>IF(OR($A42="",N($G42)=0),"",$K42/$G42)</f>
        <v/>
      </c>
      <c r="M42" s="271" t="str">
        <f>IF(OR($A42="",N($F42)=0,N($G42)=0),"",$I42*$G42)</f>
        <v/>
      </c>
      <c r="N42" s="272" t="str">
        <f>IF(OR($M42="",N($K42)=0),"",$M42/$K42)</f>
        <v/>
      </c>
      <c r="O42" s="273" t="str">
        <f>IF($A42="","",IFERROR(1/(1/_xlfn.MAXIFS('05 Work done log'!$A$7:$A$506,'05 Work done log'!$B$7:$B$506,$A42)),"not yet"))</f>
        <v/>
      </c>
      <c r="P42" s="161"/>
      <c r="Q42" s="6"/>
      <c r="R42" s="6"/>
      <c r="S42" s="6"/>
      <c r="T42" s="6"/>
      <c r="U42" s="6"/>
      <c r="V42" s="6"/>
      <c r="W42" s="6"/>
      <c r="X42" s="6"/>
      <c r="Y42" s="6"/>
      <c r="Z42" s="6"/>
      <c r="AA42" s="6"/>
      <c r="AB42" s="6"/>
      <c r="AC42" s="6"/>
      <c r="AD42" s="6"/>
      <c r="AE42" s="6"/>
      <c r="AF42" s="6"/>
      <c r="AG42" s="6"/>
      <c r="AH42" s="6"/>
      <c r="AI42" s="6"/>
      <c r="AJ42" s="6"/>
    </row>
    <row r="43" spans="1:36" ht="18" customHeight="1" x14ac:dyDescent="0.3">
      <c r="A43" s="161"/>
      <c r="B43" s="161"/>
      <c r="C43" s="161"/>
      <c r="D43" s="161"/>
      <c r="E43" s="161"/>
      <c r="F43" s="267"/>
      <c r="G43" s="268"/>
      <c r="H43" s="269" t="str">
        <f>IF($A43="","",SUMIFS('05 Work done log'!$F$7:$F$506,'05 Work done log'!$B$7:$B$506,$A43))</f>
        <v/>
      </c>
      <c r="I43" s="270" t="str">
        <f>IF(OR($A43="",N($F43)=0),"",$H43/$F43)</f>
        <v/>
      </c>
      <c r="J43" s="269" t="str">
        <f>IF(OR($A43="",N($F43)=0),"",$F43-$H43)</f>
        <v/>
      </c>
      <c r="K43" s="271" t="str">
        <f>IF($A43="","",SUMIFS('04 Resource log'!$J$7:$J$506,'04 Resource log'!$B$7:$B$506,$A43,'04 Resource log'!$E$7:$E$506,"Labour"))</f>
        <v/>
      </c>
      <c r="L43" s="270" t="str">
        <f>IF(OR($A43="",N($G43)=0),"",$K43/$G43)</f>
        <v/>
      </c>
      <c r="M43" s="271" t="str">
        <f>IF(OR($A43="",N($F43)=0,N($G43)=0),"",$I43*$G43)</f>
        <v/>
      </c>
      <c r="N43" s="272" t="str">
        <f>IF(OR($M43="",N($K43)=0),"",$M43/$K43)</f>
        <v/>
      </c>
      <c r="O43" s="273" t="str">
        <f>IF($A43="","",IFERROR(1/(1/_xlfn.MAXIFS('05 Work done log'!$A$7:$A$506,'05 Work done log'!$B$7:$B$506,$A43)),"not yet"))</f>
        <v/>
      </c>
      <c r="P43" s="161"/>
      <c r="Q43" s="6"/>
      <c r="R43" s="6"/>
      <c r="S43" s="6"/>
      <c r="T43" s="6"/>
      <c r="U43" s="6"/>
      <c r="V43" s="6"/>
      <c r="W43" s="6"/>
      <c r="X43" s="6"/>
      <c r="Y43" s="6"/>
      <c r="Z43" s="6"/>
      <c r="AA43" s="6"/>
      <c r="AB43" s="6"/>
      <c r="AC43" s="6"/>
      <c r="AD43" s="6"/>
      <c r="AE43" s="6"/>
      <c r="AF43" s="6"/>
      <c r="AG43" s="6"/>
      <c r="AH43" s="6"/>
      <c r="AI43" s="6"/>
      <c r="AJ43" s="6"/>
    </row>
    <row r="44" spans="1:36" ht="18" customHeight="1" x14ac:dyDescent="0.3">
      <c r="A44" s="161"/>
      <c r="B44" s="161"/>
      <c r="C44" s="161"/>
      <c r="D44" s="161"/>
      <c r="E44" s="161"/>
      <c r="F44" s="267"/>
      <c r="G44" s="268"/>
      <c r="H44" s="269" t="str">
        <f>IF($A44="","",SUMIFS('05 Work done log'!$F$7:$F$506,'05 Work done log'!$B$7:$B$506,$A44))</f>
        <v/>
      </c>
      <c r="I44" s="270" t="str">
        <f>IF(OR($A44="",N($F44)=0),"",$H44/$F44)</f>
        <v/>
      </c>
      <c r="J44" s="269" t="str">
        <f>IF(OR($A44="",N($F44)=0),"",$F44-$H44)</f>
        <v/>
      </c>
      <c r="K44" s="271" t="str">
        <f>IF($A44="","",SUMIFS('04 Resource log'!$J$7:$J$506,'04 Resource log'!$B$7:$B$506,$A44,'04 Resource log'!$E$7:$E$506,"Labour"))</f>
        <v/>
      </c>
      <c r="L44" s="270" t="str">
        <f>IF(OR($A44="",N($G44)=0),"",$K44/$G44)</f>
        <v/>
      </c>
      <c r="M44" s="271" t="str">
        <f>IF(OR($A44="",N($F44)=0,N($G44)=0),"",$I44*$G44)</f>
        <v/>
      </c>
      <c r="N44" s="272" t="str">
        <f>IF(OR($M44="",N($K44)=0),"",$M44/$K44)</f>
        <v/>
      </c>
      <c r="O44" s="273" t="str">
        <f>IF($A44="","",IFERROR(1/(1/_xlfn.MAXIFS('05 Work done log'!$A$7:$A$506,'05 Work done log'!$B$7:$B$506,$A44)),"not yet"))</f>
        <v/>
      </c>
      <c r="P44" s="161"/>
      <c r="Q44" s="6"/>
      <c r="R44" s="6"/>
      <c r="S44" s="6"/>
      <c r="T44" s="6"/>
      <c r="U44" s="6"/>
      <c r="V44" s="6"/>
      <c r="W44" s="6"/>
      <c r="X44" s="6"/>
      <c r="Y44" s="6"/>
      <c r="Z44" s="6"/>
      <c r="AA44" s="6"/>
      <c r="AB44" s="6"/>
      <c r="AC44" s="6"/>
      <c r="AD44" s="6"/>
      <c r="AE44" s="6"/>
      <c r="AF44" s="6"/>
      <c r="AG44" s="6"/>
      <c r="AH44" s="6"/>
      <c r="AI44" s="6"/>
      <c r="AJ44" s="6"/>
    </row>
    <row r="45" spans="1:36" ht="18" customHeight="1" x14ac:dyDescent="0.3">
      <c r="A45" s="161"/>
      <c r="B45" s="161"/>
      <c r="C45" s="161"/>
      <c r="D45" s="161"/>
      <c r="E45" s="161"/>
      <c r="F45" s="267"/>
      <c r="G45" s="268"/>
      <c r="H45" s="269" t="str">
        <f>IF($A45="","",SUMIFS('05 Work done log'!$F$7:$F$506,'05 Work done log'!$B$7:$B$506,$A45))</f>
        <v/>
      </c>
      <c r="I45" s="270" t="str">
        <f>IF(OR($A45="",N($F45)=0),"",$H45/$F45)</f>
        <v/>
      </c>
      <c r="J45" s="269" t="str">
        <f>IF(OR($A45="",N($F45)=0),"",$F45-$H45)</f>
        <v/>
      </c>
      <c r="K45" s="271" t="str">
        <f>IF($A45="","",SUMIFS('04 Resource log'!$J$7:$J$506,'04 Resource log'!$B$7:$B$506,$A45,'04 Resource log'!$E$7:$E$506,"Labour"))</f>
        <v/>
      </c>
      <c r="L45" s="270" t="str">
        <f>IF(OR($A45="",N($G45)=0),"",$K45/$G45)</f>
        <v/>
      </c>
      <c r="M45" s="271" t="str">
        <f>IF(OR($A45="",N($F45)=0,N($G45)=0),"",$I45*$G45)</f>
        <v/>
      </c>
      <c r="N45" s="272" t="str">
        <f>IF(OR($M45="",N($K45)=0),"",$M45/$K45)</f>
        <v/>
      </c>
      <c r="O45" s="273" t="str">
        <f>IF($A45="","",IFERROR(1/(1/_xlfn.MAXIFS('05 Work done log'!$A$7:$A$506,'05 Work done log'!$B$7:$B$506,$A45)),"not yet"))</f>
        <v/>
      </c>
      <c r="P45" s="161"/>
      <c r="Q45" s="6"/>
      <c r="R45" s="6"/>
      <c r="S45" s="6"/>
      <c r="T45" s="6"/>
      <c r="U45" s="6"/>
      <c r="V45" s="6"/>
      <c r="W45" s="6"/>
      <c r="X45" s="6"/>
      <c r="Y45" s="6"/>
      <c r="Z45" s="6"/>
      <c r="AA45" s="6"/>
      <c r="AB45" s="6"/>
      <c r="AC45" s="6"/>
      <c r="AD45" s="6"/>
      <c r="AE45" s="6"/>
      <c r="AF45" s="6"/>
      <c r="AG45" s="6"/>
      <c r="AH45" s="6"/>
      <c r="AI45" s="6"/>
      <c r="AJ45" s="6"/>
    </row>
    <row r="46" spans="1:36" ht="18" customHeight="1" x14ac:dyDescent="0.3">
      <c r="A46" s="161"/>
      <c r="B46" s="161"/>
      <c r="C46" s="161"/>
      <c r="D46" s="161"/>
      <c r="E46" s="161"/>
      <c r="F46" s="267"/>
      <c r="G46" s="268"/>
      <c r="H46" s="269" t="str">
        <f>IF($A46="","",SUMIFS('05 Work done log'!$F$7:$F$506,'05 Work done log'!$B$7:$B$506,$A46))</f>
        <v/>
      </c>
      <c r="I46" s="270" t="str">
        <f>IF(OR($A46="",N($F46)=0),"",$H46/$F46)</f>
        <v/>
      </c>
      <c r="J46" s="269" t="str">
        <f>IF(OR($A46="",N($F46)=0),"",$F46-$H46)</f>
        <v/>
      </c>
      <c r="K46" s="271" t="str">
        <f>IF($A46="","",SUMIFS('04 Resource log'!$J$7:$J$506,'04 Resource log'!$B$7:$B$506,$A46,'04 Resource log'!$E$7:$E$506,"Labour"))</f>
        <v/>
      </c>
      <c r="L46" s="270" t="str">
        <f>IF(OR($A46="",N($G46)=0),"",$K46/$G46)</f>
        <v/>
      </c>
      <c r="M46" s="271" t="str">
        <f>IF(OR($A46="",N($F46)=0,N($G46)=0),"",$I46*$G46)</f>
        <v/>
      </c>
      <c r="N46" s="272" t="str">
        <f>IF(OR($M46="",N($K46)=0),"",$M46/$K46)</f>
        <v/>
      </c>
      <c r="O46" s="273" t="str">
        <f>IF($A46="","",IFERROR(1/(1/_xlfn.MAXIFS('05 Work done log'!$A$7:$A$506,'05 Work done log'!$B$7:$B$506,$A46)),"not yet"))</f>
        <v/>
      </c>
      <c r="P46" s="161"/>
      <c r="Q46" s="6"/>
      <c r="R46" s="6"/>
      <c r="S46" s="6"/>
      <c r="T46" s="6"/>
      <c r="U46" s="6"/>
      <c r="V46" s="6"/>
      <c r="W46" s="6"/>
      <c r="X46" s="6"/>
      <c r="Y46" s="6"/>
      <c r="Z46" s="6"/>
      <c r="AA46" s="6"/>
      <c r="AB46" s="6"/>
      <c r="AC46" s="6"/>
      <c r="AD46" s="6"/>
      <c r="AE46" s="6"/>
      <c r="AF46" s="6"/>
      <c r="AG46" s="6"/>
      <c r="AH46" s="6"/>
      <c r="AI46" s="6"/>
      <c r="AJ46" s="6"/>
    </row>
    <row r="47" spans="1:36" ht="18" customHeight="1" x14ac:dyDescent="0.3">
      <c r="A47" s="161"/>
      <c r="B47" s="161"/>
      <c r="C47" s="161"/>
      <c r="D47" s="161"/>
      <c r="E47" s="161"/>
      <c r="F47" s="267"/>
      <c r="G47" s="268"/>
      <c r="H47" s="269" t="str">
        <f>IF($A47="","",SUMIFS('05 Work done log'!$F$7:$F$506,'05 Work done log'!$B$7:$B$506,$A47))</f>
        <v/>
      </c>
      <c r="I47" s="270" t="str">
        <f>IF(OR($A47="",N($F47)=0),"",$H47/$F47)</f>
        <v/>
      </c>
      <c r="J47" s="269" t="str">
        <f>IF(OR($A47="",N($F47)=0),"",$F47-$H47)</f>
        <v/>
      </c>
      <c r="K47" s="271" t="str">
        <f>IF($A47="","",SUMIFS('04 Resource log'!$J$7:$J$506,'04 Resource log'!$B$7:$B$506,$A47,'04 Resource log'!$E$7:$E$506,"Labour"))</f>
        <v/>
      </c>
      <c r="L47" s="270" t="str">
        <f>IF(OR($A47="",N($G47)=0),"",$K47/$G47)</f>
        <v/>
      </c>
      <c r="M47" s="271" t="str">
        <f>IF(OR($A47="",N($F47)=0,N($G47)=0),"",$I47*$G47)</f>
        <v/>
      </c>
      <c r="N47" s="272" t="str">
        <f>IF(OR($M47="",N($K47)=0),"",$M47/$K47)</f>
        <v/>
      </c>
      <c r="O47" s="273" t="str">
        <f>IF($A47="","",IFERROR(1/(1/_xlfn.MAXIFS('05 Work done log'!$A$7:$A$506,'05 Work done log'!$B$7:$B$506,$A47)),"not yet"))</f>
        <v/>
      </c>
      <c r="P47" s="161"/>
      <c r="Q47" s="6"/>
      <c r="R47" s="6"/>
      <c r="S47" s="6"/>
      <c r="T47" s="6"/>
      <c r="U47" s="6"/>
      <c r="V47" s="6"/>
      <c r="W47" s="6"/>
      <c r="X47" s="6"/>
      <c r="Y47" s="6"/>
      <c r="Z47" s="6"/>
      <c r="AA47" s="6"/>
      <c r="AB47" s="6"/>
      <c r="AC47" s="6"/>
      <c r="AD47" s="6"/>
      <c r="AE47" s="6"/>
      <c r="AF47" s="6"/>
      <c r="AG47" s="6"/>
      <c r="AH47" s="6"/>
      <c r="AI47" s="6"/>
      <c r="AJ47" s="6"/>
    </row>
    <row r="48" spans="1:36" ht="18" customHeight="1" x14ac:dyDescent="0.3">
      <c r="A48" s="161"/>
      <c r="B48" s="161"/>
      <c r="C48" s="161"/>
      <c r="D48" s="161"/>
      <c r="E48" s="161"/>
      <c r="F48" s="267"/>
      <c r="G48" s="268"/>
      <c r="H48" s="269" t="str">
        <f>IF($A48="","",SUMIFS('05 Work done log'!$F$7:$F$506,'05 Work done log'!$B$7:$B$506,$A48))</f>
        <v/>
      </c>
      <c r="I48" s="270" t="str">
        <f>IF(OR($A48="",N($F48)=0),"",$H48/$F48)</f>
        <v/>
      </c>
      <c r="J48" s="269" t="str">
        <f>IF(OR($A48="",N($F48)=0),"",$F48-$H48)</f>
        <v/>
      </c>
      <c r="K48" s="271" t="str">
        <f>IF($A48="","",SUMIFS('04 Resource log'!$J$7:$J$506,'04 Resource log'!$B$7:$B$506,$A48,'04 Resource log'!$E$7:$E$506,"Labour"))</f>
        <v/>
      </c>
      <c r="L48" s="270" t="str">
        <f>IF(OR($A48="",N($G48)=0),"",$K48/$G48)</f>
        <v/>
      </c>
      <c r="M48" s="271" t="str">
        <f>IF(OR($A48="",N($F48)=0,N($G48)=0),"",$I48*$G48)</f>
        <v/>
      </c>
      <c r="N48" s="272" t="str">
        <f>IF(OR($M48="",N($K48)=0),"",$M48/$K48)</f>
        <v/>
      </c>
      <c r="O48" s="273" t="str">
        <f>IF($A48="","",IFERROR(1/(1/_xlfn.MAXIFS('05 Work done log'!$A$7:$A$506,'05 Work done log'!$B$7:$B$506,$A48)),"not yet"))</f>
        <v/>
      </c>
      <c r="P48" s="161"/>
      <c r="Q48" s="6"/>
      <c r="R48" s="6"/>
      <c r="S48" s="6"/>
      <c r="T48" s="6"/>
      <c r="U48" s="6"/>
      <c r="V48" s="6"/>
      <c r="W48" s="6"/>
      <c r="X48" s="6"/>
      <c r="Y48" s="6"/>
      <c r="Z48" s="6"/>
      <c r="AA48" s="6"/>
      <c r="AB48" s="6"/>
      <c r="AC48" s="6"/>
      <c r="AD48" s="6"/>
      <c r="AE48" s="6"/>
      <c r="AF48" s="6"/>
      <c r="AG48" s="6"/>
      <c r="AH48" s="6"/>
      <c r="AI48" s="6"/>
      <c r="AJ48" s="6"/>
    </row>
    <row r="49" spans="1:36" ht="18" customHeight="1" x14ac:dyDescent="0.3">
      <c r="A49" s="161"/>
      <c r="B49" s="161"/>
      <c r="C49" s="161"/>
      <c r="D49" s="161"/>
      <c r="E49" s="161"/>
      <c r="F49" s="267"/>
      <c r="G49" s="268"/>
      <c r="H49" s="269" t="str">
        <f>IF($A49="","",SUMIFS('05 Work done log'!$F$7:$F$506,'05 Work done log'!$B$7:$B$506,$A49))</f>
        <v/>
      </c>
      <c r="I49" s="270" t="str">
        <f>IF(OR($A49="",N($F49)=0),"",$H49/$F49)</f>
        <v/>
      </c>
      <c r="J49" s="269" t="str">
        <f>IF(OR($A49="",N($F49)=0),"",$F49-$H49)</f>
        <v/>
      </c>
      <c r="K49" s="271" t="str">
        <f>IF($A49="","",SUMIFS('04 Resource log'!$J$7:$J$506,'04 Resource log'!$B$7:$B$506,$A49,'04 Resource log'!$E$7:$E$506,"Labour"))</f>
        <v/>
      </c>
      <c r="L49" s="270" t="str">
        <f>IF(OR($A49="",N($G49)=0),"",$K49/$G49)</f>
        <v/>
      </c>
      <c r="M49" s="271" t="str">
        <f>IF(OR($A49="",N($F49)=0,N($G49)=0),"",$I49*$G49)</f>
        <v/>
      </c>
      <c r="N49" s="272" t="str">
        <f>IF(OR($M49="",N($K49)=0),"",$M49/$K49)</f>
        <v/>
      </c>
      <c r="O49" s="273" t="str">
        <f>IF($A49="","",IFERROR(1/(1/_xlfn.MAXIFS('05 Work done log'!$A$7:$A$506,'05 Work done log'!$B$7:$B$506,$A49)),"not yet"))</f>
        <v/>
      </c>
      <c r="P49" s="161"/>
      <c r="Q49" s="6"/>
      <c r="R49" s="6"/>
      <c r="S49" s="6"/>
      <c r="T49" s="6"/>
      <c r="U49" s="6"/>
      <c r="V49" s="6"/>
      <c r="W49" s="6"/>
      <c r="X49" s="6"/>
      <c r="Y49" s="6"/>
      <c r="Z49" s="6"/>
      <c r="AA49" s="6"/>
      <c r="AB49" s="6"/>
      <c r="AC49" s="6"/>
      <c r="AD49" s="6"/>
      <c r="AE49" s="6"/>
      <c r="AF49" s="6"/>
      <c r="AG49" s="6"/>
      <c r="AH49" s="6"/>
      <c r="AI49" s="6"/>
      <c r="AJ49" s="6"/>
    </row>
    <row r="50" spans="1:36" ht="18" customHeight="1" x14ac:dyDescent="0.3">
      <c r="A50" s="161"/>
      <c r="B50" s="161"/>
      <c r="C50" s="161"/>
      <c r="D50" s="161"/>
      <c r="E50" s="161"/>
      <c r="F50" s="267"/>
      <c r="G50" s="268"/>
      <c r="H50" s="269" t="str">
        <f>IF($A50="","",SUMIFS('05 Work done log'!$F$7:$F$506,'05 Work done log'!$B$7:$B$506,$A50))</f>
        <v/>
      </c>
      <c r="I50" s="270" t="str">
        <f>IF(OR($A50="",N($F50)=0),"",$H50/$F50)</f>
        <v/>
      </c>
      <c r="J50" s="269" t="str">
        <f>IF(OR($A50="",N($F50)=0),"",$F50-$H50)</f>
        <v/>
      </c>
      <c r="K50" s="271" t="str">
        <f>IF($A50="","",SUMIFS('04 Resource log'!$J$7:$J$506,'04 Resource log'!$B$7:$B$506,$A50,'04 Resource log'!$E$7:$E$506,"Labour"))</f>
        <v/>
      </c>
      <c r="L50" s="270" t="str">
        <f>IF(OR($A50="",N($G50)=0),"",$K50/$G50)</f>
        <v/>
      </c>
      <c r="M50" s="271" t="str">
        <f>IF(OR($A50="",N($F50)=0,N($G50)=0),"",$I50*$G50)</f>
        <v/>
      </c>
      <c r="N50" s="272" t="str">
        <f>IF(OR($M50="",N($K50)=0),"",$M50/$K50)</f>
        <v/>
      </c>
      <c r="O50" s="273" t="str">
        <f>IF($A50="","",IFERROR(1/(1/_xlfn.MAXIFS('05 Work done log'!$A$7:$A$506,'05 Work done log'!$B$7:$B$506,$A50)),"not yet"))</f>
        <v/>
      </c>
      <c r="P50" s="161"/>
      <c r="Q50" s="6"/>
      <c r="R50" s="6"/>
      <c r="S50" s="6"/>
      <c r="T50" s="6"/>
      <c r="U50" s="6"/>
      <c r="V50" s="6"/>
      <c r="W50" s="6"/>
      <c r="X50" s="6"/>
      <c r="Y50" s="6"/>
      <c r="Z50" s="6"/>
      <c r="AA50" s="6"/>
      <c r="AB50" s="6"/>
      <c r="AC50" s="6"/>
      <c r="AD50" s="6"/>
      <c r="AE50" s="6"/>
      <c r="AF50" s="6"/>
      <c r="AG50" s="6"/>
      <c r="AH50" s="6"/>
      <c r="AI50" s="6"/>
      <c r="AJ50" s="6"/>
    </row>
    <row r="51" spans="1:36" ht="18" customHeight="1" x14ac:dyDescent="0.3">
      <c r="A51" s="161"/>
      <c r="B51" s="161"/>
      <c r="C51" s="161"/>
      <c r="D51" s="161"/>
      <c r="E51" s="161"/>
      <c r="F51" s="267"/>
      <c r="G51" s="268"/>
      <c r="H51" s="269" t="str">
        <f>IF($A51="","",SUMIFS('05 Work done log'!$F$7:$F$506,'05 Work done log'!$B$7:$B$506,$A51))</f>
        <v/>
      </c>
      <c r="I51" s="270" t="str">
        <f>IF(OR($A51="",N($F51)=0),"",$H51/$F51)</f>
        <v/>
      </c>
      <c r="J51" s="269" t="str">
        <f>IF(OR($A51="",N($F51)=0),"",$F51-$H51)</f>
        <v/>
      </c>
      <c r="K51" s="271" t="str">
        <f>IF($A51="","",SUMIFS('04 Resource log'!$J$7:$J$506,'04 Resource log'!$B$7:$B$506,$A51,'04 Resource log'!$E$7:$E$506,"Labour"))</f>
        <v/>
      </c>
      <c r="L51" s="270" t="str">
        <f>IF(OR($A51="",N($G51)=0),"",$K51/$G51)</f>
        <v/>
      </c>
      <c r="M51" s="271" t="str">
        <f>IF(OR($A51="",N($F51)=0,N($G51)=0),"",$I51*$G51)</f>
        <v/>
      </c>
      <c r="N51" s="272" t="str">
        <f>IF(OR($M51="",N($K51)=0),"",$M51/$K51)</f>
        <v/>
      </c>
      <c r="O51" s="273" t="str">
        <f>IF($A51="","",IFERROR(1/(1/_xlfn.MAXIFS('05 Work done log'!$A$7:$A$506,'05 Work done log'!$B$7:$B$506,$A51)),"not yet"))</f>
        <v/>
      </c>
      <c r="P51" s="161"/>
      <c r="Q51" s="6"/>
      <c r="R51" s="6"/>
      <c r="S51" s="6"/>
      <c r="T51" s="6"/>
      <c r="U51" s="6"/>
      <c r="V51" s="6"/>
      <c r="W51" s="6"/>
      <c r="X51" s="6"/>
      <c r="Y51" s="6"/>
      <c r="Z51" s="6"/>
      <c r="AA51" s="6"/>
      <c r="AB51" s="6"/>
      <c r="AC51" s="6"/>
      <c r="AD51" s="6"/>
      <c r="AE51" s="6"/>
      <c r="AF51" s="6"/>
      <c r="AG51" s="6"/>
      <c r="AH51" s="6"/>
      <c r="AI51" s="6"/>
      <c r="AJ51" s="6"/>
    </row>
    <row r="52" spans="1:36" ht="18" customHeight="1" x14ac:dyDescent="0.3">
      <c r="A52" s="161"/>
      <c r="B52" s="161"/>
      <c r="C52" s="161"/>
      <c r="D52" s="161"/>
      <c r="E52" s="161"/>
      <c r="F52" s="267"/>
      <c r="G52" s="268"/>
      <c r="H52" s="269" t="str">
        <f>IF($A52="","",SUMIFS('05 Work done log'!$F$7:$F$506,'05 Work done log'!$B$7:$B$506,$A52))</f>
        <v/>
      </c>
      <c r="I52" s="270" t="str">
        <f>IF(OR($A52="",N($F52)=0),"",$H52/$F52)</f>
        <v/>
      </c>
      <c r="J52" s="269" t="str">
        <f>IF(OR($A52="",N($F52)=0),"",$F52-$H52)</f>
        <v/>
      </c>
      <c r="K52" s="271" t="str">
        <f>IF($A52="","",SUMIFS('04 Resource log'!$J$7:$J$506,'04 Resource log'!$B$7:$B$506,$A52,'04 Resource log'!$E$7:$E$506,"Labour"))</f>
        <v/>
      </c>
      <c r="L52" s="270" t="str">
        <f>IF(OR($A52="",N($G52)=0),"",$K52/$G52)</f>
        <v/>
      </c>
      <c r="M52" s="271" t="str">
        <f>IF(OR($A52="",N($F52)=0,N($G52)=0),"",$I52*$G52)</f>
        <v/>
      </c>
      <c r="N52" s="272" t="str">
        <f>IF(OR($M52="",N($K52)=0),"",$M52/$K52)</f>
        <v/>
      </c>
      <c r="O52" s="273" t="str">
        <f>IF($A52="","",IFERROR(1/(1/_xlfn.MAXIFS('05 Work done log'!$A$7:$A$506,'05 Work done log'!$B$7:$B$506,$A52)),"not yet"))</f>
        <v/>
      </c>
      <c r="P52" s="161"/>
      <c r="Q52" s="6"/>
      <c r="R52" s="6"/>
      <c r="S52" s="6"/>
      <c r="T52" s="6"/>
      <c r="U52" s="6"/>
      <c r="V52" s="6"/>
      <c r="W52" s="6"/>
      <c r="X52" s="6"/>
      <c r="Y52" s="6"/>
      <c r="Z52" s="6"/>
      <c r="AA52" s="6"/>
      <c r="AB52" s="6"/>
      <c r="AC52" s="6"/>
      <c r="AD52" s="6"/>
      <c r="AE52" s="6"/>
      <c r="AF52" s="6"/>
      <c r="AG52" s="6"/>
      <c r="AH52" s="6"/>
      <c r="AI52" s="6"/>
      <c r="AJ52" s="6"/>
    </row>
    <row r="53" spans="1:36" ht="18" customHeight="1" x14ac:dyDescent="0.3">
      <c r="A53" s="161"/>
      <c r="B53" s="161"/>
      <c r="C53" s="161"/>
      <c r="D53" s="161"/>
      <c r="E53" s="161"/>
      <c r="F53" s="267"/>
      <c r="G53" s="268"/>
      <c r="H53" s="269" t="str">
        <f>IF($A53="","",SUMIFS('05 Work done log'!$F$7:$F$506,'05 Work done log'!$B$7:$B$506,$A53))</f>
        <v/>
      </c>
      <c r="I53" s="270" t="str">
        <f>IF(OR($A53="",N($F53)=0),"",$H53/$F53)</f>
        <v/>
      </c>
      <c r="J53" s="269" t="str">
        <f>IF(OR($A53="",N($F53)=0),"",$F53-$H53)</f>
        <v/>
      </c>
      <c r="K53" s="271" t="str">
        <f>IF($A53="","",SUMIFS('04 Resource log'!$J$7:$J$506,'04 Resource log'!$B$7:$B$506,$A53,'04 Resource log'!$E$7:$E$506,"Labour"))</f>
        <v/>
      </c>
      <c r="L53" s="270" t="str">
        <f>IF(OR($A53="",N($G53)=0),"",$K53/$G53)</f>
        <v/>
      </c>
      <c r="M53" s="271" t="str">
        <f>IF(OR($A53="",N($F53)=0,N($G53)=0),"",$I53*$G53)</f>
        <v/>
      </c>
      <c r="N53" s="272" t="str">
        <f>IF(OR($M53="",N($K53)=0),"",$M53/$K53)</f>
        <v/>
      </c>
      <c r="O53" s="273" t="str">
        <f>IF($A53="","",IFERROR(1/(1/_xlfn.MAXIFS('05 Work done log'!$A$7:$A$506,'05 Work done log'!$B$7:$B$506,$A53)),"not yet"))</f>
        <v/>
      </c>
      <c r="P53" s="161"/>
      <c r="Q53" s="6"/>
      <c r="R53" s="6"/>
      <c r="S53" s="6"/>
      <c r="T53" s="6"/>
      <c r="U53" s="6"/>
      <c r="V53" s="6"/>
      <c r="W53" s="6"/>
      <c r="X53" s="6"/>
      <c r="Y53" s="6"/>
      <c r="Z53" s="6"/>
      <c r="AA53" s="6"/>
      <c r="AB53" s="6"/>
      <c r="AC53" s="6"/>
      <c r="AD53" s="6"/>
      <c r="AE53" s="6"/>
      <c r="AF53" s="6"/>
      <c r="AG53" s="6"/>
      <c r="AH53" s="6"/>
      <c r="AI53" s="6"/>
      <c r="AJ53" s="6"/>
    </row>
    <row r="54" spans="1:36" ht="18" customHeight="1" x14ac:dyDescent="0.3">
      <c r="A54" s="161"/>
      <c r="B54" s="161"/>
      <c r="C54" s="161"/>
      <c r="D54" s="161"/>
      <c r="E54" s="161"/>
      <c r="F54" s="267"/>
      <c r="G54" s="268"/>
      <c r="H54" s="269" t="str">
        <f>IF($A54="","",SUMIFS('05 Work done log'!$F$7:$F$506,'05 Work done log'!$B$7:$B$506,$A54))</f>
        <v/>
      </c>
      <c r="I54" s="270" t="str">
        <f>IF(OR($A54="",N($F54)=0),"",$H54/$F54)</f>
        <v/>
      </c>
      <c r="J54" s="269" t="str">
        <f>IF(OR($A54="",N($F54)=0),"",$F54-$H54)</f>
        <v/>
      </c>
      <c r="K54" s="271" t="str">
        <f>IF($A54="","",SUMIFS('04 Resource log'!$J$7:$J$506,'04 Resource log'!$B$7:$B$506,$A54,'04 Resource log'!$E$7:$E$506,"Labour"))</f>
        <v/>
      </c>
      <c r="L54" s="270" t="str">
        <f>IF(OR($A54="",N($G54)=0),"",$K54/$G54)</f>
        <v/>
      </c>
      <c r="M54" s="271" t="str">
        <f>IF(OR($A54="",N($F54)=0,N($G54)=0),"",$I54*$G54)</f>
        <v/>
      </c>
      <c r="N54" s="272" t="str">
        <f>IF(OR($M54="",N($K54)=0),"",$M54/$K54)</f>
        <v/>
      </c>
      <c r="O54" s="273" t="str">
        <f>IF($A54="","",IFERROR(1/(1/_xlfn.MAXIFS('05 Work done log'!$A$7:$A$506,'05 Work done log'!$B$7:$B$506,$A54)),"not yet"))</f>
        <v/>
      </c>
      <c r="P54" s="161"/>
      <c r="Q54" s="6"/>
      <c r="R54" s="6"/>
      <c r="S54" s="6"/>
      <c r="T54" s="6"/>
      <c r="U54" s="6"/>
      <c r="V54" s="6"/>
      <c r="W54" s="6"/>
      <c r="X54" s="6"/>
      <c r="Y54" s="6"/>
      <c r="Z54" s="6"/>
      <c r="AA54" s="6"/>
      <c r="AB54" s="6"/>
      <c r="AC54" s="6"/>
      <c r="AD54" s="6"/>
      <c r="AE54" s="6"/>
      <c r="AF54" s="6"/>
      <c r="AG54" s="6"/>
      <c r="AH54" s="6"/>
      <c r="AI54" s="6"/>
      <c r="AJ54" s="6"/>
    </row>
    <row r="55" spans="1:36" ht="18" customHeight="1" x14ac:dyDescent="0.3">
      <c r="A55" s="161"/>
      <c r="B55" s="161"/>
      <c r="C55" s="161"/>
      <c r="D55" s="161"/>
      <c r="E55" s="161"/>
      <c r="F55" s="267"/>
      <c r="G55" s="268"/>
      <c r="H55" s="269" t="str">
        <f>IF($A55="","",SUMIFS('05 Work done log'!$F$7:$F$506,'05 Work done log'!$B$7:$B$506,$A55))</f>
        <v/>
      </c>
      <c r="I55" s="270" t="str">
        <f>IF(OR($A55="",N($F55)=0),"",$H55/$F55)</f>
        <v/>
      </c>
      <c r="J55" s="269" t="str">
        <f>IF(OR($A55="",N($F55)=0),"",$F55-$H55)</f>
        <v/>
      </c>
      <c r="K55" s="271" t="str">
        <f>IF($A55="","",SUMIFS('04 Resource log'!$J$7:$J$506,'04 Resource log'!$B$7:$B$506,$A55,'04 Resource log'!$E$7:$E$506,"Labour"))</f>
        <v/>
      </c>
      <c r="L55" s="270" t="str">
        <f>IF(OR($A55="",N($G55)=0),"",$K55/$G55)</f>
        <v/>
      </c>
      <c r="M55" s="271" t="str">
        <f>IF(OR($A55="",N($F55)=0,N($G55)=0),"",$I55*$G55)</f>
        <v/>
      </c>
      <c r="N55" s="272" t="str">
        <f>IF(OR($M55="",N($K55)=0),"",$M55/$K55)</f>
        <v/>
      </c>
      <c r="O55" s="273" t="str">
        <f>IF($A55="","",IFERROR(1/(1/_xlfn.MAXIFS('05 Work done log'!$A$7:$A$506,'05 Work done log'!$B$7:$B$506,$A55)),"not yet"))</f>
        <v/>
      </c>
      <c r="P55" s="161"/>
      <c r="Q55" s="6"/>
      <c r="R55" s="6"/>
      <c r="S55" s="6"/>
      <c r="T55" s="6"/>
      <c r="U55" s="6"/>
      <c r="V55" s="6"/>
      <c r="W55" s="6"/>
      <c r="X55" s="6"/>
      <c r="Y55" s="6"/>
      <c r="Z55" s="6"/>
      <c r="AA55" s="6"/>
      <c r="AB55" s="6"/>
      <c r="AC55" s="6"/>
      <c r="AD55" s="6"/>
      <c r="AE55" s="6"/>
      <c r="AF55" s="6"/>
      <c r="AG55" s="6"/>
      <c r="AH55" s="6"/>
      <c r="AI55" s="6"/>
      <c r="AJ55" s="6"/>
    </row>
    <row r="56" spans="1:36" ht="18" customHeight="1" x14ac:dyDescent="0.3">
      <c r="A56" s="161"/>
      <c r="B56" s="161"/>
      <c r="C56" s="161"/>
      <c r="D56" s="161"/>
      <c r="E56" s="161"/>
      <c r="F56" s="267"/>
      <c r="G56" s="268"/>
      <c r="H56" s="269" t="str">
        <f>IF($A56="","",SUMIFS('05 Work done log'!$F$7:$F$506,'05 Work done log'!$B$7:$B$506,$A56))</f>
        <v/>
      </c>
      <c r="I56" s="270" t="str">
        <f>IF(OR($A56="",N($F56)=0),"",$H56/$F56)</f>
        <v/>
      </c>
      <c r="J56" s="269" t="str">
        <f>IF(OR($A56="",N($F56)=0),"",$F56-$H56)</f>
        <v/>
      </c>
      <c r="K56" s="271" t="str">
        <f>IF($A56="","",SUMIFS('04 Resource log'!$J$7:$J$506,'04 Resource log'!$B$7:$B$506,$A56,'04 Resource log'!$E$7:$E$506,"Labour"))</f>
        <v/>
      </c>
      <c r="L56" s="270" t="str">
        <f>IF(OR($A56="",N($G56)=0),"",$K56/$G56)</f>
        <v/>
      </c>
      <c r="M56" s="271" t="str">
        <f>IF(OR($A56="",N($F56)=0,N($G56)=0),"",$I56*$G56)</f>
        <v/>
      </c>
      <c r="N56" s="272" t="str">
        <f>IF(OR($M56="",N($K56)=0),"",$M56/$K56)</f>
        <v/>
      </c>
      <c r="O56" s="273" t="str">
        <f>IF($A56="","",IFERROR(1/(1/_xlfn.MAXIFS('05 Work done log'!$A$7:$A$506,'05 Work done log'!$B$7:$B$506,$A56)),"not yet"))</f>
        <v/>
      </c>
      <c r="P56" s="161"/>
      <c r="Q56" s="6"/>
      <c r="R56" s="6"/>
      <c r="S56" s="6"/>
      <c r="T56" s="6"/>
      <c r="U56" s="6"/>
      <c r="V56" s="6"/>
      <c r="W56" s="6"/>
      <c r="X56" s="6"/>
      <c r="Y56" s="6"/>
      <c r="Z56" s="6"/>
      <c r="AA56" s="6"/>
      <c r="AB56" s="6"/>
      <c r="AC56" s="6"/>
      <c r="AD56" s="6"/>
      <c r="AE56" s="6"/>
      <c r="AF56" s="6"/>
      <c r="AG56" s="6"/>
      <c r="AH56" s="6"/>
      <c r="AI56" s="6"/>
      <c r="AJ56" s="6"/>
    </row>
    <row r="57" spans="1:36" ht="18" customHeight="1" x14ac:dyDescent="0.3">
      <c r="A57" s="161"/>
      <c r="B57" s="161"/>
      <c r="C57" s="161"/>
      <c r="D57" s="161"/>
      <c r="E57" s="161"/>
      <c r="F57" s="267"/>
      <c r="G57" s="268"/>
      <c r="H57" s="269" t="str">
        <f>IF($A57="","",SUMIFS('05 Work done log'!$F$7:$F$506,'05 Work done log'!$B$7:$B$506,$A57))</f>
        <v/>
      </c>
      <c r="I57" s="270" t="str">
        <f>IF(OR($A57="",N($F57)=0),"",$H57/$F57)</f>
        <v/>
      </c>
      <c r="J57" s="269" t="str">
        <f>IF(OR($A57="",N($F57)=0),"",$F57-$H57)</f>
        <v/>
      </c>
      <c r="K57" s="271" t="str">
        <f>IF($A57="","",SUMIFS('04 Resource log'!$J$7:$J$506,'04 Resource log'!$B$7:$B$506,$A57,'04 Resource log'!$E$7:$E$506,"Labour"))</f>
        <v/>
      </c>
      <c r="L57" s="270" t="str">
        <f>IF(OR($A57="",N($G57)=0),"",$K57/$G57)</f>
        <v/>
      </c>
      <c r="M57" s="271" t="str">
        <f>IF(OR($A57="",N($F57)=0,N($G57)=0),"",$I57*$G57)</f>
        <v/>
      </c>
      <c r="N57" s="272" t="str">
        <f>IF(OR($M57="",N($K57)=0),"",$M57/$K57)</f>
        <v/>
      </c>
      <c r="O57" s="273" t="str">
        <f>IF($A57="","",IFERROR(1/(1/_xlfn.MAXIFS('05 Work done log'!$A$7:$A$506,'05 Work done log'!$B$7:$B$506,$A57)),"not yet"))</f>
        <v/>
      </c>
      <c r="P57" s="161"/>
      <c r="Q57" s="6"/>
      <c r="R57" s="6"/>
      <c r="S57" s="6"/>
      <c r="T57" s="6"/>
      <c r="U57" s="6"/>
      <c r="V57" s="6"/>
      <c r="W57" s="6"/>
      <c r="X57" s="6"/>
      <c r="Y57" s="6"/>
      <c r="Z57" s="6"/>
      <c r="AA57" s="6"/>
      <c r="AB57" s="6"/>
      <c r="AC57" s="6"/>
      <c r="AD57" s="6"/>
      <c r="AE57" s="6"/>
      <c r="AF57" s="6"/>
      <c r="AG57" s="6"/>
      <c r="AH57" s="6"/>
      <c r="AI57" s="6"/>
      <c r="AJ57" s="6"/>
    </row>
    <row r="58" spans="1:36" ht="18" customHeight="1" x14ac:dyDescent="0.3">
      <c r="A58" s="161"/>
      <c r="B58" s="161"/>
      <c r="C58" s="161"/>
      <c r="D58" s="161"/>
      <c r="E58" s="161"/>
      <c r="F58" s="267"/>
      <c r="G58" s="268"/>
      <c r="H58" s="269" t="str">
        <f>IF($A58="","",SUMIFS('05 Work done log'!$F$7:$F$506,'05 Work done log'!$B$7:$B$506,$A58))</f>
        <v/>
      </c>
      <c r="I58" s="270" t="str">
        <f>IF(OR($A58="",N($F58)=0),"",$H58/$F58)</f>
        <v/>
      </c>
      <c r="J58" s="269" t="str">
        <f>IF(OR($A58="",N($F58)=0),"",$F58-$H58)</f>
        <v/>
      </c>
      <c r="K58" s="271" t="str">
        <f>IF($A58="","",SUMIFS('04 Resource log'!$J$7:$J$506,'04 Resource log'!$B$7:$B$506,$A58,'04 Resource log'!$E$7:$E$506,"Labour"))</f>
        <v/>
      </c>
      <c r="L58" s="270" t="str">
        <f>IF(OR($A58="",N($G58)=0),"",$K58/$G58)</f>
        <v/>
      </c>
      <c r="M58" s="271" t="str">
        <f>IF(OR($A58="",N($F58)=0,N($G58)=0),"",$I58*$G58)</f>
        <v/>
      </c>
      <c r="N58" s="272" t="str">
        <f>IF(OR($M58="",N($K58)=0),"",$M58/$K58)</f>
        <v/>
      </c>
      <c r="O58" s="273" t="str">
        <f>IF($A58="","",IFERROR(1/(1/_xlfn.MAXIFS('05 Work done log'!$A$7:$A$506,'05 Work done log'!$B$7:$B$506,$A58)),"not yet"))</f>
        <v/>
      </c>
      <c r="P58" s="161"/>
      <c r="Q58" s="6"/>
      <c r="R58" s="6"/>
      <c r="S58" s="6"/>
      <c r="T58" s="6"/>
      <c r="U58" s="6"/>
      <c r="V58" s="6"/>
      <c r="W58" s="6"/>
      <c r="X58" s="6"/>
      <c r="Y58" s="6"/>
      <c r="Z58" s="6"/>
      <c r="AA58" s="6"/>
      <c r="AB58" s="6"/>
      <c r="AC58" s="6"/>
      <c r="AD58" s="6"/>
      <c r="AE58" s="6"/>
      <c r="AF58" s="6"/>
      <c r="AG58" s="6"/>
      <c r="AH58" s="6"/>
      <c r="AI58" s="6"/>
      <c r="AJ58" s="6"/>
    </row>
    <row r="59" spans="1:36" ht="18" customHeight="1" x14ac:dyDescent="0.3">
      <c r="A59" s="161"/>
      <c r="B59" s="161"/>
      <c r="C59" s="161"/>
      <c r="D59" s="161"/>
      <c r="E59" s="161"/>
      <c r="F59" s="267"/>
      <c r="G59" s="268"/>
      <c r="H59" s="269" t="str">
        <f>IF($A59="","",SUMIFS('05 Work done log'!$F$7:$F$506,'05 Work done log'!$B$7:$B$506,$A59))</f>
        <v/>
      </c>
      <c r="I59" s="270" t="str">
        <f>IF(OR($A59="",N($F59)=0),"",$H59/$F59)</f>
        <v/>
      </c>
      <c r="J59" s="269" t="str">
        <f>IF(OR($A59="",N($F59)=0),"",$F59-$H59)</f>
        <v/>
      </c>
      <c r="K59" s="271" t="str">
        <f>IF($A59="","",SUMIFS('04 Resource log'!$J$7:$J$506,'04 Resource log'!$B$7:$B$506,$A59,'04 Resource log'!$E$7:$E$506,"Labour"))</f>
        <v/>
      </c>
      <c r="L59" s="270" t="str">
        <f>IF(OR($A59="",N($G59)=0),"",$K59/$G59)</f>
        <v/>
      </c>
      <c r="M59" s="271" t="str">
        <f>IF(OR($A59="",N($F59)=0,N($G59)=0),"",$I59*$G59)</f>
        <v/>
      </c>
      <c r="N59" s="272" t="str">
        <f>IF(OR($M59="",N($K59)=0),"",$M59/$K59)</f>
        <v/>
      </c>
      <c r="O59" s="273" t="str">
        <f>IF($A59="","",IFERROR(1/(1/_xlfn.MAXIFS('05 Work done log'!$A$7:$A$506,'05 Work done log'!$B$7:$B$506,$A59)),"not yet"))</f>
        <v/>
      </c>
      <c r="P59" s="161"/>
      <c r="Q59" s="6"/>
      <c r="R59" s="6"/>
      <c r="S59" s="6"/>
      <c r="T59" s="6"/>
      <c r="U59" s="6"/>
      <c r="V59" s="6"/>
      <c r="W59" s="6"/>
      <c r="X59" s="6"/>
      <c r="Y59" s="6"/>
      <c r="Z59" s="6"/>
      <c r="AA59" s="6"/>
      <c r="AB59" s="6"/>
      <c r="AC59" s="6"/>
      <c r="AD59" s="6"/>
      <c r="AE59" s="6"/>
      <c r="AF59" s="6"/>
      <c r="AG59" s="6"/>
      <c r="AH59" s="6"/>
      <c r="AI59" s="6"/>
      <c r="AJ59" s="6"/>
    </row>
    <row r="60" spans="1:36" ht="18" customHeight="1" x14ac:dyDescent="0.3">
      <c r="A60" s="161"/>
      <c r="B60" s="161"/>
      <c r="C60" s="161"/>
      <c r="D60" s="161"/>
      <c r="E60" s="161"/>
      <c r="F60" s="267"/>
      <c r="G60" s="268"/>
      <c r="H60" s="269" t="str">
        <f>IF($A60="","",SUMIFS('05 Work done log'!$F$7:$F$506,'05 Work done log'!$B$7:$B$506,$A60))</f>
        <v/>
      </c>
      <c r="I60" s="270" t="str">
        <f>IF(OR($A60="",N($F60)=0),"",$H60/$F60)</f>
        <v/>
      </c>
      <c r="J60" s="269" t="str">
        <f>IF(OR($A60="",N($F60)=0),"",$F60-$H60)</f>
        <v/>
      </c>
      <c r="K60" s="271" t="str">
        <f>IF($A60="","",SUMIFS('04 Resource log'!$J$7:$J$506,'04 Resource log'!$B$7:$B$506,$A60,'04 Resource log'!$E$7:$E$506,"Labour"))</f>
        <v/>
      </c>
      <c r="L60" s="270" t="str">
        <f>IF(OR($A60="",N($G60)=0),"",$K60/$G60)</f>
        <v/>
      </c>
      <c r="M60" s="271" t="str">
        <f>IF(OR($A60="",N($F60)=0,N($G60)=0),"",$I60*$G60)</f>
        <v/>
      </c>
      <c r="N60" s="272" t="str">
        <f>IF(OR($M60="",N($K60)=0),"",$M60/$K60)</f>
        <v/>
      </c>
      <c r="O60" s="273" t="str">
        <f>IF($A60="","",IFERROR(1/(1/_xlfn.MAXIFS('05 Work done log'!$A$7:$A$506,'05 Work done log'!$B$7:$B$506,$A60)),"not yet"))</f>
        <v/>
      </c>
      <c r="P60" s="161"/>
      <c r="Q60" s="6"/>
      <c r="R60" s="6"/>
      <c r="S60" s="6"/>
      <c r="T60" s="6"/>
      <c r="U60" s="6"/>
      <c r="V60" s="6"/>
      <c r="W60" s="6"/>
      <c r="X60" s="6"/>
      <c r="Y60" s="6"/>
      <c r="Z60" s="6"/>
      <c r="AA60" s="6"/>
      <c r="AB60" s="6"/>
      <c r="AC60" s="6"/>
      <c r="AD60" s="6"/>
      <c r="AE60" s="6"/>
      <c r="AF60" s="6"/>
      <c r="AG60" s="6"/>
      <c r="AH60" s="6"/>
      <c r="AI60" s="6"/>
      <c r="AJ60" s="6"/>
    </row>
    <row r="61" spans="1:36" ht="18" customHeight="1" x14ac:dyDescent="0.3">
      <c r="A61" s="161"/>
      <c r="B61" s="161"/>
      <c r="C61" s="161"/>
      <c r="D61" s="161"/>
      <c r="E61" s="161"/>
      <c r="F61" s="267"/>
      <c r="G61" s="268"/>
      <c r="H61" s="269" t="str">
        <f>IF($A61="","",SUMIFS('05 Work done log'!$F$7:$F$506,'05 Work done log'!$B$7:$B$506,$A61))</f>
        <v/>
      </c>
      <c r="I61" s="270" t="str">
        <f>IF(OR($A61="",N($F61)=0),"",$H61/$F61)</f>
        <v/>
      </c>
      <c r="J61" s="269" t="str">
        <f>IF(OR($A61="",N($F61)=0),"",$F61-$H61)</f>
        <v/>
      </c>
      <c r="K61" s="271" t="str">
        <f>IF($A61="","",SUMIFS('04 Resource log'!$J$7:$J$506,'04 Resource log'!$B$7:$B$506,$A61,'04 Resource log'!$E$7:$E$506,"Labour"))</f>
        <v/>
      </c>
      <c r="L61" s="270" t="str">
        <f>IF(OR($A61="",N($G61)=0),"",$K61/$G61)</f>
        <v/>
      </c>
      <c r="M61" s="271" t="str">
        <f>IF(OR($A61="",N($F61)=0,N($G61)=0),"",$I61*$G61)</f>
        <v/>
      </c>
      <c r="N61" s="272" t="str">
        <f>IF(OR($M61="",N($K61)=0),"",$M61/$K61)</f>
        <v/>
      </c>
      <c r="O61" s="273" t="str">
        <f>IF($A61="","",IFERROR(1/(1/_xlfn.MAXIFS('05 Work done log'!$A$7:$A$506,'05 Work done log'!$B$7:$B$506,$A61)),"not yet"))</f>
        <v/>
      </c>
      <c r="P61" s="161"/>
      <c r="Q61" s="6"/>
      <c r="R61" s="6"/>
      <c r="S61" s="6"/>
      <c r="T61" s="6"/>
      <c r="U61" s="6"/>
      <c r="V61" s="6"/>
      <c r="W61" s="6"/>
      <c r="X61" s="6"/>
      <c r="Y61" s="6"/>
      <c r="Z61" s="6"/>
      <c r="AA61" s="6"/>
      <c r="AB61" s="6"/>
      <c r="AC61" s="6"/>
      <c r="AD61" s="6"/>
      <c r="AE61" s="6"/>
      <c r="AF61" s="6"/>
      <c r="AG61" s="6"/>
      <c r="AH61" s="6"/>
      <c r="AI61" s="6"/>
      <c r="AJ61" s="6"/>
    </row>
    <row r="62" spans="1:36" ht="18" customHeight="1" x14ac:dyDescent="0.3">
      <c r="A62" s="161"/>
      <c r="B62" s="161"/>
      <c r="C62" s="161"/>
      <c r="D62" s="161"/>
      <c r="E62" s="161"/>
      <c r="F62" s="267"/>
      <c r="G62" s="268"/>
      <c r="H62" s="269" t="str">
        <f>IF($A62="","",SUMIFS('05 Work done log'!$F$7:$F$506,'05 Work done log'!$B$7:$B$506,$A62))</f>
        <v/>
      </c>
      <c r="I62" s="270" t="str">
        <f>IF(OR($A62="",N($F62)=0),"",$H62/$F62)</f>
        <v/>
      </c>
      <c r="J62" s="269" t="str">
        <f>IF(OR($A62="",N($F62)=0),"",$F62-$H62)</f>
        <v/>
      </c>
      <c r="K62" s="271" t="str">
        <f>IF($A62="","",SUMIFS('04 Resource log'!$J$7:$J$506,'04 Resource log'!$B$7:$B$506,$A62,'04 Resource log'!$E$7:$E$506,"Labour"))</f>
        <v/>
      </c>
      <c r="L62" s="270" t="str">
        <f>IF(OR($A62="",N($G62)=0),"",$K62/$G62)</f>
        <v/>
      </c>
      <c r="M62" s="271" t="str">
        <f>IF(OR($A62="",N($F62)=0,N($G62)=0),"",$I62*$G62)</f>
        <v/>
      </c>
      <c r="N62" s="272" t="str">
        <f>IF(OR($M62="",N($K62)=0),"",$M62/$K62)</f>
        <v/>
      </c>
      <c r="O62" s="273" t="str">
        <f>IF($A62="","",IFERROR(1/(1/_xlfn.MAXIFS('05 Work done log'!$A$7:$A$506,'05 Work done log'!$B$7:$B$506,$A62)),"not yet"))</f>
        <v/>
      </c>
      <c r="P62" s="161"/>
      <c r="Q62" s="6"/>
      <c r="R62" s="6"/>
      <c r="S62" s="6"/>
      <c r="T62" s="6"/>
      <c r="U62" s="6"/>
      <c r="V62" s="6"/>
      <c r="W62" s="6"/>
      <c r="X62" s="6"/>
      <c r="Y62" s="6"/>
      <c r="Z62" s="6"/>
      <c r="AA62" s="6"/>
      <c r="AB62" s="6"/>
      <c r="AC62" s="6"/>
      <c r="AD62" s="6"/>
      <c r="AE62" s="6"/>
      <c r="AF62" s="6"/>
      <c r="AG62" s="6"/>
      <c r="AH62" s="6"/>
      <c r="AI62" s="6"/>
      <c r="AJ62" s="6"/>
    </row>
    <row r="63" spans="1:36" ht="18" customHeight="1" x14ac:dyDescent="0.3">
      <c r="A63" s="161"/>
      <c r="B63" s="161"/>
      <c r="C63" s="161"/>
      <c r="D63" s="161"/>
      <c r="E63" s="161"/>
      <c r="F63" s="267"/>
      <c r="G63" s="268"/>
      <c r="H63" s="269" t="str">
        <f>IF($A63="","",SUMIFS('05 Work done log'!$F$7:$F$506,'05 Work done log'!$B$7:$B$506,$A63))</f>
        <v/>
      </c>
      <c r="I63" s="270" t="str">
        <f>IF(OR($A63="",N($F63)=0),"",$H63/$F63)</f>
        <v/>
      </c>
      <c r="J63" s="269" t="str">
        <f>IF(OR($A63="",N($F63)=0),"",$F63-$H63)</f>
        <v/>
      </c>
      <c r="K63" s="271" t="str">
        <f>IF($A63="","",SUMIFS('04 Resource log'!$J$7:$J$506,'04 Resource log'!$B$7:$B$506,$A63,'04 Resource log'!$E$7:$E$506,"Labour"))</f>
        <v/>
      </c>
      <c r="L63" s="270" t="str">
        <f>IF(OR($A63="",N($G63)=0),"",$K63/$G63)</f>
        <v/>
      </c>
      <c r="M63" s="271" t="str">
        <f>IF(OR($A63="",N($F63)=0,N($G63)=0),"",$I63*$G63)</f>
        <v/>
      </c>
      <c r="N63" s="272" t="str">
        <f>IF(OR($M63="",N($K63)=0),"",$M63/$K63)</f>
        <v/>
      </c>
      <c r="O63" s="273" t="str">
        <f>IF($A63="","",IFERROR(1/(1/_xlfn.MAXIFS('05 Work done log'!$A$7:$A$506,'05 Work done log'!$B$7:$B$506,$A63)),"not yet"))</f>
        <v/>
      </c>
      <c r="P63" s="161"/>
      <c r="Q63" s="6"/>
      <c r="R63" s="6"/>
      <c r="S63" s="6"/>
      <c r="T63" s="6"/>
      <c r="U63" s="6"/>
      <c r="V63" s="6"/>
      <c r="W63" s="6"/>
      <c r="X63" s="6"/>
      <c r="Y63" s="6"/>
      <c r="Z63" s="6"/>
      <c r="AA63" s="6"/>
      <c r="AB63" s="6"/>
      <c r="AC63" s="6"/>
      <c r="AD63" s="6"/>
      <c r="AE63" s="6"/>
      <c r="AF63" s="6"/>
      <c r="AG63" s="6"/>
      <c r="AH63" s="6"/>
      <c r="AI63" s="6"/>
      <c r="AJ63" s="6"/>
    </row>
    <row r="64" spans="1:36" ht="18" customHeight="1" x14ac:dyDescent="0.3">
      <c r="A64" s="161"/>
      <c r="B64" s="161"/>
      <c r="C64" s="161"/>
      <c r="D64" s="161"/>
      <c r="E64" s="161"/>
      <c r="F64" s="267"/>
      <c r="G64" s="268"/>
      <c r="H64" s="269" t="str">
        <f>IF($A64="","",SUMIFS('05 Work done log'!$F$7:$F$506,'05 Work done log'!$B$7:$B$506,$A64))</f>
        <v/>
      </c>
      <c r="I64" s="270" t="str">
        <f>IF(OR($A64="",N($F64)=0),"",$H64/$F64)</f>
        <v/>
      </c>
      <c r="J64" s="269" t="str">
        <f>IF(OR($A64="",N($F64)=0),"",$F64-$H64)</f>
        <v/>
      </c>
      <c r="K64" s="271" t="str">
        <f>IF($A64="","",SUMIFS('04 Resource log'!$J$7:$J$506,'04 Resource log'!$B$7:$B$506,$A64,'04 Resource log'!$E$7:$E$506,"Labour"))</f>
        <v/>
      </c>
      <c r="L64" s="270" t="str">
        <f>IF(OR($A64="",N($G64)=0),"",$K64/$G64)</f>
        <v/>
      </c>
      <c r="M64" s="271" t="str">
        <f>IF(OR($A64="",N($F64)=0,N($G64)=0),"",$I64*$G64)</f>
        <v/>
      </c>
      <c r="N64" s="272" t="str">
        <f>IF(OR($M64="",N($K64)=0),"",$M64/$K64)</f>
        <v/>
      </c>
      <c r="O64" s="273" t="str">
        <f>IF($A64="","",IFERROR(1/(1/_xlfn.MAXIFS('05 Work done log'!$A$7:$A$506,'05 Work done log'!$B$7:$B$506,$A64)),"not yet"))</f>
        <v/>
      </c>
      <c r="P64" s="161"/>
      <c r="Q64" s="6"/>
      <c r="R64" s="6"/>
      <c r="S64" s="6"/>
      <c r="T64" s="6"/>
      <c r="U64" s="6"/>
      <c r="V64" s="6"/>
      <c r="W64" s="6"/>
      <c r="X64" s="6"/>
      <c r="Y64" s="6"/>
      <c r="Z64" s="6"/>
      <c r="AA64" s="6"/>
      <c r="AB64" s="6"/>
      <c r="AC64" s="6"/>
      <c r="AD64" s="6"/>
      <c r="AE64" s="6"/>
      <c r="AF64" s="6"/>
      <c r="AG64" s="6"/>
      <c r="AH64" s="6"/>
      <c r="AI64" s="6"/>
      <c r="AJ64" s="6"/>
    </row>
    <row r="65" spans="1:36" ht="18" customHeight="1" x14ac:dyDescent="0.3">
      <c r="A65" s="161"/>
      <c r="B65" s="161"/>
      <c r="C65" s="161"/>
      <c r="D65" s="161"/>
      <c r="E65" s="161"/>
      <c r="F65" s="267"/>
      <c r="G65" s="268"/>
      <c r="H65" s="269" t="str">
        <f>IF($A65="","",SUMIFS('05 Work done log'!$F$7:$F$506,'05 Work done log'!$B$7:$B$506,$A65))</f>
        <v/>
      </c>
      <c r="I65" s="270" t="str">
        <f>IF(OR($A65="",N($F65)=0),"",$H65/$F65)</f>
        <v/>
      </c>
      <c r="J65" s="269" t="str">
        <f>IF(OR($A65="",N($F65)=0),"",$F65-$H65)</f>
        <v/>
      </c>
      <c r="K65" s="271" t="str">
        <f>IF($A65="","",SUMIFS('04 Resource log'!$J$7:$J$506,'04 Resource log'!$B$7:$B$506,$A65,'04 Resource log'!$E$7:$E$506,"Labour"))</f>
        <v/>
      </c>
      <c r="L65" s="270" t="str">
        <f>IF(OR($A65="",N($G65)=0),"",$K65/$G65)</f>
        <v/>
      </c>
      <c r="M65" s="271" t="str">
        <f>IF(OR($A65="",N($F65)=0,N($G65)=0),"",$I65*$G65)</f>
        <v/>
      </c>
      <c r="N65" s="272" t="str">
        <f>IF(OR($M65="",N($K65)=0),"",$M65/$K65)</f>
        <v/>
      </c>
      <c r="O65" s="273" t="str">
        <f>IF($A65="","",IFERROR(1/(1/_xlfn.MAXIFS('05 Work done log'!$A$7:$A$506,'05 Work done log'!$B$7:$B$506,$A65)),"not yet"))</f>
        <v/>
      </c>
      <c r="P65" s="161"/>
      <c r="Q65" s="6"/>
      <c r="R65" s="6"/>
      <c r="S65" s="6"/>
      <c r="T65" s="6"/>
      <c r="U65" s="6"/>
      <c r="V65" s="6"/>
      <c r="W65" s="6"/>
      <c r="X65" s="6"/>
      <c r="Y65" s="6"/>
      <c r="Z65" s="6"/>
      <c r="AA65" s="6"/>
      <c r="AB65" s="6"/>
      <c r="AC65" s="6"/>
      <c r="AD65" s="6"/>
      <c r="AE65" s="6"/>
      <c r="AF65" s="6"/>
      <c r="AG65" s="6"/>
      <c r="AH65" s="6"/>
      <c r="AI65" s="6"/>
      <c r="AJ65" s="6"/>
    </row>
    <row r="66" spans="1:36" ht="18" customHeight="1" x14ac:dyDescent="0.3">
      <c r="A66" s="161"/>
      <c r="B66" s="161"/>
      <c r="C66" s="161"/>
      <c r="D66" s="161"/>
      <c r="E66" s="161"/>
      <c r="F66" s="267"/>
      <c r="G66" s="268"/>
      <c r="H66" s="269" t="str">
        <f>IF($A66="","",SUMIFS('05 Work done log'!$F$7:$F$506,'05 Work done log'!$B$7:$B$506,$A66))</f>
        <v/>
      </c>
      <c r="I66" s="270" t="str">
        <f>IF(OR($A66="",N($F66)=0),"",$H66/$F66)</f>
        <v/>
      </c>
      <c r="J66" s="269" t="str">
        <f>IF(OR($A66="",N($F66)=0),"",$F66-$H66)</f>
        <v/>
      </c>
      <c r="K66" s="271" t="str">
        <f>IF($A66="","",SUMIFS('04 Resource log'!$J$7:$J$506,'04 Resource log'!$B$7:$B$506,$A66,'04 Resource log'!$E$7:$E$506,"Labour"))</f>
        <v/>
      </c>
      <c r="L66" s="270" t="str">
        <f>IF(OR($A66="",N($G66)=0),"",$K66/$G66)</f>
        <v/>
      </c>
      <c r="M66" s="271" t="str">
        <f>IF(OR($A66="",N($F66)=0,N($G66)=0),"",$I66*$G66)</f>
        <v/>
      </c>
      <c r="N66" s="272" t="str">
        <f>IF(OR($M66="",N($K66)=0),"",$M66/$K66)</f>
        <v/>
      </c>
      <c r="O66" s="273" t="str">
        <f>IF($A66="","",IFERROR(1/(1/_xlfn.MAXIFS('05 Work done log'!$A$7:$A$506,'05 Work done log'!$B$7:$B$506,$A66)),"not yet"))</f>
        <v/>
      </c>
      <c r="P66" s="161"/>
      <c r="Q66" s="6"/>
      <c r="R66" s="6"/>
      <c r="S66" s="6"/>
      <c r="T66" s="6"/>
      <c r="U66" s="6"/>
      <c r="V66" s="6"/>
      <c r="W66" s="6"/>
      <c r="X66" s="6"/>
      <c r="Y66" s="6"/>
      <c r="Z66" s="6"/>
      <c r="AA66" s="6"/>
      <c r="AB66" s="6"/>
      <c r="AC66" s="6"/>
      <c r="AD66" s="6"/>
      <c r="AE66" s="6"/>
      <c r="AF66" s="6"/>
      <c r="AG66" s="6"/>
      <c r="AH66" s="6"/>
      <c r="AI66" s="6"/>
      <c r="AJ66" s="6"/>
    </row>
    <row r="67" spans="1:36" ht="18" customHeight="1" x14ac:dyDescent="0.3">
      <c r="A67" s="161"/>
      <c r="B67" s="161"/>
      <c r="C67" s="161"/>
      <c r="D67" s="161"/>
      <c r="E67" s="161"/>
      <c r="F67" s="267"/>
      <c r="G67" s="268"/>
      <c r="H67" s="269" t="str">
        <f>IF($A67="","",SUMIFS('05 Work done log'!$F$7:$F$506,'05 Work done log'!$B$7:$B$506,$A67))</f>
        <v/>
      </c>
      <c r="I67" s="270" t="str">
        <f>IF(OR($A67="",N($F67)=0),"",$H67/$F67)</f>
        <v/>
      </c>
      <c r="J67" s="269" t="str">
        <f>IF(OR($A67="",N($F67)=0),"",$F67-$H67)</f>
        <v/>
      </c>
      <c r="K67" s="271" t="str">
        <f>IF($A67="","",SUMIFS('04 Resource log'!$J$7:$J$506,'04 Resource log'!$B$7:$B$506,$A67,'04 Resource log'!$E$7:$E$506,"Labour"))</f>
        <v/>
      </c>
      <c r="L67" s="270" t="str">
        <f>IF(OR($A67="",N($G67)=0),"",$K67/$G67)</f>
        <v/>
      </c>
      <c r="M67" s="271" t="str">
        <f>IF(OR($A67="",N($F67)=0,N($G67)=0),"",$I67*$G67)</f>
        <v/>
      </c>
      <c r="N67" s="272" t="str">
        <f>IF(OR($M67="",N($K67)=0),"",$M67/$K67)</f>
        <v/>
      </c>
      <c r="O67" s="273" t="str">
        <f>IF($A67="","",IFERROR(1/(1/_xlfn.MAXIFS('05 Work done log'!$A$7:$A$506,'05 Work done log'!$B$7:$B$506,$A67)),"not yet"))</f>
        <v/>
      </c>
      <c r="P67" s="161"/>
      <c r="Q67" s="6"/>
      <c r="R67" s="6"/>
      <c r="S67" s="6"/>
      <c r="T67" s="6"/>
      <c r="U67" s="6"/>
      <c r="V67" s="6"/>
      <c r="W67" s="6"/>
      <c r="X67" s="6"/>
      <c r="Y67" s="6"/>
      <c r="Z67" s="6"/>
      <c r="AA67" s="6"/>
      <c r="AB67" s="6"/>
      <c r="AC67" s="6"/>
      <c r="AD67" s="6"/>
      <c r="AE67" s="6"/>
      <c r="AF67" s="6"/>
      <c r="AG67" s="6"/>
      <c r="AH67" s="6"/>
      <c r="AI67" s="6"/>
      <c r="AJ67" s="6"/>
    </row>
    <row r="68" spans="1:36" ht="18" customHeight="1" x14ac:dyDescent="0.3">
      <c r="A68" s="161"/>
      <c r="B68" s="161"/>
      <c r="C68" s="161"/>
      <c r="D68" s="161"/>
      <c r="E68" s="161"/>
      <c r="F68" s="267"/>
      <c r="G68" s="268"/>
      <c r="H68" s="269" t="str">
        <f>IF($A68="","",SUMIFS('05 Work done log'!$F$7:$F$506,'05 Work done log'!$B$7:$B$506,$A68))</f>
        <v/>
      </c>
      <c r="I68" s="270" t="str">
        <f>IF(OR($A68="",N($F68)=0),"",$H68/$F68)</f>
        <v/>
      </c>
      <c r="J68" s="269" t="str">
        <f>IF(OR($A68="",N($F68)=0),"",$F68-$H68)</f>
        <v/>
      </c>
      <c r="K68" s="271" t="str">
        <f>IF($A68="","",SUMIFS('04 Resource log'!$J$7:$J$506,'04 Resource log'!$B$7:$B$506,$A68,'04 Resource log'!$E$7:$E$506,"Labour"))</f>
        <v/>
      </c>
      <c r="L68" s="270" t="str">
        <f>IF(OR($A68="",N($G68)=0),"",$K68/$G68)</f>
        <v/>
      </c>
      <c r="M68" s="271" t="str">
        <f>IF(OR($A68="",N($F68)=0,N($G68)=0),"",$I68*$G68)</f>
        <v/>
      </c>
      <c r="N68" s="272" t="str">
        <f>IF(OR($M68="",N($K68)=0),"",$M68/$K68)</f>
        <v/>
      </c>
      <c r="O68" s="273" t="str">
        <f>IF($A68="","",IFERROR(1/(1/_xlfn.MAXIFS('05 Work done log'!$A$7:$A$506,'05 Work done log'!$B$7:$B$506,$A68)),"not yet"))</f>
        <v/>
      </c>
      <c r="P68" s="161"/>
      <c r="Q68" s="6"/>
      <c r="R68" s="6"/>
      <c r="S68" s="6"/>
      <c r="T68" s="6"/>
      <c r="U68" s="6"/>
      <c r="V68" s="6"/>
      <c r="W68" s="6"/>
      <c r="X68" s="6"/>
      <c r="Y68" s="6"/>
      <c r="Z68" s="6"/>
      <c r="AA68" s="6"/>
      <c r="AB68" s="6"/>
      <c r="AC68" s="6"/>
      <c r="AD68" s="6"/>
      <c r="AE68" s="6"/>
      <c r="AF68" s="6"/>
      <c r="AG68" s="6"/>
      <c r="AH68" s="6"/>
      <c r="AI68" s="6"/>
      <c r="AJ68" s="6"/>
    </row>
    <row r="69" spans="1:36" ht="18" customHeight="1" x14ac:dyDescent="0.3">
      <c r="A69" s="161"/>
      <c r="B69" s="161"/>
      <c r="C69" s="161"/>
      <c r="D69" s="161"/>
      <c r="E69" s="161"/>
      <c r="F69" s="267"/>
      <c r="G69" s="268"/>
      <c r="H69" s="269" t="str">
        <f>IF($A69="","",SUMIFS('05 Work done log'!$F$7:$F$506,'05 Work done log'!$B$7:$B$506,$A69))</f>
        <v/>
      </c>
      <c r="I69" s="270" t="str">
        <f>IF(OR($A69="",N($F69)=0),"",$H69/$F69)</f>
        <v/>
      </c>
      <c r="J69" s="269" t="str">
        <f>IF(OR($A69="",N($F69)=0),"",$F69-$H69)</f>
        <v/>
      </c>
      <c r="K69" s="271" t="str">
        <f>IF($A69="","",SUMIFS('04 Resource log'!$J$7:$J$506,'04 Resource log'!$B$7:$B$506,$A69,'04 Resource log'!$E$7:$E$506,"Labour"))</f>
        <v/>
      </c>
      <c r="L69" s="270" t="str">
        <f>IF(OR($A69="",N($G69)=0),"",$K69/$G69)</f>
        <v/>
      </c>
      <c r="M69" s="271" t="str">
        <f>IF(OR($A69="",N($F69)=0,N($G69)=0),"",$I69*$G69)</f>
        <v/>
      </c>
      <c r="N69" s="272" t="str">
        <f>IF(OR($M69="",N($K69)=0),"",$M69/$K69)</f>
        <v/>
      </c>
      <c r="O69" s="273" t="str">
        <f>IF($A69="","",IFERROR(1/(1/_xlfn.MAXIFS('05 Work done log'!$A$7:$A$506,'05 Work done log'!$B$7:$B$506,$A69)),"not yet"))</f>
        <v/>
      </c>
      <c r="P69" s="161"/>
      <c r="Q69" s="6"/>
      <c r="R69" s="6"/>
      <c r="S69" s="6"/>
      <c r="T69" s="6"/>
      <c r="U69" s="6"/>
      <c r="V69" s="6"/>
      <c r="W69" s="6"/>
      <c r="X69" s="6"/>
      <c r="Y69" s="6"/>
      <c r="Z69" s="6"/>
      <c r="AA69" s="6"/>
      <c r="AB69" s="6"/>
      <c r="AC69" s="6"/>
      <c r="AD69" s="6"/>
      <c r="AE69" s="6"/>
      <c r="AF69" s="6"/>
      <c r="AG69" s="6"/>
      <c r="AH69" s="6"/>
      <c r="AI69" s="6"/>
      <c r="AJ69" s="6"/>
    </row>
    <row r="70" spans="1:36" ht="18" customHeight="1" x14ac:dyDescent="0.3">
      <c r="A70" s="161"/>
      <c r="B70" s="161"/>
      <c r="C70" s="161"/>
      <c r="D70" s="161"/>
      <c r="E70" s="161"/>
      <c r="F70" s="267"/>
      <c r="G70" s="268"/>
      <c r="H70" s="269" t="str">
        <f>IF($A70="","",SUMIFS('05 Work done log'!$F$7:$F$506,'05 Work done log'!$B$7:$B$506,$A70))</f>
        <v/>
      </c>
      <c r="I70" s="270" t="str">
        <f>IF(OR($A70="",N($F70)=0),"",$H70/$F70)</f>
        <v/>
      </c>
      <c r="J70" s="269" t="str">
        <f>IF(OR($A70="",N($F70)=0),"",$F70-$H70)</f>
        <v/>
      </c>
      <c r="K70" s="271" t="str">
        <f>IF($A70="","",SUMIFS('04 Resource log'!$J$7:$J$506,'04 Resource log'!$B$7:$B$506,$A70,'04 Resource log'!$E$7:$E$506,"Labour"))</f>
        <v/>
      </c>
      <c r="L70" s="270" t="str">
        <f>IF(OR($A70="",N($G70)=0),"",$K70/$G70)</f>
        <v/>
      </c>
      <c r="M70" s="271" t="str">
        <f>IF(OR($A70="",N($F70)=0,N($G70)=0),"",$I70*$G70)</f>
        <v/>
      </c>
      <c r="N70" s="272" t="str">
        <f>IF(OR($M70="",N($K70)=0),"",$M70/$K70)</f>
        <v/>
      </c>
      <c r="O70" s="273" t="str">
        <f>IF($A70="","",IFERROR(1/(1/_xlfn.MAXIFS('05 Work done log'!$A$7:$A$506,'05 Work done log'!$B$7:$B$506,$A70)),"not yet"))</f>
        <v/>
      </c>
      <c r="P70" s="161"/>
      <c r="Q70" s="6"/>
      <c r="R70" s="6"/>
      <c r="S70" s="6"/>
      <c r="T70" s="6"/>
      <c r="U70" s="6"/>
      <c r="V70" s="6"/>
      <c r="W70" s="6"/>
      <c r="X70" s="6"/>
      <c r="Y70" s="6"/>
      <c r="Z70" s="6"/>
      <c r="AA70" s="6"/>
      <c r="AB70" s="6"/>
      <c r="AC70" s="6"/>
      <c r="AD70" s="6"/>
      <c r="AE70" s="6"/>
      <c r="AF70" s="6"/>
      <c r="AG70" s="6"/>
      <c r="AH70" s="6"/>
      <c r="AI70" s="6"/>
      <c r="AJ70" s="6"/>
    </row>
    <row r="71" spans="1:36" ht="18" customHeight="1" x14ac:dyDescent="0.3">
      <c r="A71" s="161"/>
      <c r="B71" s="161"/>
      <c r="C71" s="161"/>
      <c r="D71" s="161"/>
      <c r="E71" s="161"/>
      <c r="F71" s="267"/>
      <c r="G71" s="268"/>
      <c r="H71" s="269" t="str">
        <f>IF($A71="","",SUMIFS('05 Work done log'!$F$7:$F$506,'05 Work done log'!$B$7:$B$506,$A71))</f>
        <v/>
      </c>
      <c r="I71" s="270" t="str">
        <f>IF(OR($A71="",N($F71)=0),"",$H71/$F71)</f>
        <v/>
      </c>
      <c r="J71" s="269" t="str">
        <f>IF(OR($A71="",N($F71)=0),"",$F71-$H71)</f>
        <v/>
      </c>
      <c r="K71" s="271" t="str">
        <f>IF($A71="","",SUMIFS('04 Resource log'!$J$7:$J$506,'04 Resource log'!$B$7:$B$506,$A71,'04 Resource log'!$E$7:$E$506,"Labour"))</f>
        <v/>
      </c>
      <c r="L71" s="270" t="str">
        <f>IF(OR($A71="",N($G71)=0),"",$K71/$G71)</f>
        <v/>
      </c>
      <c r="M71" s="271" t="str">
        <f>IF(OR($A71="",N($F71)=0,N($G71)=0),"",$I71*$G71)</f>
        <v/>
      </c>
      <c r="N71" s="272" t="str">
        <f>IF(OR($M71="",N($K71)=0),"",$M71/$K71)</f>
        <v/>
      </c>
      <c r="O71" s="273" t="str">
        <f>IF($A71="","",IFERROR(1/(1/_xlfn.MAXIFS('05 Work done log'!$A$7:$A$506,'05 Work done log'!$B$7:$B$506,$A71)),"not yet"))</f>
        <v/>
      </c>
      <c r="P71" s="161"/>
      <c r="Q71" s="6"/>
      <c r="R71" s="6"/>
      <c r="S71" s="6"/>
      <c r="T71" s="6"/>
      <c r="U71" s="6"/>
      <c r="V71" s="6"/>
      <c r="W71" s="6"/>
      <c r="X71" s="6"/>
      <c r="Y71" s="6"/>
      <c r="Z71" s="6"/>
      <c r="AA71" s="6"/>
      <c r="AB71" s="6"/>
      <c r="AC71" s="6"/>
      <c r="AD71" s="6"/>
      <c r="AE71" s="6"/>
      <c r="AF71" s="6"/>
      <c r="AG71" s="6"/>
      <c r="AH71" s="6"/>
      <c r="AI71" s="6"/>
      <c r="AJ71" s="6"/>
    </row>
    <row r="72" spans="1:36" ht="18" customHeight="1" x14ac:dyDescent="0.3">
      <c r="A72" s="161"/>
      <c r="B72" s="161"/>
      <c r="C72" s="161"/>
      <c r="D72" s="161"/>
      <c r="E72" s="161"/>
      <c r="F72" s="267"/>
      <c r="G72" s="268"/>
      <c r="H72" s="269" t="str">
        <f>IF($A72="","",SUMIFS('05 Work done log'!$F$7:$F$506,'05 Work done log'!$B$7:$B$506,$A72))</f>
        <v/>
      </c>
      <c r="I72" s="270" t="str">
        <f>IF(OR($A72="",N($F72)=0),"",$H72/$F72)</f>
        <v/>
      </c>
      <c r="J72" s="269" t="str">
        <f>IF(OR($A72="",N($F72)=0),"",$F72-$H72)</f>
        <v/>
      </c>
      <c r="K72" s="271" t="str">
        <f>IF($A72="","",SUMIFS('04 Resource log'!$J$7:$J$506,'04 Resource log'!$B$7:$B$506,$A72,'04 Resource log'!$E$7:$E$506,"Labour"))</f>
        <v/>
      </c>
      <c r="L72" s="270" t="str">
        <f>IF(OR($A72="",N($G72)=0),"",$K72/$G72)</f>
        <v/>
      </c>
      <c r="M72" s="271" t="str">
        <f>IF(OR($A72="",N($F72)=0,N($G72)=0),"",$I72*$G72)</f>
        <v/>
      </c>
      <c r="N72" s="272" t="str">
        <f>IF(OR($M72="",N($K72)=0),"",$M72/$K72)</f>
        <v/>
      </c>
      <c r="O72" s="273" t="str">
        <f>IF($A72="","",IFERROR(1/(1/_xlfn.MAXIFS('05 Work done log'!$A$7:$A$506,'05 Work done log'!$B$7:$B$506,$A72)),"not yet"))</f>
        <v/>
      </c>
      <c r="P72" s="161"/>
      <c r="Q72" s="6"/>
      <c r="R72" s="6"/>
      <c r="S72" s="6"/>
      <c r="T72" s="6"/>
      <c r="U72" s="6"/>
      <c r="V72" s="6"/>
      <c r="W72" s="6"/>
      <c r="X72" s="6"/>
      <c r="Y72" s="6"/>
      <c r="Z72" s="6"/>
      <c r="AA72" s="6"/>
      <c r="AB72" s="6"/>
      <c r="AC72" s="6"/>
      <c r="AD72" s="6"/>
      <c r="AE72" s="6"/>
      <c r="AF72" s="6"/>
      <c r="AG72" s="6"/>
      <c r="AH72" s="6"/>
      <c r="AI72" s="6"/>
      <c r="AJ72" s="6"/>
    </row>
    <row r="73" spans="1:36" ht="18" customHeight="1" x14ac:dyDescent="0.3">
      <c r="A73" s="161"/>
      <c r="B73" s="161"/>
      <c r="C73" s="161"/>
      <c r="D73" s="161"/>
      <c r="E73" s="161"/>
      <c r="F73" s="267"/>
      <c r="G73" s="268"/>
      <c r="H73" s="269" t="str">
        <f>IF($A73="","",SUMIFS('05 Work done log'!$F$7:$F$506,'05 Work done log'!$B$7:$B$506,$A73))</f>
        <v/>
      </c>
      <c r="I73" s="270" t="str">
        <f>IF(OR($A73="",N($F73)=0),"",$H73/$F73)</f>
        <v/>
      </c>
      <c r="J73" s="269" t="str">
        <f>IF(OR($A73="",N($F73)=0),"",$F73-$H73)</f>
        <v/>
      </c>
      <c r="K73" s="271" t="str">
        <f>IF($A73="","",SUMIFS('04 Resource log'!$J$7:$J$506,'04 Resource log'!$B$7:$B$506,$A73,'04 Resource log'!$E$7:$E$506,"Labour"))</f>
        <v/>
      </c>
      <c r="L73" s="270" t="str">
        <f>IF(OR($A73="",N($G73)=0),"",$K73/$G73)</f>
        <v/>
      </c>
      <c r="M73" s="271" t="str">
        <f>IF(OR($A73="",N($F73)=0,N($G73)=0),"",$I73*$G73)</f>
        <v/>
      </c>
      <c r="N73" s="272" t="str">
        <f>IF(OR($M73="",N($K73)=0),"",$M73/$K73)</f>
        <v/>
      </c>
      <c r="O73" s="273" t="str">
        <f>IF($A73="","",IFERROR(1/(1/_xlfn.MAXIFS('05 Work done log'!$A$7:$A$506,'05 Work done log'!$B$7:$B$506,$A73)),"not yet"))</f>
        <v/>
      </c>
      <c r="P73" s="161"/>
      <c r="Q73" s="6"/>
      <c r="R73" s="6"/>
      <c r="S73" s="6"/>
      <c r="T73" s="6"/>
      <c r="U73" s="6"/>
      <c r="V73" s="6"/>
      <c r="W73" s="6"/>
      <c r="X73" s="6"/>
      <c r="Y73" s="6"/>
      <c r="Z73" s="6"/>
      <c r="AA73" s="6"/>
      <c r="AB73" s="6"/>
      <c r="AC73" s="6"/>
      <c r="AD73" s="6"/>
      <c r="AE73" s="6"/>
      <c r="AF73" s="6"/>
      <c r="AG73" s="6"/>
      <c r="AH73" s="6"/>
      <c r="AI73" s="6"/>
      <c r="AJ73" s="6"/>
    </row>
    <row r="74" spans="1:36" ht="18" customHeight="1" x14ac:dyDescent="0.3">
      <c r="A74" s="161"/>
      <c r="B74" s="161"/>
      <c r="C74" s="161"/>
      <c r="D74" s="161"/>
      <c r="E74" s="161"/>
      <c r="F74" s="267"/>
      <c r="G74" s="268"/>
      <c r="H74" s="269" t="str">
        <f>IF($A74="","",SUMIFS('05 Work done log'!$F$7:$F$506,'05 Work done log'!$B$7:$B$506,$A74))</f>
        <v/>
      </c>
      <c r="I74" s="270" t="str">
        <f>IF(OR($A74="",N($F74)=0),"",$H74/$F74)</f>
        <v/>
      </c>
      <c r="J74" s="269" t="str">
        <f>IF(OR($A74="",N($F74)=0),"",$F74-$H74)</f>
        <v/>
      </c>
      <c r="K74" s="271" t="str">
        <f>IF($A74="","",SUMIFS('04 Resource log'!$J$7:$J$506,'04 Resource log'!$B$7:$B$506,$A74,'04 Resource log'!$E$7:$E$506,"Labour"))</f>
        <v/>
      </c>
      <c r="L74" s="270" t="str">
        <f>IF(OR($A74="",N($G74)=0),"",$K74/$G74)</f>
        <v/>
      </c>
      <c r="M74" s="271" t="str">
        <f>IF(OR($A74="",N($F74)=0,N($G74)=0),"",$I74*$G74)</f>
        <v/>
      </c>
      <c r="N74" s="272" t="str">
        <f>IF(OR($M74="",N($K74)=0),"",$M74/$K74)</f>
        <v/>
      </c>
      <c r="O74" s="273" t="str">
        <f>IF($A74="","",IFERROR(1/(1/_xlfn.MAXIFS('05 Work done log'!$A$7:$A$506,'05 Work done log'!$B$7:$B$506,$A74)),"not yet"))</f>
        <v/>
      </c>
      <c r="P74" s="161"/>
      <c r="Q74" s="6"/>
      <c r="R74" s="6"/>
      <c r="S74" s="6"/>
      <c r="T74" s="6"/>
      <c r="U74" s="6"/>
      <c r="V74" s="6"/>
      <c r="W74" s="6"/>
      <c r="X74" s="6"/>
      <c r="Y74" s="6"/>
      <c r="Z74" s="6"/>
      <c r="AA74" s="6"/>
      <c r="AB74" s="6"/>
      <c r="AC74" s="6"/>
      <c r="AD74" s="6"/>
      <c r="AE74" s="6"/>
      <c r="AF74" s="6"/>
      <c r="AG74" s="6"/>
      <c r="AH74" s="6"/>
      <c r="AI74" s="6"/>
      <c r="AJ74" s="6"/>
    </row>
    <row r="75" spans="1:36" ht="18" customHeight="1" x14ac:dyDescent="0.3">
      <c r="A75" s="161"/>
      <c r="B75" s="161"/>
      <c r="C75" s="161"/>
      <c r="D75" s="161"/>
      <c r="E75" s="161"/>
      <c r="F75" s="267"/>
      <c r="G75" s="268"/>
      <c r="H75" s="269" t="str">
        <f>IF($A75="","",SUMIFS('05 Work done log'!$F$7:$F$506,'05 Work done log'!$B$7:$B$506,$A75))</f>
        <v/>
      </c>
      <c r="I75" s="270" t="str">
        <f>IF(OR($A75="",N($F75)=0),"",$H75/$F75)</f>
        <v/>
      </c>
      <c r="J75" s="269" t="str">
        <f>IF(OR($A75="",N($F75)=0),"",$F75-$H75)</f>
        <v/>
      </c>
      <c r="K75" s="271" t="str">
        <f>IF($A75="","",SUMIFS('04 Resource log'!$J$7:$J$506,'04 Resource log'!$B$7:$B$506,$A75,'04 Resource log'!$E$7:$E$506,"Labour"))</f>
        <v/>
      </c>
      <c r="L75" s="270" t="str">
        <f>IF(OR($A75="",N($G75)=0),"",$K75/$G75)</f>
        <v/>
      </c>
      <c r="M75" s="271" t="str">
        <f>IF(OR($A75="",N($F75)=0,N($G75)=0),"",$I75*$G75)</f>
        <v/>
      </c>
      <c r="N75" s="272" t="str">
        <f>IF(OR($M75="",N($K75)=0),"",$M75/$K75)</f>
        <v/>
      </c>
      <c r="O75" s="273" t="str">
        <f>IF($A75="","",IFERROR(1/(1/_xlfn.MAXIFS('05 Work done log'!$A$7:$A$506,'05 Work done log'!$B$7:$B$506,$A75)),"not yet"))</f>
        <v/>
      </c>
      <c r="P75" s="161"/>
      <c r="Q75" s="6"/>
      <c r="R75" s="6"/>
      <c r="S75" s="6"/>
      <c r="T75" s="6"/>
      <c r="U75" s="6"/>
      <c r="V75" s="6"/>
      <c r="W75" s="6"/>
      <c r="X75" s="6"/>
      <c r="Y75" s="6"/>
      <c r="Z75" s="6"/>
      <c r="AA75" s="6"/>
      <c r="AB75" s="6"/>
      <c r="AC75" s="6"/>
      <c r="AD75" s="6"/>
      <c r="AE75" s="6"/>
      <c r="AF75" s="6"/>
      <c r="AG75" s="6"/>
      <c r="AH75" s="6"/>
      <c r="AI75" s="6"/>
      <c r="AJ75" s="6"/>
    </row>
    <row r="76" spans="1:36" ht="18" customHeight="1" x14ac:dyDescent="0.3">
      <c r="A76" s="161"/>
      <c r="B76" s="161"/>
      <c r="C76" s="161"/>
      <c r="D76" s="161"/>
      <c r="E76" s="161"/>
      <c r="F76" s="267"/>
      <c r="G76" s="268"/>
      <c r="H76" s="269" t="str">
        <f>IF($A76="","",SUMIFS('05 Work done log'!$F$7:$F$506,'05 Work done log'!$B$7:$B$506,$A76))</f>
        <v/>
      </c>
      <c r="I76" s="270" t="str">
        <f>IF(OR($A76="",N($F76)=0),"",$H76/$F76)</f>
        <v/>
      </c>
      <c r="J76" s="269" t="str">
        <f>IF(OR($A76="",N($F76)=0),"",$F76-$H76)</f>
        <v/>
      </c>
      <c r="K76" s="271" t="str">
        <f>IF($A76="","",SUMIFS('04 Resource log'!$J$7:$J$506,'04 Resource log'!$B$7:$B$506,$A76,'04 Resource log'!$E$7:$E$506,"Labour"))</f>
        <v/>
      </c>
      <c r="L76" s="270" t="str">
        <f>IF(OR($A76="",N($G76)=0),"",$K76/$G76)</f>
        <v/>
      </c>
      <c r="M76" s="271" t="str">
        <f>IF(OR($A76="",N($F76)=0,N($G76)=0),"",$I76*$G76)</f>
        <v/>
      </c>
      <c r="N76" s="272" t="str">
        <f>IF(OR($M76="",N($K76)=0),"",$M76/$K76)</f>
        <v/>
      </c>
      <c r="O76" s="273" t="str">
        <f>IF($A76="","",IFERROR(1/(1/_xlfn.MAXIFS('05 Work done log'!$A$7:$A$506,'05 Work done log'!$B$7:$B$506,$A76)),"not yet"))</f>
        <v/>
      </c>
      <c r="P76" s="161"/>
      <c r="Q76" s="6"/>
      <c r="R76" s="6"/>
      <c r="S76" s="6"/>
      <c r="T76" s="6"/>
      <c r="U76" s="6"/>
      <c r="V76" s="6"/>
      <c r="W76" s="6"/>
      <c r="X76" s="6"/>
      <c r="Y76" s="6"/>
      <c r="Z76" s="6"/>
      <c r="AA76" s="6"/>
      <c r="AB76" s="6"/>
      <c r="AC76" s="6"/>
      <c r="AD76" s="6"/>
      <c r="AE76" s="6"/>
      <c r="AF76" s="6"/>
      <c r="AG76" s="6"/>
      <c r="AH76" s="6"/>
      <c r="AI76" s="6"/>
      <c r="AJ76" s="6"/>
    </row>
    <row r="77" spans="1:36" ht="18" customHeight="1" x14ac:dyDescent="0.3">
      <c r="A77" s="161"/>
      <c r="B77" s="161"/>
      <c r="C77" s="161"/>
      <c r="D77" s="161"/>
      <c r="E77" s="161"/>
      <c r="F77" s="267"/>
      <c r="G77" s="268"/>
      <c r="H77" s="269" t="str">
        <f>IF($A77="","",SUMIFS('05 Work done log'!$F$7:$F$506,'05 Work done log'!$B$7:$B$506,$A77))</f>
        <v/>
      </c>
      <c r="I77" s="270" t="str">
        <f>IF(OR($A77="",N($F77)=0),"",$H77/$F77)</f>
        <v/>
      </c>
      <c r="J77" s="269" t="str">
        <f>IF(OR($A77="",N($F77)=0),"",$F77-$H77)</f>
        <v/>
      </c>
      <c r="K77" s="271" t="str">
        <f>IF($A77="","",SUMIFS('04 Resource log'!$J$7:$J$506,'04 Resource log'!$B$7:$B$506,$A77,'04 Resource log'!$E$7:$E$506,"Labour"))</f>
        <v/>
      </c>
      <c r="L77" s="270" t="str">
        <f>IF(OR($A77="",N($G77)=0),"",$K77/$G77)</f>
        <v/>
      </c>
      <c r="M77" s="271" t="str">
        <f>IF(OR($A77="",N($F77)=0,N($G77)=0),"",$I77*$G77)</f>
        <v/>
      </c>
      <c r="N77" s="272" t="str">
        <f>IF(OR($M77="",N($K77)=0),"",$M77/$K77)</f>
        <v/>
      </c>
      <c r="O77" s="273" t="str">
        <f>IF($A77="","",IFERROR(1/(1/_xlfn.MAXIFS('05 Work done log'!$A$7:$A$506,'05 Work done log'!$B$7:$B$506,$A77)),"not yet"))</f>
        <v/>
      </c>
      <c r="P77" s="161"/>
      <c r="Q77" s="6"/>
      <c r="R77" s="6"/>
      <c r="S77" s="6"/>
      <c r="T77" s="6"/>
      <c r="U77" s="6"/>
      <c r="V77" s="6"/>
      <c r="W77" s="6"/>
      <c r="X77" s="6"/>
      <c r="Y77" s="6"/>
      <c r="Z77" s="6"/>
      <c r="AA77" s="6"/>
      <c r="AB77" s="6"/>
      <c r="AC77" s="6"/>
      <c r="AD77" s="6"/>
      <c r="AE77" s="6"/>
      <c r="AF77" s="6"/>
      <c r="AG77" s="6"/>
      <c r="AH77" s="6"/>
      <c r="AI77" s="6"/>
      <c r="AJ77" s="6"/>
    </row>
    <row r="78" spans="1:36" ht="18" customHeight="1" x14ac:dyDescent="0.3">
      <c r="A78" s="161"/>
      <c r="B78" s="161"/>
      <c r="C78" s="161"/>
      <c r="D78" s="161"/>
      <c r="E78" s="161"/>
      <c r="F78" s="267"/>
      <c r="G78" s="268"/>
      <c r="H78" s="269" t="str">
        <f>IF($A78="","",SUMIFS('05 Work done log'!$F$7:$F$506,'05 Work done log'!$B$7:$B$506,$A78))</f>
        <v/>
      </c>
      <c r="I78" s="270" t="str">
        <f>IF(OR($A78="",N($F78)=0),"",$H78/$F78)</f>
        <v/>
      </c>
      <c r="J78" s="269" t="str">
        <f>IF(OR($A78="",N($F78)=0),"",$F78-$H78)</f>
        <v/>
      </c>
      <c r="K78" s="271" t="str">
        <f>IF($A78="","",SUMIFS('04 Resource log'!$J$7:$J$506,'04 Resource log'!$B$7:$B$506,$A78,'04 Resource log'!$E$7:$E$506,"Labour"))</f>
        <v/>
      </c>
      <c r="L78" s="270" t="str">
        <f>IF(OR($A78="",N($G78)=0),"",$K78/$G78)</f>
        <v/>
      </c>
      <c r="M78" s="271" t="str">
        <f>IF(OR($A78="",N($F78)=0,N($G78)=0),"",$I78*$G78)</f>
        <v/>
      </c>
      <c r="N78" s="272" t="str">
        <f>IF(OR($M78="",N($K78)=0),"",$M78/$K78)</f>
        <v/>
      </c>
      <c r="O78" s="273" t="str">
        <f>IF($A78="","",IFERROR(1/(1/_xlfn.MAXIFS('05 Work done log'!$A$7:$A$506,'05 Work done log'!$B$7:$B$506,$A78)),"not yet"))</f>
        <v/>
      </c>
      <c r="P78" s="161"/>
      <c r="Q78" s="6"/>
      <c r="R78" s="6"/>
      <c r="S78" s="6"/>
      <c r="T78" s="6"/>
      <c r="U78" s="6"/>
      <c r="V78" s="6"/>
      <c r="W78" s="6"/>
      <c r="X78" s="6"/>
      <c r="Y78" s="6"/>
      <c r="Z78" s="6"/>
      <c r="AA78" s="6"/>
      <c r="AB78" s="6"/>
      <c r="AC78" s="6"/>
      <c r="AD78" s="6"/>
      <c r="AE78" s="6"/>
      <c r="AF78" s="6"/>
      <c r="AG78" s="6"/>
      <c r="AH78" s="6"/>
      <c r="AI78" s="6"/>
      <c r="AJ78" s="6"/>
    </row>
    <row r="79" spans="1:36" ht="18" customHeight="1" x14ac:dyDescent="0.3">
      <c r="A79" s="161"/>
      <c r="B79" s="161"/>
      <c r="C79" s="161"/>
      <c r="D79" s="161"/>
      <c r="E79" s="161"/>
      <c r="F79" s="267"/>
      <c r="G79" s="268"/>
      <c r="H79" s="269" t="str">
        <f>IF($A79="","",SUMIFS('05 Work done log'!$F$7:$F$506,'05 Work done log'!$B$7:$B$506,$A79))</f>
        <v/>
      </c>
      <c r="I79" s="270" t="str">
        <f>IF(OR($A79="",N($F79)=0),"",$H79/$F79)</f>
        <v/>
      </c>
      <c r="J79" s="269" t="str">
        <f>IF(OR($A79="",N($F79)=0),"",$F79-$H79)</f>
        <v/>
      </c>
      <c r="K79" s="271" t="str">
        <f>IF($A79="","",SUMIFS('04 Resource log'!$J$7:$J$506,'04 Resource log'!$B$7:$B$506,$A79,'04 Resource log'!$E$7:$E$506,"Labour"))</f>
        <v/>
      </c>
      <c r="L79" s="270" t="str">
        <f>IF(OR($A79="",N($G79)=0),"",$K79/$G79)</f>
        <v/>
      </c>
      <c r="M79" s="271" t="str">
        <f>IF(OR($A79="",N($F79)=0,N($G79)=0),"",$I79*$G79)</f>
        <v/>
      </c>
      <c r="N79" s="272" t="str">
        <f>IF(OR($M79="",N($K79)=0),"",$M79/$K79)</f>
        <v/>
      </c>
      <c r="O79" s="273" t="str">
        <f>IF($A79="","",IFERROR(1/(1/_xlfn.MAXIFS('05 Work done log'!$A$7:$A$506,'05 Work done log'!$B$7:$B$506,$A79)),"not yet"))</f>
        <v/>
      </c>
      <c r="P79" s="161"/>
      <c r="Q79" s="6"/>
      <c r="R79" s="6"/>
      <c r="S79" s="6"/>
      <c r="T79" s="6"/>
      <c r="U79" s="6"/>
      <c r="V79" s="6"/>
      <c r="W79" s="6"/>
      <c r="X79" s="6"/>
      <c r="Y79" s="6"/>
      <c r="Z79" s="6"/>
      <c r="AA79" s="6"/>
      <c r="AB79" s="6"/>
      <c r="AC79" s="6"/>
      <c r="AD79" s="6"/>
      <c r="AE79" s="6"/>
      <c r="AF79" s="6"/>
      <c r="AG79" s="6"/>
      <c r="AH79" s="6"/>
      <c r="AI79" s="6"/>
      <c r="AJ79" s="6"/>
    </row>
    <row r="80" spans="1:36" ht="18" customHeight="1" x14ac:dyDescent="0.3">
      <c r="A80" s="161"/>
      <c r="B80" s="161"/>
      <c r="C80" s="161"/>
      <c r="D80" s="161"/>
      <c r="E80" s="161"/>
      <c r="F80" s="267"/>
      <c r="G80" s="268"/>
      <c r="H80" s="269" t="str">
        <f>IF($A80="","",SUMIFS('05 Work done log'!$F$7:$F$506,'05 Work done log'!$B$7:$B$506,$A80))</f>
        <v/>
      </c>
      <c r="I80" s="270" t="str">
        <f>IF(OR($A80="",N($F80)=0),"",$H80/$F80)</f>
        <v/>
      </c>
      <c r="J80" s="269" t="str">
        <f>IF(OR($A80="",N($F80)=0),"",$F80-$H80)</f>
        <v/>
      </c>
      <c r="K80" s="271" t="str">
        <f>IF($A80="","",SUMIFS('04 Resource log'!$J$7:$J$506,'04 Resource log'!$B$7:$B$506,$A80,'04 Resource log'!$E$7:$E$506,"Labour"))</f>
        <v/>
      </c>
      <c r="L80" s="270" t="str">
        <f>IF(OR($A80="",N($G80)=0),"",$K80/$G80)</f>
        <v/>
      </c>
      <c r="M80" s="271" t="str">
        <f>IF(OR($A80="",N($F80)=0,N($G80)=0),"",$I80*$G80)</f>
        <v/>
      </c>
      <c r="N80" s="272" t="str">
        <f>IF(OR($M80="",N($K80)=0),"",$M80/$K80)</f>
        <v/>
      </c>
      <c r="O80" s="273" t="str">
        <f>IF($A80="","",IFERROR(1/(1/_xlfn.MAXIFS('05 Work done log'!$A$7:$A$506,'05 Work done log'!$B$7:$B$506,$A80)),"not yet"))</f>
        <v/>
      </c>
      <c r="P80" s="161"/>
      <c r="Q80" s="6"/>
      <c r="R80" s="6"/>
      <c r="S80" s="6"/>
      <c r="T80" s="6"/>
      <c r="U80" s="6"/>
      <c r="V80" s="6"/>
      <c r="W80" s="6"/>
      <c r="X80" s="6"/>
      <c r="Y80" s="6"/>
      <c r="Z80" s="6"/>
      <c r="AA80" s="6"/>
      <c r="AB80" s="6"/>
      <c r="AC80" s="6"/>
      <c r="AD80" s="6"/>
      <c r="AE80" s="6"/>
      <c r="AF80" s="6"/>
      <c r="AG80" s="6"/>
      <c r="AH80" s="6"/>
      <c r="AI80" s="6"/>
      <c r="AJ80" s="6"/>
    </row>
    <row r="81" spans="1:36" ht="18" customHeight="1" x14ac:dyDescent="0.3">
      <c r="A81" s="161"/>
      <c r="B81" s="161"/>
      <c r="C81" s="161"/>
      <c r="D81" s="161"/>
      <c r="E81" s="161"/>
      <c r="F81" s="267"/>
      <c r="G81" s="268"/>
      <c r="H81" s="269" t="str">
        <f>IF($A81="","",SUMIFS('05 Work done log'!$F$7:$F$506,'05 Work done log'!$B$7:$B$506,$A81))</f>
        <v/>
      </c>
      <c r="I81" s="270" t="str">
        <f>IF(OR($A81="",N($F81)=0),"",$H81/$F81)</f>
        <v/>
      </c>
      <c r="J81" s="269" t="str">
        <f>IF(OR($A81="",N($F81)=0),"",$F81-$H81)</f>
        <v/>
      </c>
      <c r="K81" s="271" t="str">
        <f>IF($A81="","",SUMIFS('04 Resource log'!$J$7:$J$506,'04 Resource log'!$B$7:$B$506,$A81,'04 Resource log'!$E$7:$E$506,"Labour"))</f>
        <v/>
      </c>
      <c r="L81" s="270" t="str">
        <f>IF(OR($A81="",N($G81)=0),"",$K81/$G81)</f>
        <v/>
      </c>
      <c r="M81" s="271" t="str">
        <f>IF(OR($A81="",N($F81)=0,N($G81)=0),"",$I81*$G81)</f>
        <v/>
      </c>
      <c r="N81" s="272" t="str">
        <f>IF(OR($M81="",N($K81)=0),"",$M81/$K81)</f>
        <v/>
      </c>
      <c r="O81" s="273" t="str">
        <f>IF($A81="","",IFERROR(1/(1/_xlfn.MAXIFS('05 Work done log'!$A$7:$A$506,'05 Work done log'!$B$7:$B$506,$A81)),"not yet"))</f>
        <v/>
      </c>
      <c r="P81" s="161"/>
      <c r="Q81" s="6"/>
      <c r="R81" s="6"/>
      <c r="S81" s="6"/>
      <c r="T81" s="6"/>
      <c r="U81" s="6"/>
      <c r="V81" s="6"/>
      <c r="W81" s="6"/>
      <c r="X81" s="6"/>
      <c r="Y81" s="6"/>
      <c r="Z81" s="6"/>
      <c r="AA81" s="6"/>
      <c r="AB81" s="6"/>
      <c r="AC81" s="6"/>
      <c r="AD81" s="6"/>
      <c r="AE81" s="6"/>
      <c r="AF81" s="6"/>
      <c r="AG81" s="6"/>
      <c r="AH81" s="6"/>
      <c r="AI81" s="6"/>
      <c r="AJ81" s="6"/>
    </row>
    <row r="82" spans="1:36" ht="18" customHeight="1" x14ac:dyDescent="0.3">
      <c r="A82" s="161"/>
      <c r="B82" s="161"/>
      <c r="C82" s="161"/>
      <c r="D82" s="161"/>
      <c r="E82" s="161"/>
      <c r="F82" s="267"/>
      <c r="G82" s="268"/>
      <c r="H82" s="269" t="str">
        <f>IF($A82="","",SUMIFS('05 Work done log'!$F$7:$F$506,'05 Work done log'!$B$7:$B$506,$A82))</f>
        <v/>
      </c>
      <c r="I82" s="270" t="str">
        <f>IF(OR($A82="",N($F82)=0),"",$H82/$F82)</f>
        <v/>
      </c>
      <c r="J82" s="269" t="str">
        <f>IF(OR($A82="",N($F82)=0),"",$F82-$H82)</f>
        <v/>
      </c>
      <c r="K82" s="271" t="str">
        <f>IF($A82="","",SUMIFS('04 Resource log'!$J$7:$J$506,'04 Resource log'!$B$7:$B$506,$A82,'04 Resource log'!$E$7:$E$506,"Labour"))</f>
        <v/>
      </c>
      <c r="L82" s="270" t="str">
        <f>IF(OR($A82="",N($G82)=0),"",$K82/$G82)</f>
        <v/>
      </c>
      <c r="M82" s="271" t="str">
        <f>IF(OR($A82="",N($F82)=0,N($G82)=0),"",$I82*$G82)</f>
        <v/>
      </c>
      <c r="N82" s="272" t="str">
        <f>IF(OR($M82="",N($K82)=0),"",$M82/$K82)</f>
        <v/>
      </c>
      <c r="O82" s="273" t="str">
        <f>IF($A82="","",IFERROR(1/(1/_xlfn.MAXIFS('05 Work done log'!$A$7:$A$506,'05 Work done log'!$B$7:$B$506,$A82)),"not yet"))</f>
        <v/>
      </c>
      <c r="P82" s="161"/>
      <c r="Q82" s="6"/>
      <c r="R82" s="6"/>
      <c r="S82" s="6"/>
      <c r="T82" s="6"/>
      <c r="U82" s="6"/>
      <c r="V82" s="6"/>
      <c r="W82" s="6"/>
      <c r="X82" s="6"/>
      <c r="Y82" s="6"/>
      <c r="Z82" s="6"/>
      <c r="AA82" s="6"/>
      <c r="AB82" s="6"/>
      <c r="AC82" s="6"/>
      <c r="AD82" s="6"/>
      <c r="AE82" s="6"/>
      <c r="AF82" s="6"/>
      <c r="AG82" s="6"/>
      <c r="AH82" s="6"/>
      <c r="AI82" s="6"/>
      <c r="AJ82" s="6"/>
    </row>
    <row r="83" spans="1:36" ht="18" customHeight="1" x14ac:dyDescent="0.3">
      <c r="A83" s="161"/>
      <c r="B83" s="161"/>
      <c r="C83" s="161"/>
      <c r="D83" s="161"/>
      <c r="E83" s="161"/>
      <c r="F83" s="267"/>
      <c r="G83" s="268"/>
      <c r="H83" s="269" t="str">
        <f>IF($A83="","",SUMIFS('05 Work done log'!$F$7:$F$506,'05 Work done log'!$B$7:$B$506,$A83))</f>
        <v/>
      </c>
      <c r="I83" s="270" t="str">
        <f>IF(OR($A83="",N($F83)=0),"",$H83/$F83)</f>
        <v/>
      </c>
      <c r="J83" s="269" t="str">
        <f>IF(OR($A83="",N($F83)=0),"",$F83-$H83)</f>
        <v/>
      </c>
      <c r="K83" s="271" t="str">
        <f>IF($A83="","",SUMIFS('04 Resource log'!$J$7:$J$506,'04 Resource log'!$B$7:$B$506,$A83,'04 Resource log'!$E$7:$E$506,"Labour"))</f>
        <v/>
      </c>
      <c r="L83" s="270" t="str">
        <f>IF(OR($A83="",N($G83)=0),"",$K83/$G83)</f>
        <v/>
      </c>
      <c r="M83" s="271" t="str">
        <f>IF(OR($A83="",N($F83)=0,N($G83)=0),"",$I83*$G83)</f>
        <v/>
      </c>
      <c r="N83" s="272" t="str">
        <f>IF(OR($M83="",N($K83)=0),"",$M83/$K83)</f>
        <v/>
      </c>
      <c r="O83" s="273" t="str">
        <f>IF($A83="","",IFERROR(1/(1/_xlfn.MAXIFS('05 Work done log'!$A$7:$A$506,'05 Work done log'!$B$7:$B$506,$A83)),"not yet"))</f>
        <v/>
      </c>
      <c r="P83" s="161"/>
      <c r="Q83" s="6"/>
      <c r="R83" s="6"/>
      <c r="S83" s="6"/>
      <c r="T83" s="6"/>
      <c r="U83" s="6"/>
      <c r="V83" s="6"/>
      <c r="W83" s="6"/>
      <c r="X83" s="6"/>
      <c r="Y83" s="6"/>
      <c r="Z83" s="6"/>
      <c r="AA83" s="6"/>
      <c r="AB83" s="6"/>
      <c r="AC83" s="6"/>
      <c r="AD83" s="6"/>
      <c r="AE83" s="6"/>
      <c r="AF83" s="6"/>
      <c r="AG83" s="6"/>
      <c r="AH83" s="6"/>
      <c r="AI83" s="6"/>
      <c r="AJ83" s="6"/>
    </row>
    <row r="84" spans="1:36" ht="18" customHeight="1" x14ac:dyDescent="0.3">
      <c r="A84" s="161"/>
      <c r="B84" s="161"/>
      <c r="C84" s="161"/>
      <c r="D84" s="161"/>
      <c r="E84" s="161"/>
      <c r="F84" s="267"/>
      <c r="G84" s="268"/>
      <c r="H84" s="269" t="str">
        <f>IF($A84="","",SUMIFS('05 Work done log'!$F$7:$F$506,'05 Work done log'!$B$7:$B$506,$A84))</f>
        <v/>
      </c>
      <c r="I84" s="270" t="str">
        <f>IF(OR($A84="",N($F84)=0),"",$H84/$F84)</f>
        <v/>
      </c>
      <c r="J84" s="269" t="str">
        <f>IF(OR($A84="",N($F84)=0),"",$F84-$H84)</f>
        <v/>
      </c>
      <c r="K84" s="271" t="str">
        <f>IF($A84="","",SUMIFS('04 Resource log'!$J$7:$J$506,'04 Resource log'!$B$7:$B$506,$A84,'04 Resource log'!$E$7:$E$506,"Labour"))</f>
        <v/>
      </c>
      <c r="L84" s="270" t="str">
        <f>IF(OR($A84="",N($G84)=0),"",$K84/$G84)</f>
        <v/>
      </c>
      <c r="M84" s="271" t="str">
        <f>IF(OR($A84="",N($F84)=0,N($G84)=0),"",$I84*$G84)</f>
        <v/>
      </c>
      <c r="N84" s="272" t="str">
        <f>IF(OR($M84="",N($K84)=0),"",$M84/$K84)</f>
        <v/>
      </c>
      <c r="O84" s="273" t="str">
        <f>IF($A84="","",IFERROR(1/(1/_xlfn.MAXIFS('05 Work done log'!$A$7:$A$506,'05 Work done log'!$B$7:$B$506,$A84)),"not yet"))</f>
        <v/>
      </c>
      <c r="P84" s="161"/>
      <c r="Q84" s="6"/>
      <c r="R84" s="6"/>
      <c r="S84" s="6"/>
      <c r="T84" s="6"/>
      <c r="U84" s="6"/>
      <c r="V84" s="6"/>
      <c r="W84" s="6"/>
      <c r="X84" s="6"/>
      <c r="Y84" s="6"/>
      <c r="Z84" s="6"/>
      <c r="AA84" s="6"/>
      <c r="AB84" s="6"/>
      <c r="AC84" s="6"/>
      <c r="AD84" s="6"/>
      <c r="AE84" s="6"/>
      <c r="AF84" s="6"/>
      <c r="AG84" s="6"/>
      <c r="AH84" s="6"/>
      <c r="AI84" s="6"/>
      <c r="AJ84" s="6"/>
    </row>
    <row r="85" spans="1:36" ht="18" customHeight="1" x14ac:dyDescent="0.3">
      <c r="A85" s="161"/>
      <c r="B85" s="161"/>
      <c r="C85" s="161"/>
      <c r="D85" s="161"/>
      <c r="E85" s="161"/>
      <c r="F85" s="267"/>
      <c r="G85" s="268"/>
      <c r="H85" s="269" t="str">
        <f>IF($A85="","",SUMIFS('05 Work done log'!$F$7:$F$506,'05 Work done log'!$B$7:$B$506,$A85))</f>
        <v/>
      </c>
      <c r="I85" s="270" t="str">
        <f>IF(OR($A85="",N($F85)=0),"",$H85/$F85)</f>
        <v/>
      </c>
      <c r="J85" s="269" t="str">
        <f>IF(OR($A85="",N($F85)=0),"",$F85-$H85)</f>
        <v/>
      </c>
      <c r="K85" s="271" t="str">
        <f>IF($A85="","",SUMIFS('04 Resource log'!$J$7:$J$506,'04 Resource log'!$B$7:$B$506,$A85,'04 Resource log'!$E$7:$E$506,"Labour"))</f>
        <v/>
      </c>
      <c r="L85" s="270" t="str">
        <f>IF(OR($A85="",N($G85)=0),"",$K85/$G85)</f>
        <v/>
      </c>
      <c r="M85" s="271" t="str">
        <f>IF(OR($A85="",N($F85)=0,N($G85)=0),"",$I85*$G85)</f>
        <v/>
      </c>
      <c r="N85" s="272" t="str">
        <f>IF(OR($M85="",N($K85)=0),"",$M85/$K85)</f>
        <v/>
      </c>
      <c r="O85" s="273" t="str">
        <f>IF($A85="","",IFERROR(1/(1/_xlfn.MAXIFS('05 Work done log'!$A$7:$A$506,'05 Work done log'!$B$7:$B$506,$A85)),"not yet"))</f>
        <v/>
      </c>
      <c r="P85" s="161"/>
      <c r="Q85" s="6"/>
      <c r="R85" s="6"/>
      <c r="S85" s="6"/>
      <c r="T85" s="6"/>
      <c r="U85" s="6"/>
      <c r="V85" s="6"/>
      <c r="W85" s="6"/>
      <c r="X85" s="6"/>
      <c r="Y85" s="6"/>
      <c r="Z85" s="6"/>
      <c r="AA85" s="6"/>
      <c r="AB85" s="6"/>
      <c r="AC85" s="6"/>
      <c r="AD85" s="6"/>
      <c r="AE85" s="6"/>
      <c r="AF85" s="6"/>
      <c r="AG85" s="6"/>
      <c r="AH85" s="6"/>
      <c r="AI85" s="6"/>
      <c r="AJ85" s="6"/>
    </row>
    <row r="86" spans="1:36" ht="18" customHeight="1" x14ac:dyDescent="0.3">
      <c r="A86" s="161"/>
      <c r="B86" s="161"/>
      <c r="C86" s="161"/>
      <c r="D86" s="161"/>
      <c r="E86" s="161"/>
      <c r="F86" s="267"/>
      <c r="G86" s="268"/>
      <c r="H86" s="269" t="str">
        <f>IF($A86="","",SUMIFS('05 Work done log'!$F$7:$F$506,'05 Work done log'!$B$7:$B$506,$A86))</f>
        <v/>
      </c>
      <c r="I86" s="270" t="str">
        <f>IF(OR($A86="",N($F86)=0),"",$H86/$F86)</f>
        <v/>
      </c>
      <c r="J86" s="269" t="str">
        <f>IF(OR($A86="",N($F86)=0),"",$F86-$H86)</f>
        <v/>
      </c>
      <c r="K86" s="271" t="str">
        <f>IF($A86="","",SUMIFS('04 Resource log'!$J$7:$J$506,'04 Resource log'!$B$7:$B$506,$A86,'04 Resource log'!$E$7:$E$506,"Labour"))</f>
        <v/>
      </c>
      <c r="L86" s="270" t="str">
        <f>IF(OR($A86="",N($G86)=0),"",$K86/$G86)</f>
        <v/>
      </c>
      <c r="M86" s="271" t="str">
        <f>IF(OR($A86="",N($F86)=0,N($G86)=0),"",$I86*$G86)</f>
        <v/>
      </c>
      <c r="N86" s="272" t="str">
        <f>IF(OR($M86="",N($K86)=0),"",$M86/$K86)</f>
        <v/>
      </c>
      <c r="O86" s="273" t="str">
        <f>IF($A86="","",IFERROR(1/(1/_xlfn.MAXIFS('05 Work done log'!$A$7:$A$506,'05 Work done log'!$B$7:$B$506,$A86)),"not yet"))</f>
        <v/>
      </c>
      <c r="P86" s="161"/>
      <c r="Q86" s="6"/>
      <c r="R86" s="6"/>
      <c r="S86" s="6"/>
      <c r="T86" s="6"/>
      <c r="U86" s="6"/>
      <c r="V86" s="6"/>
      <c r="W86" s="6"/>
      <c r="X86" s="6"/>
      <c r="Y86" s="6"/>
      <c r="Z86" s="6"/>
      <c r="AA86" s="6"/>
      <c r="AB86" s="6"/>
      <c r="AC86" s="6"/>
      <c r="AD86" s="6"/>
      <c r="AE86" s="6"/>
      <c r="AF86" s="6"/>
      <c r="AG86" s="6"/>
      <c r="AH86" s="6"/>
      <c r="AI86" s="6"/>
      <c r="AJ86" s="6"/>
    </row>
    <row r="87" spans="1:36" ht="18" customHeight="1" x14ac:dyDescent="0.3">
      <c r="A87" s="161"/>
      <c r="B87" s="161"/>
      <c r="C87" s="161"/>
      <c r="D87" s="161"/>
      <c r="E87" s="161"/>
      <c r="F87" s="267"/>
      <c r="G87" s="268"/>
      <c r="H87" s="269" t="str">
        <f>IF($A87="","",SUMIFS('05 Work done log'!$F$7:$F$506,'05 Work done log'!$B$7:$B$506,$A87))</f>
        <v/>
      </c>
      <c r="I87" s="270" t="str">
        <f>IF(OR($A87="",N($F87)=0),"",$H87/$F87)</f>
        <v/>
      </c>
      <c r="J87" s="269" t="str">
        <f>IF(OR($A87="",N($F87)=0),"",$F87-$H87)</f>
        <v/>
      </c>
      <c r="K87" s="271" t="str">
        <f>IF($A87="","",SUMIFS('04 Resource log'!$J$7:$J$506,'04 Resource log'!$B$7:$B$506,$A87,'04 Resource log'!$E$7:$E$506,"Labour"))</f>
        <v/>
      </c>
      <c r="L87" s="270" t="str">
        <f>IF(OR($A87="",N($G87)=0),"",$K87/$G87)</f>
        <v/>
      </c>
      <c r="M87" s="271" t="str">
        <f>IF(OR($A87="",N($F87)=0,N($G87)=0),"",$I87*$G87)</f>
        <v/>
      </c>
      <c r="N87" s="272" t="str">
        <f>IF(OR($M87="",N($K87)=0),"",$M87/$K87)</f>
        <v/>
      </c>
      <c r="O87" s="273" t="str">
        <f>IF($A87="","",IFERROR(1/(1/_xlfn.MAXIFS('05 Work done log'!$A$7:$A$506,'05 Work done log'!$B$7:$B$506,$A87)),"not yet"))</f>
        <v/>
      </c>
      <c r="P87" s="161"/>
      <c r="Q87" s="6"/>
      <c r="R87" s="6"/>
      <c r="S87" s="6"/>
      <c r="T87" s="6"/>
      <c r="U87" s="6"/>
      <c r="V87" s="6"/>
      <c r="W87" s="6"/>
      <c r="X87" s="6"/>
      <c r="Y87" s="6"/>
      <c r="Z87" s="6"/>
      <c r="AA87" s="6"/>
      <c r="AB87" s="6"/>
      <c r="AC87" s="6"/>
      <c r="AD87" s="6"/>
      <c r="AE87" s="6"/>
      <c r="AF87" s="6"/>
      <c r="AG87" s="6"/>
      <c r="AH87" s="6"/>
      <c r="AI87" s="6"/>
      <c r="AJ87" s="6"/>
    </row>
    <row r="88" spans="1:36" ht="18" customHeight="1" x14ac:dyDescent="0.3">
      <c r="A88" s="161"/>
      <c r="B88" s="161"/>
      <c r="C88" s="161"/>
      <c r="D88" s="161"/>
      <c r="E88" s="161"/>
      <c r="F88" s="267"/>
      <c r="G88" s="268"/>
      <c r="H88" s="269" t="str">
        <f>IF($A88="","",SUMIFS('05 Work done log'!$F$7:$F$506,'05 Work done log'!$B$7:$B$506,$A88))</f>
        <v/>
      </c>
      <c r="I88" s="270" t="str">
        <f>IF(OR($A88="",N($F88)=0),"",$H88/$F88)</f>
        <v/>
      </c>
      <c r="J88" s="269" t="str">
        <f>IF(OR($A88="",N($F88)=0),"",$F88-$H88)</f>
        <v/>
      </c>
      <c r="K88" s="271" t="str">
        <f>IF($A88="","",SUMIFS('04 Resource log'!$J$7:$J$506,'04 Resource log'!$B$7:$B$506,$A88,'04 Resource log'!$E$7:$E$506,"Labour"))</f>
        <v/>
      </c>
      <c r="L88" s="270" t="str">
        <f>IF(OR($A88="",N($G88)=0),"",$K88/$G88)</f>
        <v/>
      </c>
      <c r="M88" s="271" t="str">
        <f>IF(OR($A88="",N($F88)=0,N($G88)=0),"",$I88*$G88)</f>
        <v/>
      </c>
      <c r="N88" s="272" t="str">
        <f>IF(OR($M88="",N($K88)=0),"",$M88/$K88)</f>
        <v/>
      </c>
      <c r="O88" s="273" t="str">
        <f>IF($A88="","",IFERROR(1/(1/_xlfn.MAXIFS('05 Work done log'!$A$7:$A$506,'05 Work done log'!$B$7:$B$506,$A88)),"not yet"))</f>
        <v/>
      </c>
      <c r="P88" s="161"/>
      <c r="Q88" s="6"/>
      <c r="R88" s="6"/>
      <c r="S88" s="6"/>
      <c r="T88" s="6"/>
      <c r="U88" s="6"/>
      <c r="V88" s="6"/>
      <c r="W88" s="6"/>
      <c r="X88" s="6"/>
      <c r="Y88" s="6"/>
      <c r="Z88" s="6"/>
      <c r="AA88" s="6"/>
      <c r="AB88" s="6"/>
      <c r="AC88" s="6"/>
      <c r="AD88" s="6"/>
      <c r="AE88" s="6"/>
      <c r="AF88" s="6"/>
      <c r="AG88" s="6"/>
      <c r="AH88" s="6"/>
      <c r="AI88" s="6"/>
      <c r="AJ88" s="6"/>
    </row>
    <row r="89" spans="1:36" ht="18" customHeight="1" x14ac:dyDescent="0.3">
      <c r="A89" s="161"/>
      <c r="B89" s="161"/>
      <c r="C89" s="161"/>
      <c r="D89" s="161"/>
      <c r="E89" s="161"/>
      <c r="F89" s="267"/>
      <c r="G89" s="268"/>
      <c r="H89" s="269" t="str">
        <f>IF($A89="","",SUMIFS('05 Work done log'!$F$7:$F$506,'05 Work done log'!$B$7:$B$506,$A89))</f>
        <v/>
      </c>
      <c r="I89" s="270" t="str">
        <f>IF(OR($A89="",N($F89)=0),"",$H89/$F89)</f>
        <v/>
      </c>
      <c r="J89" s="269" t="str">
        <f>IF(OR($A89="",N($F89)=0),"",$F89-$H89)</f>
        <v/>
      </c>
      <c r="K89" s="271" t="str">
        <f>IF($A89="","",SUMIFS('04 Resource log'!$J$7:$J$506,'04 Resource log'!$B$7:$B$506,$A89,'04 Resource log'!$E$7:$E$506,"Labour"))</f>
        <v/>
      </c>
      <c r="L89" s="270" t="str">
        <f>IF(OR($A89="",N($G89)=0),"",$K89/$G89)</f>
        <v/>
      </c>
      <c r="M89" s="271" t="str">
        <f>IF(OR($A89="",N($F89)=0,N($G89)=0),"",$I89*$G89)</f>
        <v/>
      </c>
      <c r="N89" s="272" t="str">
        <f>IF(OR($M89="",N($K89)=0),"",$M89/$K89)</f>
        <v/>
      </c>
      <c r="O89" s="273" t="str">
        <f>IF($A89="","",IFERROR(1/(1/_xlfn.MAXIFS('05 Work done log'!$A$7:$A$506,'05 Work done log'!$B$7:$B$506,$A89)),"not yet"))</f>
        <v/>
      </c>
      <c r="P89" s="161"/>
      <c r="Q89" s="6"/>
      <c r="R89" s="6"/>
      <c r="S89" s="6"/>
      <c r="T89" s="6"/>
      <c r="U89" s="6"/>
      <c r="V89" s="6"/>
      <c r="W89" s="6"/>
      <c r="X89" s="6"/>
      <c r="Y89" s="6"/>
      <c r="Z89" s="6"/>
      <c r="AA89" s="6"/>
      <c r="AB89" s="6"/>
      <c r="AC89" s="6"/>
      <c r="AD89" s="6"/>
      <c r="AE89" s="6"/>
      <c r="AF89" s="6"/>
      <c r="AG89" s="6"/>
      <c r="AH89" s="6"/>
      <c r="AI89" s="6"/>
      <c r="AJ89" s="6"/>
    </row>
    <row r="90" spans="1:36" ht="18" customHeight="1" x14ac:dyDescent="0.3">
      <c r="A90" s="161"/>
      <c r="B90" s="161"/>
      <c r="C90" s="161"/>
      <c r="D90" s="161"/>
      <c r="E90" s="161"/>
      <c r="F90" s="267"/>
      <c r="G90" s="268"/>
      <c r="H90" s="269" t="str">
        <f>IF($A90="","",SUMIFS('05 Work done log'!$F$7:$F$506,'05 Work done log'!$B$7:$B$506,$A90))</f>
        <v/>
      </c>
      <c r="I90" s="270" t="str">
        <f>IF(OR($A90="",N($F90)=0),"",$H90/$F90)</f>
        <v/>
      </c>
      <c r="J90" s="269" t="str">
        <f>IF(OR($A90="",N($F90)=0),"",$F90-$H90)</f>
        <v/>
      </c>
      <c r="K90" s="271" t="str">
        <f>IF($A90="","",SUMIFS('04 Resource log'!$J$7:$J$506,'04 Resource log'!$B$7:$B$506,$A90,'04 Resource log'!$E$7:$E$506,"Labour"))</f>
        <v/>
      </c>
      <c r="L90" s="270" t="str">
        <f>IF(OR($A90="",N($G90)=0),"",$K90/$G90)</f>
        <v/>
      </c>
      <c r="M90" s="271" t="str">
        <f>IF(OR($A90="",N($F90)=0,N($G90)=0),"",$I90*$G90)</f>
        <v/>
      </c>
      <c r="N90" s="272" t="str">
        <f>IF(OR($M90="",N($K90)=0),"",$M90/$K90)</f>
        <v/>
      </c>
      <c r="O90" s="273" t="str">
        <f>IF($A90="","",IFERROR(1/(1/_xlfn.MAXIFS('05 Work done log'!$A$7:$A$506,'05 Work done log'!$B$7:$B$506,$A90)),"not yet"))</f>
        <v/>
      </c>
      <c r="P90" s="161"/>
      <c r="Q90" s="6"/>
      <c r="R90" s="6"/>
      <c r="S90" s="6"/>
      <c r="T90" s="6"/>
      <c r="U90" s="6"/>
      <c r="V90" s="6"/>
      <c r="W90" s="6"/>
      <c r="X90" s="6"/>
      <c r="Y90" s="6"/>
      <c r="Z90" s="6"/>
      <c r="AA90" s="6"/>
      <c r="AB90" s="6"/>
      <c r="AC90" s="6"/>
      <c r="AD90" s="6"/>
      <c r="AE90" s="6"/>
      <c r="AF90" s="6"/>
      <c r="AG90" s="6"/>
      <c r="AH90" s="6"/>
      <c r="AI90" s="6"/>
      <c r="AJ90" s="6"/>
    </row>
    <row r="91" spans="1:36" ht="18" customHeight="1" x14ac:dyDescent="0.3">
      <c r="A91" s="161"/>
      <c r="B91" s="161"/>
      <c r="C91" s="161"/>
      <c r="D91" s="161"/>
      <c r="E91" s="161"/>
      <c r="F91" s="267"/>
      <c r="G91" s="268"/>
      <c r="H91" s="269" t="str">
        <f>IF($A91="","",SUMIFS('05 Work done log'!$F$7:$F$506,'05 Work done log'!$B$7:$B$506,$A91))</f>
        <v/>
      </c>
      <c r="I91" s="270" t="str">
        <f>IF(OR($A91="",N($F91)=0),"",$H91/$F91)</f>
        <v/>
      </c>
      <c r="J91" s="269" t="str">
        <f>IF(OR($A91="",N($F91)=0),"",$F91-$H91)</f>
        <v/>
      </c>
      <c r="K91" s="271" t="str">
        <f>IF($A91="","",SUMIFS('04 Resource log'!$J$7:$J$506,'04 Resource log'!$B$7:$B$506,$A91,'04 Resource log'!$E$7:$E$506,"Labour"))</f>
        <v/>
      </c>
      <c r="L91" s="270" t="str">
        <f>IF(OR($A91="",N($G91)=0),"",$K91/$G91)</f>
        <v/>
      </c>
      <c r="M91" s="271" t="str">
        <f>IF(OR($A91="",N($F91)=0,N($G91)=0),"",$I91*$G91)</f>
        <v/>
      </c>
      <c r="N91" s="272" t="str">
        <f>IF(OR($M91="",N($K91)=0),"",$M91/$K91)</f>
        <v/>
      </c>
      <c r="O91" s="273" t="str">
        <f>IF($A91="","",IFERROR(1/(1/_xlfn.MAXIFS('05 Work done log'!$A$7:$A$506,'05 Work done log'!$B$7:$B$506,$A91)),"not yet"))</f>
        <v/>
      </c>
      <c r="P91" s="161"/>
      <c r="Q91" s="6"/>
      <c r="R91" s="6"/>
      <c r="S91" s="6"/>
      <c r="T91" s="6"/>
      <c r="U91" s="6"/>
      <c r="V91" s="6"/>
      <c r="W91" s="6"/>
      <c r="X91" s="6"/>
      <c r="Y91" s="6"/>
      <c r="Z91" s="6"/>
      <c r="AA91" s="6"/>
      <c r="AB91" s="6"/>
      <c r="AC91" s="6"/>
      <c r="AD91" s="6"/>
      <c r="AE91" s="6"/>
      <c r="AF91" s="6"/>
      <c r="AG91" s="6"/>
      <c r="AH91" s="6"/>
      <c r="AI91" s="6"/>
      <c r="AJ91" s="6"/>
    </row>
    <row r="92" spans="1:36" ht="18" customHeight="1" x14ac:dyDescent="0.3">
      <c r="A92" s="161"/>
      <c r="B92" s="161"/>
      <c r="C92" s="161"/>
      <c r="D92" s="161"/>
      <c r="E92" s="161"/>
      <c r="F92" s="267"/>
      <c r="G92" s="268"/>
      <c r="H92" s="269" t="str">
        <f>IF($A92="","",SUMIFS('05 Work done log'!$F$7:$F$506,'05 Work done log'!$B$7:$B$506,$A92))</f>
        <v/>
      </c>
      <c r="I92" s="270" t="str">
        <f>IF(OR($A92="",N($F92)=0),"",$H92/$F92)</f>
        <v/>
      </c>
      <c r="J92" s="269" t="str">
        <f>IF(OR($A92="",N($F92)=0),"",$F92-$H92)</f>
        <v/>
      </c>
      <c r="K92" s="271" t="str">
        <f>IF($A92="","",SUMIFS('04 Resource log'!$J$7:$J$506,'04 Resource log'!$B$7:$B$506,$A92,'04 Resource log'!$E$7:$E$506,"Labour"))</f>
        <v/>
      </c>
      <c r="L92" s="270" t="str">
        <f>IF(OR($A92="",N($G92)=0),"",$K92/$G92)</f>
        <v/>
      </c>
      <c r="M92" s="271" t="str">
        <f>IF(OR($A92="",N($F92)=0,N($G92)=0),"",$I92*$G92)</f>
        <v/>
      </c>
      <c r="N92" s="272" t="str">
        <f>IF(OR($M92="",N($K92)=0),"",$M92/$K92)</f>
        <v/>
      </c>
      <c r="O92" s="273" t="str">
        <f>IF($A92="","",IFERROR(1/(1/_xlfn.MAXIFS('05 Work done log'!$A$7:$A$506,'05 Work done log'!$B$7:$B$506,$A92)),"not yet"))</f>
        <v/>
      </c>
      <c r="P92" s="161"/>
      <c r="Q92" s="6"/>
      <c r="R92" s="6"/>
      <c r="S92" s="6"/>
      <c r="T92" s="6"/>
      <c r="U92" s="6"/>
      <c r="V92" s="6"/>
      <c r="W92" s="6"/>
      <c r="X92" s="6"/>
      <c r="Y92" s="6"/>
      <c r="Z92" s="6"/>
      <c r="AA92" s="6"/>
      <c r="AB92" s="6"/>
      <c r="AC92" s="6"/>
      <c r="AD92" s="6"/>
      <c r="AE92" s="6"/>
      <c r="AF92" s="6"/>
      <c r="AG92" s="6"/>
      <c r="AH92" s="6"/>
      <c r="AI92" s="6"/>
      <c r="AJ92" s="6"/>
    </row>
    <row r="93" spans="1:36" ht="18" customHeight="1" x14ac:dyDescent="0.3">
      <c r="A93" s="161"/>
      <c r="B93" s="161"/>
      <c r="C93" s="161"/>
      <c r="D93" s="161"/>
      <c r="E93" s="161"/>
      <c r="F93" s="267"/>
      <c r="G93" s="268"/>
      <c r="H93" s="269" t="str">
        <f>IF($A93="","",SUMIFS('05 Work done log'!$F$7:$F$506,'05 Work done log'!$B$7:$B$506,$A93))</f>
        <v/>
      </c>
      <c r="I93" s="270" t="str">
        <f>IF(OR($A93="",N($F93)=0),"",$H93/$F93)</f>
        <v/>
      </c>
      <c r="J93" s="269" t="str">
        <f>IF(OR($A93="",N($F93)=0),"",$F93-$H93)</f>
        <v/>
      </c>
      <c r="K93" s="271" t="str">
        <f>IF($A93="","",SUMIFS('04 Resource log'!$J$7:$J$506,'04 Resource log'!$B$7:$B$506,$A93,'04 Resource log'!$E$7:$E$506,"Labour"))</f>
        <v/>
      </c>
      <c r="L93" s="270" t="str">
        <f>IF(OR($A93="",N($G93)=0),"",$K93/$G93)</f>
        <v/>
      </c>
      <c r="M93" s="271" t="str">
        <f>IF(OR($A93="",N($F93)=0,N($G93)=0),"",$I93*$G93)</f>
        <v/>
      </c>
      <c r="N93" s="272" t="str">
        <f>IF(OR($M93="",N($K93)=0),"",$M93/$K93)</f>
        <v/>
      </c>
      <c r="O93" s="273" t="str">
        <f>IF($A93="","",IFERROR(1/(1/_xlfn.MAXIFS('05 Work done log'!$A$7:$A$506,'05 Work done log'!$B$7:$B$506,$A93)),"not yet"))</f>
        <v/>
      </c>
      <c r="P93" s="161"/>
      <c r="Q93" s="6"/>
      <c r="R93" s="6"/>
      <c r="S93" s="6"/>
      <c r="T93" s="6"/>
      <c r="U93" s="6"/>
      <c r="V93" s="6"/>
      <c r="W93" s="6"/>
      <c r="X93" s="6"/>
      <c r="Y93" s="6"/>
      <c r="Z93" s="6"/>
      <c r="AA93" s="6"/>
      <c r="AB93" s="6"/>
      <c r="AC93" s="6"/>
      <c r="AD93" s="6"/>
      <c r="AE93" s="6"/>
      <c r="AF93" s="6"/>
      <c r="AG93" s="6"/>
      <c r="AH93" s="6"/>
      <c r="AI93" s="6"/>
      <c r="AJ93" s="6"/>
    </row>
    <row r="94" spans="1:36" ht="18" customHeight="1" x14ac:dyDescent="0.3">
      <c r="A94" s="161"/>
      <c r="B94" s="161"/>
      <c r="C94" s="161"/>
      <c r="D94" s="161"/>
      <c r="E94" s="161"/>
      <c r="F94" s="267"/>
      <c r="G94" s="268"/>
      <c r="H94" s="269" t="str">
        <f>IF($A94="","",SUMIFS('05 Work done log'!$F$7:$F$506,'05 Work done log'!$B$7:$B$506,$A94))</f>
        <v/>
      </c>
      <c r="I94" s="270" t="str">
        <f>IF(OR($A94="",N($F94)=0),"",$H94/$F94)</f>
        <v/>
      </c>
      <c r="J94" s="269" t="str">
        <f>IF(OR($A94="",N($F94)=0),"",$F94-$H94)</f>
        <v/>
      </c>
      <c r="K94" s="271" t="str">
        <f>IF($A94="","",SUMIFS('04 Resource log'!$J$7:$J$506,'04 Resource log'!$B$7:$B$506,$A94,'04 Resource log'!$E$7:$E$506,"Labour"))</f>
        <v/>
      </c>
      <c r="L94" s="270" t="str">
        <f>IF(OR($A94="",N($G94)=0),"",$K94/$G94)</f>
        <v/>
      </c>
      <c r="M94" s="271" t="str">
        <f>IF(OR($A94="",N($F94)=0,N($G94)=0),"",$I94*$G94)</f>
        <v/>
      </c>
      <c r="N94" s="272" t="str">
        <f>IF(OR($M94="",N($K94)=0),"",$M94/$K94)</f>
        <v/>
      </c>
      <c r="O94" s="273" t="str">
        <f>IF($A94="","",IFERROR(1/(1/_xlfn.MAXIFS('05 Work done log'!$A$7:$A$506,'05 Work done log'!$B$7:$B$506,$A94)),"not yet"))</f>
        <v/>
      </c>
      <c r="P94" s="161"/>
      <c r="Q94" s="6"/>
      <c r="R94" s="6"/>
      <c r="S94" s="6"/>
      <c r="T94" s="6"/>
      <c r="U94" s="6"/>
      <c r="V94" s="6"/>
      <c r="W94" s="6"/>
      <c r="X94" s="6"/>
      <c r="Y94" s="6"/>
      <c r="Z94" s="6"/>
      <c r="AA94" s="6"/>
      <c r="AB94" s="6"/>
      <c r="AC94" s="6"/>
      <c r="AD94" s="6"/>
      <c r="AE94" s="6"/>
      <c r="AF94" s="6"/>
      <c r="AG94" s="6"/>
      <c r="AH94" s="6"/>
      <c r="AI94" s="6"/>
      <c r="AJ94" s="6"/>
    </row>
    <row r="95" spans="1:36" ht="18" customHeight="1" x14ac:dyDescent="0.3">
      <c r="A95" s="161"/>
      <c r="B95" s="161"/>
      <c r="C95" s="161"/>
      <c r="D95" s="161"/>
      <c r="E95" s="161"/>
      <c r="F95" s="267"/>
      <c r="G95" s="268"/>
      <c r="H95" s="269" t="str">
        <f>IF($A95="","",SUMIFS('05 Work done log'!$F$7:$F$506,'05 Work done log'!$B$7:$B$506,$A95))</f>
        <v/>
      </c>
      <c r="I95" s="270" t="str">
        <f>IF(OR($A95="",N($F95)=0),"",$H95/$F95)</f>
        <v/>
      </c>
      <c r="J95" s="269" t="str">
        <f>IF(OR($A95="",N($F95)=0),"",$F95-$H95)</f>
        <v/>
      </c>
      <c r="K95" s="271" t="str">
        <f>IF($A95="","",SUMIFS('04 Resource log'!$J$7:$J$506,'04 Resource log'!$B$7:$B$506,$A95,'04 Resource log'!$E$7:$E$506,"Labour"))</f>
        <v/>
      </c>
      <c r="L95" s="270" t="str">
        <f>IF(OR($A95="",N($G95)=0),"",$K95/$G95)</f>
        <v/>
      </c>
      <c r="M95" s="271" t="str">
        <f>IF(OR($A95="",N($F95)=0,N($G95)=0),"",$I95*$G95)</f>
        <v/>
      </c>
      <c r="N95" s="272" t="str">
        <f>IF(OR($M95="",N($K95)=0),"",$M95/$K95)</f>
        <v/>
      </c>
      <c r="O95" s="273" t="str">
        <f>IF($A95="","",IFERROR(1/(1/_xlfn.MAXIFS('05 Work done log'!$A$7:$A$506,'05 Work done log'!$B$7:$B$506,$A95)),"not yet"))</f>
        <v/>
      </c>
      <c r="P95" s="161"/>
      <c r="Q95" s="6"/>
      <c r="R95" s="6"/>
      <c r="S95" s="6"/>
      <c r="T95" s="6"/>
      <c r="U95" s="6"/>
      <c r="V95" s="6"/>
      <c r="W95" s="6"/>
      <c r="X95" s="6"/>
      <c r="Y95" s="6"/>
      <c r="Z95" s="6"/>
      <c r="AA95" s="6"/>
      <c r="AB95" s="6"/>
      <c r="AC95" s="6"/>
      <c r="AD95" s="6"/>
      <c r="AE95" s="6"/>
      <c r="AF95" s="6"/>
      <c r="AG95" s="6"/>
      <c r="AH95" s="6"/>
      <c r="AI95" s="6"/>
      <c r="AJ95" s="6"/>
    </row>
    <row r="96" spans="1:36" ht="18" customHeight="1" x14ac:dyDescent="0.3">
      <c r="A96" s="161"/>
      <c r="B96" s="161"/>
      <c r="C96" s="161"/>
      <c r="D96" s="161"/>
      <c r="E96" s="161"/>
      <c r="F96" s="267"/>
      <c r="G96" s="268"/>
      <c r="H96" s="269" t="str">
        <f>IF($A96="","",SUMIFS('05 Work done log'!$F$7:$F$506,'05 Work done log'!$B$7:$B$506,$A96))</f>
        <v/>
      </c>
      <c r="I96" s="270" t="str">
        <f>IF(OR($A96="",N($F96)=0),"",$H96/$F96)</f>
        <v/>
      </c>
      <c r="J96" s="269" t="str">
        <f>IF(OR($A96="",N($F96)=0),"",$F96-$H96)</f>
        <v/>
      </c>
      <c r="K96" s="271" t="str">
        <f>IF($A96="","",SUMIFS('04 Resource log'!$J$7:$J$506,'04 Resource log'!$B$7:$B$506,$A96,'04 Resource log'!$E$7:$E$506,"Labour"))</f>
        <v/>
      </c>
      <c r="L96" s="270" t="str">
        <f>IF(OR($A96="",N($G96)=0),"",$K96/$G96)</f>
        <v/>
      </c>
      <c r="M96" s="271" t="str">
        <f>IF(OR($A96="",N($F96)=0,N($G96)=0),"",$I96*$G96)</f>
        <v/>
      </c>
      <c r="N96" s="272" t="str">
        <f>IF(OR($M96="",N($K96)=0),"",$M96/$K96)</f>
        <v/>
      </c>
      <c r="O96" s="273" t="str">
        <f>IF($A96="","",IFERROR(1/(1/_xlfn.MAXIFS('05 Work done log'!$A$7:$A$506,'05 Work done log'!$B$7:$B$506,$A96)),"not yet"))</f>
        <v/>
      </c>
      <c r="P96" s="161"/>
      <c r="Q96" s="6"/>
      <c r="R96" s="6"/>
      <c r="S96" s="6"/>
      <c r="T96" s="6"/>
      <c r="U96" s="6"/>
      <c r="V96" s="6"/>
      <c r="W96" s="6"/>
      <c r="X96" s="6"/>
      <c r="Y96" s="6"/>
      <c r="Z96" s="6"/>
      <c r="AA96" s="6"/>
      <c r="AB96" s="6"/>
      <c r="AC96" s="6"/>
      <c r="AD96" s="6"/>
      <c r="AE96" s="6"/>
      <c r="AF96" s="6"/>
      <c r="AG96" s="6"/>
      <c r="AH96" s="6"/>
      <c r="AI96" s="6"/>
      <c r="AJ96" s="6"/>
    </row>
    <row r="97" spans="1:36" ht="18" customHeight="1" x14ac:dyDescent="0.3">
      <c r="A97" s="161"/>
      <c r="B97" s="161"/>
      <c r="C97" s="161"/>
      <c r="D97" s="161"/>
      <c r="E97" s="161"/>
      <c r="F97" s="267"/>
      <c r="G97" s="268"/>
      <c r="H97" s="269" t="str">
        <f>IF($A97="","",SUMIFS('05 Work done log'!$F$7:$F$506,'05 Work done log'!$B$7:$B$506,$A97))</f>
        <v/>
      </c>
      <c r="I97" s="270" t="str">
        <f>IF(OR($A97="",N($F97)=0),"",$H97/$F97)</f>
        <v/>
      </c>
      <c r="J97" s="269" t="str">
        <f>IF(OR($A97="",N($F97)=0),"",$F97-$H97)</f>
        <v/>
      </c>
      <c r="K97" s="271" t="str">
        <f>IF($A97="","",SUMIFS('04 Resource log'!$J$7:$J$506,'04 Resource log'!$B$7:$B$506,$A97,'04 Resource log'!$E$7:$E$506,"Labour"))</f>
        <v/>
      </c>
      <c r="L97" s="270" t="str">
        <f>IF(OR($A97="",N($G97)=0),"",$K97/$G97)</f>
        <v/>
      </c>
      <c r="M97" s="271" t="str">
        <f>IF(OR($A97="",N($F97)=0,N($G97)=0),"",$I97*$G97)</f>
        <v/>
      </c>
      <c r="N97" s="272" t="str">
        <f>IF(OR($M97="",N($K97)=0),"",$M97/$K97)</f>
        <v/>
      </c>
      <c r="O97" s="273" t="str">
        <f>IF($A97="","",IFERROR(1/(1/_xlfn.MAXIFS('05 Work done log'!$A$7:$A$506,'05 Work done log'!$B$7:$B$506,$A97)),"not yet"))</f>
        <v/>
      </c>
      <c r="P97" s="161"/>
      <c r="Q97" s="6"/>
      <c r="R97" s="6"/>
      <c r="S97" s="6"/>
      <c r="T97" s="6"/>
      <c r="U97" s="6"/>
      <c r="V97" s="6"/>
      <c r="W97" s="6"/>
      <c r="X97" s="6"/>
      <c r="Y97" s="6"/>
      <c r="Z97" s="6"/>
      <c r="AA97" s="6"/>
      <c r="AB97" s="6"/>
      <c r="AC97" s="6"/>
      <c r="AD97" s="6"/>
      <c r="AE97" s="6"/>
      <c r="AF97" s="6"/>
      <c r="AG97" s="6"/>
      <c r="AH97" s="6"/>
      <c r="AI97" s="6"/>
      <c r="AJ97" s="6"/>
    </row>
    <row r="98" spans="1:36" ht="18" customHeight="1" x14ac:dyDescent="0.3">
      <c r="A98" s="161"/>
      <c r="B98" s="161"/>
      <c r="C98" s="161"/>
      <c r="D98" s="161"/>
      <c r="E98" s="161"/>
      <c r="F98" s="267"/>
      <c r="G98" s="268"/>
      <c r="H98" s="269" t="str">
        <f>IF($A98="","",SUMIFS('05 Work done log'!$F$7:$F$506,'05 Work done log'!$B$7:$B$506,$A98))</f>
        <v/>
      </c>
      <c r="I98" s="270" t="str">
        <f>IF(OR($A98="",N($F98)=0),"",$H98/$F98)</f>
        <v/>
      </c>
      <c r="J98" s="269" t="str">
        <f>IF(OR($A98="",N($F98)=0),"",$F98-$H98)</f>
        <v/>
      </c>
      <c r="K98" s="271" t="str">
        <f>IF($A98="","",SUMIFS('04 Resource log'!$J$7:$J$506,'04 Resource log'!$B$7:$B$506,$A98,'04 Resource log'!$E$7:$E$506,"Labour"))</f>
        <v/>
      </c>
      <c r="L98" s="270" t="str">
        <f>IF(OR($A98="",N($G98)=0),"",$K98/$G98)</f>
        <v/>
      </c>
      <c r="M98" s="271" t="str">
        <f>IF(OR($A98="",N($F98)=0,N($G98)=0),"",$I98*$G98)</f>
        <v/>
      </c>
      <c r="N98" s="272" t="str">
        <f>IF(OR($M98="",N($K98)=0),"",$M98/$K98)</f>
        <v/>
      </c>
      <c r="O98" s="273" t="str">
        <f>IF($A98="","",IFERROR(1/(1/_xlfn.MAXIFS('05 Work done log'!$A$7:$A$506,'05 Work done log'!$B$7:$B$506,$A98)),"not yet"))</f>
        <v/>
      </c>
      <c r="P98" s="161"/>
      <c r="Q98" s="6"/>
      <c r="R98" s="6"/>
      <c r="S98" s="6"/>
      <c r="T98" s="6"/>
      <c r="U98" s="6"/>
      <c r="V98" s="6"/>
      <c r="W98" s="6"/>
      <c r="X98" s="6"/>
      <c r="Y98" s="6"/>
      <c r="Z98" s="6"/>
      <c r="AA98" s="6"/>
      <c r="AB98" s="6"/>
      <c r="AC98" s="6"/>
      <c r="AD98" s="6"/>
      <c r="AE98" s="6"/>
      <c r="AF98" s="6"/>
      <c r="AG98" s="6"/>
      <c r="AH98" s="6"/>
      <c r="AI98" s="6"/>
      <c r="AJ98" s="6"/>
    </row>
    <row r="99" spans="1:36" ht="18" customHeight="1" x14ac:dyDescent="0.3">
      <c r="A99" s="161"/>
      <c r="B99" s="161"/>
      <c r="C99" s="161"/>
      <c r="D99" s="161"/>
      <c r="E99" s="161"/>
      <c r="F99" s="267"/>
      <c r="G99" s="268"/>
      <c r="H99" s="269" t="str">
        <f>IF($A99="","",SUMIFS('05 Work done log'!$F$7:$F$506,'05 Work done log'!$B$7:$B$506,$A99))</f>
        <v/>
      </c>
      <c r="I99" s="270" t="str">
        <f>IF(OR($A99="",N($F99)=0),"",$H99/$F99)</f>
        <v/>
      </c>
      <c r="J99" s="269" t="str">
        <f>IF(OR($A99="",N($F99)=0),"",$F99-$H99)</f>
        <v/>
      </c>
      <c r="K99" s="271" t="str">
        <f>IF($A99="","",SUMIFS('04 Resource log'!$J$7:$J$506,'04 Resource log'!$B$7:$B$506,$A99,'04 Resource log'!$E$7:$E$506,"Labour"))</f>
        <v/>
      </c>
      <c r="L99" s="270" t="str">
        <f>IF(OR($A99="",N($G99)=0),"",$K99/$G99)</f>
        <v/>
      </c>
      <c r="M99" s="271" t="str">
        <f>IF(OR($A99="",N($F99)=0,N($G99)=0),"",$I99*$G99)</f>
        <v/>
      </c>
      <c r="N99" s="272" t="str">
        <f>IF(OR($M99="",N($K99)=0),"",$M99/$K99)</f>
        <v/>
      </c>
      <c r="O99" s="273" t="str">
        <f>IF($A99="","",IFERROR(1/(1/_xlfn.MAXIFS('05 Work done log'!$A$7:$A$506,'05 Work done log'!$B$7:$B$506,$A99)),"not yet"))</f>
        <v/>
      </c>
      <c r="P99" s="161"/>
      <c r="Q99" s="6"/>
      <c r="R99" s="6"/>
      <c r="S99" s="6"/>
      <c r="T99" s="6"/>
      <c r="U99" s="6"/>
      <c r="V99" s="6"/>
      <c r="W99" s="6"/>
      <c r="X99" s="6"/>
      <c r="Y99" s="6"/>
      <c r="Z99" s="6"/>
      <c r="AA99" s="6"/>
      <c r="AB99" s="6"/>
      <c r="AC99" s="6"/>
      <c r="AD99" s="6"/>
      <c r="AE99" s="6"/>
      <c r="AF99" s="6"/>
      <c r="AG99" s="6"/>
      <c r="AH99" s="6"/>
      <c r="AI99" s="6"/>
      <c r="AJ99" s="6"/>
    </row>
    <row r="100" spans="1:36" ht="18" customHeight="1" x14ac:dyDescent="0.3">
      <c r="A100" s="161"/>
      <c r="B100" s="161"/>
      <c r="C100" s="161"/>
      <c r="D100" s="161"/>
      <c r="E100" s="161"/>
      <c r="F100" s="267"/>
      <c r="G100" s="268"/>
      <c r="H100" s="269" t="str">
        <f>IF($A100="","",SUMIFS('05 Work done log'!$F$7:$F$506,'05 Work done log'!$B$7:$B$506,$A100))</f>
        <v/>
      </c>
      <c r="I100" s="270" t="str">
        <f>IF(OR($A100="",N($F100)=0),"",$H100/$F100)</f>
        <v/>
      </c>
      <c r="J100" s="269" t="str">
        <f>IF(OR($A100="",N($F100)=0),"",$F100-$H100)</f>
        <v/>
      </c>
      <c r="K100" s="271" t="str">
        <f>IF($A100="","",SUMIFS('04 Resource log'!$J$7:$J$506,'04 Resource log'!$B$7:$B$506,$A100,'04 Resource log'!$E$7:$E$506,"Labour"))</f>
        <v/>
      </c>
      <c r="L100" s="270" t="str">
        <f>IF(OR($A100="",N($G100)=0),"",$K100/$G100)</f>
        <v/>
      </c>
      <c r="M100" s="271" t="str">
        <f>IF(OR($A100="",N($F100)=0,N($G100)=0),"",$I100*$G100)</f>
        <v/>
      </c>
      <c r="N100" s="272" t="str">
        <f>IF(OR($M100="",N($K100)=0),"",$M100/$K100)</f>
        <v/>
      </c>
      <c r="O100" s="273" t="str">
        <f>IF($A100="","",IFERROR(1/(1/_xlfn.MAXIFS('05 Work done log'!$A$7:$A$506,'05 Work done log'!$B$7:$B$506,$A100)),"not yet"))</f>
        <v/>
      </c>
      <c r="P100" s="161"/>
      <c r="Q100" s="6"/>
      <c r="R100" s="6"/>
      <c r="S100" s="6"/>
      <c r="T100" s="6"/>
      <c r="U100" s="6"/>
      <c r="V100" s="6"/>
      <c r="W100" s="6"/>
      <c r="X100" s="6"/>
      <c r="Y100" s="6"/>
      <c r="Z100" s="6"/>
      <c r="AA100" s="6"/>
      <c r="AB100" s="6"/>
      <c r="AC100" s="6"/>
      <c r="AD100" s="6"/>
      <c r="AE100" s="6"/>
      <c r="AF100" s="6"/>
      <c r="AG100" s="6"/>
      <c r="AH100" s="6"/>
      <c r="AI100" s="6"/>
      <c r="AJ100" s="6"/>
    </row>
    <row r="101" spans="1:36" ht="18" customHeight="1" x14ac:dyDescent="0.3">
      <c r="A101" s="161"/>
      <c r="B101" s="161"/>
      <c r="C101" s="161"/>
      <c r="D101" s="161"/>
      <c r="E101" s="161"/>
      <c r="F101" s="267"/>
      <c r="G101" s="268"/>
      <c r="H101" s="269" t="str">
        <f>IF($A101="","",SUMIFS('05 Work done log'!$F$7:$F$506,'05 Work done log'!$B$7:$B$506,$A101))</f>
        <v/>
      </c>
      <c r="I101" s="270" t="str">
        <f>IF(OR($A101="",N($F101)=0),"",$H101/$F101)</f>
        <v/>
      </c>
      <c r="J101" s="269" t="str">
        <f>IF(OR($A101="",N($F101)=0),"",$F101-$H101)</f>
        <v/>
      </c>
      <c r="K101" s="271" t="str">
        <f>IF($A101="","",SUMIFS('04 Resource log'!$J$7:$J$506,'04 Resource log'!$B$7:$B$506,$A101,'04 Resource log'!$E$7:$E$506,"Labour"))</f>
        <v/>
      </c>
      <c r="L101" s="270" t="str">
        <f>IF(OR($A101="",N($G101)=0),"",$K101/$G101)</f>
        <v/>
      </c>
      <c r="M101" s="271" t="str">
        <f>IF(OR($A101="",N($F101)=0,N($G101)=0),"",$I101*$G101)</f>
        <v/>
      </c>
      <c r="N101" s="272" t="str">
        <f>IF(OR($M101="",N($K101)=0),"",$M101/$K101)</f>
        <v/>
      </c>
      <c r="O101" s="273" t="str">
        <f>IF($A101="","",IFERROR(1/(1/_xlfn.MAXIFS('05 Work done log'!$A$7:$A$506,'05 Work done log'!$B$7:$B$506,$A101)),"not yet"))</f>
        <v/>
      </c>
      <c r="P101" s="161"/>
      <c r="Q101" s="6"/>
      <c r="R101" s="6"/>
      <c r="S101" s="6"/>
      <c r="T101" s="6"/>
      <c r="U101" s="6"/>
      <c r="V101" s="6"/>
      <c r="W101" s="6"/>
      <c r="X101" s="6"/>
      <c r="Y101" s="6"/>
      <c r="Z101" s="6"/>
      <c r="AA101" s="6"/>
      <c r="AB101" s="6"/>
      <c r="AC101" s="6"/>
      <c r="AD101" s="6"/>
      <c r="AE101" s="6"/>
      <c r="AF101" s="6"/>
      <c r="AG101" s="6"/>
      <c r="AH101" s="6"/>
      <c r="AI101" s="6"/>
      <c r="AJ101" s="6"/>
    </row>
    <row r="102" spans="1:36" ht="18" customHeight="1" x14ac:dyDescent="0.3">
      <c r="A102" s="161"/>
      <c r="B102" s="161"/>
      <c r="C102" s="161"/>
      <c r="D102" s="161"/>
      <c r="E102" s="161"/>
      <c r="F102" s="267"/>
      <c r="G102" s="268"/>
      <c r="H102" s="269" t="str">
        <f>IF($A102="","",SUMIFS('05 Work done log'!$F$7:$F$506,'05 Work done log'!$B$7:$B$506,$A102))</f>
        <v/>
      </c>
      <c r="I102" s="270" t="str">
        <f>IF(OR($A102="",N($F102)=0),"",$H102/$F102)</f>
        <v/>
      </c>
      <c r="J102" s="269" t="str">
        <f>IF(OR($A102="",N($F102)=0),"",$F102-$H102)</f>
        <v/>
      </c>
      <c r="K102" s="271" t="str">
        <f>IF($A102="","",SUMIFS('04 Resource log'!$J$7:$J$506,'04 Resource log'!$B$7:$B$506,$A102,'04 Resource log'!$E$7:$E$506,"Labour"))</f>
        <v/>
      </c>
      <c r="L102" s="270" t="str">
        <f>IF(OR($A102="",N($G102)=0),"",$K102/$G102)</f>
        <v/>
      </c>
      <c r="M102" s="271" t="str">
        <f>IF(OR($A102="",N($F102)=0,N($G102)=0),"",$I102*$G102)</f>
        <v/>
      </c>
      <c r="N102" s="272" t="str">
        <f>IF(OR($M102="",N($K102)=0),"",$M102/$K102)</f>
        <v/>
      </c>
      <c r="O102" s="273" t="str">
        <f>IF($A102="","",IFERROR(1/(1/_xlfn.MAXIFS('05 Work done log'!$A$7:$A$506,'05 Work done log'!$B$7:$B$506,$A102)),"not yet"))</f>
        <v/>
      </c>
      <c r="P102" s="161"/>
      <c r="Q102" s="6"/>
      <c r="R102" s="6"/>
      <c r="S102" s="6"/>
      <c r="T102" s="6"/>
      <c r="U102" s="6"/>
      <c r="V102" s="6"/>
      <c r="W102" s="6"/>
      <c r="X102" s="6"/>
      <c r="Y102" s="6"/>
      <c r="Z102" s="6"/>
      <c r="AA102" s="6"/>
      <c r="AB102" s="6"/>
      <c r="AC102" s="6"/>
      <c r="AD102" s="6"/>
      <c r="AE102" s="6"/>
      <c r="AF102" s="6"/>
      <c r="AG102" s="6"/>
      <c r="AH102" s="6"/>
      <c r="AI102" s="6"/>
      <c r="AJ102" s="6"/>
    </row>
    <row r="103" spans="1:36" ht="18" customHeight="1" x14ac:dyDescent="0.3">
      <c r="A103" s="161"/>
      <c r="B103" s="161"/>
      <c r="C103" s="161"/>
      <c r="D103" s="161"/>
      <c r="E103" s="161"/>
      <c r="F103" s="267"/>
      <c r="G103" s="268"/>
      <c r="H103" s="269" t="str">
        <f>IF($A103="","",SUMIFS('05 Work done log'!$F$7:$F$506,'05 Work done log'!$B$7:$B$506,$A103))</f>
        <v/>
      </c>
      <c r="I103" s="270" t="str">
        <f>IF(OR($A103="",N($F103)=0),"",$H103/$F103)</f>
        <v/>
      </c>
      <c r="J103" s="269" t="str">
        <f>IF(OR($A103="",N($F103)=0),"",$F103-$H103)</f>
        <v/>
      </c>
      <c r="K103" s="271" t="str">
        <f>IF($A103="","",SUMIFS('04 Resource log'!$J$7:$J$506,'04 Resource log'!$B$7:$B$506,$A103,'04 Resource log'!$E$7:$E$506,"Labour"))</f>
        <v/>
      </c>
      <c r="L103" s="270" t="str">
        <f>IF(OR($A103="",N($G103)=0),"",$K103/$G103)</f>
        <v/>
      </c>
      <c r="M103" s="271" t="str">
        <f>IF(OR($A103="",N($F103)=0,N($G103)=0),"",$I103*$G103)</f>
        <v/>
      </c>
      <c r="N103" s="272" t="str">
        <f>IF(OR($M103="",N($K103)=0),"",$M103/$K103)</f>
        <v/>
      </c>
      <c r="O103" s="273" t="str">
        <f>IF($A103="","",IFERROR(1/(1/_xlfn.MAXIFS('05 Work done log'!$A$7:$A$506,'05 Work done log'!$B$7:$B$506,$A103)),"not yet"))</f>
        <v/>
      </c>
      <c r="P103" s="161"/>
      <c r="Q103" s="6"/>
      <c r="R103" s="6"/>
      <c r="S103" s="6"/>
      <c r="T103" s="6"/>
      <c r="U103" s="6"/>
      <c r="V103" s="6"/>
      <c r="W103" s="6"/>
      <c r="X103" s="6"/>
      <c r="Y103" s="6"/>
      <c r="Z103" s="6"/>
      <c r="AA103" s="6"/>
      <c r="AB103" s="6"/>
      <c r="AC103" s="6"/>
      <c r="AD103" s="6"/>
      <c r="AE103" s="6"/>
      <c r="AF103" s="6"/>
      <c r="AG103" s="6"/>
      <c r="AH103" s="6"/>
      <c r="AI103" s="6"/>
      <c r="AJ103" s="6"/>
    </row>
    <row r="104" spans="1:36" ht="18" customHeight="1" x14ac:dyDescent="0.3">
      <c r="A104" s="161"/>
      <c r="B104" s="161"/>
      <c r="C104" s="161"/>
      <c r="D104" s="161"/>
      <c r="E104" s="161"/>
      <c r="F104" s="267"/>
      <c r="G104" s="268"/>
      <c r="H104" s="269" t="str">
        <f>IF($A104="","",SUMIFS('05 Work done log'!$F$7:$F$506,'05 Work done log'!$B$7:$B$506,$A104))</f>
        <v/>
      </c>
      <c r="I104" s="270" t="str">
        <f>IF(OR($A104="",N($F104)=0),"",$H104/$F104)</f>
        <v/>
      </c>
      <c r="J104" s="269" t="str">
        <f>IF(OR($A104="",N($F104)=0),"",$F104-$H104)</f>
        <v/>
      </c>
      <c r="K104" s="271" t="str">
        <f>IF($A104="","",SUMIFS('04 Resource log'!$J$7:$J$506,'04 Resource log'!$B$7:$B$506,$A104,'04 Resource log'!$E$7:$E$506,"Labour"))</f>
        <v/>
      </c>
      <c r="L104" s="270" t="str">
        <f>IF(OR($A104="",N($G104)=0),"",$K104/$G104)</f>
        <v/>
      </c>
      <c r="M104" s="271" t="str">
        <f>IF(OR($A104="",N($F104)=0,N($G104)=0),"",$I104*$G104)</f>
        <v/>
      </c>
      <c r="N104" s="272" t="str">
        <f>IF(OR($M104="",N($K104)=0),"",$M104/$K104)</f>
        <v/>
      </c>
      <c r="O104" s="273" t="str">
        <f>IF($A104="","",IFERROR(1/(1/_xlfn.MAXIFS('05 Work done log'!$A$7:$A$506,'05 Work done log'!$B$7:$B$506,$A104)),"not yet"))</f>
        <v/>
      </c>
      <c r="P104" s="161"/>
      <c r="Q104" s="6"/>
      <c r="R104" s="6"/>
      <c r="S104" s="6"/>
      <c r="T104" s="6"/>
      <c r="U104" s="6"/>
      <c r="V104" s="6"/>
      <c r="W104" s="6"/>
      <c r="X104" s="6"/>
      <c r="Y104" s="6"/>
      <c r="Z104" s="6"/>
      <c r="AA104" s="6"/>
      <c r="AB104" s="6"/>
      <c r="AC104" s="6"/>
      <c r="AD104" s="6"/>
      <c r="AE104" s="6"/>
      <c r="AF104" s="6"/>
      <c r="AG104" s="6"/>
      <c r="AH104" s="6"/>
      <c r="AI104" s="6"/>
      <c r="AJ104" s="6"/>
    </row>
    <row r="105" spans="1:36" ht="18" customHeight="1" x14ac:dyDescent="0.3">
      <c r="A105" s="161"/>
      <c r="B105" s="161"/>
      <c r="C105" s="161"/>
      <c r="D105" s="161"/>
      <c r="E105" s="161"/>
      <c r="F105" s="267"/>
      <c r="G105" s="268"/>
      <c r="H105" s="269" t="str">
        <f>IF($A105="","",SUMIFS('05 Work done log'!$F$7:$F$506,'05 Work done log'!$B$7:$B$506,$A105))</f>
        <v/>
      </c>
      <c r="I105" s="270" t="str">
        <f>IF(OR($A105="",N($F105)=0),"",$H105/$F105)</f>
        <v/>
      </c>
      <c r="J105" s="269" t="str">
        <f>IF(OR($A105="",N($F105)=0),"",$F105-$H105)</f>
        <v/>
      </c>
      <c r="K105" s="271" t="str">
        <f>IF($A105="","",SUMIFS('04 Resource log'!$J$7:$J$506,'04 Resource log'!$B$7:$B$506,$A105,'04 Resource log'!$E$7:$E$506,"Labour"))</f>
        <v/>
      </c>
      <c r="L105" s="270" t="str">
        <f>IF(OR($A105="",N($G105)=0),"",$K105/$G105)</f>
        <v/>
      </c>
      <c r="M105" s="271" t="str">
        <f>IF(OR($A105="",N($F105)=0,N($G105)=0),"",$I105*$G105)</f>
        <v/>
      </c>
      <c r="N105" s="272" t="str">
        <f>IF(OR($M105="",N($K105)=0),"",$M105/$K105)</f>
        <v/>
      </c>
      <c r="O105" s="273" t="str">
        <f>IF($A105="","",IFERROR(1/(1/_xlfn.MAXIFS('05 Work done log'!$A$7:$A$506,'05 Work done log'!$B$7:$B$506,$A105)),"not yet"))</f>
        <v/>
      </c>
      <c r="P105" s="161"/>
      <c r="Q105" s="6"/>
      <c r="R105" s="6"/>
      <c r="S105" s="6"/>
      <c r="T105" s="6"/>
      <c r="U105" s="6"/>
      <c r="V105" s="6"/>
      <c r="W105" s="6"/>
      <c r="X105" s="6"/>
      <c r="Y105" s="6"/>
      <c r="Z105" s="6"/>
      <c r="AA105" s="6"/>
      <c r="AB105" s="6"/>
      <c r="AC105" s="6"/>
      <c r="AD105" s="6"/>
      <c r="AE105" s="6"/>
      <c r="AF105" s="6"/>
      <c r="AG105" s="6"/>
      <c r="AH105" s="6"/>
      <c r="AI105" s="6"/>
      <c r="AJ105" s="6"/>
    </row>
    <row r="106" spans="1:36" ht="18" customHeight="1" x14ac:dyDescent="0.3">
      <c r="A106" s="161"/>
      <c r="B106" s="161"/>
      <c r="C106" s="161"/>
      <c r="D106" s="161"/>
      <c r="E106" s="161"/>
      <c r="F106" s="267"/>
      <c r="G106" s="268"/>
      <c r="H106" s="269" t="str">
        <f>IF($A106="","",SUMIFS('05 Work done log'!$F$7:$F$506,'05 Work done log'!$B$7:$B$506,$A106))</f>
        <v/>
      </c>
      <c r="I106" s="270" t="str">
        <f>IF(OR($A106="",N($F106)=0),"",$H106/$F106)</f>
        <v/>
      </c>
      <c r="J106" s="269" t="str">
        <f>IF(OR($A106="",N($F106)=0),"",$F106-$H106)</f>
        <v/>
      </c>
      <c r="K106" s="271" t="str">
        <f>IF($A106="","",SUMIFS('04 Resource log'!$J$7:$J$506,'04 Resource log'!$B$7:$B$506,$A106,'04 Resource log'!$E$7:$E$506,"Labour"))</f>
        <v/>
      </c>
      <c r="L106" s="270" t="str">
        <f>IF(OR($A106="",N($G106)=0),"",$K106/$G106)</f>
        <v/>
      </c>
      <c r="M106" s="271" t="str">
        <f>IF(OR($A106="",N($F106)=0,N($G106)=0),"",$I106*$G106)</f>
        <v/>
      </c>
      <c r="N106" s="272" t="str">
        <f>IF(OR($M106="",N($K106)=0),"",$M106/$K106)</f>
        <v/>
      </c>
      <c r="O106" s="273" t="str">
        <f>IF($A106="","",IFERROR(1/(1/_xlfn.MAXIFS('05 Work done log'!$A$7:$A$506,'05 Work done log'!$B$7:$B$506,$A106)),"not yet"))</f>
        <v/>
      </c>
      <c r="P106" s="161"/>
      <c r="Q106" s="6"/>
      <c r="R106" s="6"/>
      <c r="S106" s="6"/>
      <c r="T106" s="6"/>
      <c r="U106" s="6"/>
      <c r="V106" s="6"/>
      <c r="W106" s="6"/>
      <c r="X106" s="6"/>
      <c r="Y106" s="6"/>
      <c r="Z106" s="6"/>
      <c r="AA106" s="6"/>
      <c r="AB106" s="6"/>
      <c r="AC106" s="6"/>
      <c r="AD106" s="6"/>
      <c r="AE106" s="6"/>
      <c r="AF106" s="6"/>
      <c r="AG106" s="6"/>
      <c r="AH106" s="6"/>
      <c r="AI106" s="6"/>
      <c r="AJ106" s="6"/>
    </row>
    <row r="107" spans="1:36" ht="18" customHeight="1" x14ac:dyDescent="0.3">
      <c r="A107" s="161"/>
      <c r="B107" s="161"/>
      <c r="C107" s="161"/>
      <c r="D107" s="161"/>
      <c r="E107" s="161"/>
      <c r="F107" s="267"/>
      <c r="G107" s="268"/>
      <c r="H107" s="269" t="str">
        <f>IF($A107="","",SUMIFS('05 Work done log'!$F$7:$F$506,'05 Work done log'!$B$7:$B$506,$A107))</f>
        <v/>
      </c>
      <c r="I107" s="270" t="str">
        <f>IF(OR($A107="",N($F107)=0),"",$H107/$F107)</f>
        <v/>
      </c>
      <c r="J107" s="269" t="str">
        <f>IF(OR($A107="",N($F107)=0),"",$F107-$H107)</f>
        <v/>
      </c>
      <c r="K107" s="271" t="str">
        <f>IF($A107="","",SUMIFS('04 Resource log'!$J$7:$J$506,'04 Resource log'!$B$7:$B$506,$A107,'04 Resource log'!$E$7:$E$506,"Labour"))</f>
        <v/>
      </c>
      <c r="L107" s="270" t="str">
        <f>IF(OR($A107="",N($G107)=0),"",$K107/$G107)</f>
        <v/>
      </c>
      <c r="M107" s="271" t="str">
        <f>IF(OR($A107="",N($F107)=0,N($G107)=0),"",$I107*$G107)</f>
        <v/>
      </c>
      <c r="N107" s="272" t="str">
        <f>IF(OR($M107="",N($K107)=0),"",$M107/$K107)</f>
        <v/>
      </c>
      <c r="O107" s="273" t="str">
        <f>IF($A107="","",IFERROR(1/(1/_xlfn.MAXIFS('05 Work done log'!$A$7:$A$506,'05 Work done log'!$B$7:$B$506,$A107)),"not yet"))</f>
        <v/>
      </c>
      <c r="P107" s="161"/>
      <c r="Q107" s="6"/>
      <c r="R107" s="6"/>
      <c r="S107" s="6"/>
      <c r="T107" s="6"/>
      <c r="U107" s="6"/>
      <c r="V107" s="6"/>
      <c r="W107" s="6"/>
      <c r="X107" s="6"/>
      <c r="Y107" s="6"/>
      <c r="Z107" s="6"/>
      <c r="AA107" s="6"/>
      <c r="AB107" s="6"/>
      <c r="AC107" s="6"/>
      <c r="AD107" s="6"/>
      <c r="AE107" s="6"/>
      <c r="AF107" s="6"/>
      <c r="AG107" s="6"/>
      <c r="AH107" s="6"/>
      <c r="AI107" s="6"/>
      <c r="AJ107" s="6"/>
    </row>
    <row r="108" spans="1:36" ht="18" customHeight="1" x14ac:dyDescent="0.3">
      <c r="A108" s="161"/>
      <c r="B108" s="161"/>
      <c r="C108" s="161"/>
      <c r="D108" s="161"/>
      <c r="E108" s="161"/>
      <c r="F108" s="267"/>
      <c r="G108" s="268"/>
      <c r="H108" s="269" t="str">
        <f>IF($A108="","",SUMIFS('05 Work done log'!$F$7:$F$506,'05 Work done log'!$B$7:$B$506,$A108))</f>
        <v/>
      </c>
      <c r="I108" s="270" t="str">
        <f>IF(OR($A108="",N($F108)=0),"",$H108/$F108)</f>
        <v/>
      </c>
      <c r="J108" s="269" t="str">
        <f>IF(OR($A108="",N($F108)=0),"",$F108-$H108)</f>
        <v/>
      </c>
      <c r="K108" s="271" t="str">
        <f>IF($A108="","",SUMIFS('04 Resource log'!$J$7:$J$506,'04 Resource log'!$B$7:$B$506,$A108,'04 Resource log'!$E$7:$E$506,"Labour"))</f>
        <v/>
      </c>
      <c r="L108" s="270" t="str">
        <f>IF(OR($A108="",N($G108)=0),"",$K108/$G108)</f>
        <v/>
      </c>
      <c r="M108" s="271" t="str">
        <f>IF(OR($A108="",N($F108)=0,N($G108)=0),"",$I108*$G108)</f>
        <v/>
      </c>
      <c r="N108" s="272" t="str">
        <f>IF(OR($M108="",N($K108)=0),"",$M108/$K108)</f>
        <v/>
      </c>
      <c r="O108" s="273" t="str">
        <f>IF($A108="","",IFERROR(1/(1/_xlfn.MAXIFS('05 Work done log'!$A$7:$A$506,'05 Work done log'!$B$7:$B$506,$A108)),"not yet"))</f>
        <v/>
      </c>
      <c r="P108" s="161"/>
      <c r="Q108" s="6"/>
      <c r="R108" s="6"/>
      <c r="S108" s="6"/>
      <c r="T108" s="6"/>
      <c r="U108" s="6"/>
      <c r="V108" s="6"/>
      <c r="W108" s="6"/>
      <c r="X108" s="6"/>
      <c r="Y108" s="6"/>
      <c r="Z108" s="6"/>
      <c r="AA108" s="6"/>
      <c r="AB108" s="6"/>
      <c r="AC108" s="6"/>
      <c r="AD108" s="6"/>
      <c r="AE108" s="6"/>
      <c r="AF108" s="6"/>
      <c r="AG108" s="6"/>
      <c r="AH108" s="6"/>
      <c r="AI108" s="6"/>
      <c r="AJ108" s="6"/>
    </row>
    <row r="109" spans="1:36" ht="18" customHeight="1" x14ac:dyDescent="0.3">
      <c r="A109" s="161"/>
      <c r="B109" s="161"/>
      <c r="C109" s="161"/>
      <c r="D109" s="161"/>
      <c r="E109" s="161"/>
      <c r="F109" s="267"/>
      <c r="G109" s="268"/>
      <c r="H109" s="269" t="str">
        <f>IF($A109="","",SUMIFS('05 Work done log'!$F$7:$F$506,'05 Work done log'!$B$7:$B$506,$A109))</f>
        <v/>
      </c>
      <c r="I109" s="270" t="str">
        <f>IF(OR($A109="",N($F109)=0),"",$H109/$F109)</f>
        <v/>
      </c>
      <c r="J109" s="269" t="str">
        <f>IF(OR($A109="",N($F109)=0),"",$F109-$H109)</f>
        <v/>
      </c>
      <c r="K109" s="271" t="str">
        <f>IF($A109="","",SUMIFS('04 Resource log'!$J$7:$J$506,'04 Resource log'!$B$7:$B$506,$A109,'04 Resource log'!$E$7:$E$506,"Labour"))</f>
        <v/>
      </c>
      <c r="L109" s="270" t="str">
        <f>IF(OR($A109="",N($G109)=0),"",$K109/$G109)</f>
        <v/>
      </c>
      <c r="M109" s="271" t="str">
        <f>IF(OR($A109="",N($F109)=0,N($G109)=0),"",$I109*$G109)</f>
        <v/>
      </c>
      <c r="N109" s="272" t="str">
        <f>IF(OR($M109="",N($K109)=0),"",$M109/$K109)</f>
        <v/>
      </c>
      <c r="O109" s="273" t="str">
        <f>IF($A109="","",IFERROR(1/(1/_xlfn.MAXIFS('05 Work done log'!$A$7:$A$506,'05 Work done log'!$B$7:$B$506,$A109)),"not yet"))</f>
        <v/>
      </c>
      <c r="P109" s="161"/>
      <c r="Q109" s="6"/>
      <c r="R109" s="6"/>
      <c r="S109" s="6"/>
      <c r="T109" s="6"/>
      <c r="U109" s="6"/>
      <c r="V109" s="6"/>
      <c r="W109" s="6"/>
      <c r="X109" s="6"/>
      <c r="Y109" s="6"/>
      <c r="Z109" s="6"/>
      <c r="AA109" s="6"/>
      <c r="AB109" s="6"/>
      <c r="AC109" s="6"/>
      <c r="AD109" s="6"/>
      <c r="AE109" s="6"/>
      <c r="AF109" s="6"/>
      <c r="AG109" s="6"/>
      <c r="AH109" s="6"/>
      <c r="AI109" s="6"/>
      <c r="AJ109" s="6"/>
    </row>
    <row r="110" spans="1:36" ht="18" customHeight="1" x14ac:dyDescent="0.3">
      <c r="A110" s="161"/>
      <c r="B110" s="161"/>
      <c r="C110" s="161"/>
      <c r="D110" s="161"/>
      <c r="E110" s="161"/>
      <c r="F110" s="267"/>
      <c r="G110" s="268"/>
      <c r="H110" s="269" t="str">
        <f>IF($A110="","",SUMIFS('05 Work done log'!$F$7:$F$506,'05 Work done log'!$B$7:$B$506,$A110))</f>
        <v/>
      </c>
      <c r="I110" s="270" t="str">
        <f>IF(OR($A110="",N($F110)=0),"",$H110/$F110)</f>
        <v/>
      </c>
      <c r="J110" s="269" t="str">
        <f>IF(OR($A110="",N($F110)=0),"",$F110-$H110)</f>
        <v/>
      </c>
      <c r="K110" s="271" t="str">
        <f>IF($A110="","",SUMIFS('04 Resource log'!$J$7:$J$506,'04 Resource log'!$B$7:$B$506,$A110,'04 Resource log'!$E$7:$E$506,"Labour"))</f>
        <v/>
      </c>
      <c r="L110" s="270" t="str">
        <f>IF(OR($A110="",N($G110)=0),"",$K110/$G110)</f>
        <v/>
      </c>
      <c r="M110" s="271" t="str">
        <f>IF(OR($A110="",N($F110)=0,N($G110)=0),"",$I110*$G110)</f>
        <v/>
      </c>
      <c r="N110" s="272" t="str">
        <f>IF(OR($M110="",N($K110)=0),"",$M110/$K110)</f>
        <v/>
      </c>
      <c r="O110" s="273" t="str">
        <f>IF($A110="","",IFERROR(1/(1/_xlfn.MAXIFS('05 Work done log'!$A$7:$A$506,'05 Work done log'!$B$7:$B$506,$A110)),"not yet"))</f>
        <v/>
      </c>
      <c r="P110" s="161"/>
      <c r="Q110" s="6"/>
      <c r="R110" s="6"/>
      <c r="S110" s="6"/>
      <c r="T110" s="6"/>
      <c r="U110" s="6"/>
      <c r="V110" s="6"/>
      <c r="W110" s="6"/>
      <c r="X110" s="6"/>
      <c r="Y110" s="6"/>
      <c r="Z110" s="6"/>
      <c r="AA110" s="6"/>
      <c r="AB110" s="6"/>
      <c r="AC110" s="6"/>
      <c r="AD110" s="6"/>
      <c r="AE110" s="6"/>
      <c r="AF110" s="6"/>
      <c r="AG110" s="6"/>
      <c r="AH110" s="6"/>
      <c r="AI110" s="6"/>
      <c r="AJ110" s="6"/>
    </row>
    <row r="111" spans="1:36" ht="18" customHeight="1" x14ac:dyDescent="0.3">
      <c r="A111" s="161"/>
      <c r="B111" s="161"/>
      <c r="C111" s="161"/>
      <c r="D111" s="161"/>
      <c r="E111" s="161"/>
      <c r="F111" s="267"/>
      <c r="G111" s="268"/>
      <c r="H111" s="269" t="str">
        <f>IF($A111="","",SUMIFS('05 Work done log'!$F$7:$F$506,'05 Work done log'!$B$7:$B$506,$A111))</f>
        <v/>
      </c>
      <c r="I111" s="270" t="str">
        <f>IF(OR($A111="",N($F111)=0),"",$H111/$F111)</f>
        <v/>
      </c>
      <c r="J111" s="269" t="str">
        <f>IF(OR($A111="",N($F111)=0),"",$F111-$H111)</f>
        <v/>
      </c>
      <c r="K111" s="271" t="str">
        <f>IF($A111="","",SUMIFS('04 Resource log'!$J$7:$J$506,'04 Resource log'!$B$7:$B$506,$A111,'04 Resource log'!$E$7:$E$506,"Labour"))</f>
        <v/>
      </c>
      <c r="L111" s="270" t="str">
        <f>IF(OR($A111="",N($G111)=0),"",$K111/$G111)</f>
        <v/>
      </c>
      <c r="M111" s="271" t="str">
        <f>IF(OR($A111="",N($F111)=0,N($G111)=0),"",$I111*$G111)</f>
        <v/>
      </c>
      <c r="N111" s="272" t="str">
        <f>IF(OR($M111="",N($K111)=0),"",$M111/$K111)</f>
        <v/>
      </c>
      <c r="O111" s="273" t="str">
        <f>IF($A111="","",IFERROR(1/(1/_xlfn.MAXIFS('05 Work done log'!$A$7:$A$506,'05 Work done log'!$B$7:$B$506,$A111)),"not yet"))</f>
        <v/>
      </c>
      <c r="P111" s="161"/>
      <c r="Q111" s="6"/>
      <c r="R111" s="6"/>
      <c r="S111" s="6"/>
      <c r="T111" s="6"/>
      <c r="U111" s="6"/>
      <c r="V111" s="6"/>
      <c r="W111" s="6"/>
      <c r="X111" s="6"/>
      <c r="Y111" s="6"/>
      <c r="Z111" s="6"/>
      <c r="AA111" s="6"/>
      <c r="AB111" s="6"/>
      <c r="AC111" s="6"/>
      <c r="AD111" s="6"/>
      <c r="AE111" s="6"/>
      <c r="AF111" s="6"/>
      <c r="AG111" s="6"/>
      <c r="AH111" s="6"/>
      <c r="AI111" s="6"/>
      <c r="AJ111" s="6"/>
    </row>
    <row r="112" spans="1:36" ht="18" customHeight="1" x14ac:dyDescent="0.3">
      <c r="A112" s="161"/>
      <c r="B112" s="161"/>
      <c r="C112" s="161"/>
      <c r="D112" s="161"/>
      <c r="E112" s="161"/>
      <c r="F112" s="267"/>
      <c r="G112" s="268"/>
      <c r="H112" s="269" t="str">
        <f>IF($A112="","",SUMIFS('05 Work done log'!$F$7:$F$506,'05 Work done log'!$B$7:$B$506,$A112))</f>
        <v/>
      </c>
      <c r="I112" s="270" t="str">
        <f>IF(OR($A112="",N($F112)=0),"",$H112/$F112)</f>
        <v/>
      </c>
      <c r="J112" s="269" t="str">
        <f>IF(OR($A112="",N($F112)=0),"",$F112-$H112)</f>
        <v/>
      </c>
      <c r="K112" s="271" t="str">
        <f>IF($A112="","",SUMIFS('04 Resource log'!$J$7:$J$506,'04 Resource log'!$B$7:$B$506,$A112,'04 Resource log'!$E$7:$E$506,"Labour"))</f>
        <v/>
      </c>
      <c r="L112" s="270" t="str">
        <f>IF(OR($A112="",N($G112)=0),"",$K112/$G112)</f>
        <v/>
      </c>
      <c r="M112" s="271" t="str">
        <f>IF(OR($A112="",N($F112)=0,N($G112)=0),"",$I112*$G112)</f>
        <v/>
      </c>
      <c r="N112" s="272" t="str">
        <f>IF(OR($M112="",N($K112)=0),"",$M112/$K112)</f>
        <v/>
      </c>
      <c r="O112" s="273" t="str">
        <f>IF($A112="","",IFERROR(1/(1/_xlfn.MAXIFS('05 Work done log'!$A$7:$A$506,'05 Work done log'!$B$7:$B$506,$A112)),"not yet"))</f>
        <v/>
      </c>
      <c r="P112" s="161"/>
      <c r="Q112" s="6"/>
      <c r="R112" s="6"/>
      <c r="S112" s="6"/>
      <c r="T112" s="6"/>
      <c r="U112" s="6"/>
      <c r="V112" s="6"/>
      <c r="W112" s="6"/>
      <c r="X112" s="6"/>
      <c r="Y112" s="6"/>
      <c r="Z112" s="6"/>
      <c r="AA112" s="6"/>
      <c r="AB112" s="6"/>
      <c r="AC112" s="6"/>
      <c r="AD112" s="6"/>
      <c r="AE112" s="6"/>
      <c r="AF112" s="6"/>
      <c r="AG112" s="6"/>
      <c r="AH112" s="6"/>
      <c r="AI112" s="6"/>
      <c r="AJ112" s="6"/>
    </row>
    <row r="113" spans="1:36" ht="18" customHeight="1" x14ac:dyDescent="0.3">
      <c r="A113" s="161"/>
      <c r="B113" s="161"/>
      <c r="C113" s="161"/>
      <c r="D113" s="161"/>
      <c r="E113" s="161"/>
      <c r="F113" s="267"/>
      <c r="G113" s="268"/>
      <c r="H113" s="269" t="str">
        <f>IF($A113="","",SUMIFS('05 Work done log'!$F$7:$F$506,'05 Work done log'!$B$7:$B$506,$A113))</f>
        <v/>
      </c>
      <c r="I113" s="270" t="str">
        <f>IF(OR($A113="",N($F113)=0),"",$H113/$F113)</f>
        <v/>
      </c>
      <c r="J113" s="269" t="str">
        <f>IF(OR($A113="",N($F113)=0),"",$F113-$H113)</f>
        <v/>
      </c>
      <c r="K113" s="271" t="str">
        <f>IF($A113="","",SUMIFS('04 Resource log'!$J$7:$J$506,'04 Resource log'!$B$7:$B$506,$A113,'04 Resource log'!$E$7:$E$506,"Labour"))</f>
        <v/>
      </c>
      <c r="L113" s="270" t="str">
        <f>IF(OR($A113="",N($G113)=0),"",$K113/$G113)</f>
        <v/>
      </c>
      <c r="M113" s="271" t="str">
        <f>IF(OR($A113="",N($F113)=0,N($G113)=0),"",$I113*$G113)</f>
        <v/>
      </c>
      <c r="N113" s="272" t="str">
        <f>IF(OR($M113="",N($K113)=0),"",$M113/$K113)</f>
        <v/>
      </c>
      <c r="O113" s="273" t="str">
        <f>IF($A113="","",IFERROR(1/(1/_xlfn.MAXIFS('05 Work done log'!$A$7:$A$506,'05 Work done log'!$B$7:$B$506,$A113)),"not yet"))</f>
        <v/>
      </c>
      <c r="P113" s="161"/>
      <c r="Q113" s="6"/>
      <c r="R113" s="6"/>
      <c r="S113" s="6"/>
      <c r="T113" s="6"/>
      <c r="U113" s="6"/>
      <c r="V113" s="6"/>
      <c r="W113" s="6"/>
      <c r="X113" s="6"/>
      <c r="Y113" s="6"/>
      <c r="Z113" s="6"/>
      <c r="AA113" s="6"/>
      <c r="AB113" s="6"/>
      <c r="AC113" s="6"/>
      <c r="AD113" s="6"/>
      <c r="AE113" s="6"/>
      <c r="AF113" s="6"/>
      <c r="AG113" s="6"/>
      <c r="AH113" s="6"/>
      <c r="AI113" s="6"/>
      <c r="AJ113" s="6"/>
    </row>
    <row r="114" spans="1:36" ht="18" customHeight="1" x14ac:dyDescent="0.3">
      <c r="A114" s="161"/>
      <c r="B114" s="161"/>
      <c r="C114" s="161"/>
      <c r="D114" s="161"/>
      <c r="E114" s="161"/>
      <c r="F114" s="267"/>
      <c r="G114" s="268"/>
      <c r="H114" s="269" t="str">
        <f>IF($A114="","",SUMIFS('05 Work done log'!$F$7:$F$506,'05 Work done log'!$B$7:$B$506,$A114))</f>
        <v/>
      </c>
      <c r="I114" s="270" t="str">
        <f>IF(OR($A114="",N($F114)=0),"",$H114/$F114)</f>
        <v/>
      </c>
      <c r="J114" s="269" t="str">
        <f>IF(OR($A114="",N($F114)=0),"",$F114-$H114)</f>
        <v/>
      </c>
      <c r="K114" s="271" t="str">
        <f>IF($A114="","",SUMIFS('04 Resource log'!$J$7:$J$506,'04 Resource log'!$B$7:$B$506,$A114,'04 Resource log'!$E$7:$E$506,"Labour"))</f>
        <v/>
      </c>
      <c r="L114" s="270" t="str">
        <f>IF(OR($A114="",N($G114)=0),"",$K114/$G114)</f>
        <v/>
      </c>
      <c r="M114" s="271" t="str">
        <f>IF(OR($A114="",N($F114)=0,N($G114)=0),"",$I114*$G114)</f>
        <v/>
      </c>
      <c r="N114" s="272" t="str">
        <f>IF(OR($M114="",N($K114)=0),"",$M114/$K114)</f>
        <v/>
      </c>
      <c r="O114" s="273" t="str">
        <f>IF($A114="","",IFERROR(1/(1/_xlfn.MAXIFS('05 Work done log'!$A$7:$A$506,'05 Work done log'!$B$7:$B$506,$A114)),"not yet"))</f>
        <v/>
      </c>
      <c r="P114" s="161"/>
      <c r="Q114" s="6"/>
      <c r="R114" s="6"/>
      <c r="S114" s="6"/>
      <c r="T114" s="6"/>
      <c r="U114" s="6"/>
      <c r="V114" s="6"/>
      <c r="W114" s="6"/>
      <c r="X114" s="6"/>
      <c r="Y114" s="6"/>
      <c r="Z114" s="6"/>
      <c r="AA114" s="6"/>
      <c r="AB114" s="6"/>
      <c r="AC114" s="6"/>
      <c r="AD114" s="6"/>
      <c r="AE114" s="6"/>
      <c r="AF114" s="6"/>
      <c r="AG114" s="6"/>
      <c r="AH114" s="6"/>
      <c r="AI114" s="6"/>
      <c r="AJ114" s="6"/>
    </row>
    <row r="115" spans="1:36" ht="18" customHeight="1" x14ac:dyDescent="0.3">
      <c r="A115" s="161"/>
      <c r="B115" s="161"/>
      <c r="C115" s="161"/>
      <c r="D115" s="161"/>
      <c r="E115" s="161"/>
      <c r="F115" s="267"/>
      <c r="G115" s="268"/>
      <c r="H115" s="269" t="str">
        <f>IF($A115="","",SUMIFS('05 Work done log'!$F$7:$F$506,'05 Work done log'!$B$7:$B$506,$A115))</f>
        <v/>
      </c>
      <c r="I115" s="270" t="str">
        <f>IF(OR($A115="",N($F115)=0),"",$H115/$F115)</f>
        <v/>
      </c>
      <c r="J115" s="269" t="str">
        <f>IF(OR($A115="",N($F115)=0),"",$F115-$H115)</f>
        <v/>
      </c>
      <c r="K115" s="271" t="str">
        <f>IF($A115="","",SUMIFS('04 Resource log'!$J$7:$J$506,'04 Resource log'!$B$7:$B$506,$A115,'04 Resource log'!$E$7:$E$506,"Labour"))</f>
        <v/>
      </c>
      <c r="L115" s="270" t="str">
        <f>IF(OR($A115="",N($G115)=0),"",$K115/$G115)</f>
        <v/>
      </c>
      <c r="M115" s="271" t="str">
        <f>IF(OR($A115="",N($F115)=0,N($G115)=0),"",$I115*$G115)</f>
        <v/>
      </c>
      <c r="N115" s="272" t="str">
        <f>IF(OR($M115="",N($K115)=0),"",$M115/$K115)</f>
        <v/>
      </c>
      <c r="O115" s="273" t="str">
        <f>IF($A115="","",IFERROR(1/(1/_xlfn.MAXIFS('05 Work done log'!$A$7:$A$506,'05 Work done log'!$B$7:$B$506,$A115)),"not yet"))</f>
        <v/>
      </c>
      <c r="P115" s="161"/>
      <c r="Q115" s="6"/>
      <c r="R115" s="6"/>
      <c r="S115" s="6"/>
      <c r="T115" s="6"/>
      <c r="U115" s="6"/>
      <c r="V115" s="6"/>
      <c r="W115" s="6"/>
      <c r="X115" s="6"/>
      <c r="Y115" s="6"/>
      <c r="Z115" s="6"/>
      <c r="AA115" s="6"/>
      <c r="AB115" s="6"/>
      <c r="AC115" s="6"/>
      <c r="AD115" s="6"/>
      <c r="AE115" s="6"/>
      <c r="AF115" s="6"/>
      <c r="AG115" s="6"/>
      <c r="AH115" s="6"/>
      <c r="AI115" s="6"/>
      <c r="AJ115" s="6"/>
    </row>
    <row r="116" spans="1:36" ht="18" customHeight="1" x14ac:dyDescent="0.3">
      <c r="A116" s="161"/>
      <c r="B116" s="161"/>
      <c r="C116" s="161"/>
      <c r="D116" s="161"/>
      <c r="E116" s="161"/>
      <c r="F116" s="267"/>
      <c r="G116" s="268"/>
      <c r="H116" s="269" t="str">
        <f>IF($A116="","",SUMIFS('05 Work done log'!$F$7:$F$506,'05 Work done log'!$B$7:$B$506,$A116))</f>
        <v/>
      </c>
      <c r="I116" s="270" t="str">
        <f>IF(OR($A116="",N($F116)=0),"",$H116/$F116)</f>
        <v/>
      </c>
      <c r="J116" s="269" t="str">
        <f>IF(OR($A116="",N($F116)=0),"",$F116-$H116)</f>
        <v/>
      </c>
      <c r="K116" s="271" t="str">
        <f>IF($A116="","",SUMIFS('04 Resource log'!$J$7:$J$506,'04 Resource log'!$B$7:$B$506,$A116,'04 Resource log'!$E$7:$E$506,"Labour"))</f>
        <v/>
      </c>
      <c r="L116" s="270" t="str">
        <f>IF(OR($A116="",N($G116)=0),"",$K116/$G116)</f>
        <v/>
      </c>
      <c r="M116" s="271" t="str">
        <f>IF(OR($A116="",N($F116)=0,N($G116)=0),"",$I116*$G116)</f>
        <v/>
      </c>
      <c r="N116" s="272" t="str">
        <f>IF(OR($M116="",N($K116)=0),"",$M116/$K116)</f>
        <v/>
      </c>
      <c r="O116" s="273" t="str">
        <f>IF($A116="","",IFERROR(1/(1/_xlfn.MAXIFS('05 Work done log'!$A$7:$A$506,'05 Work done log'!$B$7:$B$506,$A116)),"not yet"))</f>
        <v/>
      </c>
      <c r="P116" s="161"/>
      <c r="Q116" s="6"/>
      <c r="R116" s="6"/>
      <c r="S116" s="6"/>
      <c r="T116" s="6"/>
      <c r="U116" s="6"/>
      <c r="V116" s="6"/>
      <c r="W116" s="6"/>
      <c r="X116" s="6"/>
      <c r="Y116" s="6"/>
      <c r="Z116" s="6"/>
      <c r="AA116" s="6"/>
      <c r="AB116" s="6"/>
      <c r="AC116" s="6"/>
      <c r="AD116" s="6"/>
      <c r="AE116" s="6"/>
      <c r="AF116" s="6"/>
      <c r="AG116" s="6"/>
      <c r="AH116" s="6"/>
      <c r="AI116" s="6"/>
      <c r="AJ116" s="6"/>
    </row>
    <row r="117" spans="1:36" ht="18" customHeight="1" x14ac:dyDescent="0.3">
      <c r="A117" s="161"/>
      <c r="B117" s="161"/>
      <c r="C117" s="161"/>
      <c r="D117" s="161"/>
      <c r="E117" s="161"/>
      <c r="F117" s="267"/>
      <c r="G117" s="268"/>
      <c r="H117" s="269" t="str">
        <f>IF($A117="","",SUMIFS('05 Work done log'!$F$7:$F$506,'05 Work done log'!$B$7:$B$506,$A117))</f>
        <v/>
      </c>
      <c r="I117" s="270" t="str">
        <f>IF(OR($A117="",N($F117)=0),"",$H117/$F117)</f>
        <v/>
      </c>
      <c r="J117" s="269" t="str">
        <f>IF(OR($A117="",N($F117)=0),"",$F117-$H117)</f>
        <v/>
      </c>
      <c r="K117" s="271" t="str">
        <f>IF($A117="","",SUMIFS('04 Resource log'!$J$7:$J$506,'04 Resource log'!$B$7:$B$506,$A117,'04 Resource log'!$E$7:$E$506,"Labour"))</f>
        <v/>
      </c>
      <c r="L117" s="270" t="str">
        <f>IF(OR($A117="",N($G117)=0),"",$K117/$G117)</f>
        <v/>
      </c>
      <c r="M117" s="271" t="str">
        <f>IF(OR($A117="",N($F117)=0,N($G117)=0),"",$I117*$G117)</f>
        <v/>
      </c>
      <c r="N117" s="272" t="str">
        <f>IF(OR($M117="",N($K117)=0),"",$M117/$K117)</f>
        <v/>
      </c>
      <c r="O117" s="273" t="str">
        <f>IF($A117="","",IFERROR(1/(1/_xlfn.MAXIFS('05 Work done log'!$A$7:$A$506,'05 Work done log'!$B$7:$B$506,$A117)),"not yet"))</f>
        <v/>
      </c>
      <c r="P117" s="161"/>
      <c r="Q117" s="6"/>
      <c r="R117" s="6"/>
      <c r="S117" s="6"/>
      <c r="T117" s="6"/>
      <c r="U117" s="6"/>
      <c r="V117" s="6"/>
      <c r="W117" s="6"/>
      <c r="X117" s="6"/>
      <c r="Y117" s="6"/>
      <c r="Z117" s="6"/>
      <c r="AA117" s="6"/>
      <c r="AB117" s="6"/>
      <c r="AC117" s="6"/>
      <c r="AD117" s="6"/>
      <c r="AE117" s="6"/>
      <c r="AF117" s="6"/>
      <c r="AG117" s="6"/>
      <c r="AH117" s="6"/>
      <c r="AI117" s="6"/>
      <c r="AJ117" s="6"/>
    </row>
    <row r="118" spans="1:36" ht="18" customHeight="1" x14ac:dyDescent="0.3">
      <c r="A118" s="161"/>
      <c r="B118" s="161"/>
      <c r="C118" s="161"/>
      <c r="D118" s="161"/>
      <c r="E118" s="161"/>
      <c r="F118" s="267"/>
      <c r="G118" s="268"/>
      <c r="H118" s="269" t="str">
        <f>IF($A118="","",SUMIFS('05 Work done log'!$F$7:$F$506,'05 Work done log'!$B$7:$B$506,$A118))</f>
        <v/>
      </c>
      <c r="I118" s="270" t="str">
        <f>IF(OR($A118="",N($F118)=0),"",$H118/$F118)</f>
        <v/>
      </c>
      <c r="J118" s="269" t="str">
        <f>IF(OR($A118="",N($F118)=0),"",$F118-$H118)</f>
        <v/>
      </c>
      <c r="K118" s="271" t="str">
        <f>IF($A118="","",SUMIFS('04 Resource log'!$J$7:$J$506,'04 Resource log'!$B$7:$B$506,$A118,'04 Resource log'!$E$7:$E$506,"Labour"))</f>
        <v/>
      </c>
      <c r="L118" s="270" t="str">
        <f>IF(OR($A118="",N($G118)=0),"",$K118/$G118)</f>
        <v/>
      </c>
      <c r="M118" s="271" t="str">
        <f>IF(OR($A118="",N($F118)=0,N($G118)=0),"",$I118*$G118)</f>
        <v/>
      </c>
      <c r="N118" s="272" t="str">
        <f>IF(OR($M118="",N($K118)=0),"",$M118/$K118)</f>
        <v/>
      </c>
      <c r="O118" s="273" t="str">
        <f>IF($A118="","",IFERROR(1/(1/_xlfn.MAXIFS('05 Work done log'!$A$7:$A$506,'05 Work done log'!$B$7:$B$506,$A118)),"not yet"))</f>
        <v/>
      </c>
      <c r="P118" s="161"/>
      <c r="Q118" s="6"/>
      <c r="R118" s="6"/>
      <c r="S118" s="6"/>
      <c r="T118" s="6"/>
      <c r="U118" s="6"/>
      <c r="V118" s="6"/>
      <c r="W118" s="6"/>
      <c r="X118" s="6"/>
      <c r="Y118" s="6"/>
      <c r="Z118" s="6"/>
      <c r="AA118" s="6"/>
      <c r="AB118" s="6"/>
      <c r="AC118" s="6"/>
      <c r="AD118" s="6"/>
      <c r="AE118" s="6"/>
      <c r="AF118" s="6"/>
      <c r="AG118" s="6"/>
      <c r="AH118" s="6"/>
      <c r="AI118" s="6"/>
      <c r="AJ118" s="6"/>
    </row>
    <row r="119" spans="1:36" ht="18" customHeight="1" x14ac:dyDescent="0.3">
      <c r="A119" s="161"/>
      <c r="B119" s="161"/>
      <c r="C119" s="161"/>
      <c r="D119" s="161"/>
      <c r="E119" s="161"/>
      <c r="F119" s="267"/>
      <c r="G119" s="268"/>
      <c r="H119" s="269" t="str">
        <f>IF($A119="","",SUMIFS('05 Work done log'!$F$7:$F$506,'05 Work done log'!$B$7:$B$506,$A119))</f>
        <v/>
      </c>
      <c r="I119" s="270" t="str">
        <f>IF(OR($A119="",N($F119)=0),"",$H119/$F119)</f>
        <v/>
      </c>
      <c r="J119" s="269" t="str">
        <f>IF(OR($A119="",N($F119)=0),"",$F119-$H119)</f>
        <v/>
      </c>
      <c r="K119" s="271" t="str">
        <f>IF($A119="","",SUMIFS('04 Resource log'!$J$7:$J$506,'04 Resource log'!$B$7:$B$506,$A119,'04 Resource log'!$E$7:$E$506,"Labour"))</f>
        <v/>
      </c>
      <c r="L119" s="270" t="str">
        <f>IF(OR($A119="",N($G119)=0),"",$K119/$G119)</f>
        <v/>
      </c>
      <c r="M119" s="271" t="str">
        <f>IF(OR($A119="",N($F119)=0,N($G119)=0),"",$I119*$G119)</f>
        <v/>
      </c>
      <c r="N119" s="272" t="str">
        <f>IF(OR($M119="",N($K119)=0),"",$M119/$K119)</f>
        <v/>
      </c>
      <c r="O119" s="273" t="str">
        <f>IF($A119="","",IFERROR(1/(1/_xlfn.MAXIFS('05 Work done log'!$A$7:$A$506,'05 Work done log'!$B$7:$B$506,$A119)),"not yet"))</f>
        <v/>
      </c>
      <c r="P119" s="161"/>
      <c r="Q119" s="6"/>
      <c r="R119" s="6"/>
      <c r="S119" s="6"/>
      <c r="T119" s="6"/>
      <c r="U119" s="6"/>
      <c r="V119" s="6"/>
      <c r="W119" s="6"/>
      <c r="X119" s="6"/>
      <c r="Y119" s="6"/>
      <c r="Z119" s="6"/>
      <c r="AA119" s="6"/>
      <c r="AB119" s="6"/>
      <c r="AC119" s="6"/>
      <c r="AD119" s="6"/>
      <c r="AE119" s="6"/>
      <c r="AF119" s="6"/>
      <c r="AG119" s="6"/>
      <c r="AH119" s="6"/>
      <c r="AI119" s="6"/>
      <c r="AJ119" s="6"/>
    </row>
    <row r="120" spans="1:36" ht="18" customHeight="1" x14ac:dyDescent="0.3">
      <c r="A120" s="161"/>
      <c r="B120" s="161"/>
      <c r="C120" s="161"/>
      <c r="D120" s="161"/>
      <c r="E120" s="161"/>
      <c r="F120" s="267"/>
      <c r="G120" s="268"/>
      <c r="H120" s="269" t="str">
        <f>IF($A120="","",SUMIFS('05 Work done log'!$F$7:$F$506,'05 Work done log'!$B$7:$B$506,$A120))</f>
        <v/>
      </c>
      <c r="I120" s="270" t="str">
        <f>IF(OR($A120="",N($F120)=0),"",$H120/$F120)</f>
        <v/>
      </c>
      <c r="J120" s="269" t="str">
        <f>IF(OR($A120="",N($F120)=0),"",$F120-$H120)</f>
        <v/>
      </c>
      <c r="K120" s="271" t="str">
        <f>IF($A120="","",SUMIFS('04 Resource log'!$J$7:$J$506,'04 Resource log'!$B$7:$B$506,$A120,'04 Resource log'!$E$7:$E$506,"Labour"))</f>
        <v/>
      </c>
      <c r="L120" s="270" t="str">
        <f>IF(OR($A120="",N($G120)=0),"",$K120/$G120)</f>
        <v/>
      </c>
      <c r="M120" s="271" t="str">
        <f>IF(OR($A120="",N($F120)=0,N($G120)=0),"",$I120*$G120)</f>
        <v/>
      </c>
      <c r="N120" s="272" t="str">
        <f>IF(OR($M120="",N($K120)=0),"",$M120/$K120)</f>
        <v/>
      </c>
      <c r="O120" s="273" t="str">
        <f>IF($A120="","",IFERROR(1/(1/_xlfn.MAXIFS('05 Work done log'!$A$7:$A$506,'05 Work done log'!$B$7:$B$506,$A120)),"not yet"))</f>
        <v/>
      </c>
      <c r="P120" s="161"/>
      <c r="Q120" s="6"/>
      <c r="R120" s="6"/>
      <c r="S120" s="6"/>
      <c r="T120" s="6"/>
      <c r="U120" s="6"/>
      <c r="V120" s="6"/>
      <c r="W120" s="6"/>
      <c r="X120" s="6"/>
      <c r="Y120" s="6"/>
      <c r="Z120" s="6"/>
      <c r="AA120" s="6"/>
      <c r="AB120" s="6"/>
      <c r="AC120" s="6"/>
      <c r="AD120" s="6"/>
      <c r="AE120" s="6"/>
      <c r="AF120" s="6"/>
      <c r="AG120" s="6"/>
      <c r="AH120" s="6"/>
      <c r="AI120" s="6"/>
      <c r="AJ120" s="6"/>
    </row>
    <row r="121" spans="1:36" ht="18" customHeight="1" x14ac:dyDescent="0.3">
      <c r="A121" s="161"/>
      <c r="B121" s="161"/>
      <c r="C121" s="161"/>
      <c r="D121" s="161"/>
      <c r="E121" s="161"/>
      <c r="F121" s="267"/>
      <c r="G121" s="268"/>
      <c r="H121" s="269" t="str">
        <f>IF($A121="","",SUMIFS('05 Work done log'!$F$7:$F$506,'05 Work done log'!$B$7:$B$506,$A121))</f>
        <v/>
      </c>
      <c r="I121" s="270" t="str">
        <f>IF(OR($A121="",N($F121)=0),"",$H121/$F121)</f>
        <v/>
      </c>
      <c r="J121" s="269" t="str">
        <f>IF(OR($A121="",N($F121)=0),"",$F121-$H121)</f>
        <v/>
      </c>
      <c r="K121" s="271" t="str">
        <f>IF($A121="","",SUMIFS('04 Resource log'!$J$7:$J$506,'04 Resource log'!$B$7:$B$506,$A121,'04 Resource log'!$E$7:$E$506,"Labour"))</f>
        <v/>
      </c>
      <c r="L121" s="270" t="str">
        <f>IF(OR($A121="",N($G121)=0),"",$K121/$G121)</f>
        <v/>
      </c>
      <c r="M121" s="271" t="str">
        <f>IF(OR($A121="",N($F121)=0,N($G121)=0),"",$I121*$G121)</f>
        <v/>
      </c>
      <c r="N121" s="272" t="str">
        <f>IF(OR($M121="",N($K121)=0),"",$M121/$K121)</f>
        <v/>
      </c>
      <c r="O121" s="273" t="str">
        <f>IF($A121="","",IFERROR(1/(1/_xlfn.MAXIFS('05 Work done log'!$A$7:$A$506,'05 Work done log'!$B$7:$B$506,$A121)),"not yet"))</f>
        <v/>
      </c>
      <c r="P121" s="161"/>
      <c r="Q121" s="6"/>
      <c r="R121" s="6"/>
      <c r="S121" s="6"/>
      <c r="T121" s="6"/>
      <c r="U121" s="6"/>
      <c r="V121" s="6"/>
      <c r="W121" s="6"/>
      <c r="X121" s="6"/>
      <c r="Y121" s="6"/>
      <c r="Z121" s="6"/>
      <c r="AA121" s="6"/>
      <c r="AB121" s="6"/>
      <c r="AC121" s="6"/>
      <c r="AD121" s="6"/>
      <c r="AE121" s="6"/>
      <c r="AF121" s="6"/>
      <c r="AG121" s="6"/>
      <c r="AH121" s="6"/>
      <c r="AI121" s="6"/>
      <c r="AJ121" s="6"/>
    </row>
    <row r="122" spans="1:36" ht="18" customHeight="1" x14ac:dyDescent="0.3">
      <c r="A122" s="161"/>
      <c r="B122" s="161"/>
      <c r="C122" s="161"/>
      <c r="D122" s="161"/>
      <c r="E122" s="161"/>
      <c r="F122" s="267"/>
      <c r="G122" s="268"/>
      <c r="H122" s="269" t="str">
        <f>IF($A122="","",SUMIFS('05 Work done log'!$F$7:$F$506,'05 Work done log'!$B$7:$B$506,$A122))</f>
        <v/>
      </c>
      <c r="I122" s="270" t="str">
        <f>IF(OR($A122="",N($F122)=0),"",$H122/$F122)</f>
        <v/>
      </c>
      <c r="J122" s="269" t="str">
        <f>IF(OR($A122="",N($F122)=0),"",$F122-$H122)</f>
        <v/>
      </c>
      <c r="K122" s="271" t="str">
        <f>IF($A122="","",SUMIFS('04 Resource log'!$J$7:$J$506,'04 Resource log'!$B$7:$B$506,$A122,'04 Resource log'!$E$7:$E$506,"Labour"))</f>
        <v/>
      </c>
      <c r="L122" s="270" t="str">
        <f>IF(OR($A122="",N($G122)=0),"",$K122/$G122)</f>
        <v/>
      </c>
      <c r="M122" s="271" t="str">
        <f>IF(OR($A122="",N($F122)=0,N($G122)=0),"",$I122*$G122)</f>
        <v/>
      </c>
      <c r="N122" s="272" t="str">
        <f>IF(OR($M122="",N($K122)=0),"",$M122/$K122)</f>
        <v/>
      </c>
      <c r="O122" s="273" t="str">
        <f>IF($A122="","",IFERROR(1/(1/_xlfn.MAXIFS('05 Work done log'!$A$7:$A$506,'05 Work done log'!$B$7:$B$506,$A122)),"not yet"))</f>
        <v/>
      </c>
      <c r="P122" s="161"/>
      <c r="Q122" s="6"/>
      <c r="R122" s="6"/>
      <c r="S122" s="6"/>
      <c r="T122" s="6"/>
      <c r="U122" s="6"/>
      <c r="V122" s="6"/>
      <c r="W122" s="6"/>
      <c r="X122" s="6"/>
      <c r="Y122" s="6"/>
      <c r="Z122" s="6"/>
      <c r="AA122" s="6"/>
      <c r="AB122" s="6"/>
      <c r="AC122" s="6"/>
      <c r="AD122" s="6"/>
      <c r="AE122" s="6"/>
      <c r="AF122" s="6"/>
      <c r="AG122" s="6"/>
      <c r="AH122" s="6"/>
      <c r="AI122" s="6"/>
      <c r="AJ122" s="6"/>
    </row>
    <row r="123" spans="1:36" ht="18" customHeight="1" x14ac:dyDescent="0.3">
      <c r="A123" s="161"/>
      <c r="B123" s="161"/>
      <c r="C123" s="161"/>
      <c r="D123" s="161"/>
      <c r="E123" s="161"/>
      <c r="F123" s="267"/>
      <c r="G123" s="268"/>
      <c r="H123" s="269" t="str">
        <f>IF($A123="","",SUMIFS('05 Work done log'!$F$7:$F$506,'05 Work done log'!$B$7:$B$506,$A123))</f>
        <v/>
      </c>
      <c r="I123" s="270" t="str">
        <f>IF(OR($A123="",N($F123)=0),"",$H123/$F123)</f>
        <v/>
      </c>
      <c r="J123" s="269" t="str">
        <f>IF(OR($A123="",N($F123)=0),"",$F123-$H123)</f>
        <v/>
      </c>
      <c r="K123" s="271" t="str">
        <f>IF($A123="","",SUMIFS('04 Resource log'!$J$7:$J$506,'04 Resource log'!$B$7:$B$506,$A123,'04 Resource log'!$E$7:$E$506,"Labour"))</f>
        <v/>
      </c>
      <c r="L123" s="270" t="str">
        <f>IF(OR($A123="",N($G123)=0),"",$K123/$G123)</f>
        <v/>
      </c>
      <c r="M123" s="271" t="str">
        <f>IF(OR($A123="",N($F123)=0,N($G123)=0),"",$I123*$G123)</f>
        <v/>
      </c>
      <c r="N123" s="272" t="str">
        <f>IF(OR($M123="",N($K123)=0),"",$M123/$K123)</f>
        <v/>
      </c>
      <c r="O123" s="273" t="str">
        <f>IF($A123="","",IFERROR(1/(1/_xlfn.MAXIFS('05 Work done log'!$A$7:$A$506,'05 Work done log'!$B$7:$B$506,$A123)),"not yet"))</f>
        <v/>
      </c>
      <c r="P123" s="161"/>
      <c r="Q123" s="6"/>
      <c r="R123" s="6"/>
      <c r="S123" s="6"/>
      <c r="T123" s="6"/>
      <c r="U123" s="6"/>
      <c r="V123" s="6"/>
      <c r="W123" s="6"/>
      <c r="X123" s="6"/>
      <c r="Y123" s="6"/>
      <c r="Z123" s="6"/>
      <c r="AA123" s="6"/>
      <c r="AB123" s="6"/>
      <c r="AC123" s="6"/>
      <c r="AD123" s="6"/>
      <c r="AE123" s="6"/>
      <c r="AF123" s="6"/>
      <c r="AG123" s="6"/>
      <c r="AH123" s="6"/>
      <c r="AI123" s="6"/>
      <c r="AJ123" s="6"/>
    </row>
    <row r="124" spans="1:36" ht="18" customHeight="1" x14ac:dyDescent="0.3">
      <c r="A124" s="161"/>
      <c r="B124" s="161"/>
      <c r="C124" s="161"/>
      <c r="D124" s="161"/>
      <c r="E124" s="161"/>
      <c r="F124" s="267"/>
      <c r="G124" s="268"/>
      <c r="H124" s="269" t="str">
        <f>IF($A124="","",SUMIFS('05 Work done log'!$F$7:$F$506,'05 Work done log'!$B$7:$B$506,$A124))</f>
        <v/>
      </c>
      <c r="I124" s="270" t="str">
        <f>IF(OR($A124="",N($F124)=0),"",$H124/$F124)</f>
        <v/>
      </c>
      <c r="J124" s="269" t="str">
        <f>IF(OR($A124="",N($F124)=0),"",$F124-$H124)</f>
        <v/>
      </c>
      <c r="K124" s="271" t="str">
        <f>IF($A124="","",SUMIFS('04 Resource log'!$J$7:$J$506,'04 Resource log'!$B$7:$B$506,$A124,'04 Resource log'!$E$7:$E$506,"Labour"))</f>
        <v/>
      </c>
      <c r="L124" s="270" t="str">
        <f>IF(OR($A124="",N($G124)=0),"",$K124/$G124)</f>
        <v/>
      </c>
      <c r="M124" s="271" t="str">
        <f>IF(OR($A124="",N($F124)=0,N($G124)=0),"",$I124*$G124)</f>
        <v/>
      </c>
      <c r="N124" s="272" t="str">
        <f>IF(OR($M124="",N($K124)=0),"",$M124/$K124)</f>
        <v/>
      </c>
      <c r="O124" s="273" t="str">
        <f>IF($A124="","",IFERROR(1/(1/_xlfn.MAXIFS('05 Work done log'!$A$7:$A$506,'05 Work done log'!$B$7:$B$506,$A124)),"not yet"))</f>
        <v/>
      </c>
      <c r="P124" s="161"/>
      <c r="Q124" s="6"/>
      <c r="R124" s="6"/>
      <c r="S124" s="6"/>
      <c r="T124" s="6"/>
      <c r="U124" s="6"/>
      <c r="V124" s="6"/>
      <c r="W124" s="6"/>
      <c r="X124" s="6"/>
      <c r="Y124" s="6"/>
      <c r="Z124" s="6"/>
      <c r="AA124" s="6"/>
      <c r="AB124" s="6"/>
      <c r="AC124" s="6"/>
      <c r="AD124" s="6"/>
      <c r="AE124" s="6"/>
      <c r="AF124" s="6"/>
      <c r="AG124" s="6"/>
      <c r="AH124" s="6"/>
      <c r="AI124" s="6"/>
      <c r="AJ124" s="6"/>
    </row>
    <row r="125" spans="1:36" ht="18" customHeight="1" x14ac:dyDescent="0.3">
      <c r="A125" s="161"/>
      <c r="B125" s="161"/>
      <c r="C125" s="161"/>
      <c r="D125" s="161"/>
      <c r="E125" s="161"/>
      <c r="F125" s="267"/>
      <c r="G125" s="268"/>
      <c r="H125" s="269" t="str">
        <f>IF($A125="","",SUMIFS('05 Work done log'!$F$7:$F$506,'05 Work done log'!$B$7:$B$506,$A125))</f>
        <v/>
      </c>
      <c r="I125" s="270" t="str">
        <f>IF(OR($A125="",N($F125)=0),"",$H125/$F125)</f>
        <v/>
      </c>
      <c r="J125" s="269" t="str">
        <f>IF(OR($A125="",N($F125)=0),"",$F125-$H125)</f>
        <v/>
      </c>
      <c r="K125" s="271" t="str">
        <f>IF($A125="","",SUMIFS('04 Resource log'!$J$7:$J$506,'04 Resource log'!$B$7:$B$506,$A125,'04 Resource log'!$E$7:$E$506,"Labour"))</f>
        <v/>
      </c>
      <c r="L125" s="270" t="str">
        <f>IF(OR($A125="",N($G125)=0),"",$K125/$G125)</f>
        <v/>
      </c>
      <c r="M125" s="271" t="str">
        <f>IF(OR($A125="",N($F125)=0,N($G125)=0),"",$I125*$G125)</f>
        <v/>
      </c>
      <c r="N125" s="272" t="str">
        <f>IF(OR($M125="",N($K125)=0),"",$M125/$K125)</f>
        <v/>
      </c>
      <c r="O125" s="273" t="str">
        <f>IF($A125="","",IFERROR(1/(1/_xlfn.MAXIFS('05 Work done log'!$A$7:$A$506,'05 Work done log'!$B$7:$B$506,$A125)),"not yet"))</f>
        <v/>
      </c>
      <c r="P125" s="161"/>
      <c r="Q125" s="6"/>
      <c r="R125" s="6"/>
      <c r="S125" s="6"/>
      <c r="T125" s="6"/>
      <c r="U125" s="6"/>
      <c r="V125" s="6"/>
      <c r="W125" s="6"/>
      <c r="X125" s="6"/>
      <c r="Y125" s="6"/>
      <c r="Z125" s="6"/>
      <c r="AA125" s="6"/>
      <c r="AB125" s="6"/>
      <c r="AC125" s="6"/>
      <c r="AD125" s="6"/>
      <c r="AE125" s="6"/>
      <c r="AF125" s="6"/>
      <c r="AG125" s="6"/>
      <c r="AH125" s="6"/>
      <c r="AI125" s="6"/>
      <c r="AJ125" s="6"/>
    </row>
    <row r="126" spans="1:36" ht="18" customHeight="1" x14ac:dyDescent="0.3">
      <c r="A126" s="161"/>
      <c r="B126" s="161"/>
      <c r="C126" s="161"/>
      <c r="D126" s="161"/>
      <c r="E126" s="161"/>
      <c r="F126" s="267"/>
      <c r="G126" s="268"/>
      <c r="H126" s="269" t="str">
        <f>IF($A126="","",SUMIFS('05 Work done log'!$F$7:$F$506,'05 Work done log'!$B$7:$B$506,$A126))</f>
        <v/>
      </c>
      <c r="I126" s="270" t="str">
        <f>IF(OR($A126="",N($F126)=0),"",$H126/$F126)</f>
        <v/>
      </c>
      <c r="J126" s="269" t="str">
        <f>IF(OR($A126="",N($F126)=0),"",$F126-$H126)</f>
        <v/>
      </c>
      <c r="K126" s="271" t="str">
        <f>IF($A126="","",SUMIFS('04 Resource log'!$J$7:$J$506,'04 Resource log'!$B$7:$B$506,$A126,'04 Resource log'!$E$7:$E$506,"Labour"))</f>
        <v/>
      </c>
      <c r="L126" s="270" t="str">
        <f>IF(OR($A126="",N($G126)=0),"",$K126/$G126)</f>
        <v/>
      </c>
      <c r="M126" s="271" t="str">
        <f>IF(OR($A126="",N($F126)=0,N($G126)=0),"",$I126*$G126)</f>
        <v/>
      </c>
      <c r="N126" s="272" t="str">
        <f>IF(OR($M126="",N($K126)=0),"",$M126/$K126)</f>
        <v/>
      </c>
      <c r="O126" s="273" t="str">
        <f>IF($A126="","",IFERROR(1/(1/_xlfn.MAXIFS('05 Work done log'!$A$7:$A$506,'05 Work done log'!$B$7:$B$506,$A126)),"not yet"))</f>
        <v/>
      </c>
      <c r="P126" s="161"/>
      <c r="Q126" s="6"/>
      <c r="R126" s="6"/>
      <c r="S126" s="6"/>
      <c r="T126" s="6"/>
      <c r="U126" s="6"/>
      <c r="V126" s="6"/>
      <c r="W126" s="6"/>
      <c r="X126" s="6"/>
      <c r="Y126" s="6"/>
      <c r="Z126" s="6"/>
      <c r="AA126" s="6"/>
      <c r="AB126" s="6"/>
      <c r="AC126" s="6"/>
      <c r="AD126" s="6"/>
      <c r="AE126" s="6"/>
      <c r="AF126" s="6"/>
      <c r="AG126" s="6"/>
      <c r="AH126" s="6"/>
      <c r="AI126" s="6"/>
      <c r="AJ126" s="6"/>
    </row>
    <row r="127" spans="1:36" ht="18" customHeight="1" x14ac:dyDescent="0.3">
      <c r="A127" s="161"/>
      <c r="B127" s="161"/>
      <c r="C127" s="161"/>
      <c r="D127" s="161"/>
      <c r="E127" s="161"/>
      <c r="F127" s="267"/>
      <c r="G127" s="268"/>
      <c r="H127" s="269" t="str">
        <f>IF($A127="","",SUMIFS('05 Work done log'!$F$7:$F$506,'05 Work done log'!$B$7:$B$506,$A127))</f>
        <v/>
      </c>
      <c r="I127" s="270" t="str">
        <f>IF(OR($A127="",N($F127)=0),"",$H127/$F127)</f>
        <v/>
      </c>
      <c r="J127" s="269" t="str">
        <f>IF(OR($A127="",N($F127)=0),"",$F127-$H127)</f>
        <v/>
      </c>
      <c r="K127" s="271" t="str">
        <f>IF($A127="","",SUMIFS('04 Resource log'!$J$7:$J$506,'04 Resource log'!$B$7:$B$506,$A127,'04 Resource log'!$E$7:$E$506,"Labour"))</f>
        <v/>
      </c>
      <c r="L127" s="270" t="str">
        <f>IF(OR($A127="",N($G127)=0),"",$K127/$G127)</f>
        <v/>
      </c>
      <c r="M127" s="271" t="str">
        <f>IF(OR($A127="",N($F127)=0,N($G127)=0),"",$I127*$G127)</f>
        <v/>
      </c>
      <c r="N127" s="272" t="str">
        <f>IF(OR($M127="",N($K127)=0),"",$M127/$K127)</f>
        <v/>
      </c>
      <c r="O127" s="273" t="str">
        <f>IF($A127="","",IFERROR(1/(1/_xlfn.MAXIFS('05 Work done log'!$A$7:$A$506,'05 Work done log'!$B$7:$B$506,$A127)),"not yet"))</f>
        <v/>
      </c>
      <c r="P127" s="161"/>
      <c r="Q127" s="6"/>
      <c r="R127" s="6"/>
      <c r="S127" s="6"/>
      <c r="T127" s="6"/>
      <c r="U127" s="6"/>
      <c r="V127" s="6"/>
      <c r="W127" s="6"/>
      <c r="X127" s="6"/>
      <c r="Y127" s="6"/>
      <c r="Z127" s="6"/>
      <c r="AA127" s="6"/>
      <c r="AB127" s="6"/>
      <c r="AC127" s="6"/>
      <c r="AD127" s="6"/>
      <c r="AE127" s="6"/>
      <c r="AF127" s="6"/>
      <c r="AG127" s="6"/>
      <c r="AH127" s="6"/>
      <c r="AI127" s="6"/>
      <c r="AJ127" s="6"/>
    </row>
    <row r="128" spans="1:36" ht="18" customHeight="1" x14ac:dyDescent="0.3">
      <c r="A128" s="161"/>
      <c r="B128" s="161"/>
      <c r="C128" s="161"/>
      <c r="D128" s="161"/>
      <c r="E128" s="161"/>
      <c r="F128" s="267"/>
      <c r="G128" s="268"/>
      <c r="H128" s="269" t="str">
        <f>IF($A128="","",SUMIFS('05 Work done log'!$F$7:$F$506,'05 Work done log'!$B$7:$B$506,$A128))</f>
        <v/>
      </c>
      <c r="I128" s="270" t="str">
        <f>IF(OR($A128="",N($F128)=0),"",$H128/$F128)</f>
        <v/>
      </c>
      <c r="J128" s="269" t="str">
        <f>IF(OR($A128="",N($F128)=0),"",$F128-$H128)</f>
        <v/>
      </c>
      <c r="K128" s="271" t="str">
        <f>IF($A128="","",SUMIFS('04 Resource log'!$J$7:$J$506,'04 Resource log'!$B$7:$B$506,$A128,'04 Resource log'!$E$7:$E$506,"Labour"))</f>
        <v/>
      </c>
      <c r="L128" s="270" t="str">
        <f>IF(OR($A128="",N($G128)=0),"",$K128/$G128)</f>
        <v/>
      </c>
      <c r="M128" s="271" t="str">
        <f>IF(OR($A128="",N($F128)=0,N($G128)=0),"",$I128*$G128)</f>
        <v/>
      </c>
      <c r="N128" s="272" t="str">
        <f>IF(OR($M128="",N($K128)=0),"",$M128/$K128)</f>
        <v/>
      </c>
      <c r="O128" s="273" t="str">
        <f>IF($A128="","",IFERROR(1/(1/_xlfn.MAXIFS('05 Work done log'!$A$7:$A$506,'05 Work done log'!$B$7:$B$506,$A128)),"not yet"))</f>
        <v/>
      </c>
      <c r="P128" s="161"/>
      <c r="Q128" s="6"/>
      <c r="R128" s="6"/>
      <c r="S128" s="6"/>
      <c r="T128" s="6"/>
      <c r="U128" s="6"/>
      <c r="V128" s="6"/>
      <c r="W128" s="6"/>
      <c r="X128" s="6"/>
      <c r="Y128" s="6"/>
      <c r="Z128" s="6"/>
      <c r="AA128" s="6"/>
      <c r="AB128" s="6"/>
      <c r="AC128" s="6"/>
      <c r="AD128" s="6"/>
      <c r="AE128" s="6"/>
      <c r="AF128" s="6"/>
      <c r="AG128" s="6"/>
      <c r="AH128" s="6"/>
      <c r="AI128" s="6"/>
      <c r="AJ128" s="6"/>
    </row>
    <row r="129" spans="1:36" ht="18" customHeight="1" x14ac:dyDescent="0.3">
      <c r="A129" s="161"/>
      <c r="B129" s="161"/>
      <c r="C129" s="161"/>
      <c r="D129" s="161"/>
      <c r="E129" s="161"/>
      <c r="F129" s="267"/>
      <c r="G129" s="268"/>
      <c r="H129" s="269" t="str">
        <f>IF($A129="","",SUMIFS('05 Work done log'!$F$7:$F$506,'05 Work done log'!$B$7:$B$506,$A129))</f>
        <v/>
      </c>
      <c r="I129" s="270" t="str">
        <f>IF(OR($A129="",N($F129)=0),"",$H129/$F129)</f>
        <v/>
      </c>
      <c r="J129" s="269" t="str">
        <f>IF(OR($A129="",N($F129)=0),"",$F129-$H129)</f>
        <v/>
      </c>
      <c r="K129" s="271" t="str">
        <f>IF($A129="","",SUMIFS('04 Resource log'!$J$7:$J$506,'04 Resource log'!$B$7:$B$506,$A129,'04 Resource log'!$E$7:$E$506,"Labour"))</f>
        <v/>
      </c>
      <c r="L129" s="270" t="str">
        <f>IF(OR($A129="",N($G129)=0),"",$K129/$G129)</f>
        <v/>
      </c>
      <c r="M129" s="271" t="str">
        <f>IF(OR($A129="",N($F129)=0,N($G129)=0),"",$I129*$G129)</f>
        <v/>
      </c>
      <c r="N129" s="272" t="str">
        <f>IF(OR($M129="",N($K129)=0),"",$M129/$K129)</f>
        <v/>
      </c>
      <c r="O129" s="273" t="str">
        <f>IF($A129="","",IFERROR(1/(1/_xlfn.MAXIFS('05 Work done log'!$A$7:$A$506,'05 Work done log'!$B$7:$B$506,$A129)),"not yet"))</f>
        <v/>
      </c>
      <c r="P129" s="161"/>
      <c r="Q129" s="6"/>
      <c r="R129" s="6"/>
      <c r="S129" s="6"/>
      <c r="T129" s="6"/>
      <c r="U129" s="6"/>
      <c r="V129" s="6"/>
      <c r="W129" s="6"/>
      <c r="X129" s="6"/>
      <c r="Y129" s="6"/>
      <c r="Z129" s="6"/>
      <c r="AA129" s="6"/>
      <c r="AB129" s="6"/>
      <c r="AC129" s="6"/>
      <c r="AD129" s="6"/>
      <c r="AE129" s="6"/>
      <c r="AF129" s="6"/>
      <c r="AG129" s="6"/>
      <c r="AH129" s="6"/>
      <c r="AI129" s="6"/>
      <c r="AJ129" s="6"/>
    </row>
    <row r="130" spans="1:36" ht="18" customHeight="1" x14ac:dyDescent="0.3">
      <c r="A130" s="161"/>
      <c r="B130" s="161"/>
      <c r="C130" s="161"/>
      <c r="D130" s="161"/>
      <c r="E130" s="161"/>
      <c r="F130" s="267"/>
      <c r="G130" s="268"/>
      <c r="H130" s="269" t="str">
        <f>IF($A130="","",SUMIFS('05 Work done log'!$F$7:$F$506,'05 Work done log'!$B$7:$B$506,$A130))</f>
        <v/>
      </c>
      <c r="I130" s="270" t="str">
        <f>IF(OR($A130="",N($F130)=0),"",$H130/$F130)</f>
        <v/>
      </c>
      <c r="J130" s="269" t="str">
        <f>IF(OR($A130="",N($F130)=0),"",$F130-$H130)</f>
        <v/>
      </c>
      <c r="K130" s="271" t="str">
        <f>IF($A130="","",SUMIFS('04 Resource log'!$J$7:$J$506,'04 Resource log'!$B$7:$B$506,$A130,'04 Resource log'!$E$7:$E$506,"Labour"))</f>
        <v/>
      </c>
      <c r="L130" s="270" t="str">
        <f>IF(OR($A130="",N($G130)=0),"",$K130/$G130)</f>
        <v/>
      </c>
      <c r="M130" s="271" t="str">
        <f>IF(OR($A130="",N($F130)=0,N($G130)=0),"",$I130*$G130)</f>
        <v/>
      </c>
      <c r="N130" s="272" t="str">
        <f>IF(OR($M130="",N($K130)=0),"",$M130/$K130)</f>
        <v/>
      </c>
      <c r="O130" s="273" t="str">
        <f>IF($A130="","",IFERROR(1/(1/_xlfn.MAXIFS('05 Work done log'!$A$7:$A$506,'05 Work done log'!$B$7:$B$506,$A130)),"not yet"))</f>
        <v/>
      </c>
      <c r="P130" s="161"/>
      <c r="Q130" s="6"/>
      <c r="R130" s="6"/>
      <c r="S130" s="6"/>
      <c r="T130" s="6"/>
      <c r="U130" s="6"/>
      <c r="V130" s="6"/>
      <c r="W130" s="6"/>
      <c r="X130" s="6"/>
      <c r="Y130" s="6"/>
      <c r="Z130" s="6"/>
      <c r="AA130" s="6"/>
      <c r="AB130" s="6"/>
      <c r="AC130" s="6"/>
      <c r="AD130" s="6"/>
      <c r="AE130" s="6"/>
      <c r="AF130" s="6"/>
      <c r="AG130" s="6"/>
      <c r="AH130" s="6"/>
      <c r="AI130" s="6"/>
      <c r="AJ130" s="6"/>
    </row>
    <row r="131" spans="1:36" ht="18" customHeight="1" x14ac:dyDescent="0.3">
      <c r="A131" s="161"/>
      <c r="B131" s="161"/>
      <c r="C131" s="161"/>
      <c r="D131" s="161"/>
      <c r="E131" s="161"/>
      <c r="F131" s="267"/>
      <c r="G131" s="268"/>
      <c r="H131" s="269" t="str">
        <f>IF($A131="","",SUMIFS('05 Work done log'!$F$7:$F$506,'05 Work done log'!$B$7:$B$506,$A131))</f>
        <v/>
      </c>
      <c r="I131" s="270" t="str">
        <f>IF(OR($A131="",N($F131)=0),"",$H131/$F131)</f>
        <v/>
      </c>
      <c r="J131" s="269" t="str">
        <f>IF(OR($A131="",N($F131)=0),"",$F131-$H131)</f>
        <v/>
      </c>
      <c r="K131" s="271" t="str">
        <f>IF($A131="","",SUMIFS('04 Resource log'!$J$7:$J$506,'04 Resource log'!$B$7:$B$506,$A131,'04 Resource log'!$E$7:$E$506,"Labour"))</f>
        <v/>
      </c>
      <c r="L131" s="270" t="str">
        <f>IF(OR($A131="",N($G131)=0),"",$K131/$G131)</f>
        <v/>
      </c>
      <c r="M131" s="271" t="str">
        <f>IF(OR($A131="",N($F131)=0,N($G131)=0),"",$I131*$G131)</f>
        <v/>
      </c>
      <c r="N131" s="272" t="str">
        <f>IF(OR($M131="",N($K131)=0),"",$M131/$K131)</f>
        <v/>
      </c>
      <c r="O131" s="273" t="str">
        <f>IF($A131="","",IFERROR(1/(1/_xlfn.MAXIFS('05 Work done log'!$A$7:$A$506,'05 Work done log'!$B$7:$B$506,$A131)),"not yet"))</f>
        <v/>
      </c>
      <c r="P131" s="161"/>
      <c r="Q131" s="6"/>
      <c r="R131" s="6"/>
      <c r="S131" s="6"/>
      <c r="T131" s="6"/>
      <c r="U131" s="6"/>
      <c r="V131" s="6"/>
      <c r="W131" s="6"/>
      <c r="X131" s="6"/>
      <c r="Y131" s="6"/>
      <c r="Z131" s="6"/>
      <c r="AA131" s="6"/>
      <c r="AB131" s="6"/>
      <c r="AC131" s="6"/>
      <c r="AD131" s="6"/>
      <c r="AE131" s="6"/>
      <c r="AF131" s="6"/>
      <c r="AG131" s="6"/>
      <c r="AH131" s="6"/>
      <c r="AI131" s="6"/>
      <c r="AJ131" s="6"/>
    </row>
    <row r="132" spans="1:36" ht="18" customHeight="1" x14ac:dyDescent="0.3">
      <c r="A132" s="161"/>
      <c r="B132" s="161"/>
      <c r="C132" s="161"/>
      <c r="D132" s="161"/>
      <c r="E132" s="161"/>
      <c r="F132" s="267"/>
      <c r="G132" s="268"/>
      <c r="H132" s="269" t="str">
        <f>IF($A132="","",SUMIFS('05 Work done log'!$F$7:$F$506,'05 Work done log'!$B$7:$B$506,$A132))</f>
        <v/>
      </c>
      <c r="I132" s="270" t="str">
        <f>IF(OR($A132="",N($F132)=0),"",$H132/$F132)</f>
        <v/>
      </c>
      <c r="J132" s="269" t="str">
        <f>IF(OR($A132="",N($F132)=0),"",$F132-$H132)</f>
        <v/>
      </c>
      <c r="K132" s="271" t="str">
        <f>IF($A132="","",SUMIFS('04 Resource log'!$J$7:$J$506,'04 Resource log'!$B$7:$B$506,$A132,'04 Resource log'!$E$7:$E$506,"Labour"))</f>
        <v/>
      </c>
      <c r="L132" s="270" t="str">
        <f>IF(OR($A132="",N($G132)=0),"",$K132/$G132)</f>
        <v/>
      </c>
      <c r="M132" s="271" t="str">
        <f>IF(OR($A132="",N($F132)=0,N($G132)=0),"",$I132*$G132)</f>
        <v/>
      </c>
      <c r="N132" s="272" t="str">
        <f>IF(OR($M132="",N($K132)=0),"",$M132/$K132)</f>
        <v/>
      </c>
      <c r="O132" s="273" t="str">
        <f>IF($A132="","",IFERROR(1/(1/_xlfn.MAXIFS('05 Work done log'!$A$7:$A$506,'05 Work done log'!$B$7:$B$506,$A132)),"not yet"))</f>
        <v/>
      </c>
      <c r="P132" s="161"/>
      <c r="Q132" s="6"/>
      <c r="R132" s="6"/>
      <c r="S132" s="6"/>
      <c r="T132" s="6"/>
      <c r="U132" s="6"/>
      <c r="V132" s="6"/>
      <c r="W132" s="6"/>
      <c r="X132" s="6"/>
      <c r="Y132" s="6"/>
      <c r="Z132" s="6"/>
      <c r="AA132" s="6"/>
      <c r="AB132" s="6"/>
      <c r="AC132" s="6"/>
      <c r="AD132" s="6"/>
      <c r="AE132" s="6"/>
      <c r="AF132" s="6"/>
      <c r="AG132" s="6"/>
      <c r="AH132" s="6"/>
      <c r="AI132" s="6"/>
      <c r="AJ132" s="6"/>
    </row>
    <row r="133" spans="1:36" ht="18" customHeight="1" x14ac:dyDescent="0.3">
      <c r="A133" s="161"/>
      <c r="B133" s="161"/>
      <c r="C133" s="161"/>
      <c r="D133" s="161"/>
      <c r="E133" s="161"/>
      <c r="F133" s="267"/>
      <c r="G133" s="268"/>
      <c r="H133" s="269" t="str">
        <f>IF($A133="","",SUMIFS('05 Work done log'!$F$7:$F$506,'05 Work done log'!$B$7:$B$506,$A133))</f>
        <v/>
      </c>
      <c r="I133" s="270" t="str">
        <f>IF(OR($A133="",N($F133)=0),"",$H133/$F133)</f>
        <v/>
      </c>
      <c r="J133" s="269" t="str">
        <f>IF(OR($A133="",N($F133)=0),"",$F133-$H133)</f>
        <v/>
      </c>
      <c r="K133" s="271" t="str">
        <f>IF($A133="","",SUMIFS('04 Resource log'!$J$7:$J$506,'04 Resource log'!$B$7:$B$506,$A133,'04 Resource log'!$E$7:$E$506,"Labour"))</f>
        <v/>
      </c>
      <c r="L133" s="270" t="str">
        <f>IF(OR($A133="",N($G133)=0),"",$K133/$G133)</f>
        <v/>
      </c>
      <c r="M133" s="271" t="str">
        <f>IF(OR($A133="",N($F133)=0,N($G133)=0),"",$I133*$G133)</f>
        <v/>
      </c>
      <c r="N133" s="272" t="str">
        <f>IF(OR($M133="",N($K133)=0),"",$M133/$K133)</f>
        <v/>
      </c>
      <c r="O133" s="273" t="str">
        <f>IF($A133="","",IFERROR(1/(1/_xlfn.MAXIFS('05 Work done log'!$A$7:$A$506,'05 Work done log'!$B$7:$B$506,$A133)),"not yet"))</f>
        <v/>
      </c>
      <c r="P133" s="161"/>
      <c r="Q133" s="6"/>
      <c r="R133" s="6"/>
      <c r="S133" s="6"/>
      <c r="T133" s="6"/>
      <c r="U133" s="6"/>
      <c r="V133" s="6"/>
      <c r="W133" s="6"/>
      <c r="X133" s="6"/>
      <c r="Y133" s="6"/>
      <c r="Z133" s="6"/>
      <c r="AA133" s="6"/>
      <c r="AB133" s="6"/>
      <c r="AC133" s="6"/>
      <c r="AD133" s="6"/>
      <c r="AE133" s="6"/>
      <c r="AF133" s="6"/>
      <c r="AG133" s="6"/>
      <c r="AH133" s="6"/>
      <c r="AI133" s="6"/>
      <c r="AJ133" s="6"/>
    </row>
    <row r="134" spans="1:36" ht="18" customHeight="1" x14ac:dyDescent="0.3">
      <c r="A134" s="161"/>
      <c r="B134" s="161"/>
      <c r="C134" s="161"/>
      <c r="D134" s="161"/>
      <c r="E134" s="161"/>
      <c r="F134" s="267"/>
      <c r="G134" s="268"/>
      <c r="H134" s="269" t="str">
        <f>IF($A134="","",SUMIFS('05 Work done log'!$F$7:$F$506,'05 Work done log'!$B$7:$B$506,$A134))</f>
        <v/>
      </c>
      <c r="I134" s="270" t="str">
        <f>IF(OR($A134="",N($F134)=0),"",$H134/$F134)</f>
        <v/>
      </c>
      <c r="J134" s="269" t="str">
        <f>IF(OR($A134="",N($F134)=0),"",$F134-$H134)</f>
        <v/>
      </c>
      <c r="K134" s="271" t="str">
        <f>IF($A134="","",SUMIFS('04 Resource log'!$J$7:$J$506,'04 Resource log'!$B$7:$B$506,$A134,'04 Resource log'!$E$7:$E$506,"Labour"))</f>
        <v/>
      </c>
      <c r="L134" s="270" t="str">
        <f>IF(OR($A134="",N($G134)=0),"",$K134/$G134)</f>
        <v/>
      </c>
      <c r="M134" s="271" t="str">
        <f>IF(OR($A134="",N($F134)=0,N($G134)=0),"",$I134*$G134)</f>
        <v/>
      </c>
      <c r="N134" s="272" t="str">
        <f>IF(OR($M134="",N($K134)=0),"",$M134/$K134)</f>
        <v/>
      </c>
      <c r="O134" s="273" t="str">
        <f>IF($A134="","",IFERROR(1/(1/_xlfn.MAXIFS('05 Work done log'!$A$7:$A$506,'05 Work done log'!$B$7:$B$506,$A134)),"not yet"))</f>
        <v/>
      </c>
      <c r="P134" s="161"/>
      <c r="Q134" s="6"/>
      <c r="R134" s="6"/>
      <c r="S134" s="6"/>
      <c r="T134" s="6"/>
      <c r="U134" s="6"/>
      <c r="V134" s="6"/>
      <c r="W134" s="6"/>
      <c r="X134" s="6"/>
      <c r="Y134" s="6"/>
      <c r="Z134" s="6"/>
      <c r="AA134" s="6"/>
      <c r="AB134" s="6"/>
      <c r="AC134" s="6"/>
      <c r="AD134" s="6"/>
      <c r="AE134" s="6"/>
      <c r="AF134" s="6"/>
      <c r="AG134" s="6"/>
      <c r="AH134" s="6"/>
      <c r="AI134" s="6"/>
      <c r="AJ134" s="6"/>
    </row>
    <row r="135" spans="1:36" ht="18" customHeight="1" x14ac:dyDescent="0.3">
      <c r="A135" s="161"/>
      <c r="B135" s="161"/>
      <c r="C135" s="161"/>
      <c r="D135" s="161"/>
      <c r="E135" s="161"/>
      <c r="F135" s="267"/>
      <c r="G135" s="268"/>
      <c r="H135" s="269" t="str">
        <f>IF($A135="","",SUMIFS('05 Work done log'!$F$7:$F$506,'05 Work done log'!$B$7:$B$506,$A135))</f>
        <v/>
      </c>
      <c r="I135" s="270" t="str">
        <f>IF(OR($A135="",N($F135)=0),"",$H135/$F135)</f>
        <v/>
      </c>
      <c r="J135" s="269" t="str">
        <f>IF(OR($A135="",N($F135)=0),"",$F135-$H135)</f>
        <v/>
      </c>
      <c r="K135" s="271" t="str">
        <f>IF($A135="","",SUMIFS('04 Resource log'!$J$7:$J$506,'04 Resource log'!$B$7:$B$506,$A135,'04 Resource log'!$E$7:$E$506,"Labour"))</f>
        <v/>
      </c>
      <c r="L135" s="270" t="str">
        <f>IF(OR($A135="",N($G135)=0),"",$K135/$G135)</f>
        <v/>
      </c>
      <c r="M135" s="271" t="str">
        <f>IF(OR($A135="",N($F135)=0,N($G135)=0),"",$I135*$G135)</f>
        <v/>
      </c>
      <c r="N135" s="272" t="str">
        <f>IF(OR($M135="",N($K135)=0),"",$M135/$K135)</f>
        <v/>
      </c>
      <c r="O135" s="273" t="str">
        <f>IF($A135="","",IFERROR(1/(1/_xlfn.MAXIFS('05 Work done log'!$A$7:$A$506,'05 Work done log'!$B$7:$B$506,$A135)),"not yet"))</f>
        <v/>
      </c>
      <c r="P135" s="161"/>
      <c r="Q135" s="6"/>
      <c r="R135" s="6"/>
      <c r="S135" s="6"/>
      <c r="T135" s="6"/>
      <c r="U135" s="6"/>
      <c r="V135" s="6"/>
      <c r="W135" s="6"/>
      <c r="X135" s="6"/>
      <c r="Y135" s="6"/>
      <c r="Z135" s="6"/>
      <c r="AA135" s="6"/>
      <c r="AB135" s="6"/>
      <c r="AC135" s="6"/>
      <c r="AD135" s="6"/>
      <c r="AE135" s="6"/>
      <c r="AF135" s="6"/>
      <c r="AG135" s="6"/>
      <c r="AH135" s="6"/>
      <c r="AI135" s="6"/>
      <c r="AJ135" s="6"/>
    </row>
    <row r="136" spans="1:36" ht="18" customHeight="1" x14ac:dyDescent="0.3">
      <c r="A136" s="161"/>
      <c r="B136" s="161"/>
      <c r="C136" s="161"/>
      <c r="D136" s="161"/>
      <c r="E136" s="161"/>
      <c r="F136" s="267"/>
      <c r="G136" s="268"/>
      <c r="H136" s="269" t="str">
        <f>IF($A136="","",SUMIFS('05 Work done log'!$F$7:$F$506,'05 Work done log'!$B$7:$B$506,$A136))</f>
        <v/>
      </c>
      <c r="I136" s="270" t="str">
        <f>IF(OR($A136="",N($F136)=0),"",$H136/$F136)</f>
        <v/>
      </c>
      <c r="J136" s="269" t="str">
        <f>IF(OR($A136="",N($F136)=0),"",$F136-$H136)</f>
        <v/>
      </c>
      <c r="K136" s="271" t="str">
        <f>IF($A136="","",SUMIFS('04 Resource log'!$J$7:$J$506,'04 Resource log'!$B$7:$B$506,$A136,'04 Resource log'!$E$7:$E$506,"Labour"))</f>
        <v/>
      </c>
      <c r="L136" s="270" t="str">
        <f>IF(OR($A136="",N($G136)=0),"",$K136/$G136)</f>
        <v/>
      </c>
      <c r="M136" s="271" t="str">
        <f>IF(OR($A136="",N($F136)=0,N($G136)=0),"",$I136*$G136)</f>
        <v/>
      </c>
      <c r="N136" s="272" t="str">
        <f>IF(OR($M136="",N($K136)=0),"",$M136/$K136)</f>
        <v/>
      </c>
      <c r="O136" s="273" t="str">
        <f>IF($A136="","",IFERROR(1/(1/_xlfn.MAXIFS('05 Work done log'!$A$7:$A$506,'05 Work done log'!$B$7:$B$506,$A136)),"not yet"))</f>
        <v/>
      </c>
      <c r="P136" s="161"/>
      <c r="Q136" s="6"/>
      <c r="R136" s="6"/>
      <c r="S136" s="6"/>
      <c r="T136" s="6"/>
      <c r="U136" s="6"/>
      <c r="V136" s="6"/>
      <c r="W136" s="6"/>
      <c r="X136" s="6"/>
      <c r="Y136" s="6"/>
      <c r="Z136" s="6"/>
      <c r="AA136" s="6"/>
      <c r="AB136" s="6"/>
      <c r="AC136" s="6"/>
      <c r="AD136" s="6"/>
      <c r="AE136" s="6"/>
      <c r="AF136" s="6"/>
      <c r="AG136" s="6"/>
      <c r="AH136" s="6"/>
      <c r="AI136" s="6"/>
      <c r="AJ136" s="6"/>
    </row>
    <row r="137" spans="1:36" ht="18" customHeight="1" x14ac:dyDescent="0.3">
      <c r="A137" s="161"/>
      <c r="B137" s="161"/>
      <c r="C137" s="161"/>
      <c r="D137" s="161"/>
      <c r="E137" s="161"/>
      <c r="F137" s="267"/>
      <c r="G137" s="268"/>
      <c r="H137" s="269" t="str">
        <f>IF($A137="","",SUMIFS('05 Work done log'!$F$7:$F$506,'05 Work done log'!$B$7:$B$506,$A137))</f>
        <v/>
      </c>
      <c r="I137" s="270" t="str">
        <f>IF(OR($A137="",N($F137)=0),"",$H137/$F137)</f>
        <v/>
      </c>
      <c r="J137" s="269" t="str">
        <f>IF(OR($A137="",N($F137)=0),"",$F137-$H137)</f>
        <v/>
      </c>
      <c r="K137" s="271" t="str">
        <f>IF($A137="","",SUMIFS('04 Resource log'!$J$7:$J$506,'04 Resource log'!$B$7:$B$506,$A137,'04 Resource log'!$E$7:$E$506,"Labour"))</f>
        <v/>
      </c>
      <c r="L137" s="270" t="str">
        <f>IF(OR($A137="",N($G137)=0),"",$K137/$G137)</f>
        <v/>
      </c>
      <c r="M137" s="271" t="str">
        <f>IF(OR($A137="",N($F137)=0,N($G137)=0),"",$I137*$G137)</f>
        <v/>
      </c>
      <c r="N137" s="272" t="str">
        <f>IF(OR($M137="",N($K137)=0),"",$M137/$K137)</f>
        <v/>
      </c>
      <c r="O137" s="273" t="str">
        <f>IF($A137="","",IFERROR(1/(1/_xlfn.MAXIFS('05 Work done log'!$A$7:$A$506,'05 Work done log'!$B$7:$B$506,$A137)),"not yet"))</f>
        <v/>
      </c>
      <c r="P137" s="161"/>
      <c r="Q137" s="6"/>
      <c r="R137" s="6"/>
      <c r="S137" s="6"/>
      <c r="T137" s="6"/>
      <c r="U137" s="6"/>
      <c r="V137" s="6"/>
      <c r="W137" s="6"/>
      <c r="X137" s="6"/>
      <c r="Y137" s="6"/>
      <c r="Z137" s="6"/>
      <c r="AA137" s="6"/>
      <c r="AB137" s="6"/>
      <c r="AC137" s="6"/>
      <c r="AD137" s="6"/>
      <c r="AE137" s="6"/>
      <c r="AF137" s="6"/>
      <c r="AG137" s="6"/>
      <c r="AH137" s="6"/>
      <c r="AI137" s="6"/>
      <c r="AJ137" s="6"/>
    </row>
    <row r="138" spans="1:36" ht="18" customHeight="1" x14ac:dyDescent="0.3">
      <c r="A138" s="161"/>
      <c r="B138" s="161"/>
      <c r="C138" s="161"/>
      <c r="D138" s="161"/>
      <c r="E138" s="161"/>
      <c r="F138" s="267"/>
      <c r="G138" s="268"/>
      <c r="H138" s="269" t="str">
        <f>IF($A138="","",SUMIFS('05 Work done log'!$F$7:$F$506,'05 Work done log'!$B$7:$B$506,$A138))</f>
        <v/>
      </c>
      <c r="I138" s="270" t="str">
        <f>IF(OR($A138="",N($F138)=0),"",$H138/$F138)</f>
        <v/>
      </c>
      <c r="J138" s="269" t="str">
        <f>IF(OR($A138="",N($F138)=0),"",$F138-$H138)</f>
        <v/>
      </c>
      <c r="K138" s="271" t="str">
        <f>IF($A138="","",SUMIFS('04 Resource log'!$J$7:$J$506,'04 Resource log'!$B$7:$B$506,$A138,'04 Resource log'!$E$7:$E$506,"Labour"))</f>
        <v/>
      </c>
      <c r="L138" s="270" t="str">
        <f>IF(OR($A138="",N($G138)=0),"",$K138/$G138)</f>
        <v/>
      </c>
      <c r="M138" s="271" t="str">
        <f>IF(OR($A138="",N($F138)=0,N($G138)=0),"",$I138*$G138)</f>
        <v/>
      </c>
      <c r="N138" s="272" t="str">
        <f>IF(OR($M138="",N($K138)=0),"",$M138/$K138)</f>
        <v/>
      </c>
      <c r="O138" s="273" t="str">
        <f>IF($A138="","",IFERROR(1/(1/_xlfn.MAXIFS('05 Work done log'!$A$7:$A$506,'05 Work done log'!$B$7:$B$506,$A138)),"not yet"))</f>
        <v/>
      </c>
      <c r="P138" s="161"/>
      <c r="Q138" s="6"/>
      <c r="R138" s="6"/>
      <c r="S138" s="6"/>
      <c r="T138" s="6"/>
      <c r="U138" s="6"/>
      <c r="V138" s="6"/>
      <c r="W138" s="6"/>
      <c r="X138" s="6"/>
      <c r="Y138" s="6"/>
      <c r="Z138" s="6"/>
      <c r="AA138" s="6"/>
      <c r="AB138" s="6"/>
      <c r="AC138" s="6"/>
      <c r="AD138" s="6"/>
      <c r="AE138" s="6"/>
      <c r="AF138" s="6"/>
      <c r="AG138" s="6"/>
      <c r="AH138" s="6"/>
      <c r="AI138" s="6"/>
      <c r="AJ138" s="6"/>
    </row>
    <row r="139" spans="1:36" ht="18" customHeight="1" x14ac:dyDescent="0.3">
      <c r="A139" s="161"/>
      <c r="B139" s="161"/>
      <c r="C139" s="161"/>
      <c r="D139" s="161"/>
      <c r="E139" s="161"/>
      <c r="F139" s="267"/>
      <c r="G139" s="268"/>
      <c r="H139" s="269" t="str">
        <f>IF($A139="","",SUMIFS('05 Work done log'!$F$7:$F$506,'05 Work done log'!$B$7:$B$506,$A139))</f>
        <v/>
      </c>
      <c r="I139" s="270" t="str">
        <f>IF(OR($A139="",N($F139)=0),"",$H139/$F139)</f>
        <v/>
      </c>
      <c r="J139" s="269" t="str">
        <f>IF(OR($A139="",N($F139)=0),"",$F139-$H139)</f>
        <v/>
      </c>
      <c r="K139" s="271" t="str">
        <f>IF($A139="","",SUMIFS('04 Resource log'!$J$7:$J$506,'04 Resource log'!$B$7:$B$506,$A139,'04 Resource log'!$E$7:$E$506,"Labour"))</f>
        <v/>
      </c>
      <c r="L139" s="270" t="str">
        <f>IF(OR($A139="",N($G139)=0),"",$K139/$G139)</f>
        <v/>
      </c>
      <c r="M139" s="271" t="str">
        <f>IF(OR($A139="",N($F139)=0,N($G139)=0),"",$I139*$G139)</f>
        <v/>
      </c>
      <c r="N139" s="272" t="str">
        <f>IF(OR($M139="",N($K139)=0),"",$M139/$K139)</f>
        <v/>
      </c>
      <c r="O139" s="273" t="str">
        <f>IF($A139="","",IFERROR(1/(1/_xlfn.MAXIFS('05 Work done log'!$A$7:$A$506,'05 Work done log'!$B$7:$B$506,$A139)),"not yet"))</f>
        <v/>
      </c>
      <c r="P139" s="161"/>
      <c r="Q139" s="6"/>
      <c r="R139" s="6"/>
      <c r="S139" s="6"/>
      <c r="T139" s="6"/>
      <c r="U139" s="6"/>
      <c r="V139" s="6"/>
      <c r="W139" s="6"/>
      <c r="X139" s="6"/>
      <c r="Y139" s="6"/>
      <c r="Z139" s="6"/>
      <c r="AA139" s="6"/>
      <c r="AB139" s="6"/>
      <c r="AC139" s="6"/>
      <c r="AD139" s="6"/>
      <c r="AE139" s="6"/>
      <c r="AF139" s="6"/>
      <c r="AG139" s="6"/>
      <c r="AH139" s="6"/>
      <c r="AI139" s="6"/>
      <c r="AJ139" s="6"/>
    </row>
    <row r="140" spans="1:36" ht="18" customHeight="1" x14ac:dyDescent="0.3">
      <c r="A140" s="161"/>
      <c r="B140" s="161"/>
      <c r="C140" s="161"/>
      <c r="D140" s="161"/>
      <c r="E140" s="161"/>
      <c r="F140" s="267"/>
      <c r="G140" s="268"/>
      <c r="H140" s="269" t="str">
        <f>IF($A140="","",SUMIFS('05 Work done log'!$F$7:$F$506,'05 Work done log'!$B$7:$B$506,$A140))</f>
        <v/>
      </c>
      <c r="I140" s="270" t="str">
        <f>IF(OR($A140="",N($F140)=0),"",$H140/$F140)</f>
        <v/>
      </c>
      <c r="J140" s="269" t="str">
        <f>IF(OR($A140="",N($F140)=0),"",$F140-$H140)</f>
        <v/>
      </c>
      <c r="K140" s="271" t="str">
        <f>IF($A140="","",SUMIFS('04 Resource log'!$J$7:$J$506,'04 Resource log'!$B$7:$B$506,$A140,'04 Resource log'!$E$7:$E$506,"Labour"))</f>
        <v/>
      </c>
      <c r="L140" s="270" t="str">
        <f>IF(OR($A140="",N($G140)=0),"",$K140/$G140)</f>
        <v/>
      </c>
      <c r="M140" s="271" t="str">
        <f>IF(OR($A140="",N($F140)=0,N($G140)=0),"",$I140*$G140)</f>
        <v/>
      </c>
      <c r="N140" s="272" t="str">
        <f>IF(OR($M140="",N($K140)=0),"",$M140/$K140)</f>
        <v/>
      </c>
      <c r="O140" s="273" t="str">
        <f>IF($A140="","",IFERROR(1/(1/_xlfn.MAXIFS('05 Work done log'!$A$7:$A$506,'05 Work done log'!$B$7:$B$506,$A140)),"not yet"))</f>
        <v/>
      </c>
      <c r="P140" s="161"/>
      <c r="Q140" s="6"/>
      <c r="R140" s="6"/>
      <c r="S140" s="6"/>
      <c r="T140" s="6"/>
      <c r="U140" s="6"/>
      <c r="V140" s="6"/>
      <c r="W140" s="6"/>
      <c r="X140" s="6"/>
      <c r="Y140" s="6"/>
      <c r="Z140" s="6"/>
      <c r="AA140" s="6"/>
      <c r="AB140" s="6"/>
      <c r="AC140" s="6"/>
      <c r="AD140" s="6"/>
      <c r="AE140" s="6"/>
      <c r="AF140" s="6"/>
      <c r="AG140" s="6"/>
      <c r="AH140" s="6"/>
      <c r="AI140" s="6"/>
      <c r="AJ140" s="6"/>
    </row>
    <row r="141" spans="1:36" ht="18" customHeight="1" x14ac:dyDescent="0.3">
      <c r="A141" s="161"/>
      <c r="B141" s="161"/>
      <c r="C141" s="161"/>
      <c r="D141" s="161"/>
      <c r="E141" s="161"/>
      <c r="F141" s="267"/>
      <c r="G141" s="268"/>
      <c r="H141" s="269" t="str">
        <f>IF($A141="","",SUMIFS('05 Work done log'!$F$7:$F$506,'05 Work done log'!$B$7:$B$506,$A141))</f>
        <v/>
      </c>
      <c r="I141" s="270" t="str">
        <f>IF(OR($A141="",N($F141)=0),"",$H141/$F141)</f>
        <v/>
      </c>
      <c r="J141" s="269" t="str">
        <f>IF(OR($A141="",N($F141)=0),"",$F141-$H141)</f>
        <v/>
      </c>
      <c r="K141" s="271" t="str">
        <f>IF($A141="","",SUMIFS('04 Resource log'!$J$7:$J$506,'04 Resource log'!$B$7:$B$506,$A141,'04 Resource log'!$E$7:$E$506,"Labour"))</f>
        <v/>
      </c>
      <c r="L141" s="270" t="str">
        <f>IF(OR($A141="",N($G141)=0),"",$K141/$G141)</f>
        <v/>
      </c>
      <c r="M141" s="271" t="str">
        <f>IF(OR($A141="",N($F141)=0,N($G141)=0),"",$I141*$G141)</f>
        <v/>
      </c>
      <c r="N141" s="272" t="str">
        <f>IF(OR($M141="",N($K141)=0),"",$M141/$K141)</f>
        <v/>
      </c>
      <c r="O141" s="273" t="str">
        <f>IF($A141="","",IFERROR(1/(1/_xlfn.MAXIFS('05 Work done log'!$A$7:$A$506,'05 Work done log'!$B$7:$B$506,$A141)),"not yet"))</f>
        <v/>
      </c>
      <c r="P141" s="161"/>
      <c r="Q141" s="6"/>
      <c r="R141" s="6"/>
      <c r="S141" s="6"/>
      <c r="T141" s="6"/>
      <c r="U141" s="6"/>
      <c r="V141" s="6"/>
      <c r="W141" s="6"/>
      <c r="X141" s="6"/>
      <c r="Y141" s="6"/>
      <c r="Z141" s="6"/>
      <c r="AA141" s="6"/>
      <c r="AB141" s="6"/>
      <c r="AC141" s="6"/>
      <c r="AD141" s="6"/>
      <c r="AE141" s="6"/>
      <c r="AF141" s="6"/>
      <c r="AG141" s="6"/>
      <c r="AH141" s="6"/>
      <c r="AI141" s="6"/>
      <c r="AJ141" s="6"/>
    </row>
    <row r="142" spans="1:36" ht="18" customHeight="1" x14ac:dyDescent="0.3">
      <c r="A142" s="161"/>
      <c r="B142" s="161"/>
      <c r="C142" s="161"/>
      <c r="D142" s="161"/>
      <c r="E142" s="161"/>
      <c r="F142" s="267"/>
      <c r="G142" s="268"/>
      <c r="H142" s="269" t="str">
        <f>IF($A142="","",SUMIFS('05 Work done log'!$F$7:$F$506,'05 Work done log'!$B$7:$B$506,$A142))</f>
        <v/>
      </c>
      <c r="I142" s="270" t="str">
        <f>IF(OR($A142="",N($F142)=0),"",$H142/$F142)</f>
        <v/>
      </c>
      <c r="J142" s="269" t="str">
        <f>IF(OR($A142="",N($F142)=0),"",$F142-$H142)</f>
        <v/>
      </c>
      <c r="K142" s="271" t="str">
        <f>IF($A142="","",SUMIFS('04 Resource log'!$J$7:$J$506,'04 Resource log'!$B$7:$B$506,$A142,'04 Resource log'!$E$7:$E$506,"Labour"))</f>
        <v/>
      </c>
      <c r="L142" s="270" t="str">
        <f>IF(OR($A142="",N($G142)=0),"",$K142/$G142)</f>
        <v/>
      </c>
      <c r="M142" s="271" t="str">
        <f>IF(OR($A142="",N($F142)=0,N($G142)=0),"",$I142*$G142)</f>
        <v/>
      </c>
      <c r="N142" s="272" t="str">
        <f>IF(OR($M142="",N($K142)=0),"",$M142/$K142)</f>
        <v/>
      </c>
      <c r="O142" s="273" t="str">
        <f>IF($A142="","",IFERROR(1/(1/_xlfn.MAXIFS('05 Work done log'!$A$7:$A$506,'05 Work done log'!$B$7:$B$506,$A142)),"not yet"))</f>
        <v/>
      </c>
      <c r="P142" s="161"/>
      <c r="Q142" s="6"/>
      <c r="R142" s="6"/>
      <c r="S142" s="6"/>
      <c r="T142" s="6"/>
      <c r="U142" s="6"/>
      <c r="V142" s="6"/>
      <c r="W142" s="6"/>
      <c r="X142" s="6"/>
      <c r="Y142" s="6"/>
      <c r="Z142" s="6"/>
      <c r="AA142" s="6"/>
      <c r="AB142" s="6"/>
      <c r="AC142" s="6"/>
      <c r="AD142" s="6"/>
      <c r="AE142" s="6"/>
      <c r="AF142" s="6"/>
      <c r="AG142" s="6"/>
      <c r="AH142" s="6"/>
      <c r="AI142" s="6"/>
      <c r="AJ142" s="6"/>
    </row>
    <row r="143" spans="1:36" ht="18" customHeight="1" x14ac:dyDescent="0.3">
      <c r="A143" s="161"/>
      <c r="B143" s="161"/>
      <c r="C143" s="161"/>
      <c r="D143" s="161"/>
      <c r="E143" s="161"/>
      <c r="F143" s="267"/>
      <c r="G143" s="268"/>
      <c r="H143" s="269" t="str">
        <f>IF($A143="","",SUMIFS('05 Work done log'!$F$7:$F$506,'05 Work done log'!$B$7:$B$506,$A143))</f>
        <v/>
      </c>
      <c r="I143" s="270" t="str">
        <f>IF(OR($A143="",N($F143)=0),"",$H143/$F143)</f>
        <v/>
      </c>
      <c r="J143" s="269" t="str">
        <f>IF(OR($A143="",N($F143)=0),"",$F143-$H143)</f>
        <v/>
      </c>
      <c r="K143" s="271" t="str">
        <f>IF($A143="","",SUMIFS('04 Resource log'!$J$7:$J$506,'04 Resource log'!$B$7:$B$506,$A143,'04 Resource log'!$E$7:$E$506,"Labour"))</f>
        <v/>
      </c>
      <c r="L143" s="270" t="str">
        <f>IF(OR($A143="",N($G143)=0),"",$K143/$G143)</f>
        <v/>
      </c>
      <c r="M143" s="271" t="str">
        <f>IF(OR($A143="",N($F143)=0,N($G143)=0),"",$I143*$G143)</f>
        <v/>
      </c>
      <c r="N143" s="272" t="str">
        <f>IF(OR($M143="",N($K143)=0),"",$M143/$K143)</f>
        <v/>
      </c>
      <c r="O143" s="273" t="str">
        <f>IF($A143="","",IFERROR(1/(1/_xlfn.MAXIFS('05 Work done log'!$A$7:$A$506,'05 Work done log'!$B$7:$B$506,$A143)),"not yet"))</f>
        <v/>
      </c>
      <c r="P143" s="161"/>
      <c r="Q143" s="6"/>
      <c r="R143" s="6"/>
      <c r="S143" s="6"/>
      <c r="T143" s="6"/>
      <c r="U143" s="6"/>
      <c r="V143" s="6"/>
      <c r="W143" s="6"/>
      <c r="X143" s="6"/>
      <c r="Y143" s="6"/>
      <c r="Z143" s="6"/>
      <c r="AA143" s="6"/>
      <c r="AB143" s="6"/>
      <c r="AC143" s="6"/>
      <c r="AD143" s="6"/>
      <c r="AE143" s="6"/>
      <c r="AF143" s="6"/>
      <c r="AG143" s="6"/>
      <c r="AH143" s="6"/>
      <c r="AI143" s="6"/>
      <c r="AJ143" s="6"/>
    </row>
    <row r="144" spans="1:36" ht="18" customHeight="1" x14ac:dyDescent="0.3">
      <c r="A144" s="161"/>
      <c r="B144" s="161"/>
      <c r="C144" s="161"/>
      <c r="D144" s="161"/>
      <c r="E144" s="161"/>
      <c r="F144" s="267"/>
      <c r="G144" s="268"/>
      <c r="H144" s="269" t="str">
        <f>IF($A144="","",SUMIFS('05 Work done log'!$F$7:$F$506,'05 Work done log'!$B$7:$B$506,$A144))</f>
        <v/>
      </c>
      <c r="I144" s="270" t="str">
        <f>IF(OR($A144="",N($F144)=0),"",$H144/$F144)</f>
        <v/>
      </c>
      <c r="J144" s="269" t="str">
        <f>IF(OR($A144="",N($F144)=0),"",$F144-$H144)</f>
        <v/>
      </c>
      <c r="K144" s="271" t="str">
        <f>IF($A144="","",SUMIFS('04 Resource log'!$J$7:$J$506,'04 Resource log'!$B$7:$B$506,$A144,'04 Resource log'!$E$7:$E$506,"Labour"))</f>
        <v/>
      </c>
      <c r="L144" s="270" t="str">
        <f>IF(OR($A144="",N($G144)=0),"",$K144/$G144)</f>
        <v/>
      </c>
      <c r="M144" s="271" t="str">
        <f>IF(OR($A144="",N($F144)=0,N($G144)=0),"",$I144*$G144)</f>
        <v/>
      </c>
      <c r="N144" s="272" t="str">
        <f>IF(OR($M144="",N($K144)=0),"",$M144/$K144)</f>
        <v/>
      </c>
      <c r="O144" s="273" t="str">
        <f>IF($A144="","",IFERROR(1/(1/_xlfn.MAXIFS('05 Work done log'!$A$7:$A$506,'05 Work done log'!$B$7:$B$506,$A144)),"not yet"))</f>
        <v/>
      </c>
      <c r="P144" s="161"/>
      <c r="Q144" s="6"/>
      <c r="R144" s="6"/>
      <c r="S144" s="6"/>
      <c r="T144" s="6"/>
      <c r="U144" s="6"/>
      <c r="V144" s="6"/>
      <c r="W144" s="6"/>
      <c r="X144" s="6"/>
      <c r="Y144" s="6"/>
      <c r="Z144" s="6"/>
      <c r="AA144" s="6"/>
      <c r="AB144" s="6"/>
      <c r="AC144" s="6"/>
      <c r="AD144" s="6"/>
      <c r="AE144" s="6"/>
      <c r="AF144" s="6"/>
      <c r="AG144" s="6"/>
      <c r="AH144" s="6"/>
      <c r="AI144" s="6"/>
      <c r="AJ144" s="6"/>
    </row>
    <row r="145" spans="1:36" ht="18" customHeight="1" x14ac:dyDescent="0.3">
      <c r="A145" s="161"/>
      <c r="B145" s="161"/>
      <c r="C145" s="161"/>
      <c r="D145" s="161"/>
      <c r="E145" s="161"/>
      <c r="F145" s="267"/>
      <c r="G145" s="268"/>
      <c r="H145" s="269" t="str">
        <f>IF($A145="","",SUMIFS('05 Work done log'!$F$7:$F$506,'05 Work done log'!$B$7:$B$506,$A145))</f>
        <v/>
      </c>
      <c r="I145" s="270" t="str">
        <f>IF(OR($A145="",N($F145)=0),"",$H145/$F145)</f>
        <v/>
      </c>
      <c r="J145" s="269" t="str">
        <f>IF(OR($A145="",N($F145)=0),"",$F145-$H145)</f>
        <v/>
      </c>
      <c r="K145" s="271" t="str">
        <f>IF($A145="","",SUMIFS('04 Resource log'!$J$7:$J$506,'04 Resource log'!$B$7:$B$506,$A145,'04 Resource log'!$E$7:$E$506,"Labour"))</f>
        <v/>
      </c>
      <c r="L145" s="270" t="str">
        <f>IF(OR($A145="",N($G145)=0),"",$K145/$G145)</f>
        <v/>
      </c>
      <c r="M145" s="271" t="str">
        <f>IF(OR($A145="",N($F145)=0,N($G145)=0),"",$I145*$G145)</f>
        <v/>
      </c>
      <c r="N145" s="272" t="str">
        <f>IF(OR($M145="",N($K145)=0),"",$M145/$K145)</f>
        <v/>
      </c>
      <c r="O145" s="273" t="str">
        <f>IF($A145="","",IFERROR(1/(1/_xlfn.MAXIFS('05 Work done log'!$A$7:$A$506,'05 Work done log'!$B$7:$B$506,$A145)),"not yet"))</f>
        <v/>
      </c>
      <c r="P145" s="161"/>
      <c r="Q145" s="6"/>
      <c r="R145" s="6"/>
      <c r="S145" s="6"/>
      <c r="T145" s="6"/>
      <c r="U145" s="6"/>
      <c r="V145" s="6"/>
      <c r="W145" s="6"/>
      <c r="X145" s="6"/>
      <c r="Y145" s="6"/>
      <c r="Z145" s="6"/>
      <c r="AA145" s="6"/>
      <c r="AB145" s="6"/>
      <c r="AC145" s="6"/>
      <c r="AD145" s="6"/>
      <c r="AE145" s="6"/>
      <c r="AF145" s="6"/>
      <c r="AG145" s="6"/>
      <c r="AH145" s="6"/>
      <c r="AI145" s="6"/>
      <c r="AJ145" s="6"/>
    </row>
    <row r="146" spans="1:36" ht="18" customHeight="1" x14ac:dyDescent="0.3">
      <c r="A146" s="161"/>
      <c r="B146" s="161"/>
      <c r="C146" s="161"/>
      <c r="D146" s="161"/>
      <c r="E146" s="161"/>
      <c r="F146" s="267"/>
      <c r="G146" s="268"/>
      <c r="H146" s="269" t="str">
        <f>IF($A146="","",SUMIFS('05 Work done log'!$F$7:$F$506,'05 Work done log'!$B$7:$B$506,$A146))</f>
        <v/>
      </c>
      <c r="I146" s="270" t="str">
        <f>IF(OR($A146="",N($F146)=0),"",$H146/$F146)</f>
        <v/>
      </c>
      <c r="J146" s="269" t="str">
        <f>IF(OR($A146="",N($F146)=0),"",$F146-$H146)</f>
        <v/>
      </c>
      <c r="K146" s="271" t="str">
        <f>IF($A146="","",SUMIFS('04 Resource log'!$J$7:$J$506,'04 Resource log'!$B$7:$B$506,$A146,'04 Resource log'!$E$7:$E$506,"Labour"))</f>
        <v/>
      </c>
      <c r="L146" s="270" t="str">
        <f>IF(OR($A146="",N($G146)=0),"",$K146/$G146)</f>
        <v/>
      </c>
      <c r="M146" s="271" t="str">
        <f>IF(OR($A146="",N($F146)=0,N($G146)=0),"",$I146*$G146)</f>
        <v/>
      </c>
      <c r="N146" s="272" t="str">
        <f>IF(OR($M146="",N($K146)=0),"",$M146/$K146)</f>
        <v/>
      </c>
      <c r="O146" s="273" t="str">
        <f>IF($A146="","",IFERROR(1/(1/_xlfn.MAXIFS('05 Work done log'!$A$7:$A$506,'05 Work done log'!$B$7:$B$506,$A146)),"not yet"))</f>
        <v/>
      </c>
      <c r="P146" s="161"/>
      <c r="Q146" s="6"/>
      <c r="R146" s="6"/>
      <c r="S146" s="6"/>
      <c r="T146" s="6"/>
      <c r="U146" s="6"/>
      <c r="V146" s="6"/>
      <c r="W146" s="6"/>
      <c r="X146" s="6"/>
      <c r="Y146" s="6"/>
      <c r="Z146" s="6"/>
      <c r="AA146" s="6"/>
      <c r="AB146" s="6"/>
      <c r="AC146" s="6"/>
      <c r="AD146" s="6"/>
      <c r="AE146" s="6"/>
      <c r="AF146" s="6"/>
      <c r="AG146" s="6"/>
      <c r="AH146" s="6"/>
      <c r="AI146" s="6"/>
      <c r="AJ146" s="6"/>
    </row>
    <row r="147" spans="1:36" ht="18" customHeight="1" x14ac:dyDescent="0.3">
      <c r="A147" s="161"/>
      <c r="B147" s="161"/>
      <c r="C147" s="161"/>
      <c r="D147" s="161"/>
      <c r="E147" s="161"/>
      <c r="F147" s="267"/>
      <c r="G147" s="268"/>
      <c r="H147" s="269" t="str">
        <f>IF($A147="","",SUMIFS('05 Work done log'!$F$7:$F$506,'05 Work done log'!$B$7:$B$506,$A147))</f>
        <v/>
      </c>
      <c r="I147" s="270" t="str">
        <f>IF(OR($A147="",N($F147)=0),"",$H147/$F147)</f>
        <v/>
      </c>
      <c r="J147" s="269" t="str">
        <f>IF(OR($A147="",N($F147)=0),"",$F147-$H147)</f>
        <v/>
      </c>
      <c r="K147" s="271" t="str">
        <f>IF($A147="","",SUMIFS('04 Resource log'!$J$7:$J$506,'04 Resource log'!$B$7:$B$506,$A147,'04 Resource log'!$E$7:$E$506,"Labour"))</f>
        <v/>
      </c>
      <c r="L147" s="270" t="str">
        <f>IF(OR($A147="",N($G147)=0),"",$K147/$G147)</f>
        <v/>
      </c>
      <c r="M147" s="271" t="str">
        <f>IF(OR($A147="",N($F147)=0,N($G147)=0),"",$I147*$G147)</f>
        <v/>
      </c>
      <c r="N147" s="272" t="str">
        <f>IF(OR($M147="",N($K147)=0),"",$M147/$K147)</f>
        <v/>
      </c>
      <c r="O147" s="273" t="str">
        <f>IF($A147="","",IFERROR(1/(1/_xlfn.MAXIFS('05 Work done log'!$A$7:$A$506,'05 Work done log'!$B$7:$B$506,$A147)),"not yet"))</f>
        <v/>
      </c>
      <c r="P147" s="161"/>
      <c r="Q147" s="6"/>
      <c r="R147" s="6"/>
      <c r="S147" s="6"/>
      <c r="T147" s="6"/>
      <c r="U147" s="6"/>
      <c r="V147" s="6"/>
      <c r="W147" s="6"/>
      <c r="X147" s="6"/>
      <c r="Y147" s="6"/>
      <c r="Z147" s="6"/>
      <c r="AA147" s="6"/>
      <c r="AB147" s="6"/>
      <c r="AC147" s="6"/>
      <c r="AD147" s="6"/>
      <c r="AE147" s="6"/>
      <c r="AF147" s="6"/>
      <c r="AG147" s="6"/>
      <c r="AH147" s="6"/>
      <c r="AI147" s="6"/>
      <c r="AJ147" s="6"/>
    </row>
    <row r="148" spans="1:36" ht="18" customHeight="1" x14ac:dyDescent="0.3">
      <c r="A148" s="161"/>
      <c r="B148" s="161"/>
      <c r="C148" s="161"/>
      <c r="D148" s="161"/>
      <c r="E148" s="161"/>
      <c r="F148" s="267"/>
      <c r="G148" s="268"/>
      <c r="H148" s="269" t="str">
        <f>IF($A148="","",SUMIFS('05 Work done log'!$F$7:$F$506,'05 Work done log'!$B$7:$B$506,$A148))</f>
        <v/>
      </c>
      <c r="I148" s="270" t="str">
        <f>IF(OR($A148="",N($F148)=0),"",$H148/$F148)</f>
        <v/>
      </c>
      <c r="J148" s="269" t="str">
        <f>IF(OR($A148="",N($F148)=0),"",$F148-$H148)</f>
        <v/>
      </c>
      <c r="K148" s="271" t="str">
        <f>IF($A148="","",SUMIFS('04 Resource log'!$J$7:$J$506,'04 Resource log'!$B$7:$B$506,$A148,'04 Resource log'!$E$7:$E$506,"Labour"))</f>
        <v/>
      </c>
      <c r="L148" s="270" t="str">
        <f>IF(OR($A148="",N($G148)=0),"",$K148/$G148)</f>
        <v/>
      </c>
      <c r="M148" s="271" t="str">
        <f>IF(OR($A148="",N($F148)=0,N($G148)=0),"",$I148*$G148)</f>
        <v/>
      </c>
      <c r="N148" s="272" t="str">
        <f>IF(OR($M148="",N($K148)=0),"",$M148/$K148)</f>
        <v/>
      </c>
      <c r="O148" s="273" t="str">
        <f>IF($A148="","",IFERROR(1/(1/_xlfn.MAXIFS('05 Work done log'!$A$7:$A$506,'05 Work done log'!$B$7:$B$506,$A148)),"not yet"))</f>
        <v/>
      </c>
      <c r="P148" s="161"/>
      <c r="Q148" s="6"/>
      <c r="R148" s="6"/>
      <c r="S148" s="6"/>
      <c r="T148" s="6"/>
      <c r="U148" s="6"/>
      <c r="V148" s="6"/>
      <c r="W148" s="6"/>
      <c r="X148" s="6"/>
      <c r="Y148" s="6"/>
      <c r="Z148" s="6"/>
      <c r="AA148" s="6"/>
      <c r="AB148" s="6"/>
      <c r="AC148" s="6"/>
      <c r="AD148" s="6"/>
      <c r="AE148" s="6"/>
      <c r="AF148" s="6"/>
      <c r="AG148" s="6"/>
      <c r="AH148" s="6"/>
      <c r="AI148" s="6"/>
      <c r="AJ148" s="6"/>
    </row>
    <row r="149" spans="1:36" ht="18" customHeight="1" x14ac:dyDescent="0.3">
      <c r="A149" s="161"/>
      <c r="B149" s="161"/>
      <c r="C149" s="161"/>
      <c r="D149" s="161"/>
      <c r="E149" s="161"/>
      <c r="F149" s="267"/>
      <c r="G149" s="268"/>
      <c r="H149" s="269" t="str">
        <f>IF($A149="","",SUMIFS('05 Work done log'!$F$7:$F$506,'05 Work done log'!$B$7:$B$506,$A149))</f>
        <v/>
      </c>
      <c r="I149" s="270" t="str">
        <f>IF(OR($A149="",N($F149)=0),"",$H149/$F149)</f>
        <v/>
      </c>
      <c r="J149" s="269" t="str">
        <f>IF(OR($A149="",N($F149)=0),"",$F149-$H149)</f>
        <v/>
      </c>
      <c r="K149" s="271" t="str">
        <f>IF($A149="","",SUMIFS('04 Resource log'!$J$7:$J$506,'04 Resource log'!$B$7:$B$506,$A149,'04 Resource log'!$E$7:$E$506,"Labour"))</f>
        <v/>
      </c>
      <c r="L149" s="270" t="str">
        <f>IF(OR($A149="",N($G149)=0),"",$K149/$G149)</f>
        <v/>
      </c>
      <c r="M149" s="271" t="str">
        <f>IF(OR($A149="",N($F149)=0,N($G149)=0),"",$I149*$G149)</f>
        <v/>
      </c>
      <c r="N149" s="272" t="str">
        <f>IF(OR($M149="",N($K149)=0),"",$M149/$K149)</f>
        <v/>
      </c>
      <c r="O149" s="273" t="str">
        <f>IF($A149="","",IFERROR(1/(1/_xlfn.MAXIFS('05 Work done log'!$A$7:$A$506,'05 Work done log'!$B$7:$B$506,$A149)),"not yet"))</f>
        <v/>
      </c>
      <c r="P149" s="161"/>
      <c r="Q149" s="6"/>
      <c r="R149" s="6"/>
      <c r="S149" s="6"/>
      <c r="T149" s="6"/>
      <c r="U149" s="6"/>
      <c r="V149" s="6"/>
      <c r="W149" s="6"/>
      <c r="X149" s="6"/>
      <c r="Y149" s="6"/>
      <c r="Z149" s="6"/>
      <c r="AA149" s="6"/>
      <c r="AB149" s="6"/>
      <c r="AC149" s="6"/>
      <c r="AD149" s="6"/>
      <c r="AE149" s="6"/>
      <c r="AF149" s="6"/>
      <c r="AG149" s="6"/>
      <c r="AH149" s="6"/>
      <c r="AI149" s="6"/>
      <c r="AJ149" s="6"/>
    </row>
    <row r="150" spans="1:36" ht="18" customHeight="1" x14ac:dyDescent="0.3">
      <c r="A150" s="161"/>
      <c r="B150" s="161"/>
      <c r="C150" s="161"/>
      <c r="D150" s="161"/>
      <c r="E150" s="161"/>
      <c r="F150" s="267"/>
      <c r="G150" s="268"/>
      <c r="H150" s="269" t="str">
        <f>IF($A150="","",SUMIFS('05 Work done log'!$F$7:$F$506,'05 Work done log'!$B$7:$B$506,$A150))</f>
        <v/>
      </c>
      <c r="I150" s="270" t="str">
        <f>IF(OR($A150="",N($F150)=0),"",$H150/$F150)</f>
        <v/>
      </c>
      <c r="J150" s="269" t="str">
        <f>IF(OR($A150="",N($F150)=0),"",$F150-$H150)</f>
        <v/>
      </c>
      <c r="K150" s="271" t="str">
        <f>IF($A150="","",SUMIFS('04 Resource log'!$J$7:$J$506,'04 Resource log'!$B$7:$B$506,$A150,'04 Resource log'!$E$7:$E$506,"Labour"))</f>
        <v/>
      </c>
      <c r="L150" s="270" t="str">
        <f>IF(OR($A150="",N($G150)=0),"",$K150/$G150)</f>
        <v/>
      </c>
      <c r="M150" s="271" t="str">
        <f>IF(OR($A150="",N($F150)=0,N($G150)=0),"",$I150*$G150)</f>
        <v/>
      </c>
      <c r="N150" s="272" t="str">
        <f>IF(OR($M150="",N($K150)=0),"",$M150/$K150)</f>
        <v/>
      </c>
      <c r="O150" s="273" t="str">
        <f>IF($A150="","",IFERROR(1/(1/_xlfn.MAXIFS('05 Work done log'!$A$7:$A$506,'05 Work done log'!$B$7:$B$506,$A150)),"not yet"))</f>
        <v/>
      </c>
      <c r="P150" s="161"/>
      <c r="Q150" s="6"/>
      <c r="R150" s="6"/>
      <c r="S150" s="6"/>
      <c r="T150" s="6"/>
      <c r="U150" s="6"/>
      <c r="V150" s="6"/>
      <c r="W150" s="6"/>
      <c r="X150" s="6"/>
      <c r="Y150" s="6"/>
      <c r="Z150" s="6"/>
      <c r="AA150" s="6"/>
      <c r="AB150" s="6"/>
      <c r="AC150" s="6"/>
      <c r="AD150" s="6"/>
      <c r="AE150" s="6"/>
      <c r="AF150" s="6"/>
      <c r="AG150" s="6"/>
      <c r="AH150" s="6"/>
      <c r="AI150" s="6"/>
      <c r="AJ150" s="6"/>
    </row>
    <row r="151" spans="1:36" ht="18" customHeight="1" x14ac:dyDescent="0.3">
      <c r="A151" s="161"/>
      <c r="B151" s="161"/>
      <c r="C151" s="161"/>
      <c r="D151" s="161"/>
      <c r="E151" s="161"/>
      <c r="F151" s="267"/>
      <c r="G151" s="268"/>
      <c r="H151" s="269" t="str">
        <f>IF($A151="","",SUMIFS('05 Work done log'!$F$7:$F$506,'05 Work done log'!$B$7:$B$506,$A151))</f>
        <v/>
      </c>
      <c r="I151" s="270" t="str">
        <f>IF(OR($A151="",N($F151)=0),"",$H151/$F151)</f>
        <v/>
      </c>
      <c r="J151" s="269" t="str">
        <f>IF(OR($A151="",N($F151)=0),"",$F151-$H151)</f>
        <v/>
      </c>
      <c r="K151" s="271" t="str">
        <f>IF($A151="","",SUMIFS('04 Resource log'!$J$7:$J$506,'04 Resource log'!$B$7:$B$506,$A151,'04 Resource log'!$E$7:$E$506,"Labour"))</f>
        <v/>
      </c>
      <c r="L151" s="270" t="str">
        <f>IF(OR($A151="",N($G151)=0),"",$K151/$G151)</f>
        <v/>
      </c>
      <c r="M151" s="271" t="str">
        <f>IF(OR($A151="",N($F151)=0,N($G151)=0),"",$I151*$G151)</f>
        <v/>
      </c>
      <c r="N151" s="272" t="str">
        <f>IF(OR($M151="",N($K151)=0),"",$M151/$K151)</f>
        <v/>
      </c>
      <c r="O151" s="273" t="str">
        <f>IF($A151="","",IFERROR(1/(1/_xlfn.MAXIFS('05 Work done log'!$A$7:$A$506,'05 Work done log'!$B$7:$B$506,$A151)),"not yet"))</f>
        <v/>
      </c>
      <c r="P151" s="161"/>
      <c r="Q151" s="6"/>
      <c r="R151" s="6"/>
      <c r="S151" s="6"/>
      <c r="T151" s="6"/>
      <c r="U151" s="6"/>
      <c r="V151" s="6"/>
      <c r="W151" s="6"/>
      <c r="X151" s="6"/>
      <c r="Y151" s="6"/>
      <c r="Z151" s="6"/>
      <c r="AA151" s="6"/>
      <c r="AB151" s="6"/>
      <c r="AC151" s="6"/>
      <c r="AD151" s="6"/>
      <c r="AE151" s="6"/>
      <c r="AF151" s="6"/>
      <c r="AG151" s="6"/>
      <c r="AH151" s="6"/>
      <c r="AI151" s="6"/>
      <c r="AJ151" s="6"/>
    </row>
    <row r="152" spans="1:36" ht="18" customHeight="1" x14ac:dyDescent="0.3">
      <c r="A152" s="161"/>
      <c r="B152" s="161"/>
      <c r="C152" s="161"/>
      <c r="D152" s="161"/>
      <c r="E152" s="161"/>
      <c r="F152" s="267"/>
      <c r="G152" s="268"/>
      <c r="H152" s="269" t="str">
        <f>IF($A152="","",SUMIFS('05 Work done log'!$F$7:$F$506,'05 Work done log'!$B$7:$B$506,$A152))</f>
        <v/>
      </c>
      <c r="I152" s="270" t="str">
        <f>IF(OR($A152="",N($F152)=0),"",$H152/$F152)</f>
        <v/>
      </c>
      <c r="J152" s="269" t="str">
        <f>IF(OR($A152="",N($F152)=0),"",$F152-$H152)</f>
        <v/>
      </c>
      <c r="K152" s="271" t="str">
        <f>IF($A152="","",SUMIFS('04 Resource log'!$J$7:$J$506,'04 Resource log'!$B$7:$B$506,$A152,'04 Resource log'!$E$7:$E$506,"Labour"))</f>
        <v/>
      </c>
      <c r="L152" s="270" t="str">
        <f>IF(OR($A152="",N($G152)=0),"",$K152/$G152)</f>
        <v/>
      </c>
      <c r="M152" s="271" t="str">
        <f>IF(OR($A152="",N($F152)=0,N($G152)=0),"",$I152*$G152)</f>
        <v/>
      </c>
      <c r="N152" s="272" t="str">
        <f>IF(OR($M152="",N($K152)=0),"",$M152/$K152)</f>
        <v/>
      </c>
      <c r="O152" s="273" t="str">
        <f>IF($A152="","",IFERROR(1/(1/_xlfn.MAXIFS('05 Work done log'!$A$7:$A$506,'05 Work done log'!$B$7:$B$506,$A152)),"not yet"))</f>
        <v/>
      </c>
      <c r="P152" s="161"/>
      <c r="Q152" s="6"/>
      <c r="R152" s="6"/>
      <c r="S152" s="6"/>
      <c r="T152" s="6"/>
      <c r="U152" s="6"/>
      <c r="V152" s="6"/>
      <c r="W152" s="6"/>
      <c r="X152" s="6"/>
      <c r="Y152" s="6"/>
      <c r="Z152" s="6"/>
      <c r="AA152" s="6"/>
      <c r="AB152" s="6"/>
      <c r="AC152" s="6"/>
      <c r="AD152" s="6"/>
      <c r="AE152" s="6"/>
      <c r="AF152" s="6"/>
      <c r="AG152" s="6"/>
      <c r="AH152" s="6"/>
      <c r="AI152" s="6"/>
      <c r="AJ152" s="6"/>
    </row>
    <row r="153" spans="1:36" ht="18" customHeight="1" x14ac:dyDescent="0.3">
      <c r="A153" s="161"/>
      <c r="B153" s="161"/>
      <c r="C153" s="161"/>
      <c r="D153" s="161"/>
      <c r="E153" s="161"/>
      <c r="F153" s="267"/>
      <c r="G153" s="268"/>
      <c r="H153" s="269" t="str">
        <f>IF($A153="","",SUMIFS('05 Work done log'!$F$7:$F$506,'05 Work done log'!$B$7:$B$506,$A153))</f>
        <v/>
      </c>
      <c r="I153" s="270" t="str">
        <f>IF(OR($A153="",N($F153)=0),"",$H153/$F153)</f>
        <v/>
      </c>
      <c r="J153" s="269" t="str">
        <f>IF(OR($A153="",N($F153)=0),"",$F153-$H153)</f>
        <v/>
      </c>
      <c r="K153" s="271" t="str">
        <f>IF($A153="","",SUMIFS('04 Resource log'!$J$7:$J$506,'04 Resource log'!$B$7:$B$506,$A153,'04 Resource log'!$E$7:$E$506,"Labour"))</f>
        <v/>
      </c>
      <c r="L153" s="270" t="str">
        <f>IF(OR($A153="",N($G153)=0),"",$K153/$G153)</f>
        <v/>
      </c>
      <c r="M153" s="271" t="str">
        <f>IF(OR($A153="",N($F153)=0,N($G153)=0),"",$I153*$G153)</f>
        <v/>
      </c>
      <c r="N153" s="272" t="str">
        <f>IF(OR($M153="",N($K153)=0),"",$M153/$K153)</f>
        <v/>
      </c>
      <c r="O153" s="273" t="str">
        <f>IF($A153="","",IFERROR(1/(1/_xlfn.MAXIFS('05 Work done log'!$A$7:$A$506,'05 Work done log'!$B$7:$B$506,$A153)),"not yet"))</f>
        <v/>
      </c>
      <c r="P153" s="161"/>
      <c r="Q153" s="6"/>
      <c r="R153" s="6"/>
      <c r="S153" s="6"/>
      <c r="T153" s="6"/>
      <c r="U153" s="6"/>
      <c r="V153" s="6"/>
      <c r="W153" s="6"/>
      <c r="X153" s="6"/>
      <c r="Y153" s="6"/>
      <c r="Z153" s="6"/>
      <c r="AA153" s="6"/>
      <c r="AB153" s="6"/>
      <c r="AC153" s="6"/>
      <c r="AD153" s="6"/>
      <c r="AE153" s="6"/>
      <c r="AF153" s="6"/>
      <c r="AG153" s="6"/>
      <c r="AH153" s="6"/>
      <c r="AI153" s="6"/>
      <c r="AJ153" s="6"/>
    </row>
    <row r="154" spans="1:36" ht="18" customHeight="1" x14ac:dyDescent="0.3">
      <c r="A154" s="161"/>
      <c r="B154" s="161"/>
      <c r="C154" s="161"/>
      <c r="D154" s="161"/>
      <c r="E154" s="161"/>
      <c r="F154" s="267"/>
      <c r="G154" s="268"/>
      <c r="H154" s="269" t="str">
        <f>IF($A154="","",SUMIFS('05 Work done log'!$F$7:$F$506,'05 Work done log'!$B$7:$B$506,$A154))</f>
        <v/>
      </c>
      <c r="I154" s="270" t="str">
        <f>IF(OR($A154="",N($F154)=0),"",$H154/$F154)</f>
        <v/>
      </c>
      <c r="J154" s="269" t="str">
        <f>IF(OR($A154="",N($F154)=0),"",$F154-$H154)</f>
        <v/>
      </c>
      <c r="K154" s="271" t="str">
        <f>IF($A154="","",SUMIFS('04 Resource log'!$J$7:$J$506,'04 Resource log'!$B$7:$B$506,$A154,'04 Resource log'!$E$7:$E$506,"Labour"))</f>
        <v/>
      </c>
      <c r="L154" s="270" t="str">
        <f>IF(OR($A154="",N($G154)=0),"",$K154/$G154)</f>
        <v/>
      </c>
      <c r="M154" s="271" t="str">
        <f>IF(OR($A154="",N($F154)=0,N($G154)=0),"",$I154*$G154)</f>
        <v/>
      </c>
      <c r="N154" s="272" t="str">
        <f>IF(OR($M154="",N($K154)=0),"",$M154/$K154)</f>
        <v/>
      </c>
      <c r="O154" s="273" t="str">
        <f>IF($A154="","",IFERROR(1/(1/_xlfn.MAXIFS('05 Work done log'!$A$7:$A$506,'05 Work done log'!$B$7:$B$506,$A154)),"not yet"))</f>
        <v/>
      </c>
      <c r="P154" s="161"/>
      <c r="Q154" s="6"/>
      <c r="R154" s="6"/>
      <c r="S154" s="6"/>
      <c r="T154" s="6"/>
      <c r="U154" s="6"/>
      <c r="V154" s="6"/>
      <c r="W154" s="6"/>
      <c r="X154" s="6"/>
      <c r="Y154" s="6"/>
      <c r="Z154" s="6"/>
      <c r="AA154" s="6"/>
      <c r="AB154" s="6"/>
      <c r="AC154" s="6"/>
      <c r="AD154" s="6"/>
      <c r="AE154" s="6"/>
      <c r="AF154" s="6"/>
      <c r="AG154" s="6"/>
      <c r="AH154" s="6"/>
      <c r="AI154" s="6"/>
      <c r="AJ154" s="6"/>
    </row>
    <row r="155" spans="1:36" ht="18" customHeight="1" x14ac:dyDescent="0.3">
      <c r="A155" s="161"/>
      <c r="B155" s="161"/>
      <c r="C155" s="161"/>
      <c r="D155" s="161"/>
      <c r="E155" s="161"/>
      <c r="F155" s="267"/>
      <c r="G155" s="268"/>
      <c r="H155" s="269" t="str">
        <f>IF($A155="","",SUMIFS('05 Work done log'!$F$7:$F$506,'05 Work done log'!$B$7:$B$506,$A155))</f>
        <v/>
      </c>
      <c r="I155" s="270" t="str">
        <f>IF(OR($A155="",N($F155)=0),"",$H155/$F155)</f>
        <v/>
      </c>
      <c r="J155" s="269" t="str">
        <f>IF(OR($A155="",N($F155)=0),"",$F155-$H155)</f>
        <v/>
      </c>
      <c r="K155" s="271" t="str">
        <f>IF($A155="","",SUMIFS('04 Resource log'!$J$7:$J$506,'04 Resource log'!$B$7:$B$506,$A155,'04 Resource log'!$E$7:$E$506,"Labour"))</f>
        <v/>
      </c>
      <c r="L155" s="270" t="str">
        <f>IF(OR($A155="",N($G155)=0),"",$K155/$G155)</f>
        <v/>
      </c>
      <c r="M155" s="271" t="str">
        <f>IF(OR($A155="",N($F155)=0,N($G155)=0),"",$I155*$G155)</f>
        <v/>
      </c>
      <c r="N155" s="272" t="str">
        <f>IF(OR($M155="",N($K155)=0),"",$M155/$K155)</f>
        <v/>
      </c>
      <c r="O155" s="273" t="str">
        <f>IF($A155="","",IFERROR(1/(1/_xlfn.MAXIFS('05 Work done log'!$A$7:$A$506,'05 Work done log'!$B$7:$B$506,$A155)),"not yet"))</f>
        <v/>
      </c>
      <c r="P155" s="161"/>
      <c r="Q155" s="6"/>
      <c r="R155" s="6"/>
      <c r="S155" s="6"/>
      <c r="T155" s="6"/>
      <c r="U155" s="6"/>
      <c r="V155" s="6"/>
      <c r="W155" s="6"/>
      <c r="X155" s="6"/>
      <c r="Y155" s="6"/>
      <c r="Z155" s="6"/>
      <c r="AA155" s="6"/>
      <c r="AB155" s="6"/>
      <c r="AC155" s="6"/>
      <c r="AD155" s="6"/>
      <c r="AE155" s="6"/>
      <c r="AF155" s="6"/>
      <c r="AG155" s="6"/>
      <c r="AH155" s="6"/>
      <c r="AI155" s="6"/>
      <c r="AJ155" s="6"/>
    </row>
    <row r="156" spans="1:36" ht="18" customHeight="1" x14ac:dyDescent="0.3">
      <c r="A156" s="161"/>
      <c r="B156" s="161"/>
      <c r="C156" s="161"/>
      <c r="D156" s="161"/>
      <c r="E156" s="161"/>
      <c r="F156" s="267"/>
      <c r="G156" s="268"/>
      <c r="H156" s="269" t="str">
        <f>IF($A156="","",SUMIFS('05 Work done log'!$F$7:$F$506,'05 Work done log'!$B$7:$B$506,$A156))</f>
        <v/>
      </c>
      <c r="I156" s="270" t="str">
        <f>IF(OR($A156="",N($F156)=0),"",$H156/$F156)</f>
        <v/>
      </c>
      <c r="J156" s="269" t="str">
        <f>IF(OR($A156="",N($F156)=0),"",$F156-$H156)</f>
        <v/>
      </c>
      <c r="K156" s="271" t="str">
        <f>IF($A156="","",SUMIFS('04 Resource log'!$J$7:$J$506,'04 Resource log'!$B$7:$B$506,$A156,'04 Resource log'!$E$7:$E$506,"Labour"))</f>
        <v/>
      </c>
      <c r="L156" s="270" t="str">
        <f>IF(OR($A156="",N($G156)=0),"",$K156/$G156)</f>
        <v/>
      </c>
      <c r="M156" s="271" t="str">
        <f>IF(OR($A156="",N($F156)=0,N($G156)=0),"",$I156*$G156)</f>
        <v/>
      </c>
      <c r="N156" s="272" t="str">
        <f>IF(OR($M156="",N($K156)=0),"",$M156/$K156)</f>
        <v/>
      </c>
      <c r="O156" s="273" t="str">
        <f>IF($A156="","",IFERROR(1/(1/_xlfn.MAXIFS('05 Work done log'!$A$7:$A$506,'05 Work done log'!$B$7:$B$506,$A156)),"not yet"))</f>
        <v/>
      </c>
      <c r="P156" s="161"/>
      <c r="Q156" s="6"/>
      <c r="R156" s="6"/>
      <c r="S156" s="6"/>
      <c r="T156" s="6"/>
      <c r="U156" s="6"/>
      <c r="V156" s="6"/>
      <c r="W156" s="6"/>
      <c r="X156" s="6"/>
      <c r="Y156" s="6"/>
      <c r="Z156" s="6"/>
      <c r="AA156" s="6"/>
      <c r="AB156" s="6"/>
      <c r="AC156" s="6"/>
      <c r="AD156" s="6"/>
      <c r="AE156" s="6"/>
      <c r="AF156" s="6"/>
      <c r="AG156" s="6"/>
      <c r="AH156" s="6"/>
      <c r="AI156" s="6"/>
      <c r="AJ156" s="6"/>
    </row>
    <row r="157" spans="1:36" ht="18" customHeight="1" x14ac:dyDescent="0.3">
      <c r="A157" s="161"/>
      <c r="B157" s="161"/>
      <c r="C157" s="161"/>
      <c r="D157" s="161"/>
      <c r="E157" s="161"/>
      <c r="F157" s="267"/>
      <c r="G157" s="268"/>
      <c r="H157" s="269" t="str">
        <f>IF($A157="","",SUMIFS('05 Work done log'!$F$7:$F$506,'05 Work done log'!$B$7:$B$506,$A157))</f>
        <v/>
      </c>
      <c r="I157" s="270" t="str">
        <f>IF(OR($A157="",N($F157)=0),"",$H157/$F157)</f>
        <v/>
      </c>
      <c r="J157" s="269" t="str">
        <f>IF(OR($A157="",N($F157)=0),"",$F157-$H157)</f>
        <v/>
      </c>
      <c r="K157" s="271" t="str">
        <f>IF($A157="","",SUMIFS('04 Resource log'!$J$7:$J$506,'04 Resource log'!$B$7:$B$506,$A157,'04 Resource log'!$E$7:$E$506,"Labour"))</f>
        <v/>
      </c>
      <c r="L157" s="270" t="str">
        <f>IF(OR($A157="",N($G157)=0),"",$K157/$G157)</f>
        <v/>
      </c>
      <c r="M157" s="271" t="str">
        <f>IF(OR($A157="",N($F157)=0,N($G157)=0),"",$I157*$G157)</f>
        <v/>
      </c>
      <c r="N157" s="272" t="str">
        <f>IF(OR($M157="",N($K157)=0),"",$M157/$K157)</f>
        <v/>
      </c>
      <c r="O157" s="273" t="str">
        <f>IF($A157="","",IFERROR(1/(1/_xlfn.MAXIFS('05 Work done log'!$A$7:$A$506,'05 Work done log'!$B$7:$B$506,$A157)),"not yet"))</f>
        <v/>
      </c>
      <c r="P157" s="161"/>
      <c r="Q157" s="6"/>
      <c r="R157" s="6"/>
      <c r="S157" s="6"/>
      <c r="T157" s="6"/>
      <c r="U157" s="6"/>
      <c r="V157" s="6"/>
      <c r="W157" s="6"/>
      <c r="X157" s="6"/>
      <c r="Y157" s="6"/>
      <c r="Z157" s="6"/>
      <c r="AA157" s="6"/>
      <c r="AB157" s="6"/>
      <c r="AC157" s="6"/>
      <c r="AD157" s="6"/>
      <c r="AE157" s="6"/>
      <c r="AF157" s="6"/>
      <c r="AG157" s="6"/>
      <c r="AH157" s="6"/>
      <c r="AI157" s="6"/>
      <c r="AJ157" s="6"/>
    </row>
    <row r="158" spans="1:36" ht="18" customHeight="1" x14ac:dyDescent="0.3">
      <c r="A158" s="161"/>
      <c r="B158" s="161"/>
      <c r="C158" s="161"/>
      <c r="D158" s="161"/>
      <c r="E158" s="161"/>
      <c r="F158" s="267"/>
      <c r="G158" s="268"/>
      <c r="H158" s="269" t="str">
        <f>IF($A158="","",SUMIFS('05 Work done log'!$F$7:$F$506,'05 Work done log'!$B$7:$B$506,$A158))</f>
        <v/>
      </c>
      <c r="I158" s="270" t="str">
        <f>IF(OR($A158="",N($F158)=0),"",$H158/$F158)</f>
        <v/>
      </c>
      <c r="J158" s="269" t="str">
        <f>IF(OR($A158="",N($F158)=0),"",$F158-$H158)</f>
        <v/>
      </c>
      <c r="K158" s="271" t="str">
        <f>IF($A158="","",SUMIFS('04 Resource log'!$J$7:$J$506,'04 Resource log'!$B$7:$B$506,$A158,'04 Resource log'!$E$7:$E$506,"Labour"))</f>
        <v/>
      </c>
      <c r="L158" s="270" t="str">
        <f>IF(OR($A158="",N($G158)=0),"",$K158/$G158)</f>
        <v/>
      </c>
      <c r="M158" s="271" t="str">
        <f>IF(OR($A158="",N($F158)=0,N($G158)=0),"",$I158*$G158)</f>
        <v/>
      </c>
      <c r="N158" s="272" t="str">
        <f>IF(OR($M158="",N($K158)=0),"",$M158/$K158)</f>
        <v/>
      </c>
      <c r="O158" s="273" t="str">
        <f>IF($A158="","",IFERROR(1/(1/_xlfn.MAXIFS('05 Work done log'!$A$7:$A$506,'05 Work done log'!$B$7:$B$506,$A158)),"not yet"))</f>
        <v/>
      </c>
      <c r="P158" s="161"/>
      <c r="Q158" s="6"/>
      <c r="R158" s="6"/>
      <c r="S158" s="6"/>
      <c r="T158" s="6"/>
      <c r="U158" s="6"/>
      <c r="V158" s="6"/>
      <c r="W158" s="6"/>
      <c r="X158" s="6"/>
      <c r="Y158" s="6"/>
      <c r="Z158" s="6"/>
      <c r="AA158" s="6"/>
      <c r="AB158" s="6"/>
      <c r="AC158" s="6"/>
      <c r="AD158" s="6"/>
      <c r="AE158" s="6"/>
      <c r="AF158" s="6"/>
      <c r="AG158" s="6"/>
      <c r="AH158" s="6"/>
      <c r="AI158" s="6"/>
      <c r="AJ158" s="6"/>
    </row>
    <row r="159" spans="1:36" ht="18" customHeight="1" x14ac:dyDescent="0.3">
      <c r="A159" s="161"/>
      <c r="B159" s="161"/>
      <c r="C159" s="161"/>
      <c r="D159" s="161"/>
      <c r="E159" s="161"/>
      <c r="F159" s="267"/>
      <c r="G159" s="268"/>
      <c r="H159" s="269" t="str">
        <f>IF($A159="","",SUMIFS('05 Work done log'!$F$7:$F$506,'05 Work done log'!$B$7:$B$506,$A159))</f>
        <v/>
      </c>
      <c r="I159" s="270" t="str">
        <f>IF(OR($A159="",N($F159)=0),"",$H159/$F159)</f>
        <v/>
      </c>
      <c r="J159" s="269" t="str">
        <f>IF(OR($A159="",N($F159)=0),"",$F159-$H159)</f>
        <v/>
      </c>
      <c r="K159" s="271" t="str">
        <f>IF($A159="","",SUMIFS('04 Resource log'!$J$7:$J$506,'04 Resource log'!$B$7:$B$506,$A159,'04 Resource log'!$E$7:$E$506,"Labour"))</f>
        <v/>
      </c>
      <c r="L159" s="270" t="str">
        <f>IF(OR($A159="",N($G159)=0),"",$K159/$G159)</f>
        <v/>
      </c>
      <c r="M159" s="271" t="str">
        <f>IF(OR($A159="",N($F159)=0,N($G159)=0),"",$I159*$G159)</f>
        <v/>
      </c>
      <c r="N159" s="272" t="str">
        <f>IF(OR($M159="",N($K159)=0),"",$M159/$K159)</f>
        <v/>
      </c>
      <c r="O159" s="273" t="str">
        <f>IF($A159="","",IFERROR(1/(1/_xlfn.MAXIFS('05 Work done log'!$A$7:$A$506,'05 Work done log'!$B$7:$B$506,$A159)),"not yet"))</f>
        <v/>
      </c>
      <c r="P159" s="161"/>
      <c r="Q159" s="6"/>
      <c r="R159" s="6"/>
      <c r="S159" s="6"/>
      <c r="T159" s="6"/>
      <c r="U159" s="6"/>
      <c r="V159" s="6"/>
      <c r="W159" s="6"/>
      <c r="X159" s="6"/>
      <c r="Y159" s="6"/>
      <c r="Z159" s="6"/>
      <c r="AA159" s="6"/>
      <c r="AB159" s="6"/>
      <c r="AC159" s="6"/>
      <c r="AD159" s="6"/>
      <c r="AE159" s="6"/>
      <c r="AF159" s="6"/>
      <c r="AG159" s="6"/>
      <c r="AH159" s="6"/>
      <c r="AI159" s="6"/>
      <c r="AJ159" s="6"/>
    </row>
    <row r="160" spans="1:36" ht="18" customHeight="1" x14ac:dyDescent="0.3">
      <c r="A160" s="161"/>
      <c r="B160" s="161"/>
      <c r="C160" s="161"/>
      <c r="D160" s="161"/>
      <c r="E160" s="161"/>
      <c r="F160" s="267"/>
      <c r="G160" s="268"/>
      <c r="H160" s="269" t="str">
        <f>IF($A160="","",SUMIFS('05 Work done log'!$F$7:$F$506,'05 Work done log'!$B$7:$B$506,$A160))</f>
        <v/>
      </c>
      <c r="I160" s="270" t="str">
        <f>IF(OR($A160="",N($F160)=0),"",$H160/$F160)</f>
        <v/>
      </c>
      <c r="J160" s="269" t="str">
        <f>IF(OR($A160="",N($F160)=0),"",$F160-$H160)</f>
        <v/>
      </c>
      <c r="K160" s="271" t="str">
        <f>IF($A160="","",SUMIFS('04 Resource log'!$J$7:$J$506,'04 Resource log'!$B$7:$B$506,$A160,'04 Resource log'!$E$7:$E$506,"Labour"))</f>
        <v/>
      </c>
      <c r="L160" s="270" t="str">
        <f>IF(OR($A160="",N($G160)=0),"",$K160/$G160)</f>
        <v/>
      </c>
      <c r="M160" s="271" t="str">
        <f>IF(OR($A160="",N($F160)=0,N($G160)=0),"",$I160*$G160)</f>
        <v/>
      </c>
      <c r="N160" s="272" t="str">
        <f>IF(OR($M160="",N($K160)=0),"",$M160/$K160)</f>
        <v/>
      </c>
      <c r="O160" s="273" t="str">
        <f>IF($A160="","",IFERROR(1/(1/_xlfn.MAXIFS('05 Work done log'!$A$7:$A$506,'05 Work done log'!$B$7:$B$506,$A160)),"not yet"))</f>
        <v/>
      </c>
      <c r="P160" s="161"/>
      <c r="Q160" s="6"/>
      <c r="R160" s="6"/>
      <c r="S160" s="6"/>
      <c r="T160" s="6"/>
      <c r="U160" s="6"/>
      <c r="V160" s="6"/>
      <c r="W160" s="6"/>
      <c r="X160" s="6"/>
      <c r="Y160" s="6"/>
      <c r="Z160" s="6"/>
      <c r="AA160" s="6"/>
      <c r="AB160" s="6"/>
      <c r="AC160" s="6"/>
      <c r="AD160" s="6"/>
      <c r="AE160" s="6"/>
      <c r="AF160" s="6"/>
      <c r="AG160" s="6"/>
      <c r="AH160" s="6"/>
      <c r="AI160" s="6"/>
      <c r="AJ160" s="6"/>
    </row>
    <row r="161" spans="1:36" ht="18" customHeight="1" x14ac:dyDescent="0.3">
      <c r="A161" s="161"/>
      <c r="B161" s="161"/>
      <c r="C161" s="161"/>
      <c r="D161" s="161"/>
      <c r="E161" s="161"/>
      <c r="F161" s="267"/>
      <c r="G161" s="268"/>
      <c r="H161" s="269" t="str">
        <f>IF($A161="","",SUMIFS('05 Work done log'!$F$7:$F$506,'05 Work done log'!$B$7:$B$506,$A161))</f>
        <v/>
      </c>
      <c r="I161" s="270" t="str">
        <f>IF(OR($A161="",N($F161)=0),"",$H161/$F161)</f>
        <v/>
      </c>
      <c r="J161" s="269" t="str">
        <f>IF(OR($A161="",N($F161)=0),"",$F161-$H161)</f>
        <v/>
      </c>
      <c r="K161" s="271" t="str">
        <f>IF($A161="","",SUMIFS('04 Resource log'!$J$7:$J$506,'04 Resource log'!$B$7:$B$506,$A161,'04 Resource log'!$E$7:$E$506,"Labour"))</f>
        <v/>
      </c>
      <c r="L161" s="270" t="str">
        <f>IF(OR($A161="",N($G161)=0),"",$K161/$G161)</f>
        <v/>
      </c>
      <c r="M161" s="271" t="str">
        <f>IF(OR($A161="",N($F161)=0,N($G161)=0),"",$I161*$G161)</f>
        <v/>
      </c>
      <c r="N161" s="272" t="str">
        <f>IF(OR($M161="",N($K161)=0),"",$M161/$K161)</f>
        <v/>
      </c>
      <c r="O161" s="273" t="str">
        <f>IF($A161="","",IFERROR(1/(1/_xlfn.MAXIFS('05 Work done log'!$A$7:$A$506,'05 Work done log'!$B$7:$B$506,$A161)),"not yet"))</f>
        <v/>
      </c>
      <c r="P161" s="161"/>
      <c r="Q161" s="6"/>
      <c r="R161" s="6"/>
      <c r="S161" s="6"/>
      <c r="T161" s="6"/>
      <c r="U161" s="6"/>
      <c r="V161" s="6"/>
      <c r="W161" s="6"/>
      <c r="X161" s="6"/>
      <c r="Y161" s="6"/>
      <c r="Z161" s="6"/>
      <c r="AA161" s="6"/>
      <c r="AB161" s="6"/>
      <c r="AC161" s="6"/>
      <c r="AD161" s="6"/>
      <c r="AE161" s="6"/>
      <c r="AF161" s="6"/>
      <c r="AG161" s="6"/>
      <c r="AH161" s="6"/>
      <c r="AI161" s="6"/>
      <c r="AJ161" s="6"/>
    </row>
    <row r="162" spans="1:36" ht="18" customHeight="1" x14ac:dyDescent="0.3">
      <c r="A162" s="161"/>
      <c r="B162" s="161"/>
      <c r="C162" s="161"/>
      <c r="D162" s="161"/>
      <c r="E162" s="161"/>
      <c r="F162" s="267"/>
      <c r="G162" s="268"/>
      <c r="H162" s="269" t="str">
        <f>IF($A162="","",SUMIFS('05 Work done log'!$F$7:$F$506,'05 Work done log'!$B$7:$B$506,$A162))</f>
        <v/>
      </c>
      <c r="I162" s="270" t="str">
        <f>IF(OR($A162="",N($F162)=0),"",$H162/$F162)</f>
        <v/>
      </c>
      <c r="J162" s="269" t="str">
        <f>IF(OR($A162="",N($F162)=0),"",$F162-$H162)</f>
        <v/>
      </c>
      <c r="K162" s="271" t="str">
        <f>IF($A162="","",SUMIFS('04 Resource log'!$J$7:$J$506,'04 Resource log'!$B$7:$B$506,$A162,'04 Resource log'!$E$7:$E$506,"Labour"))</f>
        <v/>
      </c>
      <c r="L162" s="270" t="str">
        <f>IF(OR($A162="",N($G162)=0),"",$K162/$G162)</f>
        <v/>
      </c>
      <c r="M162" s="271" t="str">
        <f>IF(OR($A162="",N($F162)=0,N($G162)=0),"",$I162*$G162)</f>
        <v/>
      </c>
      <c r="N162" s="272" t="str">
        <f>IF(OR($M162="",N($K162)=0),"",$M162/$K162)</f>
        <v/>
      </c>
      <c r="O162" s="273" t="str">
        <f>IF($A162="","",IFERROR(1/(1/_xlfn.MAXIFS('05 Work done log'!$A$7:$A$506,'05 Work done log'!$B$7:$B$506,$A162)),"not yet"))</f>
        <v/>
      </c>
      <c r="P162" s="161"/>
      <c r="Q162" s="6"/>
      <c r="R162" s="6"/>
      <c r="S162" s="6"/>
      <c r="T162" s="6"/>
      <c r="U162" s="6"/>
      <c r="V162" s="6"/>
      <c r="W162" s="6"/>
      <c r="X162" s="6"/>
      <c r="Y162" s="6"/>
      <c r="Z162" s="6"/>
      <c r="AA162" s="6"/>
      <c r="AB162" s="6"/>
      <c r="AC162" s="6"/>
      <c r="AD162" s="6"/>
      <c r="AE162" s="6"/>
      <c r="AF162" s="6"/>
      <c r="AG162" s="6"/>
      <c r="AH162" s="6"/>
      <c r="AI162" s="6"/>
      <c r="AJ162" s="6"/>
    </row>
    <row r="163" spans="1:36" ht="18" customHeight="1" x14ac:dyDescent="0.3">
      <c r="A163" s="161"/>
      <c r="B163" s="161"/>
      <c r="C163" s="161"/>
      <c r="D163" s="161"/>
      <c r="E163" s="161"/>
      <c r="F163" s="267"/>
      <c r="G163" s="268"/>
      <c r="H163" s="269" t="str">
        <f>IF($A163="","",SUMIFS('05 Work done log'!$F$7:$F$506,'05 Work done log'!$B$7:$B$506,$A163))</f>
        <v/>
      </c>
      <c r="I163" s="270" t="str">
        <f>IF(OR($A163="",N($F163)=0),"",$H163/$F163)</f>
        <v/>
      </c>
      <c r="J163" s="269" t="str">
        <f>IF(OR($A163="",N($F163)=0),"",$F163-$H163)</f>
        <v/>
      </c>
      <c r="K163" s="271" t="str">
        <f>IF($A163="","",SUMIFS('04 Resource log'!$J$7:$J$506,'04 Resource log'!$B$7:$B$506,$A163,'04 Resource log'!$E$7:$E$506,"Labour"))</f>
        <v/>
      </c>
      <c r="L163" s="270" t="str">
        <f>IF(OR($A163="",N($G163)=0),"",$K163/$G163)</f>
        <v/>
      </c>
      <c r="M163" s="271" t="str">
        <f>IF(OR($A163="",N($F163)=0,N($G163)=0),"",$I163*$G163)</f>
        <v/>
      </c>
      <c r="N163" s="272" t="str">
        <f>IF(OR($M163="",N($K163)=0),"",$M163/$K163)</f>
        <v/>
      </c>
      <c r="O163" s="273" t="str">
        <f>IF($A163="","",IFERROR(1/(1/_xlfn.MAXIFS('05 Work done log'!$A$7:$A$506,'05 Work done log'!$B$7:$B$506,$A163)),"not yet"))</f>
        <v/>
      </c>
      <c r="P163" s="161"/>
      <c r="Q163" s="6"/>
      <c r="R163" s="6"/>
      <c r="S163" s="6"/>
      <c r="T163" s="6"/>
      <c r="U163" s="6"/>
      <c r="V163" s="6"/>
      <c r="W163" s="6"/>
      <c r="X163" s="6"/>
      <c r="Y163" s="6"/>
      <c r="Z163" s="6"/>
      <c r="AA163" s="6"/>
      <c r="AB163" s="6"/>
      <c r="AC163" s="6"/>
      <c r="AD163" s="6"/>
      <c r="AE163" s="6"/>
      <c r="AF163" s="6"/>
      <c r="AG163" s="6"/>
      <c r="AH163" s="6"/>
      <c r="AI163" s="6"/>
      <c r="AJ163" s="6"/>
    </row>
    <row r="164" spans="1:36" ht="18" customHeight="1" x14ac:dyDescent="0.3">
      <c r="A164" s="161"/>
      <c r="B164" s="161"/>
      <c r="C164" s="161"/>
      <c r="D164" s="161"/>
      <c r="E164" s="161"/>
      <c r="F164" s="267"/>
      <c r="G164" s="268"/>
      <c r="H164" s="269" t="str">
        <f>IF($A164="","",SUMIFS('05 Work done log'!$F$7:$F$506,'05 Work done log'!$B$7:$B$506,$A164))</f>
        <v/>
      </c>
      <c r="I164" s="270" t="str">
        <f>IF(OR($A164="",N($F164)=0),"",$H164/$F164)</f>
        <v/>
      </c>
      <c r="J164" s="269" t="str">
        <f>IF(OR($A164="",N($F164)=0),"",$F164-$H164)</f>
        <v/>
      </c>
      <c r="K164" s="271" t="str">
        <f>IF($A164="","",SUMIFS('04 Resource log'!$J$7:$J$506,'04 Resource log'!$B$7:$B$506,$A164,'04 Resource log'!$E$7:$E$506,"Labour"))</f>
        <v/>
      </c>
      <c r="L164" s="270" t="str">
        <f>IF(OR($A164="",N($G164)=0),"",$K164/$G164)</f>
        <v/>
      </c>
      <c r="M164" s="271" t="str">
        <f>IF(OR($A164="",N($F164)=0,N($G164)=0),"",$I164*$G164)</f>
        <v/>
      </c>
      <c r="N164" s="272" t="str">
        <f>IF(OR($M164="",N($K164)=0),"",$M164/$K164)</f>
        <v/>
      </c>
      <c r="O164" s="273" t="str">
        <f>IF($A164="","",IFERROR(1/(1/_xlfn.MAXIFS('05 Work done log'!$A$7:$A$506,'05 Work done log'!$B$7:$B$506,$A164)),"not yet"))</f>
        <v/>
      </c>
      <c r="P164" s="161"/>
      <c r="Q164" s="6"/>
      <c r="R164" s="6"/>
      <c r="S164" s="6"/>
      <c r="T164" s="6"/>
      <c r="U164" s="6"/>
      <c r="V164" s="6"/>
      <c r="W164" s="6"/>
      <c r="X164" s="6"/>
      <c r="Y164" s="6"/>
      <c r="Z164" s="6"/>
      <c r="AA164" s="6"/>
      <c r="AB164" s="6"/>
      <c r="AC164" s="6"/>
      <c r="AD164" s="6"/>
      <c r="AE164" s="6"/>
      <c r="AF164" s="6"/>
      <c r="AG164" s="6"/>
      <c r="AH164" s="6"/>
      <c r="AI164" s="6"/>
      <c r="AJ164" s="6"/>
    </row>
    <row r="165" spans="1:36" ht="18" customHeight="1" x14ac:dyDescent="0.3">
      <c r="A165" s="161"/>
      <c r="B165" s="161"/>
      <c r="C165" s="161"/>
      <c r="D165" s="161"/>
      <c r="E165" s="161"/>
      <c r="F165" s="267"/>
      <c r="G165" s="268"/>
      <c r="H165" s="269" t="str">
        <f>IF($A165="","",SUMIFS('05 Work done log'!$F$7:$F$506,'05 Work done log'!$B$7:$B$506,$A165))</f>
        <v/>
      </c>
      <c r="I165" s="270" t="str">
        <f>IF(OR($A165="",N($F165)=0),"",$H165/$F165)</f>
        <v/>
      </c>
      <c r="J165" s="269" t="str">
        <f>IF(OR($A165="",N($F165)=0),"",$F165-$H165)</f>
        <v/>
      </c>
      <c r="K165" s="271" t="str">
        <f>IF($A165="","",SUMIFS('04 Resource log'!$J$7:$J$506,'04 Resource log'!$B$7:$B$506,$A165,'04 Resource log'!$E$7:$E$506,"Labour"))</f>
        <v/>
      </c>
      <c r="L165" s="270" t="str">
        <f>IF(OR($A165="",N($G165)=0),"",$K165/$G165)</f>
        <v/>
      </c>
      <c r="M165" s="271" t="str">
        <f>IF(OR($A165="",N($F165)=0,N($G165)=0),"",$I165*$G165)</f>
        <v/>
      </c>
      <c r="N165" s="272" t="str">
        <f>IF(OR($M165="",N($K165)=0),"",$M165/$K165)</f>
        <v/>
      </c>
      <c r="O165" s="273" t="str">
        <f>IF($A165="","",IFERROR(1/(1/_xlfn.MAXIFS('05 Work done log'!$A$7:$A$506,'05 Work done log'!$B$7:$B$506,$A165)),"not yet"))</f>
        <v/>
      </c>
      <c r="P165" s="161"/>
      <c r="Q165" s="6"/>
      <c r="R165" s="6"/>
      <c r="S165" s="6"/>
      <c r="T165" s="6"/>
      <c r="U165" s="6"/>
      <c r="V165" s="6"/>
      <c r="W165" s="6"/>
      <c r="X165" s="6"/>
      <c r="Y165" s="6"/>
      <c r="Z165" s="6"/>
      <c r="AA165" s="6"/>
      <c r="AB165" s="6"/>
      <c r="AC165" s="6"/>
      <c r="AD165" s="6"/>
      <c r="AE165" s="6"/>
      <c r="AF165" s="6"/>
      <c r="AG165" s="6"/>
      <c r="AH165" s="6"/>
      <c r="AI165" s="6"/>
      <c r="AJ165" s="6"/>
    </row>
    <row r="166" spans="1:36" ht="18" customHeight="1" x14ac:dyDescent="0.3">
      <c r="A166" s="161"/>
      <c r="B166" s="161"/>
      <c r="C166" s="161"/>
      <c r="D166" s="161"/>
      <c r="E166" s="161"/>
      <c r="F166" s="267"/>
      <c r="G166" s="268"/>
      <c r="H166" s="269" t="str">
        <f>IF($A166="","",SUMIFS('05 Work done log'!$F$7:$F$506,'05 Work done log'!$B$7:$B$506,$A166))</f>
        <v/>
      </c>
      <c r="I166" s="270" t="str">
        <f>IF(OR($A166="",N($F166)=0),"",$H166/$F166)</f>
        <v/>
      </c>
      <c r="J166" s="269" t="str">
        <f>IF(OR($A166="",N($F166)=0),"",$F166-$H166)</f>
        <v/>
      </c>
      <c r="K166" s="271" t="str">
        <f>IF($A166="","",SUMIFS('04 Resource log'!$J$7:$J$506,'04 Resource log'!$B$7:$B$506,$A166,'04 Resource log'!$E$7:$E$506,"Labour"))</f>
        <v/>
      </c>
      <c r="L166" s="270" t="str">
        <f>IF(OR($A166="",N($G166)=0),"",$K166/$G166)</f>
        <v/>
      </c>
      <c r="M166" s="271" t="str">
        <f>IF(OR($A166="",N($F166)=0,N($G166)=0),"",$I166*$G166)</f>
        <v/>
      </c>
      <c r="N166" s="272" t="str">
        <f>IF(OR($M166="",N($K166)=0),"",$M166/$K166)</f>
        <v/>
      </c>
      <c r="O166" s="273" t="str">
        <f>IF($A166="","",IFERROR(1/(1/_xlfn.MAXIFS('05 Work done log'!$A$7:$A$506,'05 Work done log'!$B$7:$B$506,$A166)),"not yet"))</f>
        <v/>
      </c>
      <c r="P166" s="161"/>
      <c r="Q166" s="6"/>
      <c r="R166" s="6"/>
      <c r="S166" s="6"/>
      <c r="T166" s="6"/>
      <c r="U166" s="6"/>
      <c r="V166" s="6"/>
      <c r="W166" s="6"/>
      <c r="X166" s="6"/>
      <c r="Y166" s="6"/>
      <c r="Z166" s="6"/>
      <c r="AA166" s="6"/>
      <c r="AB166" s="6"/>
      <c r="AC166" s="6"/>
      <c r="AD166" s="6"/>
      <c r="AE166" s="6"/>
      <c r="AF166" s="6"/>
      <c r="AG166" s="6"/>
      <c r="AH166" s="6"/>
      <c r="AI166" s="6"/>
      <c r="AJ166" s="6"/>
    </row>
    <row r="167" spans="1:36" ht="18" customHeight="1" x14ac:dyDescent="0.3">
      <c r="A167" s="161"/>
      <c r="B167" s="161"/>
      <c r="C167" s="161"/>
      <c r="D167" s="161"/>
      <c r="E167" s="161"/>
      <c r="F167" s="267"/>
      <c r="G167" s="268"/>
      <c r="H167" s="269" t="str">
        <f>IF($A167="","",SUMIFS('05 Work done log'!$F$7:$F$506,'05 Work done log'!$B$7:$B$506,$A167))</f>
        <v/>
      </c>
      <c r="I167" s="270" t="str">
        <f>IF(OR($A167="",N($F167)=0),"",$H167/$F167)</f>
        <v/>
      </c>
      <c r="J167" s="269" t="str">
        <f>IF(OR($A167="",N($F167)=0),"",$F167-$H167)</f>
        <v/>
      </c>
      <c r="K167" s="271" t="str">
        <f>IF($A167="","",SUMIFS('04 Resource log'!$J$7:$J$506,'04 Resource log'!$B$7:$B$506,$A167,'04 Resource log'!$E$7:$E$506,"Labour"))</f>
        <v/>
      </c>
      <c r="L167" s="270" t="str">
        <f>IF(OR($A167="",N($G167)=0),"",$K167/$G167)</f>
        <v/>
      </c>
      <c r="M167" s="271" t="str">
        <f>IF(OR($A167="",N($F167)=0,N($G167)=0),"",$I167*$G167)</f>
        <v/>
      </c>
      <c r="N167" s="272" t="str">
        <f>IF(OR($M167="",N($K167)=0),"",$M167/$K167)</f>
        <v/>
      </c>
      <c r="O167" s="273" t="str">
        <f>IF($A167="","",IFERROR(1/(1/_xlfn.MAXIFS('05 Work done log'!$A$7:$A$506,'05 Work done log'!$B$7:$B$506,$A167)),"not yet"))</f>
        <v/>
      </c>
      <c r="P167" s="161"/>
      <c r="Q167" s="6"/>
      <c r="R167" s="6"/>
      <c r="S167" s="6"/>
      <c r="T167" s="6"/>
      <c r="U167" s="6"/>
      <c r="V167" s="6"/>
      <c r="W167" s="6"/>
      <c r="X167" s="6"/>
      <c r="Y167" s="6"/>
      <c r="Z167" s="6"/>
      <c r="AA167" s="6"/>
      <c r="AB167" s="6"/>
      <c r="AC167" s="6"/>
      <c r="AD167" s="6"/>
      <c r="AE167" s="6"/>
      <c r="AF167" s="6"/>
      <c r="AG167" s="6"/>
      <c r="AH167" s="6"/>
      <c r="AI167" s="6"/>
      <c r="AJ167" s="6"/>
    </row>
    <row r="168" spans="1:36" ht="18" customHeight="1" x14ac:dyDescent="0.3">
      <c r="A168" s="161"/>
      <c r="B168" s="161"/>
      <c r="C168" s="161"/>
      <c r="D168" s="161"/>
      <c r="E168" s="161"/>
      <c r="F168" s="267"/>
      <c r="G168" s="268"/>
      <c r="H168" s="269" t="str">
        <f>IF($A168="","",SUMIFS('05 Work done log'!$F$7:$F$506,'05 Work done log'!$B$7:$B$506,$A168))</f>
        <v/>
      </c>
      <c r="I168" s="270" t="str">
        <f>IF(OR($A168="",N($F168)=0),"",$H168/$F168)</f>
        <v/>
      </c>
      <c r="J168" s="269" t="str">
        <f>IF(OR($A168="",N($F168)=0),"",$F168-$H168)</f>
        <v/>
      </c>
      <c r="K168" s="271" t="str">
        <f>IF($A168="","",SUMIFS('04 Resource log'!$J$7:$J$506,'04 Resource log'!$B$7:$B$506,$A168,'04 Resource log'!$E$7:$E$506,"Labour"))</f>
        <v/>
      </c>
      <c r="L168" s="270" t="str">
        <f>IF(OR($A168="",N($G168)=0),"",$K168/$G168)</f>
        <v/>
      </c>
      <c r="M168" s="271" t="str">
        <f>IF(OR($A168="",N($F168)=0,N($G168)=0),"",$I168*$G168)</f>
        <v/>
      </c>
      <c r="N168" s="272" t="str">
        <f>IF(OR($M168="",N($K168)=0),"",$M168/$K168)</f>
        <v/>
      </c>
      <c r="O168" s="273" t="str">
        <f>IF($A168="","",IFERROR(1/(1/_xlfn.MAXIFS('05 Work done log'!$A$7:$A$506,'05 Work done log'!$B$7:$B$506,$A168)),"not yet"))</f>
        <v/>
      </c>
      <c r="P168" s="161"/>
      <c r="Q168" s="6"/>
      <c r="R168" s="6"/>
      <c r="S168" s="6"/>
      <c r="T168" s="6"/>
      <c r="U168" s="6"/>
      <c r="V168" s="6"/>
      <c r="W168" s="6"/>
      <c r="X168" s="6"/>
      <c r="Y168" s="6"/>
      <c r="Z168" s="6"/>
      <c r="AA168" s="6"/>
      <c r="AB168" s="6"/>
      <c r="AC168" s="6"/>
      <c r="AD168" s="6"/>
      <c r="AE168" s="6"/>
      <c r="AF168" s="6"/>
      <c r="AG168" s="6"/>
      <c r="AH168" s="6"/>
      <c r="AI168" s="6"/>
      <c r="AJ168" s="6"/>
    </row>
    <row r="169" spans="1:36" ht="18" customHeight="1" x14ac:dyDescent="0.3">
      <c r="A169" s="161"/>
      <c r="B169" s="161"/>
      <c r="C169" s="161"/>
      <c r="D169" s="161"/>
      <c r="E169" s="161"/>
      <c r="F169" s="267"/>
      <c r="G169" s="268"/>
      <c r="H169" s="269" t="str">
        <f>IF($A169="","",SUMIFS('05 Work done log'!$F$7:$F$506,'05 Work done log'!$B$7:$B$506,$A169))</f>
        <v/>
      </c>
      <c r="I169" s="270" t="str">
        <f>IF(OR($A169="",N($F169)=0),"",$H169/$F169)</f>
        <v/>
      </c>
      <c r="J169" s="269" t="str">
        <f>IF(OR($A169="",N($F169)=0),"",$F169-$H169)</f>
        <v/>
      </c>
      <c r="K169" s="271" t="str">
        <f>IF($A169="","",SUMIFS('04 Resource log'!$J$7:$J$506,'04 Resource log'!$B$7:$B$506,$A169,'04 Resource log'!$E$7:$E$506,"Labour"))</f>
        <v/>
      </c>
      <c r="L169" s="270" t="str">
        <f>IF(OR($A169="",N($G169)=0),"",$K169/$G169)</f>
        <v/>
      </c>
      <c r="M169" s="271" t="str">
        <f>IF(OR($A169="",N($F169)=0,N($G169)=0),"",$I169*$G169)</f>
        <v/>
      </c>
      <c r="N169" s="272" t="str">
        <f>IF(OR($M169="",N($K169)=0),"",$M169/$K169)</f>
        <v/>
      </c>
      <c r="O169" s="273" t="str">
        <f>IF($A169="","",IFERROR(1/(1/_xlfn.MAXIFS('05 Work done log'!$A$7:$A$506,'05 Work done log'!$B$7:$B$506,$A169)),"not yet"))</f>
        <v/>
      </c>
      <c r="P169" s="161"/>
      <c r="Q169" s="6"/>
      <c r="R169" s="6"/>
      <c r="S169" s="6"/>
      <c r="T169" s="6"/>
      <c r="U169" s="6"/>
      <c r="V169" s="6"/>
      <c r="W169" s="6"/>
      <c r="X169" s="6"/>
      <c r="Y169" s="6"/>
      <c r="Z169" s="6"/>
      <c r="AA169" s="6"/>
      <c r="AB169" s="6"/>
      <c r="AC169" s="6"/>
      <c r="AD169" s="6"/>
      <c r="AE169" s="6"/>
      <c r="AF169" s="6"/>
      <c r="AG169" s="6"/>
      <c r="AH169" s="6"/>
      <c r="AI169" s="6"/>
      <c r="AJ169" s="6"/>
    </row>
    <row r="170" spans="1:36" ht="18" customHeight="1" x14ac:dyDescent="0.3">
      <c r="A170" s="161"/>
      <c r="B170" s="161"/>
      <c r="C170" s="161"/>
      <c r="D170" s="161"/>
      <c r="E170" s="161"/>
      <c r="F170" s="267"/>
      <c r="G170" s="268"/>
      <c r="H170" s="269" t="str">
        <f>IF($A170="","",SUMIFS('05 Work done log'!$F$7:$F$506,'05 Work done log'!$B$7:$B$506,$A170))</f>
        <v/>
      </c>
      <c r="I170" s="270" t="str">
        <f>IF(OR($A170="",N($F170)=0),"",$H170/$F170)</f>
        <v/>
      </c>
      <c r="J170" s="269" t="str">
        <f>IF(OR($A170="",N($F170)=0),"",$F170-$H170)</f>
        <v/>
      </c>
      <c r="K170" s="271" t="str">
        <f>IF($A170="","",SUMIFS('04 Resource log'!$J$7:$J$506,'04 Resource log'!$B$7:$B$506,$A170,'04 Resource log'!$E$7:$E$506,"Labour"))</f>
        <v/>
      </c>
      <c r="L170" s="270" t="str">
        <f>IF(OR($A170="",N($G170)=0),"",$K170/$G170)</f>
        <v/>
      </c>
      <c r="M170" s="271" t="str">
        <f>IF(OR($A170="",N($F170)=0,N($G170)=0),"",$I170*$G170)</f>
        <v/>
      </c>
      <c r="N170" s="272" t="str">
        <f>IF(OR($M170="",N($K170)=0),"",$M170/$K170)</f>
        <v/>
      </c>
      <c r="O170" s="273" t="str">
        <f>IF($A170="","",IFERROR(1/(1/_xlfn.MAXIFS('05 Work done log'!$A$7:$A$506,'05 Work done log'!$B$7:$B$506,$A170)),"not yet"))</f>
        <v/>
      </c>
      <c r="P170" s="161"/>
      <c r="Q170" s="6"/>
      <c r="R170" s="6"/>
      <c r="S170" s="6"/>
      <c r="T170" s="6"/>
      <c r="U170" s="6"/>
      <c r="V170" s="6"/>
      <c r="W170" s="6"/>
      <c r="X170" s="6"/>
      <c r="Y170" s="6"/>
      <c r="Z170" s="6"/>
      <c r="AA170" s="6"/>
      <c r="AB170" s="6"/>
      <c r="AC170" s="6"/>
      <c r="AD170" s="6"/>
      <c r="AE170" s="6"/>
      <c r="AF170" s="6"/>
      <c r="AG170" s="6"/>
      <c r="AH170" s="6"/>
      <c r="AI170" s="6"/>
      <c r="AJ170" s="6"/>
    </row>
    <row r="171" spans="1:36" ht="18" customHeight="1" x14ac:dyDescent="0.3">
      <c r="A171" s="161"/>
      <c r="B171" s="161"/>
      <c r="C171" s="161"/>
      <c r="D171" s="161"/>
      <c r="E171" s="161"/>
      <c r="F171" s="267"/>
      <c r="G171" s="268"/>
      <c r="H171" s="269" t="str">
        <f>IF($A171="","",SUMIFS('05 Work done log'!$F$7:$F$506,'05 Work done log'!$B$7:$B$506,$A171))</f>
        <v/>
      </c>
      <c r="I171" s="270" t="str">
        <f>IF(OR($A171="",N($F171)=0),"",$H171/$F171)</f>
        <v/>
      </c>
      <c r="J171" s="269" t="str">
        <f>IF(OR($A171="",N($F171)=0),"",$F171-$H171)</f>
        <v/>
      </c>
      <c r="K171" s="271" t="str">
        <f>IF($A171="","",SUMIFS('04 Resource log'!$J$7:$J$506,'04 Resource log'!$B$7:$B$506,$A171,'04 Resource log'!$E$7:$E$506,"Labour"))</f>
        <v/>
      </c>
      <c r="L171" s="270" t="str">
        <f>IF(OR($A171="",N($G171)=0),"",$K171/$G171)</f>
        <v/>
      </c>
      <c r="M171" s="271" t="str">
        <f>IF(OR($A171="",N($F171)=0,N($G171)=0),"",$I171*$G171)</f>
        <v/>
      </c>
      <c r="N171" s="272" t="str">
        <f>IF(OR($M171="",N($K171)=0),"",$M171/$K171)</f>
        <v/>
      </c>
      <c r="O171" s="273" t="str">
        <f>IF($A171="","",IFERROR(1/(1/_xlfn.MAXIFS('05 Work done log'!$A$7:$A$506,'05 Work done log'!$B$7:$B$506,$A171)),"not yet"))</f>
        <v/>
      </c>
      <c r="P171" s="161"/>
      <c r="Q171" s="6"/>
      <c r="R171" s="6"/>
      <c r="S171" s="6"/>
      <c r="T171" s="6"/>
      <c r="U171" s="6"/>
      <c r="V171" s="6"/>
      <c r="W171" s="6"/>
      <c r="X171" s="6"/>
      <c r="Y171" s="6"/>
      <c r="Z171" s="6"/>
      <c r="AA171" s="6"/>
      <c r="AB171" s="6"/>
      <c r="AC171" s="6"/>
      <c r="AD171" s="6"/>
      <c r="AE171" s="6"/>
      <c r="AF171" s="6"/>
      <c r="AG171" s="6"/>
      <c r="AH171" s="6"/>
      <c r="AI171" s="6"/>
      <c r="AJ171" s="6"/>
    </row>
    <row r="172" spans="1:36" ht="18" customHeight="1" x14ac:dyDescent="0.3">
      <c r="A172" s="161"/>
      <c r="B172" s="161"/>
      <c r="C172" s="161"/>
      <c r="D172" s="161"/>
      <c r="E172" s="161"/>
      <c r="F172" s="267"/>
      <c r="G172" s="268"/>
      <c r="H172" s="269" t="str">
        <f>IF($A172="","",SUMIFS('05 Work done log'!$F$7:$F$506,'05 Work done log'!$B$7:$B$506,$A172))</f>
        <v/>
      </c>
      <c r="I172" s="270" t="str">
        <f>IF(OR($A172="",N($F172)=0),"",$H172/$F172)</f>
        <v/>
      </c>
      <c r="J172" s="269" t="str">
        <f>IF(OR($A172="",N($F172)=0),"",$F172-$H172)</f>
        <v/>
      </c>
      <c r="K172" s="271" t="str">
        <f>IF($A172="","",SUMIFS('04 Resource log'!$J$7:$J$506,'04 Resource log'!$B$7:$B$506,$A172,'04 Resource log'!$E$7:$E$506,"Labour"))</f>
        <v/>
      </c>
      <c r="L172" s="270" t="str">
        <f>IF(OR($A172="",N($G172)=0),"",$K172/$G172)</f>
        <v/>
      </c>
      <c r="M172" s="271" t="str">
        <f>IF(OR($A172="",N($F172)=0,N($G172)=0),"",$I172*$G172)</f>
        <v/>
      </c>
      <c r="N172" s="272" t="str">
        <f>IF(OR($M172="",N($K172)=0),"",$M172/$K172)</f>
        <v/>
      </c>
      <c r="O172" s="273" t="str">
        <f>IF($A172="","",IFERROR(1/(1/_xlfn.MAXIFS('05 Work done log'!$A$7:$A$506,'05 Work done log'!$B$7:$B$506,$A172)),"not yet"))</f>
        <v/>
      </c>
      <c r="P172" s="161"/>
      <c r="Q172" s="6"/>
      <c r="R172" s="6"/>
      <c r="S172" s="6"/>
      <c r="T172" s="6"/>
      <c r="U172" s="6"/>
      <c r="V172" s="6"/>
      <c r="W172" s="6"/>
      <c r="X172" s="6"/>
      <c r="Y172" s="6"/>
      <c r="Z172" s="6"/>
      <c r="AA172" s="6"/>
      <c r="AB172" s="6"/>
      <c r="AC172" s="6"/>
      <c r="AD172" s="6"/>
      <c r="AE172" s="6"/>
      <c r="AF172" s="6"/>
      <c r="AG172" s="6"/>
      <c r="AH172" s="6"/>
      <c r="AI172" s="6"/>
      <c r="AJ172" s="6"/>
    </row>
    <row r="173" spans="1:36" ht="18" customHeight="1" x14ac:dyDescent="0.3">
      <c r="A173" s="161"/>
      <c r="B173" s="161"/>
      <c r="C173" s="161"/>
      <c r="D173" s="161"/>
      <c r="E173" s="161"/>
      <c r="F173" s="267"/>
      <c r="G173" s="268"/>
      <c r="H173" s="269" t="str">
        <f>IF($A173="","",SUMIFS('05 Work done log'!$F$7:$F$506,'05 Work done log'!$B$7:$B$506,$A173))</f>
        <v/>
      </c>
      <c r="I173" s="270" t="str">
        <f>IF(OR($A173="",N($F173)=0),"",$H173/$F173)</f>
        <v/>
      </c>
      <c r="J173" s="269" t="str">
        <f>IF(OR($A173="",N($F173)=0),"",$F173-$H173)</f>
        <v/>
      </c>
      <c r="K173" s="271" t="str">
        <f>IF($A173="","",SUMIFS('04 Resource log'!$J$7:$J$506,'04 Resource log'!$B$7:$B$506,$A173,'04 Resource log'!$E$7:$E$506,"Labour"))</f>
        <v/>
      </c>
      <c r="L173" s="270" t="str">
        <f>IF(OR($A173="",N($G173)=0),"",$K173/$G173)</f>
        <v/>
      </c>
      <c r="M173" s="271" t="str">
        <f>IF(OR($A173="",N($F173)=0,N($G173)=0),"",$I173*$G173)</f>
        <v/>
      </c>
      <c r="N173" s="272" t="str">
        <f>IF(OR($M173="",N($K173)=0),"",$M173/$K173)</f>
        <v/>
      </c>
      <c r="O173" s="273" t="str">
        <f>IF($A173="","",IFERROR(1/(1/_xlfn.MAXIFS('05 Work done log'!$A$7:$A$506,'05 Work done log'!$B$7:$B$506,$A173)),"not yet"))</f>
        <v/>
      </c>
      <c r="P173" s="161"/>
      <c r="Q173" s="6"/>
      <c r="R173" s="6"/>
      <c r="S173" s="6"/>
      <c r="T173" s="6"/>
      <c r="U173" s="6"/>
      <c r="V173" s="6"/>
      <c r="W173" s="6"/>
      <c r="X173" s="6"/>
      <c r="Y173" s="6"/>
      <c r="Z173" s="6"/>
      <c r="AA173" s="6"/>
      <c r="AB173" s="6"/>
      <c r="AC173" s="6"/>
      <c r="AD173" s="6"/>
      <c r="AE173" s="6"/>
      <c r="AF173" s="6"/>
      <c r="AG173" s="6"/>
      <c r="AH173" s="6"/>
      <c r="AI173" s="6"/>
      <c r="AJ173" s="6"/>
    </row>
    <row r="174" spans="1:36" ht="18" customHeight="1" x14ac:dyDescent="0.3">
      <c r="A174" s="161"/>
      <c r="B174" s="161"/>
      <c r="C174" s="161"/>
      <c r="D174" s="161"/>
      <c r="E174" s="161"/>
      <c r="F174" s="267"/>
      <c r="G174" s="268"/>
      <c r="H174" s="269" t="str">
        <f>IF($A174="","",SUMIFS('05 Work done log'!$F$7:$F$506,'05 Work done log'!$B$7:$B$506,$A174))</f>
        <v/>
      </c>
      <c r="I174" s="270" t="str">
        <f>IF(OR($A174="",N($F174)=0),"",$H174/$F174)</f>
        <v/>
      </c>
      <c r="J174" s="269" t="str">
        <f>IF(OR($A174="",N($F174)=0),"",$F174-$H174)</f>
        <v/>
      </c>
      <c r="K174" s="271" t="str">
        <f>IF($A174="","",SUMIFS('04 Resource log'!$J$7:$J$506,'04 Resource log'!$B$7:$B$506,$A174,'04 Resource log'!$E$7:$E$506,"Labour"))</f>
        <v/>
      </c>
      <c r="L174" s="270" t="str">
        <f>IF(OR($A174="",N($G174)=0),"",$K174/$G174)</f>
        <v/>
      </c>
      <c r="M174" s="271" t="str">
        <f>IF(OR($A174="",N($F174)=0,N($G174)=0),"",$I174*$G174)</f>
        <v/>
      </c>
      <c r="N174" s="272" t="str">
        <f>IF(OR($M174="",N($K174)=0),"",$M174/$K174)</f>
        <v/>
      </c>
      <c r="O174" s="273" t="str">
        <f>IF($A174="","",IFERROR(1/(1/_xlfn.MAXIFS('05 Work done log'!$A$7:$A$506,'05 Work done log'!$B$7:$B$506,$A174)),"not yet"))</f>
        <v/>
      </c>
      <c r="P174" s="161"/>
      <c r="Q174" s="6"/>
      <c r="R174" s="6"/>
      <c r="S174" s="6"/>
      <c r="T174" s="6"/>
      <c r="U174" s="6"/>
      <c r="V174" s="6"/>
      <c r="W174" s="6"/>
      <c r="X174" s="6"/>
      <c r="Y174" s="6"/>
      <c r="Z174" s="6"/>
      <c r="AA174" s="6"/>
      <c r="AB174" s="6"/>
      <c r="AC174" s="6"/>
      <c r="AD174" s="6"/>
      <c r="AE174" s="6"/>
      <c r="AF174" s="6"/>
      <c r="AG174" s="6"/>
      <c r="AH174" s="6"/>
      <c r="AI174" s="6"/>
      <c r="AJ174" s="6"/>
    </row>
    <row r="175" spans="1:36" ht="18" customHeight="1" x14ac:dyDescent="0.3">
      <c r="A175" s="161"/>
      <c r="B175" s="161"/>
      <c r="C175" s="161"/>
      <c r="D175" s="161"/>
      <c r="E175" s="161"/>
      <c r="F175" s="267"/>
      <c r="G175" s="268"/>
      <c r="H175" s="269" t="str">
        <f>IF($A175="","",SUMIFS('05 Work done log'!$F$7:$F$506,'05 Work done log'!$B$7:$B$506,$A175))</f>
        <v/>
      </c>
      <c r="I175" s="270" t="str">
        <f>IF(OR($A175="",N($F175)=0),"",$H175/$F175)</f>
        <v/>
      </c>
      <c r="J175" s="269" t="str">
        <f>IF(OR($A175="",N($F175)=0),"",$F175-$H175)</f>
        <v/>
      </c>
      <c r="K175" s="271" t="str">
        <f>IF($A175="","",SUMIFS('04 Resource log'!$J$7:$J$506,'04 Resource log'!$B$7:$B$506,$A175,'04 Resource log'!$E$7:$E$506,"Labour"))</f>
        <v/>
      </c>
      <c r="L175" s="270" t="str">
        <f>IF(OR($A175="",N($G175)=0),"",$K175/$G175)</f>
        <v/>
      </c>
      <c r="M175" s="271" t="str">
        <f>IF(OR($A175="",N($F175)=0,N($G175)=0),"",$I175*$G175)</f>
        <v/>
      </c>
      <c r="N175" s="272" t="str">
        <f>IF(OR($M175="",N($K175)=0),"",$M175/$K175)</f>
        <v/>
      </c>
      <c r="O175" s="273" t="str">
        <f>IF($A175="","",IFERROR(1/(1/_xlfn.MAXIFS('05 Work done log'!$A$7:$A$506,'05 Work done log'!$B$7:$B$506,$A175)),"not yet"))</f>
        <v/>
      </c>
      <c r="P175" s="161"/>
      <c r="Q175" s="6"/>
      <c r="R175" s="6"/>
      <c r="S175" s="6"/>
      <c r="T175" s="6"/>
      <c r="U175" s="6"/>
      <c r="V175" s="6"/>
      <c r="W175" s="6"/>
      <c r="X175" s="6"/>
      <c r="Y175" s="6"/>
      <c r="Z175" s="6"/>
      <c r="AA175" s="6"/>
      <c r="AB175" s="6"/>
      <c r="AC175" s="6"/>
      <c r="AD175" s="6"/>
      <c r="AE175" s="6"/>
      <c r="AF175" s="6"/>
      <c r="AG175" s="6"/>
      <c r="AH175" s="6"/>
      <c r="AI175" s="6"/>
      <c r="AJ175" s="6"/>
    </row>
    <row r="176" spans="1:36" ht="18" customHeight="1" x14ac:dyDescent="0.3">
      <c r="A176" s="161"/>
      <c r="B176" s="161"/>
      <c r="C176" s="161"/>
      <c r="D176" s="161"/>
      <c r="E176" s="161"/>
      <c r="F176" s="267"/>
      <c r="G176" s="268"/>
      <c r="H176" s="269" t="str">
        <f>IF($A176="","",SUMIFS('05 Work done log'!$F$7:$F$506,'05 Work done log'!$B$7:$B$506,$A176))</f>
        <v/>
      </c>
      <c r="I176" s="270" t="str">
        <f>IF(OR($A176="",N($F176)=0),"",$H176/$F176)</f>
        <v/>
      </c>
      <c r="J176" s="269" t="str">
        <f>IF(OR($A176="",N($F176)=0),"",$F176-$H176)</f>
        <v/>
      </c>
      <c r="K176" s="271" t="str">
        <f>IF($A176="","",SUMIFS('04 Resource log'!$J$7:$J$506,'04 Resource log'!$B$7:$B$506,$A176,'04 Resource log'!$E$7:$E$506,"Labour"))</f>
        <v/>
      </c>
      <c r="L176" s="270" t="str">
        <f>IF(OR($A176="",N($G176)=0),"",$K176/$G176)</f>
        <v/>
      </c>
      <c r="M176" s="271" t="str">
        <f>IF(OR($A176="",N($F176)=0,N($G176)=0),"",$I176*$G176)</f>
        <v/>
      </c>
      <c r="N176" s="272" t="str">
        <f>IF(OR($M176="",N($K176)=0),"",$M176/$K176)</f>
        <v/>
      </c>
      <c r="O176" s="273" t="str">
        <f>IF($A176="","",IFERROR(1/(1/_xlfn.MAXIFS('05 Work done log'!$A$7:$A$506,'05 Work done log'!$B$7:$B$506,$A176)),"not yet"))</f>
        <v/>
      </c>
      <c r="P176" s="161"/>
      <c r="Q176" s="6"/>
      <c r="R176" s="6"/>
      <c r="S176" s="6"/>
      <c r="T176" s="6"/>
      <c r="U176" s="6"/>
      <c r="V176" s="6"/>
      <c r="W176" s="6"/>
      <c r="X176" s="6"/>
      <c r="Y176" s="6"/>
      <c r="Z176" s="6"/>
      <c r="AA176" s="6"/>
      <c r="AB176" s="6"/>
      <c r="AC176" s="6"/>
      <c r="AD176" s="6"/>
      <c r="AE176" s="6"/>
      <c r="AF176" s="6"/>
      <c r="AG176" s="6"/>
      <c r="AH176" s="6"/>
      <c r="AI176" s="6"/>
      <c r="AJ176" s="6"/>
    </row>
    <row r="177" spans="1:36" ht="18" customHeight="1" x14ac:dyDescent="0.3">
      <c r="A177" s="161"/>
      <c r="B177" s="161"/>
      <c r="C177" s="161"/>
      <c r="D177" s="161"/>
      <c r="E177" s="161"/>
      <c r="F177" s="267"/>
      <c r="G177" s="268"/>
      <c r="H177" s="269" t="str">
        <f>IF($A177="","",SUMIFS('05 Work done log'!$F$7:$F$506,'05 Work done log'!$B$7:$B$506,$A177))</f>
        <v/>
      </c>
      <c r="I177" s="270" t="str">
        <f>IF(OR($A177="",N($F177)=0),"",$H177/$F177)</f>
        <v/>
      </c>
      <c r="J177" s="269" t="str">
        <f>IF(OR($A177="",N($F177)=0),"",$F177-$H177)</f>
        <v/>
      </c>
      <c r="K177" s="271" t="str">
        <f>IF($A177="","",SUMIFS('04 Resource log'!$J$7:$J$506,'04 Resource log'!$B$7:$B$506,$A177,'04 Resource log'!$E$7:$E$506,"Labour"))</f>
        <v/>
      </c>
      <c r="L177" s="270" t="str">
        <f>IF(OR($A177="",N($G177)=0),"",$K177/$G177)</f>
        <v/>
      </c>
      <c r="M177" s="271" t="str">
        <f>IF(OR($A177="",N($F177)=0,N($G177)=0),"",$I177*$G177)</f>
        <v/>
      </c>
      <c r="N177" s="272" t="str">
        <f>IF(OR($M177="",N($K177)=0),"",$M177/$K177)</f>
        <v/>
      </c>
      <c r="O177" s="273" t="str">
        <f>IF($A177="","",IFERROR(1/(1/_xlfn.MAXIFS('05 Work done log'!$A$7:$A$506,'05 Work done log'!$B$7:$B$506,$A177)),"not yet"))</f>
        <v/>
      </c>
      <c r="P177" s="161"/>
      <c r="Q177" s="6"/>
      <c r="R177" s="6"/>
      <c r="S177" s="6"/>
      <c r="T177" s="6"/>
      <c r="U177" s="6"/>
      <c r="V177" s="6"/>
      <c r="W177" s="6"/>
      <c r="X177" s="6"/>
      <c r="Y177" s="6"/>
      <c r="Z177" s="6"/>
      <c r="AA177" s="6"/>
      <c r="AB177" s="6"/>
      <c r="AC177" s="6"/>
      <c r="AD177" s="6"/>
      <c r="AE177" s="6"/>
      <c r="AF177" s="6"/>
      <c r="AG177" s="6"/>
      <c r="AH177" s="6"/>
      <c r="AI177" s="6"/>
      <c r="AJ177" s="6"/>
    </row>
    <row r="178" spans="1:36" ht="18" customHeight="1" x14ac:dyDescent="0.3">
      <c r="A178" s="161"/>
      <c r="B178" s="161"/>
      <c r="C178" s="161"/>
      <c r="D178" s="161"/>
      <c r="E178" s="161"/>
      <c r="F178" s="267"/>
      <c r="G178" s="268"/>
      <c r="H178" s="269" t="str">
        <f>IF($A178="","",SUMIFS('05 Work done log'!$F$7:$F$506,'05 Work done log'!$B$7:$B$506,$A178))</f>
        <v/>
      </c>
      <c r="I178" s="270" t="str">
        <f>IF(OR($A178="",N($F178)=0),"",$H178/$F178)</f>
        <v/>
      </c>
      <c r="J178" s="269" t="str">
        <f>IF(OR($A178="",N($F178)=0),"",$F178-$H178)</f>
        <v/>
      </c>
      <c r="K178" s="271" t="str">
        <f>IF($A178="","",SUMIFS('04 Resource log'!$J$7:$J$506,'04 Resource log'!$B$7:$B$506,$A178,'04 Resource log'!$E$7:$E$506,"Labour"))</f>
        <v/>
      </c>
      <c r="L178" s="270" t="str">
        <f>IF(OR($A178="",N($G178)=0),"",$K178/$G178)</f>
        <v/>
      </c>
      <c r="M178" s="271" t="str">
        <f>IF(OR($A178="",N($F178)=0,N($G178)=0),"",$I178*$G178)</f>
        <v/>
      </c>
      <c r="N178" s="272" t="str">
        <f>IF(OR($M178="",N($K178)=0),"",$M178/$K178)</f>
        <v/>
      </c>
      <c r="O178" s="273" t="str">
        <f>IF($A178="","",IFERROR(1/(1/_xlfn.MAXIFS('05 Work done log'!$A$7:$A$506,'05 Work done log'!$B$7:$B$506,$A178)),"not yet"))</f>
        <v/>
      </c>
      <c r="P178" s="161"/>
      <c r="Q178" s="6"/>
      <c r="R178" s="6"/>
      <c r="S178" s="6"/>
      <c r="T178" s="6"/>
      <c r="U178" s="6"/>
      <c r="V178" s="6"/>
      <c r="W178" s="6"/>
      <c r="X178" s="6"/>
      <c r="Y178" s="6"/>
      <c r="Z178" s="6"/>
      <c r="AA178" s="6"/>
      <c r="AB178" s="6"/>
      <c r="AC178" s="6"/>
      <c r="AD178" s="6"/>
      <c r="AE178" s="6"/>
      <c r="AF178" s="6"/>
      <c r="AG178" s="6"/>
      <c r="AH178" s="6"/>
      <c r="AI178" s="6"/>
      <c r="AJ178" s="6"/>
    </row>
    <row r="179" spans="1:36" ht="18" customHeight="1" x14ac:dyDescent="0.3">
      <c r="A179" s="161"/>
      <c r="B179" s="161"/>
      <c r="C179" s="161"/>
      <c r="D179" s="161"/>
      <c r="E179" s="161"/>
      <c r="F179" s="267"/>
      <c r="G179" s="268"/>
      <c r="H179" s="269" t="str">
        <f>IF($A179="","",SUMIFS('05 Work done log'!$F$7:$F$506,'05 Work done log'!$B$7:$B$506,$A179))</f>
        <v/>
      </c>
      <c r="I179" s="270" t="str">
        <f>IF(OR($A179="",N($F179)=0),"",$H179/$F179)</f>
        <v/>
      </c>
      <c r="J179" s="269" t="str">
        <f>IF(OR($A179="",N($F179)=0),"",$F179-$H179)</f>
        <v/>
      </c>
      <c r="K179" s="271" t="str">
        <f>IF($A179="","",SUMIFS('04 Resource log'!$J$7:$J$506,'04 Resource log'!$B$7:$B$506,$A179,'04 Resource log'!$E$7:$E$506,"Labour"))</f>
        <v/>
      </c>
      <c r="L179" s="270" t="str">
        <f>IF(OR($A179="",N($G179)=0),"",$K179/$G179)</f>
        <v/>
      </c>
      <c r="M179" s="271" t="str">
        <f>IF(OR($A179="",N($F179)=0,N($G179)=0),"",$I179*$G179)</f>
        <v/>
      </c>
      <c r="N179" s="272" t="str">
        <f>IF(OR($M179="",N($K179)=0),"",$M179/$K179)</f>
        <v/>
      </c>
      <c r="O179" s="273" t="str">
        <f>IF($A179="","",IFERROR(1/(1/_xlfn.MAXIFS('05 Work done log'!$A$7:$A$506,'05 Work done log'!$B$7:$B$506,$A179)),"not yet"))</f>
        <v/>
      </c>
      <c r="P179" s="161"/>
      <c r="Q179" s="6"/>
      <c r="R179" s="6"/>
      <c r="S179" s="6"/>
      <c r="T179" s="6"/>
      <c r="U179" s="6"/>
      <c r="V179" s="6"/>
      <c r="W179" s="6"/>
      <c r="X179" s="6"/>
      <c r="Y179" s="6"/>
      <c r="Z179" s="6"/>
      <c r="AA179" s="6"/>
      <c r="AB179" s="6"/>
      <c r="AC179" s="6"/>
      <c r="AD179" s="6"/>
      <c r="AE179" s="6"/>
      <c r="AF179" s="6"/>
      <c r="AG179" s="6"/>
      <c r="AH179" s="6"/>
      <c r="AI179" s="6"/>
      <c r="AJ179" s="6"/>
    </row>
    <row r="180" spans="1:36" ht="18" customHeight="1" x14ac:dyDescent="0.3">
      <c r="A180" s="161"/>
      <c r="B180" s="161"/>
      <c r="C180" s="161"/>
      <c r="D180" s="161"/>
      <c r="E180" s="161"/>
      <c r="F180" s="267"/>
      <c r="G180" s="268"/>
      <c r="H180" s="269" t="str">
        <f>IF($A180="","",SUMIFS('05 Work done log'!$F$7:$F$506,'05 Work done log'!$B$7:$B$506,$A180))</f>
        <v/>
      </c>
      <c r="I180" s="270" t="str">
        <f>IF(OR($A180="",N($F180)=0),"",$H180/$F180)</f>
        <v/>
      </c>
      <c r="J180" s="269" t="str">
        <f>IF(OR($A180="",N($F180)=0),"",$F180-$H180)</f>
        <v/>
      </c>
      <c r="K180" s="271" t="str">
        <f>IF($A180="","",SUMIFS('04 Resource log'!$J$7:$J$506,'04 Resource log'!$B$7:$B$506,$A180,'04 Resource log'!$E$7:$E$506,"Labour"))</f>
        <v/>
      </c>
      <c r="L180" s="270" t="str">
        <f>IF(OR($A180="",N($G180)=0),"",$K180/$G180)</f>
        <v/>
      </c>
      <c r="M180" s="271" t="str">
        <f>IF(OR($A180="",N($F180)=0,N($G180)=0),"",$I180*$G180)</f>
        <v/>
      </c>
      <c r="N180" s="272" t="str">
        <f>IF(OR($M180="",N($K180)=0),"",$M180/$K180)</f>
        <v/>
      </c>
      <c r="O180" s="273" t="str">
        <f>IF($A180="","",IFERROR(1/(1/_xlfn.MAXIFS('05 Work done log'!$A$7:$A$506,'05 Work done log'!$B$7:$B$506,$A180)),"not yet"))</f>
        <v/>
      </c>
      <c r="P180" s="161"/>
      <c r="Q180" s="6"/>
      <c r="R180" s="6"/>
      <c r="S180" s="6"/>
      <c r="T180" s="6"/>
      <c r="U180" s="6"/>
      <c r="V180" s="6"/>
      <c r="W180" s="6"/>
      <c r="X180" s="6"/>
      <c r="Y180" s="6"/>
      <c r="Z180" s="6"/>
      <c r="AA180" s="6"/>
      <c r="AB180" s="6"/>
      <c r="AC180" s="6"/>
      <c r="AD180" s="6"/>
      <c r="AE180" s="6"/>
      <c r="AF180" s="6"/>
      <c r="AG180" s="6"/>
      <c r="AH180" s="6"/>
      <c r="AI180" s="6"/>
      <c r="AJ180" s="6"/>
    </row>
    <row r="181" spans="1:36" ht="18" customHeight="1" x14ac:dyDescent="0.3">
      <c r="A181" s="161"/>
      <c r="B181" s="161"/>
      <c r="C181" s="161"/>
      <c r="D181" s="161"/>
      <c r="E181" s="161"/>
      <c r="F181" s="267"/>
      <c r="G181" s="268"/>
      <c r="H181" s="269" t="str">
        <f>IF($A181="","",SUMIFS('05 Work done log'!$F$7:$F$506,'05 Work done log'!$B$7:$B$506,$A181))</f>
        <v/>
      </c>
      <c r="I181" s="270" t="str">
        <f>IF(OR($A181="",N($F181)=0),"",$H181/$F181)</f>
        <v/>
      </c>
      <c r="J181" s="269" t="str">
        <f>IF(OR($A181="",N($F181)=0),"",$F181-$H181)</f>
        <v/>
      </c>
      <c r="K181" s="271" t="str">
        <f>IF($A181="","",SUMIFS('04 Resource log'!$J$7:$J$506,'04 Resource log'!$B$7:$B$506,$A181,'04 Resource log'!$E$7:$E$506,"Labour"))</f>
        <v/>
      </c>
      <c r="L181" s="270" t="str">
        <f>IF(OR($A181="",N($G181)=0),"",$K181/$G181)</f>
        <v/>
      </c>
      <c r="M181" s="271" t="str">
        <f>IF(OR($A181="",N($F181)=0,N($G181)=0),"",$I181*$G181)</f>
        <v/>
      </c>
      <c r="N181" s="272" t="str">
        <f>IF(OR($M181="",N($K181)=0),"",$M181/$K181)</f>
        <v/>
      </c>
      <c r="O181" s="273" t="str">
        <f>IF($A181="","",IFERROR(1/(1/_xlfn.MAXIFS('05 Work done log'!$A$7:$A$506,'05 Work done log'!$B$7:$B$506,$A181)),"not yet"))</f>
        <v/>
      </c>
      <c r="P181" s="161"/>
      <c r="Q181" s="6"/>
      <c r="R181" s="6"/>
      <c r="S181" s="6"/>
      <c r="T181" s="6"/>
      <c r="U181" s="6"/>
      <c r="V181" s="6"/>
      <c r="W181" s="6"/>
      <c r="X181" s="6"/>
      <c r="Y181" s="6"/>
      <c r="Z181" s="6"/>
      <c r="AA181" s="6"/>
      <c r="AB181" s="6"/>
      <c r="AC181" s="6"/>
      <c r="AD181" s="6"/>
      <c r="AE181" s="6"/>
      <c r="AF181" s="6"/>
      <c r="AG181" s="6"/>
      <c r="AH181" s="6"/>
      <c r="AI181" s="6"/>
      <c r="AJ181" s="6"/>
    </row>
    <row r="182" spans="1:36" ht="18" customHeight="1" x14ac:dyDescent="0.3">
      <c r="A182" s="161"/>
      <c r="B182" s="161"/>
      <c r="C182" s="161"/>
      <c r="D182" s="161"/>
      <c r="E182" s="161"/>
      <c r="F182" s="267"/>
      <c r="G182" s="268"/>
      <c r="H182" s="269" t="str">
        <f>IF($A182="","",SUMIFS('05 Work done log'!$F$7:$F$506,'05 Work done log'!$B$7:$B$506,$A182))</f>
        <v/>
      </c>
      <c r="I182" s="270" t="str">
        <f>IF(OR($A182="",N($F182)=0),"",$H182/$F182)</f>
        <v/>
      </c>
      <c r="J182" s="269" t="str">
        <f>IF(OR($A182="",N($F182)=0),"",$F182-$H182)</f>
        <v/>
      </c>
      <c r="K182" s="271" t="str">
        <f>IF($A182="","",SUMIFS('04 Resource log'!$J$7:$J$506,'04 Resource log'!$B$7:$B$506,$A182,'04 Resource log'!$E$7:$E$506,"Labour"))</f>
        <v/>
      </c>
      <c r="L182" s="270" t="str">
        <f>IF(OR($A182="",N($G182)=0),"",$K182/$G182)</f>
        <v/>
      </c>
      <c r="M182" s="271" t="str">
        <f>IF(OR($A182="",N($F182)=0,N($G182)=0),"",$I182*$G182)</f>
        <v/>
      </c>
      <c r="N182" s="272" t="str">
        <f>IF(OR($M182="",N($K182)=0),"",$M182/$K182)</f>
        <v/>
      </c>
      <c r="O182" s="273" t="str">
        <f>IF($A182="","",IFERROR(1/(1/_xlfn.MAXIFS('05 Work done log'!$A$7:$A$506,'05 Work done log'!$B$7:$B$506,$A182)),"not yet"))</f>
        <v/>
      </c>
      <c r="P182" s="161"/>
      <c r="Q182" s="6"/>
      <c r="R182" s="6"/>
      <c r="S182" s="6"/>
      <c r="T182" s="6"/>
      <c r="U182" s="6"/>
      <c r="V182" s="6"/>
      <c r="W182" s="6"/>
      <c r="X182" s="6"/>
      <c r="Y182" s="6"/>
      <c r="Z182" s="6"/>
      <c r="AA182" s="6"/>
      <c r="AB182" s="6"/>
      <c r="AC182" s="6"/>
      <c r="AD182" s="6"/>
      <c r="AE182" s="6"/>
      <c r="AF182" s="6"/>
      <c r="AG182" s="6"/>
      <c r="AH182" s="6"/>
      <c r="AI182" s="6"/>
      <c r="AJ182" s="6"/>
    </row>
    <row r="183" spans="1:36" ht="18" customHeight="1" x14ac:dyDescent="0.3">
      <c r="A183" s="161"/>
      <c r="B183" s="161"/>
      <c r="C183" s="161"/>
      <c r="D183" s="161"/>
      <c r="E183" s="161"/>
      <c r="F183" s="267"/>
      <c r="G183" s="268"/>
      <c r="H183" s="269" t="str">
        <f>IF($A183="","",SUMIFS('05 Work done log'!$F$7:$F$506,'05 Work done log'!$B$7:$B$506,$A183))</f>
        <v/>
      </c>
      <c r="I183" s="270" t="str">
        <f>IF(OR($A183="",N($F183)=0),"",$H183/$F183)</f>
        <v/>
      </c>
      <c r="J183" s="269" t="str">
        <f>IF(OR($A183="",N($F183)=0),"",$F183-$H183)</f>
        <v/>
      </c>
      <c r="K183" s="271" t="str">
        <f>IF($A183="","",SUMIFS('04 Resource log'!$J$7:$J$506,'04 Resource log'!$B$7:$B$506,$A183,'04 Resource log'!$E$7:$E$506,"Labour"))</f>
        <v/>
      </c>
      <c r="L183" s="270" t="str">
        <f>IF(OR($A183="",N($G183)=0),"",$K183/$G183)</f>
        <v/>
      </c>
      <c r="M183" s="271" t="str">
        <f>IF(OR($A183="",N($F183)=0,N($G183)=0),"",$I183*$G183)</f>
        <v/>
      </c>
      <c r="N183" s="272" t="str">
        <f>IF(OR($M183="",N($K183)=0),"",$M183/$K183)</f>
        <v/>
      </c>
      <c r="O183" s="273" t="str">
        <f>IF($A183="","",IFERROR(1/(1/_xlfn.MAXIFS('05 Work done log'!$A$7:$A$506,'05 Work done log'!$B$7:$B$506,$A183)),"not yet"))</f>
        <v/>
      </c>
      <c r="P183" s="161"/>
      <c r="Q183" s="6"/>
      <c r="R183" s="6"/>
      <c r="S183" s="6"/>
      <c r="T183" s="6"/>
      <c r="U183" s="6"/>
      <c r="V183" s="6"/>
      <c r="W183" s="6"/>
      <c r="X183" s="6"/>
      <c r="Y183" s="6"/>
      <c r="Z183" s="6"/>
      <c r="AA183" s="6"/>
      <c r="AB183" s="6"/>
      <c r="AC183" s="6"/>
      <c r="AD183" s="6"/>
      <c r="AE183" s="6"/>
      <c r="AF183" s="6"/>
      <c r="AG183" s="6"/>
      <c r="AH183" s="6"/>
      <c r="AI183" s="6"/>
      <c r="AJ183" s="6"/>
    </row>
    <row r="184" spans="1:36" ht="18" customHeight="1" x14ac:dyDescent="0.3">
      <c r="A184" s="161"/>
      <c r="B184" s="161"/>
      <c r="C184" s="161"/>
      <c r="D184" s="161"/>
      <c r="E184" s="161"/>
      <c r="F184" s="267"/>
      <c r="G184" s="268"/>
      <c r="H184" s="269" t="str">
        <f>IF($A184="","",SUMIFS('05 Work done log'!$F$7:$F$506,'05 Work done log'!$B$7:$B$506,$A184))</f>
        <v/>
      </c>
      <c r="I184" s="270" t="str">
        <f>IF(OR($A184="",N($F184)=0),"",$H184/$F184)</f>
        <v/>
      </c>
      <c r="J184" s="269" t="str">
        <f>IF(OR($A184="",N($F184)=0),"",$F184-$H184)</f>
        <v/>
      </c>
      <c r="K184" s="271" t="str">
        <f>IF($A184="","",SUMIFS('04 Resource log'!$J$7:$J$506,'04 Resource log'!$B$7:$B$506,$A184,'04 Resource log'!$E$7:$E$506,"Labour"))</f>
        <v/>
      </c>
      <c r="L184" s="270" t="str">
        <f>IF(OR($A184="",N($G184)=0),"",$K184/$G184)</f>
        <v/>
      </c>
      <c r="M184" s="271" t="str">
        <f>IF(OR($A184="",N($F184)=0,N($G184)=0),"",$I184*$G184)</f>
        <v/>
      </c>
      <c r="N184" s="272" t="str">
        <f>IF(OR($M184="",N($K184)=0),"",$M184/$K184)</f>
        <v/>
      </c>
      <c r="O184" s="273" t="str">
        <f>IF($A184="","",IFERROR(1/(1/_xlfn.MAXIFS('05 Work done log'!$A$7:$A$506,'05 Work done log'!$B$7:$B$506,$A184)),"not yet"))</f>
        <v/>
      </c>
      <c r="P184" s="161"/>
      <c r="Q184" s="6"/>
      <c r="R184" s="6"/>
      <c r="S184" s="6"/>
      <c r="T184" s="6"/>
      <c r="U184" s="6"/>
      <c r="V184" s="6"/>
      <c r="W184" s="6"/>
      <c r="X184" s="6"/>
      <c r="Y184" s="6"/>
      <c r="Z184" s="6"/>
      <c r="AA184" s="6"/>
      <c r="AB184" s="6"/>
      <c r="AC184" s="6"/>
      <c r="AD184" s="6"/>
      <c r="AE184" s="6"/>
      <c r="AF184" s="6"/>
      <c r="AG184" s="6"/>
      <c r="AH184" s="6"/>
      <c r="AI184" s="6"/>
      <c r="AJ184" s="6"/>
    </row>
    <row r="185" spans="1:36" ht="18" customHeight="1" x14ac:dyDescent="0.3">
      <c r="A185" s="161"/>
      <c r="B185" s="161"/>
      <c r="C185" s="161"/>
      <c r="D185" s="161"/>
      <c r="E185" s="161"/>
      <c r="F185" s="267"/>
      <c r="G185" s="268"/>
      <c r="H185" s="269" t="str">
        <f>IF($A185="","",SUMIFS('05 Work done log'!$F$7:$F$506,'05 Work done log'!$B$7:$B$506,$A185))</f>
        <v/>
      </c>
      <c r="I185" s="270" t="str">
        <f>IF(OR($A185="",N($F185)=0),"",$H185/$F185)</f>
        <v/>
      </c>
      <c r="J185" s="269" t="str">
        <f>IF(OR($A185="",N($F185)=0),"",$F185-$H185)</f>
        <v/>
      </c>
      <c r="K185" s="271" t="str">
        <f>IF($A185="","",SUMIFS('04 Resource log'!$J$7:$J$506,'04 Resource log'!$B$7:$B$506,$A185,'04 Resource log'!$E$7:$E$506,"Labour"))</f>
        <v/>
      </c>
      <c r="L185" s="270" t="str">
        <f>IF(OR($A185="",N($G185)=0),"",$K185/$G185)</f>
        <v/>
      </c>
      <c r="M185" s="271" t="str">
        <f>IF(OR($A185="",N($F185)=0,N($G185)=0),"",$I185*$G185)</f>
        <v/>
      </c>
      <c r="N185" s="272" t="str">
        <f>IF(OR($M185="",N($K185)=0),"",$M185/$K185)</f>
        <v/>
      </c>
      <c r="O185" s="273" t="str">
        <f>IF($A185="","",IFERROR(1/(1/_xlfn.MAXIFS('05 Work done log'!$A$7:$A$506,'05 Work done log'!$B$7:$B$506,$A185)),"not yet"))</f>
        <v/>
      </c>
      <c r="P185" s="161"/>
      <c r="Q185" s="6"/>
      <c r="R185" s="6"/>
      <c r="S185" s="6"/>
      <c r="T185" s="6"/>
      <c r="U185" s="6"/>
      <c r="V185" s="6"/>
      <c r="W185" s="6"/>
      <c r="X185" s="6"/>
      <c r="Y185" s="6"/>
      <c r="Z185" s="6"/>
      <c r="AA185" s="6"/>
      <c r="AB185" s="6"/>
      <c r="AC185" s="6"/>
      <c r="AD185" s="6"/>
      <c r="AE185" s="6"/>
      <c r="AF185" s="6"/>
      <c r="AG185" s="6"/>
      <c r="AH185" s="6"/>
      <c r="AI185" s="6"/>
      <c r="AJ185" s="6"/>
    </row>
    <row r="186" spans="1:36" ht="18" customHeight="1" x14ac:dyDescent="0.3">
      <c r="A186" s="161"/>
      <c r="B186" s="161"/>
      <c r="C186" s="161"/>
      <c r="D186" s="161"/>
      <c r="E186" s="161"/>
      <c r="F186" s="267"/>
      <c r="G186" s="268"/>
      <c r="H186" s="269" t="str">
        <f>IF($A186="","",SUMIFS('05 Work done log'!$F$7:$F$506,'05 Work done log'!$B$7:$B$506,$A186))</f>
        <v/>
      </c>
      <c r="I186" s="270" t="str">
        <f>IF(OR($A186="",N($F186)=0),"",$H186/$F186)</f>
        <v/>
      </c>
      <c r="J186" s="269" t="str">
        <f>IF(OR($A186="",N($F186)=0),"",$F186-$H186)</f>
        <v/>
      </c>
      <c r="K186" s="271" t="str">
        <f>IF($A186="","",SUMIFS('04 Resource log'!$J$7:$J$506,'04 Resource log'!$B$7:$B$506,$A186,'04 Resource log'!$E$7:$E$506,"Labour"))</f>
        <v/>
      </c>
      <c r="L186" s="270" t="str">
        <f>IF(OR($A186="",N($G186)=0),"",$K186/$G186)</f>
        <v/>
      </c>
      <c r="M186" s="271" t="str">
        <f>IF(OR($A186="",N($F186)=0,N($G186)=0),"",$I186*$G186)</f>
        <v/>
      </c>
      <c r="N186" s="272" t="str">
        <f>IF(OR($M186="",N($K186)=0),"",$M186/$K186)</f>
        <v/>
      </c>
      <c r="O186" s="273" t="str">
        <f>IF($A186="","",IFERROR(1/(1/_xlfn.MAXIFS('05 Work done log'!$A$7:$A$506,'05 Work done log'!$B$7:$B$506,$A186)),"not yet"))</f>
        <v/>
      </c>
      <c r="P186" s="161"/>
      <c r="Q186" s="6"/>
      <c r="R186" s="6"/>
      <c r="S186" s="6"/>
      <c r="T186" s="6"/>
      <c r="U186" s="6"/>
      <c r="V186" s="6"/>
      <c r="W186" s="6"/>
      <c r="X186" s="6"/>
      <c r="Y186" s="6"/>
      <c r="Z186" s="6"/>
      <c r="AA186" s="6"/>
      <c r="AB186" s="6"/>
      <c r="AC186" s="6"/>
      <c r="AD186" s="6"/>
      <c r="AE186" s="6"/>
      <c r="AF186" s="6"/>
      <c r="AG186" s="6"/>
      <c r="AH186" s="6"/>
      <c r="AI186" s="6"/>
      <c r="AJ186" s="6"/>
    </row>
    <row r="187" spans="1:36" ht="18" customHeight="1" x14ac:dyDescent="0.3">
      <c r="A187" s="161"/>
      <c r="B187" s="161"/>
      <c r="C187" s="161"/>
      <c r="D187" s="161"/>
      <c r="E187" s="161"/>
      <c r="F187" s="267"/>
      <c r="G187" s="268"/>
      <c r="H187" s="269" t="str">
        <f>IF($A187="","",SUMIFS('05 Work done log'!$F$7:$F$506,'05 Work done log'!$B$7:$B$506,$A187))</f>
        <v/>
      </c>
      <c r="I187" s="270" t="str">
        <f>IF(OR($A187="",N($F187)=0),"",$H187/$F187)</f>
        <v/>
      </c>
      <c r="J187" s="269" t="str">
        <f>IF(OR($A187="",N($F187)=0),"",$F187-$H187)</f>
        <v/>
      </c>
      <c r="K187" s="271" t="str">
        <f>IF($A187="","",SUMIFS('04 Resource log'!$J$7:$J$506,'04 Resource log'!$B$7:$B$506,$A187,'04 Resource log'!$E$7:$E$506,"Labour"))</f>
        <v/>
      </c>
      <c r="L187" s="270" t="str">
        <f>IF(OR($A187="",N($G187)=0),"",$K187/$G187)</f>
        <v/>
      </c>
      <c r="M187" s="271" t="str">
        <f>IF(OR($A187="",N($F187)=0,N($G187)=0),"",$I187*$G187)</f>
        <v/>
      </c>
      <c r="N187" s="272" t="str">
        <f>IF(OR($M187="",N($K187)=0),"",$M187/$K187)</f>
        <v/>
      </c>
      <c r="O187" s="273" t="str">
        <f>IF($A187="","",IFERROR(1/(1/_xlfn.MAXIFS('05 Work done log'!$A$7:$A$506,'05 Work done log'!$B$7:$B$506,$A187)),"not yet"))</f>
        <v/>
      </c>
      <c r="P187" s="161"/>
      <c r="Q187" s="6"/>
      <c r="R187" s="6"/>
      <c r="S187" s="6"/>
      <c r="T187" s="6"/>
      <c r="U187" s="6"/>
      <c r="V187" s="6"/>
      <c r="W187" s="6"/>
      <c r="X187" s="6"/>
      <c r="Y187" s="6"/>
      <c r="Z187" s="6"/>
      <c r="AA187" s="6"/>
      <c r="AB187" s="6"/>
      <c r="AC187" s="6"/>
      <c r="AD187" s="6"/>
      <c r="AE187" s="6"/>
      <c r="AF187" s="6"/>
      <c r="AG187" s="6"/>
      <c r="AH187" s="6"/>
      <c r="AI187" s="6"/>
      <c r="AJ187" s="6"/>
    </row>
    <row r="188" spans="1:36" ht="18" customHeight="1" x14ac:dyDescent="0.3">
      <c r="A188" s="161"/>
      <c r="B188" s="161"/>
      <c r="C188" s="161"/>
      <c r="D188" s="161"/>
      <c r="E188" s="161"/>
      <c r="F188" s="267"/>
      <c r="G188" s="268"/>
      <c r="H188" s="269" t="str">
        <f>IF($A188="","",SUMIFS('05 Work done log'!$F$7:$F$506,'05 Work done log'!$B$7:$B$506,$A188))</f>
        <v/>
      </c>
      <c r="I188" s="270" t="str">
        <f>IF(OR($A188="",N($F188)=0),"",$H188/$F188)</f>
        <v/>
      </c>
      <c r="J188" s="269" t="str">
        <f>IF(OR($A188="",N($F188)=0),"",$F188-$H188)</f>
        <v/>
      </c>
      <c r="K188" s="271" t="str">
        <f>IF($A188="","",SUMIFS('04 Resource log'!$J$7:$J$506,'04 Resource log'!$B$7:$B$506,$A188,'04 Resource log'!$E$7:$E$506,"Labour"))</f>
        <v/>
      </c>
      <c r="L188" s="270" t="str">
        <f>IF(OR($A188="",N($G188)=0),"",$K188/$G188)</f>
        <v/>
      </c>
      <c r="M188" s="271" t="str">
        <f>IF(OR($A188="",N($F188)=0,N($G188)=0),"",$I188*$G188)</f>
        <v/>
      </c>
      <c r="N188" s="272" t="str">
        <f>IF(OR($M188="",N($K188)=0),"",$M188/$K188)</f>
        <v/>
      </c>
      <c r="O188" s="273" t="str">
        <f>IF($A188="","",IFERROR(1/(1/_xlfn.MAXIFS('05 Work done log'!$A$7:$A$506,'05 Work done log'!$B$7:$B$506,$A188)),"not yet"))</f>
        <v/>
      </c>
      <c r="P188" s="161"/>
      <c r="Q188" s="6"/>
      <c r="R188" s="6"/>
      <c r="S188" s="6"/>
      <c r="T188" s="6"/>
      <c r="U188" s="6"/>
      <c r="V188" s="6"/>
      <c r="W188" s="6"/>
      <c r="X188" s="6"/>
      <c r="Y188" s="6"/>
      <c r="Z188" s="6"/>
      <c r="AA188" s="6"/>
      <c r="AB188" s="6"/>
      <c r="AC188" s="6"/>
      <c r="AD188" s="6"/>
      <c r="AE188" s="6"/>
      <c r="AF188" s="6"/>
      <c r="AG188" s="6"/>
      <c r="AH188" s="6"/>
      <c r="AI188" s="6"/>
      <c r="AJ188" s="6"/>
    </row>
    <row r="189" spans="1:36" ht="18" customHeight="1" x14ac:dyDescent="0.3">
      <c r="A189" s="161"/>
      <c r="B189" s="161"/>
      <c r="C189" s="161"/>
      <c r="D189" s="161"/>
      <c r="E189" s="161"/>
      <c r="F189" s="267"/>
      <c r="G189" s="268"/>
      <c r="H189" s="269" t="str">
        <f>IF($A189="","",SUMIFS('05 Work done log'!$F$7:$F$506,'05 Work done log'!$B$7:$B$506,$A189))</f>
        <v/>
      </c>
      <c r="I189" s="270" t="str">
        <f>IF(OR($A189="",N($F189)=0),"",$H189/$F189)</f>
        <v/>
      </c>
      <c r="J189" s="269" t="str">
        <f>IF(OR($A189="",N($F189)=0),"",$F189-$H189)</f>
        <v/>
      </c>
      <c r="K189" s="271" t="str">
        <f>IF($A189="","",SUMIFS('04 Resource log'!$J$7:$J$506,'04 Resource log'!$B$7:$B$506,$A189,'04 Resource log'!$E$7:$E$506,"Labour"))</f>
        <v/>
      </c>
      <c r="L189" s="270" t="str">
        <f>IF(OR($A189="",N($G189)=0),"",$K189/$G189)</f>
        <v/>
      </c>
      <c r="M189" s="271" t="str">
        <f>IF(OR($A189="",N($F189)=0,N($G189)=0),"",$I189*$G189)</f>
        <v/>
      </c>
      <c r="N189" s="272" t="str">
        <f>IF(OR($M189="",N($K189)=0),"",$M189/$K189)</f>
        <v/>
      </c>
      <c r="O189" s="273" t="str">
        <f>IF($A189="","",IFERROR(1/(1/_xlfn.MAXIFS('05 Work done log'!$A$7:$A$506,'05 Work done log'!$B$7:$B$506,$A189)),"not yet"))</f>
        <v/>
      </c>
      <c r="P189" s="161"/>
      <c r="Q189" s="6"/>
      <c r="R189" s="6"/>
      <c r="S189" s="6"/>
      <c r="T189" s="6"/>
      <c r="U189" s="6"/>
      <c r="V189" s="6"/>
      <c r="W189" s="6"/>
      <c r="X189" s="6"/>
      <c r="Y189" s="6"/>
      <c r="Z189" s="6"/>
      <c r="AA189" s="6"/>
      <c r="AB189" s="6"/>
      <c r="AC189" s="6"/>
      <c r="AD189" s="6"/>
      <c r="AE189" s="6"/>
      <c r="AF189" s="6"/>
      <c r="AG189" s="6"/>
      <c r="AH189" s="6"/>
      <c r="AI189" s="6"/>
      <c r="AJ189" s="6"/>
    </row>
    <row r="190" spans="1:36" ht="18" customHeight="1" x14ac:dyDescent="0.3">
      <c r="A190" s="161"/>
      <c r="B190" s="161"/>
      <c r="C190" s="161"/>
      <c r="D190" s="161"/>
      <c r="E190" s="161"/>
      <c r="F190" s="267"/>
      <c r="G190" s="268"/>
      <c r="H190" s="269" t="str">
        <f>IF($A190="","",SUMIFS('05 Work done log'!$F$7:$F$506,'05 Work done log'!$B$7:$B$506,$A190))</f>
        <v/>
      </c>
      <c r="I190" s="270" t="str">
        <f>IF(OR($A190="",N($F190)=0),"",$H190/$F190)</f>
        <v/>
      </c>
      <c r="J190" s="269" t="str">
        <f>IF(OR($A190="",N($F190)=0),"",$F190-$H190)</f>
        <v/>
      </c>
      <c r="K190" s="271" t="str">
        <f>IF($A190="","",SUMIFS('04 Resource log'!$J$7:$J$506,'04 Resource log'!$B$7:$B$506,$A190,'04 Resource log'!$E$7:$E$506,"Labour"))</f>
        <v/>
      </c>
      <c r="L190" s="270" t="str">
        <f>IF(OR($A190="",N($G190)=0),"",$K190/$G190)</f>
        <v/>
      </c>
      <c r="M190" s="271" t="str">
        <f>IF(OR($A190="",N($F190)=0,N($G190)=0),"",$I190*$G190)</f>
        <v/>
      </c>
      <c r="N190" s="272" t="str">
        <f>IF(OR($M190="",N($K190)=0),"",$M190/$K190)</f>
        <v/>
      </c>
      <c r="O190" s="273" t="str">
        <f>IF($A190="","",IFERROR(1/(1/_xlfn.MAXIFS('05 Work done log'!$A$7:$A$506,'05 Work done log'!$B$7:$B$506,$A190)),"not yet"))</f>
        <v/>
      </c>
      <c r="P190" s="161"/>
      <c r="Q190" s="6"/>
      <c r="R190" s="6"/>
      <c r="S190" s="6"/>
      <c r="T190" s="6"/>
      <c r="U190" s="6"/>
      <c r="V190" s="6"/>
      <c r="W190" s="6"/>
      <c r="X190" s="6"/>
      <c r="Y190" s="6"/>
      <c r="Z190" s="6"/>
      <c r="AA190" s="6"/>
      <c r="AB190" s="6"/>
      <c r="AC190" s="6"/>
      <c r="AD190" s="6"/>
      <c r="AE190" s="6"/>
      <c r="AF190" s="6"/>
      <c r="AG190" s="6"/>
      <c r="AH190" s="6"/>
      <c r="AI190" s="6"/>
      <c r="AJ190" s="6"/>
    </row>
    <row r="191" spans="1:36" ht="18" customHeight="1" x14ac:dyDescent="0.3">
      <c r="A191" s="161"/>
      <c r="B191" s="161"/>
      <c r="C191" s="161"/>
      <c r="D191" s="161"/>
      <c r="E191" s="161"/>
      <c r="F191" s="267"/>
      <c r="G191" s="268"/>
      <c r="H191" s="269" t="str">
        <f>IF($A191="","",SUMIFS('05 Work done log'!$F$7:$F$506,'05 Work done log'!$B$7:$B$506,$A191))</f>
        <v/>
      </c>
      <c r="I191" s="270" t="str">
        <f>IF(OR($A191="",N($F191)=0),"",$H191/$F191)</f>
        <v/>
      </c>
      <c r="J191" s="269" t="str">
        <f>IF(OR($A191="",N($F191)=0),"",$F191-$H191)</f>
        <v/>
      </c>
      <c r="K191" s="271" t="str">
        <f>IF($A191="","",SUMIFS('04 Resource log'!$J$7:$J$506,'04 Resource log'!$B$7:$B$506,$A191,'04 Resource log'!$E$7:$E$506,"Labour"))</f>
        <v/>
      </c>
      <c r="L191" s="270" t="str">
        <f>IF(OR($A191="",N($G191)=0),"",$K191/$G191)</f>
        <v/>
      </c>
      <c r="M191" s="271" t="str">
        <f>IF(OR($A191="",N($F191)=0,N($G191)=0),"",$I191*$G191)</f>
        <v/>
      </c>
      <c r="N191" s="272" t="str">
        <f>IF(OR($M191="",N($K191)=0),"",$M191/$K191)</f>
        <v/>
      </c>
      <c r="O191" s="273" t="str">
        <f>IF($A191="","",IFERROR(1/(1/_xlfn.MAXIFS('05 Work done log'!$A$7:$A$506,'05 Work done log'!$B$7:$B$506,$A191)),"not yet"))</f>
        <v/>
      </c>
      <c r="P191" s="161"/>
      <c r="Q191" s="6"/>
      <c r="R191" s="6"/>
      <c r="S191" s="6"/>
      <c r="T191" s="6"/>
      <c r="U191" s="6"/>
      <c r="V191" s="6"/>
      <c r="W191" s="6"/>
      <c r="X191" s="6"/>
      <c r="Y191" s="6"/>
      <c r="Z191" s="6"/>
      <c r="AA191" s="6"/>
      <c r="AB191" s="6"/>
      <c r="AC191" s="6"/>
      <c r="AD191" s="6"/>
      <c r="AE191" s="6"/>
      <c r="AF191" s="6"/>
      <c r="AG191" s="6"/>
      <c r="AH191" s="6"/>
      <c r="AI191" s="6"/>
      <c r="AJ191" s="6"/>
    </row>
    <row r="192" spans="1:36" ht="18" customHeight="1" x14ac:dyDescent="0.3">
      <c r="A192" s="161"/>
      <c r="B192" s="161"/>
      <c r="C192" s="161"/>
      <c r="D192" s="161"/>
      <c r="E192" s="161"/>
      <c r="F192" s="267"/>
      <c r="G192" s="268"/>
      <c r="H192" s="269" t="str">
        <f>IF($A192="","",SUMIFS('05 Work done log'!$F$7:$F$506,'05 Work done log'!$B$7:$B$506,$A192))</f>
        <v/>
      </c>
      <c r="I192" s="270" t="str">
        <f>IF(OR($A192="",N($F192)=0),"",$H192/$F192)</f>
        <v/>
      </c>
      <c r="J192" s="269" t="str">
        <f>IF(OR($A192="",N($F192)=0),"",$F192-$H192)</f>
        <v/>
      </c>
      <c r="K192" s="271" t="str">
        <f>IF($A192="","",SUMIFS('04 Resource log'!$J$7:$J$506,'04 Resource log'!$B$7:$B$506,$A192,'04 Resource log'!$E$7:$E$506,"Labour"))</f>
        <v/>
      </c>
      <c r="L192" s="270" t="str">
        <f>IF(OR($A192="",N($G192)=0),"",$K192/$G192)</f>
        <v/>
      </c>
      <c r="M192" s="271" t="str">
        <f>IF(OR($A192="",N($F192)=0,N($G192)=0),"",$I192*$G192)</f>
        <v/>
      </c>
      <c r="N192" s="272" t="str">
        <f>IF(OR($M192="",N($K192)=0),"",$M192/$K192)</f>
        <v/>
      </c>
      <c r="O192" s="273" t="str">
        <f>IF($A192="","",IFERROR(1/(1/_xlfn.MAXIFS('05 Work done log'!$A$7:$A$506,'05 Work done log'!$B$7:$B$506,$A192)),"not yet"))</f>
        <v/>
      </c>
      <c r="P192" s="161"/>
      <c r="Q192" s="6"/>
      <c r="R192" s="6"/>
      <c r="S192" s="6"/>
      <c r="T192" s="6"/>
      <c r="U192" s="6"/>
      <c r="V192" s="6"/>
      <c r="W192" s="6"/>
      <c r="X192" s="6"/>
      <c r="Y192" s="6"/>
      <c r="Z192" s="6"/>
      <c r="AA192" s="6"/>
      <c r="AB192" s="6"/>
      <c r="AC192" s="6"/>
      <c r="AD192" s="6"/>
      <c r="AE192" s="6"/>
      <c r="AF192" s="6"/>
      <c r="AG192" s="6"/>
      <c r="AH192" s="6"/>
      <c r="AI192" s="6"/>
      <c r="AJ192" s="6"/>
    </row>
    <row r="193" spans="1:36" ht="18" customHeight="1" x14ac:dyDescent="0.3">
      <c r="A193" s="161"/>
      <c r="B193" s="161"/>
      <c r="C193" s="161"/>
      <c r="D193" s="161"/>
      <c r="E193" s="161"/>
      <c r="F193" s="267"/>
      <c r="G193" s="268"/>
      <c r="H193" s="269" t="str">
        <f>IF($A193="","",SUMIFS('05 Work done log'!$F$7:$F$506,'05 Work done log'!$B$7:$B$506,$A193))</f>
        <v/>
      </c>
      <c r="I193" s="270" t="str">
        <f>IF(OR($A193="",N($F193)=0),"",$H193/$F193)</f>
        <v/>
      </c>
      <c r="J193" s="269" t="str">
        <f>IF(OR($A193="",N($F193)=0),"",$F193-$H193)</f>
        <v/>
      </c>
      <c r="K193" s="271" t="str">
        <f>IF($A193="","",SUMIFS('04 Resource log'!$J$7:$J$506,'04 Resource log'!$B$7:$B$506,$A193,'04 Resource log'!$E$7:$E$506,"Labour"))</f>
        <v/>
      </c>
      <c r="L193" s="270" t="str">
        <f>IF(OR($A193="",N($G193)=0),"",$K193/$G193)</f>
        <v/>
      </c>
      <c r="M193" s="271" t="str">
        <f>IF(OR($A193="",N($F193)=0,N($G193)=0),"",$I193*$G193)</f>
        <v/>
      </c>
      <c r="N193" s="272" t="str">
        <f>IF(OR($M193="",N($K193)=0),"",$M193/$K193)</f>
        <v/>
      </c>
      <c r="O193" s="273" t="str">
        <f>IF($A193="","",IFERROR(1/(1/_xlfn.MAXIFS('05 Work done log'!$A$7:$A$506,'05 Work done log'!$B$7:$B$506,$A193)),"not yet"))</f>
        <v/>
      </c>
      <c r="P193" s="161"/>
      <c r="Q193" s="6"/>
      <c r="R193" s="6"/>
      <c r="S193" s="6"/>
      <c r="T193" s="6"/>
      <c r="U193" s="6"/>
      <c r="V193" s="6"/>
      <c r="W193" s="6"/>
      <c r="X193" s="6"/>
      <c r="Y193" s="6"/>
      <c r="Z193" s="6"/>
      <c r="AA193" s="6"/>
      <c r="AB193" s="6"/>
      <c r="AC193" s="6"/>
      <c r="AD193" s="6"/>
      <c r="AE193" s="6"/>
      <c r="AF193" s="6"/>
      <c r="AG193" s="6"/>
      <c r="AH193" s="6"/>
      <c r="AI193" s="6"/>
      <c r="AJ193" s="6"/>
    </row>
    <row r="194" spans="1:36" ht="18" customHeight="1" x14ac:dyDescent="0.3">
      <c r="A194" s="161"/>
      <c r="B194" s="161"/>
      <c r="C194" s="161"/>
      <c r="D194" s="161"/>
      <c r="E194" s="161"/>
      <c r="F194" s="267"/>
      <c r="G194" s="268"/>
      <c r="H194" s="269" t="str">
        <f>IF($A194="","",SUMIFS('05 Work done log'!$F$7:$F$506,'05 Work done log'!$B$7:$B$506,$A194))</f>
        <v/>
      </c>
      <c r="I194" s="270" t="str">
        <f>IF(OR($A194="",N($F194)=0),"",$H194/$F194)</f>
        <v/>
      </c>
      <c r="J194" s="269" t="str">
        <f>IF(OR($A194="",N($F194)=0),"",$F194-$H194)</f>
        <v/>
      </c>
      <c r="K194" s="271" t="str">
        <f>IF($A194="","",SUMIFS('04 Resource log'!$J$7:$J$506,'04 Resource log'!$B$7:$B$506,$A194,'04 Resource log'!$E$7:$E$506,"Labour"))</f>
        <v/>
      </c>
      <c r="L194" s="270" t="str">
        <f>IF(OR($A194="",N($G194)=0),"",$K194/$G194)</f>
        <v/>
      </c>
      <c r="M194" s="271" t="str">
        <f>IF(OR($A194="",N($F194)=0,N($G194)=0),"",$I194*$G194)</f>
        <v/>
      </c>
      <c r="N194" s="272" t="str">
        <f>IF(OR($M194="",N($K194)=0),"",$M194/$K194)</f>
        <v/>
      </c>
      <c r="O194" s="273" t="str">
        <f>IF($A194="","",IFERROR(1/(1/_xlfn.MAXIFS('05 Work done log'!$A$7:$A$506,'05 Work done log'!$B$7:$B$506,$A194)),"not yet"))</f>
        <v/>
      </c>
      <c r="P194" s="161"/>
      <c r="Q194" s="6"/>
      <c r="R194" s="6"/>
      <c r="S194" s="6"/>
      <c r="T194" s="6"/>
      <c r="U194" s="6"/>
      <c r="V194" s="6"/>
      <c r="W194" s="6"/>
      <c r="X194" s="6"/>
      <c r="Y194" s="6"/>
      <c r="Z194" s="6"/>
      <c r="AA194" s="6"/>
      <c r="AB194" s="6"/>
      <c r="AC194" s="6"/>
      <c r="AD194" s="6"/>
      <c r="AE194" s="6"/>
      <c r="AF194" s="6"/>
      <c r="AG194" s="6"/>
      <c r="AH194" s="6"/>
      <c r="AI194" s="6"/>
      <c r="AJ194" s="6"/>
    </row>
    <row r="195" spans="1:36" ht="18" customHeight="1" x14ac:dyDescent="0.3">
      <c r="A195" s="161"/>
      <c r="B195" s="161"/>
      <c r="C195" s="161"/>
      <c r="D195" s="161"/>
      <c r="E195" s="161"/>
      <c r="F195" s="267"/>
      <c r="G195" s="268"/>
      <c r="H195" s="269" t="str">
        <f>IF($A195="","",SUMIFS('05 Work done log'!$F$7:$F$506,'05 Work done log'!$B$7:$B$506,$A195))</f>
        <v/>
      </c>
      <c r="I195" s="270" t="str">
        <f>IF(OR($A195="",N($F195)=0),"",$H195/$F195)</f>
        <v/>
      </c>
      <c r="J195" s="269" t="str">
        <f>IF(OR($A195="",N($F195)=0),"",$F195-$H195)</f>
        <v/>
      </c>
      <c r="K195" s="271" t="str">
        <f>IF($A195="","",SUMIFS('04 Resource log'!$J$7:$J$506,'04 Resource log'!$B$7:$B$506,$A195,'04 Resource log'!$E$7:$E$506,"Labour"))</f>
        <v/>
      </c>
      <c r="L195" s="270" t="str">
        <f>IF(OR($A195="",N($G195)=0),"",$K195/$G195)</f>
        <v/>
      </c>
      <c r="M195" s="271" t="str">
        <f>IF(OR($A195="",N($F195)=0,N($G195)=0),"",$I195*$G195)</f>
        <v/>
      </c>
      <c r="N195" s="272" t="str">
        <f>IF(OR($M195="",N($K195)=0),"",$M195/$K195)</f>
        <v/>
      </c>
      <c r="O195" s="273" t="str">
        <f>IF($A195="","",IFERROR(1/(1/_xlfn.MAXIFS('05 Work done log'!$A$7:$A$506,'05 Work done log'!$B$7:$B$506,$A195)),"not yet"))</f>
        <v/>
      </c>
      <c r="P195" s="161"/>
      <c r="Q195" s="6"/>
      <c r="R195" s="6"/>
      <c r="S195" s="6"/>
      <c r="T195" s="6"/>
      <c r="U195" s="6"/>
      <c r="V195" s="6"/>
      <c r="W195" s="6"/>
      <c r="X195" s="6"/>
      <c r="Y195" s="6"/>
      <c r="Z195" s="6"/>
      <c r="AA195" s="6"/>
      <c r="AB195" s="6"/>
      <c r="AC195" s="6"/>
      <c r="AD195" s="6"/>
      <c r="AE195" s="6"/>
      <c r="AF195" s="6"/>
      <c r="AG195" s="6"/>
      <c r="AH195" s="6"/>
      <c r="AI195" s="6"/>
      <c r="AJ195" s="6"/>
    </row>
    <row r="196" spans="1:36" ht="18" customHeight="1" x14ac:dyDescent="0.3">
      <c r="A196" s="161"/>
      <c r="B196" s="161"/>
      <c r="C196" s="161"/>
      <c r="D196" s="161"/>
      <c r="E196" s="161"/>
      <c r="F196" s="267"/>
      <c r="G196" s="268"/>
      <c r="H196" s="269" t="str">
        <f>IF($A196="","",SUMIFS('05 Work done log'!$F$7:$F$506,'05 Work done log'!$B$7:$B$506,$A196))</f>
        <v/>
      </c>
      <c r="I196" s="270" t="str">
        <f>IF(OR($A196="",N($F196)=0),"",$H196/$F196)</f>
        <v/>
      </c>
      <c r="J196" s="269" t="str">
        <f>IF(OR($A196="",N($F196)=0),"",$F196-$H196)</f>
        <v/>
      </c>
      <c r="K196" s="271" t="str">
        <f>IF($A196="","",SUMIFS('04 Resource log'!$J$7:$J$506,'04 Resource log'!$B$7:$B$506,$A196,'04 Resource log'!$E$7:$E$506,"Labour"))</f>
        <v/>
      </c>
      <c r="L196" s="270" t="str">
        <f>IF(OR($A196="",N($G196)=0),"",$K196/$G196)</f>
        <v/>
      </c>
      <c r="M196" s="271" t="str">
        <f>IF(OR($A196="",N($F196)=0,N($G196)=0),"",$I196*$G196)</f>
        <v/>
      </c>
      <c r="N196" s="272" t="str">
        <f>IF(OR($M196="",N($K196)=0),"",$M196/$K196)</f>
        <v/>
      </c>
      <c r="O196" s="273" t="str">
        <f>IF($A196="","",IFERROR(1/(1/_xlfn.MAXIFS('05 Work done log'!$A$7:$A$506,'05 Work done log'!$B$7:$B$506,$A196)),"not yet"))</f>
        <v/>
      </c>
      <c r="P196" s="161"/>
      <c r="Q196" s="6"/>
      <c r="R196" s="6"/>
      <c r="S196" s="6"/>
      <c r="T196" s="6"/>
      <c r="U196" s="6"/>
      <c r="V196" s="6"/>
      <c r="W196" s="6"/>
      <c r="X196" s="6"/>
      <c r="Y196" s="6"/>
      <c r="Z196" s="6"/>
      <c r="AA196" s="6"/>
      <c r="AB196" s="6"/>
      <c r="AC196" s="6"/>
      <c r="AD196" s="6"/>
      <c r="AE196" s="6"/>
      <c r="AF196" s="6"/>
      <c r="AG196" s="6"/>
      <c r="AH196" s="6"/>
      <c r="AI196" s="6"/>
      <c r="AJ196" s="6"/>
    </row>
    <row r="197" spans="1:36" ht="18" customHeight="1" x14ac:dyDescent="0.3">
      <c r="A197" s="161"/>
      <c r="B197" s="161"/>
      <c r="C197" s="161"/>
      <c r="D197" s="161"/>
      <c r="E197" s="161"/>
      <c r="F197" s="267"/>
      <c r="G197" s="268"/>
      <c r="H197" s="269" t="str">
        <f>IF($A197="","",SUMIFS('05 Work done log'!$F$7:$F$506,'05 Work done log'!$B$7:$B$506,$A197))</f>
        <v/>
      </c>
      <c r="I197" s="270" t="str">
        <f>IF(OR($A197="",N($F197)=0),"",$H197/$F197)</f>
        <v/>
      </c>
      <c r="J197" s="269" t="str">
        <f>IF(OR($A197="",N($F197)=0),"",$F197-$H197)</f>
        <v/>
      </c>
      <c r="K197" s="271" t="str">
        <f>IF($A197="","",SUMIFS('04 Resource log'!$J$7:$J$506,'04 Resource log'!$B$7:$B$506,$A197,'04 Resource log'!$E$7:$E$506,"Labour"))</f>
        <v/>
      </c>
      <c r="L197" s="270" t="str">
        <f>IF(OR($A197="",N($G197)=0),"",$K197/$G197)</f>
        <v/>
      </c>
      <c r="M197" s="271" t="str">
        <f>IF(OR($A197="",N($F197)=0,N($G197)=0),"",$I197*$G197)</f>
        <v/>
      </c>
      <c r="N197" s="272" t="str">
        <f>IF(OR($M197="",N($K197)=0),"",$M197/$K197)</f>
        <v/>
      </c>
      <c r="O197" s="273" t="str">
        <f>IF($A197="","",IFERROR(1/(1/_xlfn.MAXIFS('05 Work done log'!$A$7:$A$506,'05 Work done log'!$B$7:$B$506,$A197)),"not yet"))</f>
        <v/>
      </c>
      <c r="P197" s="161"/>
      <c r="Q197" s="6"/>
      <c r="R197" s="6"/>
      <c r="S197" s="6"/>
      <c r="T197" s="6"/>
      <c r="U197" s="6"/>
      <c r="V197" s="6"/>
      <c r="W197" s="6"/>
      <c r="X197" s="6"/>
      <c r="Y197" s="6"/>
      <c r="Z197" s="6"/>
      <c r="AA197" s="6"/>
      <c r="AB197" s="6"/>
      <c r="AC197" s="6"/>
      <c r="AD197" s="6"/>
      <c r="AE197" s="6"/>
      <c r="AF197" s="6"/>
      <c r="AG197" s="6"/>
      <c r="AH197" s="6"/>
      <c r="AI197" s="6"/>
      <c r="AJ197" s="6"/>
    </row>
    <row r="198" spans="1:36" ht="18" customHeight="1" x14ac:dyDescent="0.3">
      <c r="A198" s="161"/>
      <c r="B198" s="161"/>
      <c r="C198" s="161"/>
      <c r="D198" s="161"/>
      <c r="E198" s="161"/>
      <c r="F198" s="267"/>
      <c r="G198" s="268"/>
      <c r="H198" s="269" t="str">
        <f>IF($A198="","",SUMIFS('05 Work done log'!$F$7:$F$506,'05 Work done log'!$B$7:$B$506,$A198))</f>
        <v/>
      </c>
      <c r="I198" s="270" t="str">
        <f>IF(OR($A198="",N($F198)=0),"",$H198/$F198)</f>
        <v/>
      </c>
      <c r="J198" s="269" t="str">
        <f>IF(OR($A198="",N($F198)=0),"",$F198-$H198)</f>
        <v/>
      </c>
      <c r="K198" s="271" t="str">
        <f>IF($A198="","",SUMIFS('04 Resource log'!$J$7:$J$506,'04 Resource log'!$B$7:$B$506,$A198,'04 Resource log'!$E$7:$E$506,"Labour"))</f>
        <v/>
      </c>
      <c r="L198" s="270" t="str">
        <f>IF(OR($A198="",N($G198)=0),"",$K198/$G198)</f>
        <v/>
      </c>
      <c r="M198" s="271" t="str">
        <f>IF(OR($A198="",N($F198)=0,N($G198)=0),"",$I198*$G198)</f>
        <v/>
      </c>
      <c r="N198" s="272" t="str">
        <f>IF(OR($M198="",N($K198)=0),"",$M198/$K198)</f>
        <v/>
      </c>
      <c r="O198" s="273" t="str">
        <f>IF($A198="","",IFERROR(1/(1/_xlfn.MAXIFS('05 Work done log'!$A$7:$A$506,'05 Work done log'!$B$7:$B$506,$A198)),"not yet"))</f>
        <v/>
      </c>
      <c r="P198" s="161"/>
      <c r="Q198" s="6"/>
      <c r="R198" s="6"/>
      <c r="S198" s="6"/>
      <c r="T198" s="6"/>
      <c r="U198" s="6"/>
      <c r="V198" s="6"/>
      <c r="W198" s="6"/>
      <c r="X198" s="6"/>
      <c r="Y198" s="6"/>
      <c r="Z198" s="6"/>
      <c r="AA198" s="6"/>
      <c r="AB198" s="6"/>
      <c r="AC198" s="6"/>
      <c r="AD198" s="6"/>
      <c r="AE198" s="6"/>
      <c r="AF198" s="6"/>
      <c r="AG198" s="6"/>
      <c r="AH198" s="6"/>
      <c r="AI198" s="6"/>
      <c r="AJ198" s="6"/>
    </row>
    <row r="199" spans="1:36" ht="18" customHeight="1" x14ac:dyDescent="0.3">
      <c r="A199" s="161"/>
      <c r="B199" s="161"/>
      <c r="C199" s="161"/>
      <c r="D199" s="161"/>
      <c r="E199" s="161"/>
      <c r="F199" s="267"/>
      <c r="G199" s="268"/>
      <c r="H199" s="269" t="str">
        <f>IF($A199="","",SUMIFS('05 Work done log'!$F$7:$F$506,'05 Work done log'!$B$7:$B$506,$A199))</f>
        <v/>
      </c>
      <c r="I199" s="270" t="str">
        <f>IF(OR($A199="",N($F199)=0),"",$H199/$F199)</f>
        <v/>
      </c>
      <c r="J199" s="269" t="str">
        <f>IF(OR($A199="",N($F199)=0),"",$F199-$H199)</f>
        <v/>
      </c>
      <c r="K199" s="271" t="str">
        <f>IF($A199="","",SUMIFS('04 Resource log'!$J$7:$J$506,'04 Resource log'!$B$7:$B$506,$A199,'04 Resource log'!$E$7:$E$506,"Labour"))</f>
        <v/>
      </c>
      <c r="L199" s="270" t="str">
        <f>IF(OR($A199="",N($G199)=0),"",$K199/$G199)</f>
        <v/>
      </c>
      <c r="M199" s="271" t="str">
        <f>IF(OR($A199="",N($F199)=0,N($G199)=0),"",$I199*$G199)</f>
        <v/>
      </c>
      <c r="N199" s="272" t="str">
        <f>IF(OR($M199="",N($K199)=0),"",$M199/$K199)</f>
        <v/>
      </c>
      <c r="O199" s="273" t="str">
        <f>IF($A199="","",IFERROR(1/(1/_xlfn.MAXIFS('05 Work done log'!$A$7:$A$506,'05 Work done log'!$B$7:$B$506,$A199)),"not yet"))</f>
        <v/>
      </c>
      <c r="P199" s="161"/>
      <c r="Q199" s="6"/>
      <c r="R199" s="6"/>
      <c r="S199" s="6"/>
      <c r="T199" s="6"/>
      <c r="U199" s="6"/>
      <c r="V199" s="6"/>
      <c r="W199" s="6"/>
      <c r="X199" s="6"/>
      <c r="Y199" s="6"/>
      <c r="Z199" s="6"/>
      <c r="AA199" s="6"/>
      <c r="AB199" s="6"/>
      <c r="AC199" s="6"/>
      <c r="AD199" s="6"/>
      <c r="AE199" s="6"/>
      <c r="AF199" s="6"/>
      <c r="AG199" s="6"/>
      <c r="AH199" s="6"/>
      <c r="AI199" s="6"/>
      <c r="AJ199" s="6"/>
    </row>
    <row r="200" spans="1:36" ht="18" customHeight="1" x14ac:dyDescent="0.3">
      <c r="A200" s="161"/>
      <c r="B200" s="161"/>
      <c r="C200" s="161"/>
      <c r="D200" s="161"/>
      <c r="E200" s="161"/>
      <c r="F200" s="267"/>
      <c r="G200" s="268"/>
      <c r="H200" s="269" t="str">
        <f>IF($A200="","",SUMIFS('05 Work done log'!$F$7:$F$506,'05 Work done log'!$B$7:$B$506,$A200))</f>
        <v/>
      </c>
      <c r="I200" s="270" t="str">
        <f>IF(OR($A200="",N($F200)=0),"",$H200/$F200)</f>
        <v/>
      </c>
      <c r="J200" s="269" t="str">
        <f>IF(OR($A200="",N($F200)=0),"",$F200-$H200)</f>
        <v/>
      </c>
      <c r="K200" s="271" t="str">
        <f>IF($A200="","",SUMIFS('04 Resource log'!$J$7:$J$506,'04 Resource log'!$B$7:$B$506,$A200,'04 Resource log'!$E$7:$E$506,"Labour"))</f>
        <v/>
      </c>
      <c r="L200" s="270" t="str">
        <f>IF(OR($A200="",N($G200)=0),"",$K200/$G200)</f>
        <v/>
      </c>
      <c r="M200" s="271" t="str">
        <f>IF(OR($A200="",N($F200)=0,N($G200)=0),"",$I200*$G200)</f>
        <v/>
      </c>
      <c r="N200" s="272" t="str">
        <f>IF(OR($M200="",N($K200)=0),"",$M200/$K200)</f>
        <v/>
      </c>
      <c r="O200" s="273" t="str">
        <f>IF($A200="","",IFERROR(1/(1/_xlfn.MAXIFS('05 Work done log'!$A$7:$A$506,'05 Work done log'!$B$7:$B$506,$A200)),"not yet"))</f>
        <v/>
      </c>
      <c r="P200" s="161"/>
      <c r="Q200" s="6"/>
      <c r="R200" s="6"/>
      <c r="S200" s="6"/>
      <c r="T200" s="6"/>
      <c r="U200" s="6"/>
      <c r="V200" s="6"/>
      <c r="W200" s="6"/>
      <c r="X200" s="6"/>
      <c r="Y200" s="6"/>
      <c r="Z200" s="6"/>
      <c r="AA200" s="6"/>
      <c r="AB200" s="6"/>
      <c r="AC200" s="6"/>
      <c r="AD200" s="6"/>
      <c r="AE200" s="6"/>
      <c r="AF200" s="6"/>
      <c r="AG200" s="6"/>
      <c r="AH200" s="6"/>
      <c r="AI200" s="6"/>
      <c r="AJ200" s="6"/>
    </row>
    <row r="201" spans="1:36" ht="18" customHeight="1" x14ac:dyDescent="0.3">
      <c r="A201" s="161"/>
      <c r="B201" s="161"/>
      <c r="C201" s="161"/>
      <c r="D201" s="161"/>
      <c r="E201" s="161"/>
      <c r="F201" s="267"/>
      <c r="G201" s="268"/>
      <c r="H201" s="269" t="str">
        <f>IF($A201="","",SUMIFS('05 Work done log'!$F$7:$F$506,'05 Work done log'!$B$7:$B$506,$A201))</f>
        <v/>
      </c>
      <c r="I201" s="270" t="str">
        <f>IF(OR($A201="",N($F201)=0),"",$H201/$F201)</f>
        <v/>
      </c>
      <c r="J201" s="269" t="str">
        <f>IF(OR($A201="",N($F201)=0),"",$F201-$H201)</f>
        <v/>
      </c>
      <c r="K201" s="271" t="str">
        <f>IF($A201="","",SUMIFS('04 Resource log'!$J$7:$J$506,'04 Resource log'!$B$7:$B$506,$A201,'04 Resource log'!$E$7:$E$506,"Labour"))</f>
        <v/>
      </c>
      <c r="L201" s="270" t="str">
        <f>IF(OR($A201="",N($G201)=0),"",$K201/$G201)</f>
        <v/>
      </c>
      <c r="M201" s="271" t="str">
        <f>IF(OR($A201="",N($F201)=0,N($G201)=0),"",$I201*$G201)</f>
        <v/>
      </c>
      <c r="N201" s="272" t="str">
        <f>IF(OR($M201="",N($K201)=0),"",$M201/$K201)</f>
        <v/>
      </c>
      <c r="O201" s="273" t="str">
        <f>IF($A201="","",IFERROR(1/(1/_xlfn.MAXIFS('05 Work done log'!$A$7:$A$506,'05 Work done log'!$B$7:$B$506,$A201)),"not yet"))</f>
        <v/>
      </c>
      <c r="P201" s="161"/>
      <c r="Q201" s="6"/>
      <c r="R201" s="6"/>
      <c r="S201" s="6"/>
      <c r="T201" s="6"/>
      <c r="U201" s="6"/>
      <c r="V201" s="6"/>
      <c r="W201" s="6"/>
      <c r="X201" s="6"/>
      <c r="Y201" s="6"/>
      <c r="Z201" s="6"/>
      <c r="AA201" s="6"/>
      <c r="AB201" s="6"/>
      <c r="AC201" s="6"/>
      <c r="AD201" s="6"/>
      <c r="AE201" s="6"/>
      <c r="AF201" s="6"/>
      <c r="AG201" s="6"/>
      <c r="AH201" s="6"/>
      <c r="AI201" s="6"/>
      <c r="AJ201" s="6"/>
    </row>
    <row r="202" spans="1:36" ht="18" customHeight="1" x14ac:dyDescent="0.3">
      <c r="A202" s="161"/>
      <c r="B202" s="161"/>
      <c r="C202" s="161"/>
      <c r="D202" s="161"/>
      <c r="E202" s="161"/>
      <c r="F202" s="267"/>
      <c r="G202" s="268"/>
      <c r="H202" s="269" t="str">
        <f>IF($A202="","",SUMIFS('05 Work done log'!$F$7:$F$506,'05 Work done log'!$B$7:$B$506,$A202))</f>
        <v/>
      </c>
      <c r="I202" s="270" t="str">
        <f>IF(OR($A202="",N($F202)=0),"",$H202/$F202)</f>
        <v/>
      </c>
      <c r="J202" s="269" t="str">
        <f>IF(OR($A202="",N($F202)=0),"",$F202-$H202)</f>
        <v/>
      </c>
      <c r="K202" s="271" t="str">
        <f>IF($A202="","",SUMIFS('04 Resource log'!$J$7:$J$506,'04 Resource log'!$B$7:$B$506,$A202,'04 Resource log'!$E$7:$E$506,"Labour"))</f>
        <v/>
      </c>
      <c r="L202" s="270" t="str">
        <f>IF(OR($A202="",N($G202)=0),"",$K202/$G202)</f>
        <v/>
      </c>
      <c r="M202" s="271" t="str">
        <f>IF(OR($A202="",N($F202)=0,N($G202)=0),"",$I202*$G202)</f>
        <v/>
      </c>
      <c r="N202" s="272" t="str">
        <f>IF(OR($M202="",N($K202)=0),"",$M202/$K202)</f>
        <v/>
      </c>
      <c r="O202" s="273" t="str">
        <f>IF($A202="","",IFERROR(1/(1/_xlfn.MAXIFS('05 Work done log'!$A$7:$A$506,'05 Work done log'!$B$7:$B$506,$A202)),"not yet"))</f>
        <v/>
      </c>
      <c r="P202" s="161"/>
      <c r="Q202" s="6"/>
      <c r="R202" s="6"/>
      <c r="S202" s="6"/>
      <c r="T202" s="6"/>
      <c r="U202" s="6"/>
      <c r="V202" s="6"/>
      <c r="W202" s="6"/>
      <c r="X202" s="6"/>
      <c r="Y202" s="6"/>
      <c r="Z202" s="6"/>
      <c r="AA202" s="6"/>
      <c r="AB202" s="6"/>
      <c r="AC202" s="6"/>
      <c r="AD202" s="6"/>
      <c r="AE202" s="6"/>
      <c r="AF202" s="6"/>
      <c r="AG202" s="6"/>
      <c r="AH202" s="6"/>
      <c r="AI202" s="6"/>
      <c r="AJ202" s="6"/>
    </row>
    <row r="203" spans="1:36" ht="18" customHeight="1" x14ac:dyDescent="0.3">
      <c r="A203" s="161"/>
      <c r="B203" s="161"/>
      <c r="C203" s="161"/>
      <c r="D203" s="161"/>
      <c r="E203" s="161"/>
      <c r="F203" s="267"/>
      <c r="G203" s="268"/>
      <c r="H203" s="269" t="str">
        <f>IF($A203="","",SUMIFS('05 Work done log'!$F$7:$F$506,'05 Work done log'!$B$7:$B$506,$A203))</f>
        <v/>
      </c>
      <c r="I203" s="270" t="str">
        <f>IF(OR($A203="",N($F203)=0),"",$H203/$F203)</f>
        <v/>
      </c>
      <c r="J203" s="269" t="str">
        <f>IF(OR($A203="",N($F203)=0),"",$F203-$H203)</f>
        <v/>
      </c>
      <c r="K203" s="271" t="str">
        <f>IF($A203="","",SUMIFS('04 Resource log'!$J$7:$J$506,'04 Resource log'!$B$7:$B$506,$A203,'04 Resource log'!$E$7:$E$506,"Labour"))</f>
        <v/>
      </c>
      <c r="L203" s="270" t="str">
        <f>IF(OR($A203="",N($G203)=0),"",$K203/$G203)</f>
        <v/>
      </c>
      <c r="M203" s="271" t="str">
        <f>IF(OR($A203="",N($F203)=0,N($G203)=0),"",$I203*$G203)</f>
        <v/>
      </c>
      <c r="N203" s="272" t="str">
        <f>IF(OR($M203="",N($K203)=0),"",$M203/$K203)</f>
        <v/>
      </c>
      <c r="O203" s="273" t="str">
        <f>IF($A203="","",IFERROR(1/(1/_xlfn.MAXIFS('05 Work done log'!$A$7:$A$506,'05 Work done log'!$B$7:$B$506,$A203)),"not yet"))</f>
        <v/>
      </c>
      <c r="P203" s="161"/>
      <c r="Q203" s="6"/>
      <c r="R203" s="6"/>
      <c r="S203" s="6"/>
      <c r="T203" s="6"/>
      <c r="U203" s="6"/>
      <c r="V203" s="6"/>
      <c r="W203" s="6"/>
      <c r="X203" s="6"/>
      <c r="Y203" s="6"/>
      <c r="Z203" s="6"/>
      <c r="AA203" s="6"/>
      <c r="AB203" s="6"/>
      <c r="AC203" s="6"/>
      <c r="AD203" s="6"/>
      <c r="AE203" s="6"/>
      <c r="AF203" s="6"/>
      <c r="AG203" s="6"/>
      <c r="AH203" s="6"/>
      <c r="AI203" s="6"/>
      <c r="AJ203" s="6"/>
    </row>
    <row r="204" spans="1:36" ht="18" customHeight="1" x14ac:dyDescent="0.3">
      <c r="A204" s="161"/>
      <c r="B204" s="161"/>
      <c r="C204" s="161"/>
      <c r="D204" s="161"/>
      <c r="E204" s="161"/>
      <c r="F204" s="267"/>
      <c r="G204" s="268"/>
      <c r="H204" s="269" t="str">
        <f>IF($A204="","",SUMIFS('05 Work done log'!$F$7:$F$506,'05 Work done log'!$B$7:$B$506,$A204))</f>
        <v/>
      </c>
      <c r="I204" s="270" t="str">
        <f>IF(OR($A204="",N($F204)=0),"",$H204/$F204)</f>
        <v/>
      </c>
      <c r="J204" s="269" t="str">
        <f>IF(OR($A204="",N($F204)=0),"",$F204-$H204)</f>
        <v/>
      </c>
      <c r="K204" s="271" t="str">
        <f>IF($A204="","",SUMIFS('04 Resource log'!$J$7:$J$506,'04 Resource log'!$B$7:$B$506,$A204,'04 Resource log'!$E$7:$E$506,"Labour"))</f>
        <v/>
      </c>
      <c r="L204" s="270" t="str">
        <f>IF(OR($A204="",N($G204)=0),"",$K204/$G204)</f>
        <v/>
      </c>
      <c r="M204" s="271" t="str">
        <f>IF(OR($A204="",N($F204)=0,N($G204)=0),"",$I204*$G204)</f>
        <v/>
      </c>
      <c r="N204" s="272" t="str">
        <f>IF(OR($M204="",N($K204)=0),"",$M204/$K204)</f>
        <v/>
      </c>
      <c r="O204" s="273" t="str">
        <f>IF($A204="","",IFERROR(1/(1/_xlfn.MAXIFS('05 Work done log'!$A$7:$A$506,'05 Work done log'!$B$7:$B$506,$A204)),"not yet"))</f>
        <v/>
      </c>
      <c r="P204" s="161"/>
      <c r="Q204" s="6"/>
      <c r="R204" s="6"/>
      <c r="S204" s="6"/>
      <c r="T204" s="6"/>
      <c r="U204" s="6"/>
      <c r="V204" s="6"/>
      <c r="W204" s="6"/>
      <c r="X204" s="6"/>
      <c r="Y204" s="6"/>
      <c r="Z204" s="6"/>
      <c r="AA204" s="6"/>
      <c r="AB204" s="6"/>
      <c r="AC204" s="6"/>
      <c r="AD204" s="6"/>
      <c r="AE204" s="6"/>
      <c r="AF204" s="6"/>
      <c r="AG204" s="6"/>
      <c r="AH204" s="6"/>
      <c r="AI204" s="6"/>
      <c r="AJ204" s="6"/>
    </row>
    <row r="205" spans="1:36" ht="18" customHeight="1" x14ac:dyDescent="0.3">
      <c r="A205" s="161"/>
      <c r="B205" s="161"/>
      <c r="C205" s="161"/>
      <c r="D205" s="161"/>
      <c r="E205" s="161"/>
      <c r="F205" s="267"/>
      <c r="G205" s="268"/>
      <c r="H205" s="269" t="str">
        <f>IF($A205="","",SUMIFS('05 Work done log'!$F$7:$F$506,'05 Work done log'!$B$7:$B$506,$A205))</f>
        <v/>
      </c>
      <c r="I205" s="270" t="str">
        <f>IF(OR($A205="",N($F205)=0),"",$H205/$F205)</f>
        <v/>
      </c>
      <c r="J205" s="269" t="str">
        <f>IF(OR($A205="",N($F205)=0),"",$F205-$H205)</f>
        <v/>
      </c>
      <c r="K205" s="271" t="str">
        <f>IF($A205="","",SUMIFS('04 Resource log'!$J$7:$J$506,'04 Resource log'!$B$7:$B$506,$A205,'04 Resource log'!$E$7:$E$506,"Labour"))</f>
        <v/>
      </c>
      <c r="L205" s="270" t="str">
        <f>IF(OR($A205="",N($G205)=0),"",$K205/$G205)</f>
        <v/>
      </c>
      <c r="M205" s="271" t="str">
        <f>IF(OR($A205="",N($F205)=0,N($G205)=0),"",$I205*$G205)</f>
        <v/>
      </c>
      <c r="N205" s="272" t="str">
        <f>IF(OR($M205="",N($K205)=0),"",$M205/$K205)</f>
        <v/>
      </c>
      <c r="O205" s="273" t="str">
        <f>IF($A205="","",IFERROR(1/(1/_xlfn.MAXIFS('05 Work done log'!$A$7:$A$506,'05 Work done log'!$B$7:$B$506,$A205)),"not yet"))</f>
        <v/>
      </c>
      <c r="P205" s="161"/>
      <c r="Q205" s="6"/>
      <c r="R205" s="6"/>
      <c r="S205" s="6"/>
      <c r="T205" s="6"/>
      <c r="U205" s="6"/>
      <c r="V205" s="6"/>
      <c r="W205" s="6"/>
      <c r="X205" s="6"/>
      <c r="Y205" s="6"/>
      <c r="Z205" s="6"/>
      <c r="AA205" s="6"/>
      <c r="AB205" s="6"/>
      <c r="AC205" s="6"/>
      <c r="AD205" s="6"/>
      <c r="AE205" s="6"/>
      <c r="AF205" s="6"/>
      <c r="AG205" s="6"/>
      <c r="AH205" s="6"/>
      <c r="AI205" s="6"/>
      <c r="AJ205" s="6"/>
    </row>
    <row r="206" spans="1:36" ht="18" customHeight="1" x14ac:dyDescent="0.3">
      <c r="A206" s="161"/>
      <c r="B206" s="161"/>
      <c r="C206" s="161"/>
      <c r="D206" s="161"/>
      <c r="E206" s="161"/>
      <c r="F206" s="267"/>
      <c r="G206" s="268"/>
      <c r="H206" s="269" t="str">
        <f>IF($A206="","",SUMIFS('05 Work done log'!$F$7:$F$506,'05 Work done log'!$B$7:$B$506,$A206))</f>
        <v/>
      </c>
      <c r="I206" s="270" t="str">
        <f>IF(OR($A206="",N($F206)=0),"",$H206/$F206)</f>
        <v/>
      </c>
      <c r="J206" s="269" t="str">
        <f>IF(OR($A206="",N($F206)=0),"",$F206-$H206)</f>
        <v/>
      </c>
      <c r="K206" s="271" t="str">
        <f>IF($A206="","",SUMIFS('04 Resource log'!$J$7:$J$506,'04 Resource log'!$B$7:$B$506,$A206,'04 Resource log'!$E$7:$E$506,"Labour"))</f>
        <v/>
      </c>
      <c r="L206" s="270" t="str">
        <f>IF(OR($A206="",N($G206)=0),"",$K206/$G206)</f>
        <v/>
      </c>
      <c r="M206" s="271" t="str">
        <f>IF(OR($A206="",N($F206)=0,N($G206)=0),"",$I206*$G206)</f>
        <v/>
      </c>
      <c r="N206" s="272" t="str">
        <f>IF(OR($M206="",N($K206)=0),"",$M206/$K206)</f>
        <v/>
      </c>
      <c r="O206" s="273" t="str">
        <f>IF($A206="","",IFERROR(1/(1/_xlfn.MAXIFS('05 Work done log'!$A$7:$A$506,'05 Work done log'!$B$7:$B$506,$A206)),"not yet"))</f>
        <v/>
      </c>
      <c r="P206" s="161"/>
      <c r="Q206" s="6"/>
      <c r="R206" s="6"/>
      <c r="S206" s="6"/>
      <c r="T206" s="6"/>
      <c r="U206" s="6"/>
      <c r="V206" s="6"/>
      <c r="W206" s="6"/>
      <c r="X206" s="6"/>
      <c r="Y206" s="6"/>
      <c r="Z206" s="6"/>
      <c r="AA206" s="6"/>
      <c r="AB206" s="6"/>
      <c r="AC206" s="6"/>
      <c r="AD206" s="6"/>
      <c r="AE206" s="6"/>
      <c r="AF206" s="6"/>
      <c r="AG206" s="6"/>
      <c r="AH206" s="6"/>
      <c r="AI206" s="6"/>
      <c r="AJ206" s="6"/>
    </row>
    <row r="207" spans="1:3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spans="1:3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row>
    <row r="209" spans="1:3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row>
    <row r="210" spans="1:3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row>
    <row r="211" spans="1:3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row>
    <row r="212" spans="1:3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spans="1:3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row>
    <row r="214" spans="1:3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spans="1:3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row>
    <row r="216" spans="1:3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row>
    <row r="217" spans="1:3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row>
    <row r="218" spans="1:3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row>
    <row r="219" spans="1:3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row>
    <row r="220" spans="1:3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row>
    <row r="221" spans="1:3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row>
    <row r="222" spans="1:3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row>
    <row r="223" spans="1:3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row>
    <row r="224" spans="1:3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row>
    <row r="225" spans="1:3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row>
    <row r="226" spans="1:3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row>
    <row r="227" spans="1:3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row>
    <row r="228" spans="1:3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row>
    <row r="229" spans="1:3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row>
    <row r="230" spans="1:3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row>
    <row r="231" spans="1:3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row>
    <row r="232" spans="1:3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row>
    <row r="233" spans="1:3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row>
    <row r="234" spans="1:3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row>
    <row r="235" spans="1:3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row>
    <row r="236" spans="1:3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row>
    <row r="237" spans="1:3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row>
    <row r="238" spans="1:3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row>
    <row r="239" spans="1:3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row>
    <row r="240" spans="1:3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row>
    <row r="241" spans="1:3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row>
    <row r="242" spans="1:3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row>
    <row r="243" spans="1:3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row>
    <row r="244" spans="1:3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row>
    <row r="245" spans="1:3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row>
    <row r="246" spans="1:3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row>
    <row r="247" spans="1:3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row>
    <row r="248" spans="1:3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row>
    <row r="249" spans="1:3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row>
    <row r="250" spans="1:3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row>
    <row r="251" spans="1:3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row>
    <row r="252" spans="1:3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row>
    <row r="253" spans="1:3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row>
    <row r="254" spans="1:3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row>
    <row r="255" spans="1:3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row>
    <row r="256" spans="1:3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row>
    <row r="257" spans="1:3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row>
    <row r="258" spans="1:3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row>
    <row r="259" spans="1:3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row>
    <row r="260" spans="1:3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row>
    <row r="261" spans="1:3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row>
    <row r="262" spans="1:3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row>
    <row r="263" spans="1:3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row>
    <row r="264" spans="1:3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row>
    <row r="265" spans="1:3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row>
    <row r="266" spans="1:3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row>
    <row r="267" spans="1:3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row>
    <row r="268" spans="1:3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row>
    <row r="269" spans="1:3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row>
    <row r="270" spans="1:3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row>
    <row r="271" spans="1:3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row>
    <row r="272" spans="1:3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row>
    <row r="273" spans="1:3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row>
    <row r="274" spans="1:3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row>
    <row r="275" spans="1:3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row>
    <row r="276" spans="1:3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row>
    <row r="277" spans="1:3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row>
    <row r="278" spans="1:3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row>
    <row r="279" spans="1:3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row>
    <row r="280" spans="1:3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row>
    <row r="281" spans="1:3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row>
    <row r="282" spans="1:3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row>
    <row r="283" spans="1:3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row>
    <row r="284" spans="1:3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row>
    <row r="285" spans="1:3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row>
    <row r="286" spans="1:3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row>
    <row r="287" spans="1:3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row>
    <row r="288" spans="1:3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row>
    <row r="289" spans="1:3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row>
    <row r="290" spans="1:3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row>
    <row r="291" spans="1:3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row>
    <row r="292" spans="1:3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row>
    <row r="293" spans="1:3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row>
    <row r="294" spans="1:3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row>
    <row r="295" spans="1:3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row>
    <row r="296" spans="1:3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row>
    <row r="297" spans="1:3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row>
    <row r="298" spans="1:3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row>
    <row r="299" spans="1:3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row>
    <row r="300" spans="1:3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row>
    <row r="301" spans="1:3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row>
    <row r="302" spans="1:3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row>
    <row r="303" spans="1:3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row>
    <row r="304" spans="1:3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row>
    <row r="305" spans="1:3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row>
    <row r="306" spans="1:3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row>
    <row r="307" spans="1:3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row>
    <row r="308" spans="1:3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row>
    <row r="309" spans="1:3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row>
    <row r="310" spans="1:3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row>
    <row r="311" spans="1:3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row>
    <row r="312" spans="1:3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row>
    <row r="313" spans="1:3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row>
    <row r="314" spans="1:3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row>
    <row r="315" spans="1:3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row>
    <row r="316" spans="1:3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row>
    <row r="317" spans="1:3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row>
    <row r="318" spans="1:3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row>
    <row r="319" spans="1:3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row>
    <row r="320" spans="1:3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row>
    <row r="321" spans="1:3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row>
    <row r="322" spans="1:3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row>
    <row r="323" spans="1:3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row>
    <row r="324" spans="1:3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row>
    <row r="325" spans="1:3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row>
    <row r="326" spans="1:3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row>
    <row r="327" spans="1:3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row>
    <row r="328" spans="1:3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row>
    <row r="329" spans="1:3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row>
    <row r="330" spans="1:3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row>
    <row r="331" spans="1:3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row>
    <row r="332" spans="1:3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row>
    <row r="333" spans="1:3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row>
    <row r="334" spans="1:3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row>
    <row r="335" spans="1:3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row>
    <row r="336" spans="1:3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row>
    <row r="337" spans="1:3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row>
    <row r="338" spans="1:3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row>
    <row r="339" spans="1:3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row>
    <row r="340" spans="1:3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row>
    <row r="341" spans="1:3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row>
    <row r="342" spans="1:3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row>
    <row r="343" spans="1:3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row>
    <row r="344" spans="1:3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row>
    <row r="345" spans="1:3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row>
    <row r="346" spans="1:3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row>
    <row r="347" spans="1:3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row>
    <row r="348" spans="1:3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row>
    <row r="349" spans="1:3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row>
    <row r="350" spans="1:3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row>
    <row r="351" spans="1:3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row>
    <row r="352" spans="1:3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row>
    <row r="353" spans="1:3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row>
    <row r="354" spans="1:3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row>
    <row r="355" spans="1:3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row>
    <row r="356" spans="1:3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row>
    <row r="357" spans="1:3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row>
    <row r="358" spans="1:3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row>
    <row r="359" spans="1:3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row>
    <row r="360" spans="1:3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row>
    <row r="361" spans="1:3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row>
    <row r="362" spans="1:3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row>
    <row r="363" spans="1:3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row>
    <row r="364" spans="1:3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row>
    <row r="365" spans="1:3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row>
    <row r="366" spans="1:3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row>
    <row r="367" spans="1:3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row>
    <row r="368" spans="1:3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row>
    <row r="369" spans="1:3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row>
    <row r="370" spans="1:3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row>
    <row r="371" spans="1:3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row>
    <row r="372" spans="1:3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row>
    <row r="373" spans="1:3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row>
    <row r="374" spans="1:3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row>
    <row r="375" spans="1:3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row>
    <row r="376" spans="1:3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row>
    <row r="377" spans="1:3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row>
    <row r="378" spans="1:3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row>
    <row r="379" spans="1:3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row>
    <row r="380" spans="1:3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row>
    <row r="381" spans="1:3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row>
    <row r="382" spans="1:3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row>
    <row r="383" spans="1:3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row>
    <row r="384" spans="1:3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row>
    <row r="385" spans="1:3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row>
    <row r="386" spans="1:3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row>
    <row r="387" spans="1:3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row>
    <row r="388" spans="1:3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row>
    <row r="389" spans="1:3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row>
    <row r="390" spans="1:3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row>
    <row r="391" spans="1:3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row>
    <row r="392" spans="1:3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row>
    <row r="393" spans="1:3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row>
    <row r="394" spans="1:3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row>
    <row r="395" spans="1:3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row>
    <row r="396" spans="1:3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row>
    <row r="397" spans="1:3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row>
    <row r="398" spans="1:3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row>
    <row r="399" spans="1:3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row>
    <row r="400" spans="1:3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row>
    <row r="401" spans="1:3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row>
    <row r="402" spans="1:3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row>
    <row r="403" spans="1:3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row>
    <row r="404" spans="1:3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row>
    <row r="405" spans="1:3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row>
    <row r="406" spans="1:3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row>
    <row r="407" spans="1:3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row>
    <row r="408" spans="1:3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row>
    <row r="409" spans="1:3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row>
    <row r="410" spans="1:3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row>
    <row r="411" spans="1:3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row>
    <row r="412" spans="1:3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row>
    <row r="413" spans="1:3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row>
    <row r="414" spans="1:3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row>
    <row r="415" spans="1:3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row>
    <row r="416" spans="1:3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row>
    <row r="417" spans="1:3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row>
    <row r="418" spans="1:3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row>
    <row r="419" spans="1:3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row>
    <row r="420" spans="1:3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row>
    <row r="421" spans="1:3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row>
    <row r="422" spans="1:3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row>
    <row r="423" spans="1:3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row>
    <row r="424" spans="1:3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row>
    <row r="425" spans="1:3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row>
    <row r="426" spans="1:3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row>
    <row r="427" spans="1:3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row>
    <row r="428" spans="1:3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row>
    <row r="429" spans="1:3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row>
    <row r="430" spans="1:3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row>
    <row r="431" spans="1:3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row>
    <row r="432" spans="1:3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row>
    <row r="433" spans="1:3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row>
    <row r="434" spans="1:3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row>
    <row r="435" spans="1:3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row>
    <row r="436" spans="1:3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row>
    <row r="437" spans="1:3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row>
    <row r="438" spans="1:3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row>
    <row r="439" spans="1:3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row>
    <row r="440" spans="1:3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row>
    <row r="441" spans="1:3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row>
    <row r="442" spans="1:3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row>
    <row r="443" spans="1:3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row>
    <row r="444" spans="1:3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row>
    <row r="445" spans="1:3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row>
    <row r="446" spans="1:3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row>
    <row r="447" spans="1:3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row>
    <row r="448" spans="1:3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row>
    <row r="449" spans="1:3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row>
    <row r="450" spans="1:3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row>
    <row r="451" spans="1:3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row>
    <row r="452" spans="1:3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row>
    <row r="453" spans="1:3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row>
    <row r="454" spans="1:3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row>
    <row r="455" spans="1:3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row>
    <row r="456" spans="1:3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row>
    <row r="457" spans="1:3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row>
    <row r="458" spans="1:3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row>
    <row r="459" spans="1:3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row>
    <row r="460" spans="1:3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row>
    <row r="461" spans="1:3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row>
    <row r="462" spans="1:3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row>
    <row r="463" spans="1:3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row>
    <row r="464" spans="1:3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row>
    <row r="465" spans="1:3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row>
    <row r="466" spans="1:3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row>
    <row r="467" spans="1:3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row>
    <row r="468" spans="1:3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row>
    <row r="469" spans="1:3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row>
    <row r="470" spans="1:3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row>
    <row r="471" spans="1:3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row>
    <row r="472" spans="1:3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row>
    <row r="473" spans="1:3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row>
    <row r="474" spans="1:3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row>
    <row r="475" spans="1:3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row>
    <row r="476" spans="1:3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row>
    <row r="477" spans="1:3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row>
    <row r="478" spans="1:3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row>
    <row r="479" spans="1:3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row>
    <row r="480" spans="1:3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row>
    <row r="481" spans="1:3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row>
    <row r="482" spans="1:3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row>
    <row r="483" spans="1:3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row>
    <row r="484" spans="1:3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row>
    <row r="485" spans="1:3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row>
    <row r="486" spans="1:3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row>
    <row r="487" spans="1:3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row>
    <row r="488" spans="1:3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row>
    <row r="489" spans="1:3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row>
    <row r="490" spans="1:3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row>
    <row r="491" spans="1:3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row>
    <row r="492" spans="1:3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row>
    <row r="493" spans="1:3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row>
    <row r="494" spans="1:3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row>
    <row r="495" spans="1:3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row>
    <row r="496" spans="1:3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row>
    <row r="497" spans="1:3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row>
    <row r="498" spans="1:3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row>
    <row r="499" spans="1:3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row>
    <row r="500" spans="1:3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row>
    <row r="501" spans="1:3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row>
    <row r="502" spans="1:3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row>
    <row r="503" spans="1:3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row>
    <row r="504" spans="1:3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row>
    <row r="505" spans="1:3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row>
    <row r="506" spans="1:3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row>
    <row r="507" spans="1:3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row>
    <row r="508" spans="1:3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row>
    <row r="509" spans="1:3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row>
    <row r="510" spans="1:3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row>
    <row r="511" spans="1:3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row>
    <row r="512" spans="1:3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row>
    <row r="513" spans="1:3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row>
    <row r="514" spans="1:3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row>
    <row r="515" spans="1:3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row>
    <row r="516" spans="1:3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row>
    <row r="517" spans="1:3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row>
    <row r="518" spans="1:3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row>
    <row r="519" spans="1:3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row>
    <row r="520" spans="1:3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row>
    <row r="521" spans="1:3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row>
    <row r="522" spans="1:3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row>
    <row r="523" spans="1:3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row>
    <row r="524" spans="1:3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row>
    <row r="525" spans="1:3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row>
    <row r="526" spans="1:3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row>
    <row r="527" spans="1:3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row>
    <row r="528" spans="1:3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row>
    <row r="529" spans="1:3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row>
    <row r="530" spans="1:3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row>
    <row r="531" spans="1:3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row>
    <row r="532" spans="1:3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row>
    <row r="533" spans="1:3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row>
    <row r="534" spans="1:3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row>
    <row r="535" spans="1:3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row>
    <row r="536" spans="1:3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row>
    <row r="537" spans="1:3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row>
    <row r="538" spans="1:3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row>
    <row r="539" spans="1:3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row>
    <row r="540" spans="1:3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row>
    <row r="541" spans="1:3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row>
    <row r="542" spans="1:3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row>
    <row r="543" spans="1:3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row>
    <row r="544" spans="1:3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row>
    <row r="545" spans="1:3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row>
    <row r="546" spans="1:3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row>
    <row r="547" spans="1:3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row>
    <row r="548" spans="1:3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row>
    <row r="549" spans="1:3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row>
    <row r="550" spans="1:3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row>
    <row r="551" spans="1:3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row>
    <row r="552" spans="1:3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row>
    <row r="553" spans="1:3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row>
    <row r="554" spans="1:3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row>
    <row r="555" spans="1:3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row>
    <row r="556" spans="1:3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row>
    <row r="557" spans="1:3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row>
    <row r="558" spans="1:3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row>
    <row r="559" spans="1:3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row>
    <row r="560" spans="1:3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row>
    <row r="561" spans="1:3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row>
    <row r="562" spans="1:3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row>
    <row r="563" spans="1:3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row>
    <row r="564" spans="1:3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row>
    <row r="565" spans="1:3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row>
    <row r="566" spans="1:3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row>
    <row r="567" spans="1:3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row>
    <row r="568" spans="1:3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row>
    <row r="569" spans="1:3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row>
    <row r="570" spans="1:3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row>
    <row r="571" spans="1:3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row>
    <row r="572" spans="1:3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row>
    <row r="573" spans="1:3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row>
    <row r="574" spans="1:3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row>
    <row r="575" spans="1:3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row>
    <row r="576" spans="1:3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row>
    <row r="577" spans="1:3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row>
    <row r="578" spans="1:3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row>
    <row r="579" spans="1:3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row>
    <row r="580" spans="1:3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row>
    <row r="581" spans="1:3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row>
    <row r="582" spans="1:3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row>
    <row r="583" spans="1:3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row>
    <row r="584" spans="1:3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row>
    <row r="585" spans="1:3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row>
    <row r="586" spans="1:3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row>
    <row r="587" spans="1:3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row>
    <row r="588" spans="1:3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row>
    <row r="589" spans="1:3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row>
    <row r="590" spans="1:3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row>
    <row r="591" spans="1:3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row>
    <row r="592" spans="1:3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row>
    <row r="593" spans="1:3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row>
    <row r="594" spans="1:3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row>
    <row r="595" spans="1:3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row>
    <row r="596" spans="1:3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row>
    <row r="597" spans="1:3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row>
    <row r="598" spans="1:3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row>
    <row r="599" spans="1:3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row>
    <row r="600" spans="1:3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row>
    <row r="601" spans="1:3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row>
    <row r="602" spans="1:3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row>
    <row r="603" spans="1:3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row>
    <row r="604" spans="1:3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row>
    <row r="605" spans="1:3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row>
    <row r="606" spans="1:3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row>
    <row r="607" spans="1:3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row>
    <row r="608" spans="1:3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row>
    <row r="609" spans="1:3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row>
    <row r="610" spans="1:3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row>
    <row r="611" spans="1:3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row>
    <row r="612" spans="1:3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row>
    <row r="613" spans="1:3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row>
    <row r="614" spans="1:3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row>
    <row r="615" spans="1:3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row>
    <row r="616" spans="1:3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row>
    <row r="617" spans="1:3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row>
    <row r="618" spans="1:3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row>
    <row r="619" spans="1:3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row>
    <row r="620" spans="1:3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row>
    <row r="621" spans="1:3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row>
    <row r="622" spans="1:3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row>
    <row r="623" spans="1:3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row>
    <row r="624" spans="1:3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row>
    <row r="625" spans="1:3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row>
    <row r="626" spans="1:3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row>
    <row r="627" spans="1:3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row>
    <row r="628" spans="1:3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row>
    <row r="629" spans="1:3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row>
    <row r="630" spans="1:3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row>
    <row r="631" spans="1:3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row>
    <row r="632" spans="1:3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row>
    <row r="633" spans="1:3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row>
    <row r="634" spans="1:3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row>
    <row r="635" spans="1:3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row>
    <row r="636" spans="1:3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row>
    <row r="637" spans="1:3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row>
    <row r="638" spans="1:3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row>
    <row r="639" spans="1:3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row>
    <row r="640" spans="1:3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row>
    <row r="641" spans="1:3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row>
    <row r="642" spans="1:3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row>
    <row r="643" spans="1:3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row>
    <row r="644" spans="1:3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row>
    <row r="645" spans="1:3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row>
    <row r="646" spans="1:3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row>
    <row r="647" spans="1:3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row>
    <row r="648" spans="1:3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row>
    <row r="649" spans="1:3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row>
    <row r="650" spans="1:3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row>
    <row r="651" spans="1:3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row>
    <row r="652" spans="1:3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row>
    <row r="653" spans="1:3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row>
    <row r="654" spans="1:3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row>
    <row r="655" spans="1:3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row>
    <row r="656" spans="1:3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row>
    <row r="657" spans="1:3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row>
    <row r="658" spans="1:3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row>
    <row r="659" spans="1:3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row>
    <row r="660" spans="1:3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row>
    <row r="661" spans="1:3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row>
    <row r="662" spans="1:3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row>
    <row r="663" spans="1:3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row>
    <row r="664" spans="1:3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row>
    <row r="665" spans="1:3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row>
    <row r="666" spans="1:3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row>
    <row r="667" spans="1:3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row>
    <row r="668" spans="1:3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row>
    <row r="669" spans="1:3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row>
    <row r="670" spans="1:3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row>
    <row r="671" spans="1:3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row>
    <row r="672" spans="1:3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row>
    <row r="673" spans="1:3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row>
    <row r="674" spans="1:3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row>
    <row r="675" spans="1:3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row>
    <row r="676" spans="1:3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row>
    <row r="677" spans="1:3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row>
    <row r="678" spans="1:3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row>
    <row r="679" spans="1:3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row>
    <row r="680" spans="1:3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row>
    <row r="681" spans="1:3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row>
    <row r="682" spans="1:3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row>
    <row r="683" spans="1:3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row>
    <row r="684" spans="1:3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row>
    <row r="685" spans="1:3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row>
    <row r="686" spans="1:3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row>
    <row r="687" spans="1:3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row>
    <row r="688" spans="1:3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row>
    <row r="689" spans="1:3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row>
    <row r="690" spans="1:3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row>
    <row r="691" spans="1:3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row>
    <row r="692" spans="1:3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row>
    <row r="693" spans="1:3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row>
    <row r="694" spans="1:3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row>
    <row r="695" spans="1:3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row>
    <row r="696" spans="1:3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row>
    <row r="697" spans="1:3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row>
    <row r="698" spans="1:3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row>
    <row r="699" spans="1:3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row>
    <row r="700" spans="1:3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row>
    <row r="701" spans="1:3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row>
    <row r="702" spans="1:3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row>
    <row r="703" spans="1:3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row>
    <row r="704" spans="1:3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row>
    <row r="705" spans="1:3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row>
    <row r="706" spans="1:3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row>
    <row r="707" spans="1:3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row>
    <row r="708" spans="1:3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row>
    <row r="709" spans="1:3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row>
    <row r="710" spans="1:3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row>
    <row r="711" spans="1:3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row>
    <row r="712" spans="1:3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row>
    <row r="713" spans="1:3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row>
    <row r="714" spans="1:3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row>
    <row r="715" spans="1:3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row>
    <row r="716" spans="1:3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row>
    <row r="717" spans="1:3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row>
    <row r="718" spans="1:3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row>
    <row r="719" spans="1:3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row>
    <row r="720" spans="1:3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row>
    <row r="721" spans="1:3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row>
    <row r="722" spans="1:3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row>
    <row r="723" spans="1:3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row>
    <row r="724" spans="1:3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row>
    <row r="725" spans="1:3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row>
    <row r="726" spans="1:3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row>
    <row r="727" spans="1:3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row>
    <row r="728" spans="1:3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row>
    <row r="729" spans="1:3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row>
    <row r="730" spans="1:3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row>
    <row r="731" spans="1:3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row>
    <row r="732" spans="1:3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row>
    <row r="733" spans="1:3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row>
    <row r="734" spans="1:3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row>
    <row r="735" spans="1:3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row>
    <row r="736" spans="1:3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row>
    <row r="737" spans="1:3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row>
    <row r="738" spans="1:3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row>
    <row r="739" spans="1:3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row>
    <row r="740" spans="1:3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row>
    <row r="741" spans="1:3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row>
    <row r="742" spans="1:3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row>
    <row r="743" spans="1:3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row>
    <row r="744" spans="1:3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row>
    <row r="745" spans="1:3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row>
    <row r="746" spans="1:3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row>
    <row r="747" spans="1:3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row>
    <row r="748" spans="1:3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row>
    <row r="749" spans="1:3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row>
    <row r="750" spans="1:3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row>
    <row r="751" spans="1:3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row>
    <row r="752" spans="1:3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row>
    <row r="753" spans="1:3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row>
    <row r="754" spans="1:3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row>
    <row r="755" spans="1:3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row>
    <row r="756" spans="1:3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row>
    <row r="757" spans="1:3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row>
    <row r="758" spans="1:3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row>
    <row r="759" spans="1:3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row>
    <row r="760" spans="1:3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row>
    <row r="761" spans="1:3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row>
    <row r="762" spans="1:3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row>
    <row r="763" spans="1:3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row>
    <row r="764" spans="1:3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row>
    <row r="765" spans="1:3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row>
    <row r="766" spans="1:3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row>
    <row r="767" spans="1:3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row>
    <row r="768" spans="1:3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row>
    <row r="769" spans="1:3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row>
    <row r="770" spans="1:3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row>
    <row r="771" spans="1:3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row>
    <row r="772" spans="1:3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row>
    <row r="773" spans="1:3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row>
    <row r="774" spans="1:3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row>
    <row r="775" spans="1:3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row>
    <row r="776" spans="1:3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row>
    <row r="777" spans="1:3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row>
    <row r="778" spans="1:3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row>
    <row r="779" spans="1:3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row>
    <row r="780" spans="1:3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row>
    <row r="781" spans="1:3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row>
    <row r="782" spans="1:3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row>
    <row r="783" spans="1:3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row>
    <row r="784" spans="1:3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row>
    <row r="785" spans="1:3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row>
    <row r="786" spans="1:3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row>
    <row r="787" spans="1:3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row>
    <row r="788" spans="1:3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row>
    <row r="789" spans="1:3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row>
    <row r="790" spans="1:3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row>
    <row r="791" spans="1:3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row>
    <row r="792" spans="1:3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row>
    <row r="793" spans="1:3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row>
    <row r="794" spans="1:3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row>
    <row r="795" spans="1:3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row>
    <row r="796" spans="1:3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row>
    <row r="797" spans="1:3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row>
    <row r="798" spans="1:3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row>
    <row r="799" spans="1:3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row>
    <row r="800" spans="1:3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row>
    <row r="801" spans="1:3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row>
    <row r="802" spans="1:3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row>
    <row r="803" spans="1:3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row>
    <row r="804" spans="1:3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row>
    <row r="805" spans="1:3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row>
    <row r="806" spans="1:3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row>
    <row r="807" spans="1:3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row>
    <row r="808" spans="1:3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row>
    <row r="809" spans="1:3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row>
    <row r="810" spans="1:3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row>
    <row r="811" spans="1:3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row>
    <row r="812" spans="1:3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row>
    <row r="813" spans="1:3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row>
    <row r="814" spans="1:3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row>
    <row r="815" spans="1:3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row>
    <row r="816" spans="1:3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row>
    <row r="817" spans="1:3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row>
    <row r="818" spans="1:3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row>
    <row r="819" spans="1:3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row>
    <row r="820" spans="1:3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row>
    <row r="821" spans="1:3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row>
    <row r="822" spans="1:3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row>
    <row r="823" spans="1:3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row>
    <row r="824" spans="1:3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row>
    <row r="825" spans="1:3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row>
    <row r="826" spans="1:3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row>
    <row r="827" spans="1:3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row>
    <row r="828" spans="1:3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row>
    <row r="829" spans="1:3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row>
    <row r="830" spans="1:3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row>
    <row r="831" spans="1:3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row>
    <row r="832" spans="1:3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row>
    <row r="833" spans="1:3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row>
    <row r="834" spans="1:3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row>
    <row r="835" spans="1:3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row>
    <row r="836" spans="1:3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row>
    <row r="837" spans="1:3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row>
    <row r="838" spans="1:3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row>
    <row r="839" spans="1:3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row>
    <row r="840" spans="1:3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row>
    <row r="841" spans="1:3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row>
    <row r="842" spans="1:3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row>
    <row r="843" spans="1:3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row>
    <row r="844" spans="1:3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row>
    <row r="845" spans="1:3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row>
    <row r="846" spans="1:3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row>
    <row r="847" spans="1:3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row>
    <row r="848" spans="1:3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row>
    <row r="849" spans="1:3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row>
    <row r="850" spans="1:3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row>
    <row r="851" spans="1:3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row>
    <row r="852" spans="1:3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row>
    <row r="853" spans="1:3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row>
    <row r="854" spans="1:3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row>
    <row r="855" spans="1:3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row>
    <row r="856" spans="1:3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row>
    <row r="857" spans="1:3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row>
    <row r="858" spans="1:3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row>
    <row r="859" spans="1:3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row>
    <row r="860" spans="1:3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row>
    <row r="861" spans="1:3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row>
    <row r="862" spans="1:3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row>
    <row r="863" spans="1:3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row>
    <row r="864" spans="1:3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row>
    <row r="865" spans="1:3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row>
    <row r="866" spans="1:3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row>
    <row r="867" spans="1:3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row>
    <row r="868" spans="1:3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row>
    <row r="869" spans="1:3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row>
    <row r="870" spans="1:3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row>
    <row r="871" spans="1:3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row>
    <row r="872" spans="1:3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row>
    <row r="873" spans="1:3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row>
    <row r="874" spans="1:3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row>
    <row r="875" spans="1:3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row>
    <row r="876" spans="1:3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row>
    <row r="877" spans="1:3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row>
    <row r="878" spans="1:3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row>
    <row r="879" spans="1:3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row>
    <row r="880" spans="1:3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row>
    <row r="881" spans="1:3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row>
    <row r="882" spans="1:3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row>
    <row r="883" spans="1:3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row>
    <row r="884" spans="1:3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row>
    <row r="885" spans="1:3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row>
    <row r="886" spans="1:3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row>
    <row r="887" spans="1:3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row>
    <row r="888" spans="1:3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row>
    <row r="889" spans="1:3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row>
    <row r="890" spans="1:3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row>
    <row r="891" spans="1:3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row>
    <row r="892" spans="1:3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row>
    <row r="893" spans="1:3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row>
    <row r="894" spans="1:3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row>
    <row r="895" spans="1:3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row>
    <row r="896" spans="1:3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row>
    <row r="897" spans="1:3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row>
    <row r="898" spans="1:3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row>
    <row r="899" spans="1:3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row>
    <row r="900" spans="1:3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row>
    <row r="901" spans="1:3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row>
    <row r="902" spans="1:3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row>
    <row r="903" spans="1:3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row>
    <row r="904" spans="1:3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row>
    <row r="905" spans="1:3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row>
    <row r="906" spans="1:3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row>
    <row r="907" spans="1:3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row>
    <row r="908" spans="1:3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row>
    <row r="909" spans="1:3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row>
    <row r="910" spans="1:3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row>
    <row r="911" spans="1:3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row>
    <row r="912" spans="1:3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row>
    <row r="913" spans="1:3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row>
    <row r="914" spans="1:3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row>
    <row r="915" spans="1:3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row>
    <row r="916" spans="1:3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row>
    <row r="917" spans="1:3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row>
    <row r="918" spans="1:3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row>
    <row r="919" spans="1:3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row>
    <row r="920" spans="1:3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row>
    <row r="921" spans="1:3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row>
    <row r="922" spans="1:3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row>
    <row r="923" spans="1:3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row>
    <row r="924" spans="1:3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row>
    <row r="925" spans="1:3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row>
    <row r="926" spans="1:3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row>
    <row r="927" spans="1:3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row>
    <row r="928" spans="1:3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row>
    <row r="929" spans="1:3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row>
    <row r="930" spans="1:3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row>
    <row r="931" spans="1:3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row>
    <row r="932" spans="1:3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row>
    <row r="933" spans="1:3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row>
    <row r="934" spans="1:3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row>
    <row r="935" spans="1:3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row>
    <row r="936" spans="1:3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row>
    <row r="937" spans="1:3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row>
    <row r="938" spans="1:3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row>
    <row r="939" spans="1:3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row>
    <row r="940" spans="1:3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row>
    <row r="941" spans="1:3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row>
    <row r="942" spans="1:3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row>
    <row r="943" spans="1:3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row>
    <row r="944" spans="1:3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row>
    <row r="945" spans="1:3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row>
    <row r="946" spans="1:3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row>
    <row r="947" spans="1:3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row>
    <row r="948" spans="1:3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row>
    <row r="949" spans="1:3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row>
    <row r="950" spans="1:3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row>
    <row r="951" spans="1:3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row>
    <row r="952" spans="1:3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row>
    <row r="953" spans="1:3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row>
    <row r="954" spans="1:3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row>
    <row r="955" spans="1:3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row>
    <row r="956" spans="1:3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row>
    <row r="957" spans="1:3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row>
    <row r="958" spans="1:3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row>
    <row r="959" spans="1:3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row>
    <row r="960" spans="1:3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row>
    <row r="961" spans="1:3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row>
    <row r="962" spans="1:3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row>
    <row r="963" spans="1:3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row>
    <row r="964" spans="1:3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row>
    <row r="965" spans="1:3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row>
    <row r="966" spans="1:3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row>
    <row r="967" spans="1:3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row>
    <row r="968" spans="1:3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row>
    <row r="969" spans="1:3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row>
    <row r="970" spans="1:3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row>
    <row r="971" spans="1:3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row>
    <row r="972" spans="1:3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row>
    <row r="973" spans="1:3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row>
    <row r="974" spans="1:3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row>
    <row r="975" spans="1:3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row>
    <row r="976" spans="1:3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row>
    <row r="977" spans="1:3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row>
    <row r="978" spans="1:3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row>
    <row r="979" spans="1:3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row>
    <row r="980" spans="1:3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row>
    <row r="981" spans="1:3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row>
    <row r="982" spans="1:3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row>
    <row r="983" spans="1:3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row>
    <row r="984" spans="1:3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row>
    <row r="985" spans="1:3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row>
    <row r="986" spans="1:3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row>
    <row r="987" spans="1:3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row>
    <row r="988" spans="1:3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row>
    <row r="989" spans="1:3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row>
    <row r="990" spans="1:3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row>
    <row r="991" spans="1:3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row>
    <row r="992" spans="1:3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row>
    <row r="993" spans="1:3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row>
    <row r="994" spans="1:3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row>
    <row r="995" spans="1:3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row>
    <row r="996" spans="1:3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row>
    <row r="997" spans="1:3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row>
    <row r="998" spans="1:3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row>
    <row r="999" spans="1:3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row>
    <row r="1000" spans="1:3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row>
  </sheetData>
  <sheetProtection sheet="1" formatCells="0" formatColumns="0" formatRows="0" insertColumns="0" insertRows="0" insertHyperlinks="0" deleteColumns="0" deleteRows="0" sort="0" autoFilter="0" pivotTables="0"/>
  <conditionalFormatting sqref="I7:I206">
    <cfRule type="dataBar" priority="1">
      <dataBar>
        <cfvo type="num" val="0"/>
        <cfvo type="num" val="1"/>
        <color rgb="FF93C5FD"/>
      </dataBar>
      <extLst>
        <ext xmlns:x14="http://schemas.microsoft.com/office/spreadsheetml/2009/9/main" uri="{B025F937-C7B1-47D3-B67F-A62EFF666E3E}">
          <x14:id>{0A1E3D0C-78F7-4F29-A4C7-E733F01B1BAD}</x14:id>
        </ext>
      </extLst>
    </cfRule>
  </conditionalFormatting>
  <conditionalFormatting sqref="L7:L206">
    <cfRule type="dataBar" priority="2">
      <dataBar>
        <cfvo type="num" val="0"/>
        <cfvo type="num" val="1"/>
        <color rgb="FFFCD34D"/>
      </dataBar>
      <extLst>
        <ext xmlns:x14="http://schemas.microsoft.com/office/spreadsheetml/2009/9/main" uri="{B025F937-C7B1-47D3-B67F-A62EFF666E3E}">
          <x14:id>{660977A3-8898-4515-B2EA-0EFB5CAEAA71}</x14:id>
        </ext>
      </extLst>
    </cfRule>
  </conditionalFormatting>
  <conditionalFormatting sqref="L7:L206">
    <cfRule type="expression" dxfId="2" priority="3">
      <formula>AND(ISNUMBER($L7),ISNUMBER($I7),$L7&gt;$I7)</formula>
    </cfRule>
  </conditionalFormatting>
  <conditionalFormatting sqref="N7:N206">
    <cfRule type="expression" dxfId="1" priority="4">
      <formula>AND(ISNUMBER($N7),$N7&lt;1)</formula>
    </cfRule>
  </conditionalFormatting>
  <conditionalFormatting sqref="N7:N206">
    <cfRule type="expression" dxfId="0" priority="5">
      <formula>AND(ISNUMBER($N7),$N7&gt;=1)</formula>
    </cfRule>
  </conditionalFormatting>
  <dataValidations count="1">
    <dataValidation type="custom" allowBlank="1" showInputMessage="1" showErrorMessage="1" errorTitle="Duplicate ID" error="This Activity ID is already in the list." sqref="A7:A206" xr:uid="{D2AE8D62-9284-4001-B040-AB362634BF54}">
      <formula1>COUNTIF($A$7:$A$206,A7)=1</formula1>
    </dataValidation>
  </dataValidations>
  <printOptions horizontalCentered="1"/>
  <pageMargins left="0.4" right="0.4" top="0.5" bottom="0.5" header="0.5" footer="0.5"/>
  <pageSetup paperSize="9" scale="14" orientation="landscape" r:id="rId1"/>
  <headerFooter>
    <oddHeader>&amp;R&amp;BThe Project Control Hub</oddHeader>
    <oddFooter>&amp;L&amp;8The Project Control Hub · &amp;A&amp;R&amp;8Page &amp;P of &amp;N</oddFooter>
  </headerFooter>
  <extLst>
    <ext xmlns:x14="http://schemas.microsoft.com/office/spreadsheetml/2009/9/main" uri="{78C0D931-6437-407d-A8EE-F0AAD7539E65}">
      <x14:conditionalFormattings>
        <x14:conditionalFormatting xmlns:xm="http://schemas.microsoft.com/office/excel/2006/main">
          <x14:cfRule type="dataBar" id="{0A1E3D0C-78F7-4F29-A4C7-E733F01B1BAD}">
            <x14:dataBar minLength="0" maxLength="100" gradient="0" direction="leftToRight" negativeBarColorSameAsPositive="1" axisPosition="none">
              <x14:cfvo type="num">
                <xm:f>0</xm:f>
              </x14:cfvo>
              <x14:cfvo type="num">
                <xm:f>1</xm:f>
              </x14:cfvo>
            </x14:dataBar>
          </x14:cfRule>
          <xm:sqref>I7:I206</xm:sqref>
        </x14:conditionalFormatting>
        <x14:conditionalFormatting xmlns:xm="http://schemas.microsoft.com/office/excel/2006/main">
          <x14:cfRule type="dataBar" id="{660977A3-8898-4515-B2EA-0EFB5CAEAA71}">
            <x14:dataBar minLength="0" maxLength="100" gradient="0" direction="leftToRight" negativeBarColorSameAsPositive="1" axisPosition="none">
              <x14:cfvo type="num">
                <xm:f>0</xm:f>
              </x14:cfvo>
              <x14:cfvo type="num">
                <xm:f>1</xm:f>
              </x14:cfvo>
            </x14:dataBar>
          </x14:cfRule>
          <xm:sqref>L7:L206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B147384-48DA-4EE2-B1EF-AE43E21D00FC}">
          <x14:formula1>
            <xm:f>'14 Setup'!$J$12:$J$26</xm:f>
          </x14:formula1>
          <xm:sqref>D7:D206</xm:sqref>
        </x14:dataValidation>
        <x14:dataValidation type="list" allowBlank="1" showInputMessage="1" showErrorMessage="1" xr:uid="{834DC2EF-D4C9-41E9-B904-5B14C88100D5}">
          <x14:formula1>
            <xm:f>'14 Setup'!$L$12:$L$26</xm:f>
          </x14:formula1>
          <xm:sqref>E7:O206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CF86-63EF-4E83-AF5D-830C682504F6}">
  <sheetPr>
    <tabColor rgb="FF64748B"/>
    <pageSetUpPr fitToPage="1"/>
  </sheetPr>
  <dimension ref="A1:Z1000"/>
  <sheetViews>
    <sheetView showGridLines="0" zoomScale="70" zoomScaleNormal="70" workbookViewId="0">
      <pane ySplit="6" topLeftCell="A7" activePane="bottomLeft" state="frozen"/>
      <selection activeCell="C1" sqref="C1"/>
      <selection pane="bottomLeft" activeCell="K7" sqref="K7"/>
    </sheetView>
  </sheetViews>
  <sheetFormatPr defaultRowHeight="14.4" x14ac:dyDescent="0.3"/>
  <cols>
    <col min="1" max="1" width="16.6640625" customWidth="1"/>
    <col min="2" max="2" width="37" customWidth="1"/>
    <col min="3" max="3" width="18.5546875" customWidth="1"/>
    <col min="4" max="4" width="8.33203125" customWidth="1"/>
    <col min="5" max="6" width="14.77734375" customWidth="1"/>
    <col min="7" max="7" width="16.6640625" customWidth="1"/>
    <col min="8" max="8" width="14.77734375" customWidth="1"/>
    <col min="9" max="10" width="16.6640625" customWidth="1"/>
    <col min="11" max="11" width="13.88671875" customWidth="1"/>
    <col min="12" max="12" width="15.77734375" customWidth="1"/>
    <col min="13" max="13" width="35.21875" customWidth="1"/>
    <col min="14" max="14" width="24.109375" customWidth="1"/>
    <col min="15" max="15" width="13" customWidth="1"/>
    <col min="16" max="16" width="8.33203125" customWidth="1"/>
    <col min="17" max="17" width="14.77734375" customWidth="1"/>
    <col min="18" max="18" width="42.5546875" customWidth="1"/>
  </cols>
  <sheetData>
    <row r="1" spans="1:26" ht="28.05" customHeight="1" x14ac:dyDescent="0.4">
      <c r="A1" s="112" t="s">
        <v>328</v>
      </c>
      <c r="B1" s="6"/>
      <c r="C1" s="6"/>
      <c r="D1" s="6"/>
      <c r="E1" s="6"/>
      <c r="F1" s="6"/>
      <c r="G1" s="6"/>
      <c r="H1" s="6"/>
      <c r="I1" s="6"/>
      <c r="J1" s="6"/>
      <c r="K1" s="6"/>
      <c r="L1" s="177" t="s">
        <v>32</v>
      </c>
      <c r="M1" s="6"/>
      <c r="N1" s="6"/>
      <c r="O1" s="6"/>
      <c r="P1" s="6"/>
      <c r="Q1" s="6"/>
      <c r="R1" s="6"/>
      <c r="S1" s="6"/>
      <c r="T1" s="6"/>
      <c r="U1" s="6"/>
      <c r="V1" s="6"/>
      <c r="W1" s="6"/>
      <c r="X1" s="6"/>
      <c r="Y1" s="6"/>
      <c r="Z1" s="6"/>
    </row>
    <row r="2" spans="1:26" x14ac:dyDescent="0.3">
      <c r="A2" s="114" t="s">
        <v>329</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330</v>
      </c>
      <c r="B3" s="6"/>
      <c r="C3" s="6"/>
      <c r="D3" s="6"/>
      <c r="E3" s="6"/>
      <c r="F3" s="6"/>
      <c r="G3" s="6"/>
      <c r="H3" s="6"/>
      <c r="I3" s="6"/>
      <c r="J3" s="6"/>
      <c r="K3" s="6"/>
      <c r="L3" s="6"/>
      <c r="M3" s="6"/>
      <c r="N3" s="6"/>
      <c r="O3" s="6"/>
      <c r="P3" s="6"/>
      <c r="Q3" s="6"/>
      <c r="R3" s="6"/>
      <c r="S3" s="6"/>
      <c r="T3" s="6"/>
      <c r="U3" s="6"/>
      <c r="V3" s="6"/>
      <c r="W3" s="6"/>
      <c r="X3" s="6"/>
      <c r="Y3" s="6"/>
      <c r="Z3" s="6"/>
    </row>
    <row r="4" spans="1:26" ht="15" thickBot="1" x14ac:dyDescent="0.35">
      <c r="A4" s="162" t="s">
        <v>339</v>
      </c>
      <c r="B4" s="116"/>
      <c r="C4" s="116"/>
      <c r="D4" s="116"/>
      <c r="E4" s="116"/>
      <c r="F4" s="116"/>
      <c r="G4" s="116"/>
      <c r="H4" s="116"/>
      <c r="I4" s="11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s="2" customFormat="1" ht="31.95" customHeight="1" x14ac:dyDescent="0.3">
      <c r="A6" s="141" t="s">
        <v>294</v>
      </c>
      <c r="B6" s="141" t="s">
        <v>100</v>
      </c>
      <c r="C6" s="141" t="s">
        <v>406</v>
      </c>
      <c r="D6" s="141" t="s">
        <v>103</v>
      </c>
      <c r="E6" s="141" t="s">
        <v>331</v>
      </c>
      <c r="F6" s="141" t="s">
        <v>332</v>
      </c>
      <c r="G6" s="141" t="s">
        <v>333</v>
      </c>
      <c r="H6" s="141" t="s">
        <v>334</v>
      </c>
      <c r="I6" s="141" t="s">
        <v>335</v>
      </c>
      <c r="J6" s="141" t="s">
        <v>336</v>
      </c>
      <c r="K6" s="141" t="s">
        <v>337</v>
      </c>
      <c r="L6" s="141" t="s">
        <v>338</v>
      </c>
      <c r="M6" s="163"/>
      <c r="N6" s="163"/>
      <c r="O6" s="163"/>
      <c r="P6" s="163"/>
      <c r="Q6" s="163"/>
      <c r="R6" s="163"/>
      <c r="S6" s="163"/>
      <c r="T6" s="163"/>
      <c r="U6" s="163"/>
      <c r="V6" s="163"/>
      <c r="W6" s="163"/>
      <c r="X6" s="163"/>
      <c r="Y6" s="163"/>
      <c r="Z6" s="163"/>
    </row>
    <row r="7" spans="1:26" ht="18" customHeight="1" x14ac:dyDescent="0.3">
      <c r="A7" s="152" t="s">
        <v>275</v>
      </c>
      <c r="B7" s="127" t="str">
        <f>IF($A7="","",IFERROR(INDEX('12 P6 activities'!$B$7:$B$206,MATCH($A7,'12 P6 activities'!$A$7:$A$206,0)),"ID not in P6 list"))</f>
        <v>Bored piles, north</v>
      </c>
      <c r="C7" s="144" t="str">
        <f>IF(A7="","",IFERROR(INDEX('12 P6 activities'!$C$7:$C$206,MATCH(A7,'12 P6 activities'!$A$7:$A$206,0)),"⚠ not in P6 list"))</f>
        <v>SITE.FND.PIL</v>
      </c>
      <c r="D7" s="164" t="str">
        <f>IF($A7="","",IFERROR(INDEX('12 P6 activities'!$E$7:$E$206,MATCH($A7,'12 P6 activities'!$A$7:$A$206,0)),""))</f>
        <v>no.</v>
      </c>
      <c r="E7" s="154">
        <v>40</v>
      </c>
      <c r="F7" s="165">
        <v>1000</v>
      </c>
      <c r="G7" s="166">
        <f>IF(OR($E7="",$F7=""),"",IF($E7=0,"",$F7/$E7))</f>
        <v>25</v>
      </c>
      <c r="H7" s="167">
        <f>IF($A7="","",SUMIFS('05 Work done log'!$F$7:$F$506,'05 Work done log'!$B$7:$B$506,$A7))</f>
        <v>2</v>
      </c>
      <c r="I7" s="168">
        <f>IF($A7="","",SUMIFS('04 Resource log'!$J$7:$J$506,'04 Resource log'!$B$7:$B$506,$A7,'04 Resource log'!$E$7:$E$506,"Labour"))</f>
        <v>54</v>
      </c>
      <c r="J7" s="168">
        <f>IF(OR($A7="",$G7=""),"",$H7*$G7)</f>
        <v>50</v>
      </c>
      <c r="K7" s="169">
        <f>IF(OR($A7="",N($E7)=0),"",$H7/$E7)</f>
        <v>0.05</v>
      </c>
      <c r="L7" s="170">
        <f>IF(OR($A7="",N($I7)=0),"",$J7/$I7)</f>
        <v>0.92592592592592593</v>
      </c>
      <c r="M7" s="6"/>
      <c r="N7" s="6"/>
      <c r="O7" s="6"/>
      <c r="P7" s="6"/>
      <c r="Q7" s="6"/>
      <c r="R7" s="6"/>
      <c r="S7" s="6"/>
      <c r="T7" s="6"/>
      <c r="U7" s="6"/>
      <c r="V7" s="6"/>
      <c r="W7" s="6"/>
      <c r="X7" s="6"/>
      <c r="Y7" s="6"/>
      <c r="Z7" s="6"/>
    </row>
    <row r="8" spans="1:26" ht="18" customHeight="1" x14ac:dyDescent="0.3">
      <c r="A8" s="152" t="s">
        <v>277</v>
      </c>
      <c r="B8" s="127" t="str">
        <f>IF($A8="","",IFERROR(INDEX('12 P6 activities'!$B$7:$B$206,MATCH($A8,'12 P6 activities'!$A$7:$A$206,0)),"ID not in P6 list"))</f>
        <v>Bored piles, south</v>
      </c>
      <c r="C8" s="144" t="str">
        <f>IF(A8="","",IFERROR(INDEX('12 P6 activities'!$C$7:$C$206,MATCH(A8,'12 P6 activities'!$A$7:$A$206,0)),"⚠ not in P6 list"))</f>
        <v>SITE.FND.PIL</v>
      </c>
      <c r="D8" s="164" t="str">
        <f>IF($A8="","",IFERROR(INDEX('12 P6 activities'!$E$7:$E$206,MATCH($A8,'12 P6 activities'!$A$7:$A$206,0)),""))</f>
        <v>no.</v>
      </c>
      <c r="E8" s="154">
        <v>40</v>
      </c>
      <c r="F8" s="165">
        <v>1000</v>
      </c>
      <c r="G8" s="166">
        <f t="shared" ref="G8:G71" si="0">IF(OR($E8="",$F8=""),"",IF($E8=0,"",$F8/$E8))</f>
        <v>25</v>
      </c>
      <c r="H8" s="167">
        <f>IF($A8="","",SUMIFS('05 Work done log'!$F$7:$F$506,'05 Work done log'!$B$7:$B$506,$A8))</f>
        <v>0</v>
      </c>
      <c r="I8" s="168">
        <f>IF($A8="","",SUMIFS('04 Resource log'!$J$7:$J$506,'04 Resource log'!$B$7:$B$506,$A8,'04 Resource log'!$E$7:$E$506,"Labour"))</f>
        <v>0</v>
      </c>
      <c r="J8" s="168">
        <f t="shared" ref="J8:J71" si="1">IF(OR($A8="",$G8=""),"",$H8*$G8)</f>
        <v>0</v>
      </c>
      <c r="K8" s="169">
        <f t="shared" ref="K8:K71" si="2">IF(OR($A8="",N($E8)=0),"",$H8/$E8)</f>
        <v>0</v>
      </c>
      <c r="L8" s="170" t="str">
        <f t="shared" ref="L8:L71" si="3">IF(OR($A8="",N($I8)=0),"",$J8/$I8)</f>
        <v/>
      </c>
      <c r="M8" s="6"/>
      <c r="N8" s="6"/>
      <c r="O8" s="6"/>
      <c r="P8" s="6"/>
      <c r="Q8" s="6"/>
      <c r="R8" s="6"/>
      <c r="S8" s="6"/>
      <c r="T8" s="6"/>
      <c r="U8" s="6"/>
      <c r="V8" s="6"/>
      <c r="W8" s="6"/>
      <c r="X8" s="6"/>
      <c r="Y8" s="6"/>
      <c r="Z8" s="6"/>
    </row>
    <row r="9" spans="1:26" ht="18" customHeight="1" x14ac:dyDescent="0.3">
      <c r="A9" s="152" t="s">
        <v>279</v>
      </c>
      <c r="B9" s="127" t="str">
        <f>IF($A9="","",IFERROR(INDEX('12 P6 activities'!$B$7:$B$206,MATCH($A9,'12 P6 activities'!$A$7:$A$206,0)),"ID not in P6 list"))</f>
        <v>Raft reinforcement, bay 1</v>
      </c>
      <c r="C9" s="144" t="str">
        <f>IF(A9="","",IFERROR(INDEX('12 P6 activities'!$C$7:$C$206,MATCH(A9,'12 P6 activities'!$A$7:$A$206,0)),"⚠ not in P6 list"))</f>
        <v>SITE.FND.RAF</v>
      </c>
      <c r="D9" s="164" t="str">
        <f>IF($A9="","",IFERROR(INDEX('12 P6 activities'!$E$7:$E$206,MATCH($A9,'12 P6 activities'!$A$7:$A$206,0)),""))</f>
        <v>t</v>
      </c>
      <c r="E9" s="154">
        <v>60</v>
      </c>
      <c r="F9" s="165">
        <v>900</v>
      </c>
      <c r="G9" s="166">
        <f t="shared" si="0"/>
        <v>15</v>
      </c>
      <c r="H9" s="167">
        <f>IF($A9="","",SUMIFS('05 Work done log'!$F$7:$F$506,'05 Work done log'!$B$7:$B$506,$A9))</f>
        <v>3.5</v>
      </c>
      <c r="I9" s="168">
        <f>IF($A9="","",SUMIFS('04 Resource log'!$J$7:$J$506,'04 Resource log'!$B$7:$B$506,$A9,'04 Resource log'!$E$7:$E$506,"Labour"))</f>
        <v>72</v>
      </c>
      <c r="J9" s="168">
        <f t="shared" si="1"/>
        <v>52.5</v>
      </c>
      <c r="K9" s="169">
        <f t="shared" si="2"/>
        <v>5.8333333333333334E-2</v>
      </c>
      <c r="L9" s="170">
        <f t="shared" si="3"/>
        <v>0.72916666666666663</v>
      </c>
      <c r="M9" s="6"/>
      <c r="N9" s="6"/>
      <c r="O9" s="6"/>
      <c r="P9" s="6"/>
      <c r="Q9" s="6"/>
      <c r="R9" s="6"/>
      <c r="S9" s="6"/>
      <c r="T9" s="6"/>
      <c r="U9" s="6"/>
      <c r="V9" s="6"/>
      <c r="W9" s="6"/>
      <c r="X9" s="6"/>
      <c r="Y9" s="6"/>
      <c r="Z9" s="6"/>
    </row>
    <row r="10" spans="1:26" ht="18" customHeight="1" x14ac:dyDescent="0.3">
      <c r="A10" s="152" t="s">
        <v>282</v>
      </c>
      <c r="B10" s="127" t="str">
        <f>IF($A10="","",IFERROR(INDEX('12 P6 activities'!$B$7:$B$206,MATCH($A10,'12 P6 activities'!$A$7:$A$206,0)),"ID not in P6 list"))</f>
        <v>Raft reinforcement, bay 2</v>
      </c>
      <c r="C10" s="144" t="str">
        <f>IF(A10="","",IFERROR(INDEX('12 P6 activities'!$C$7:$C$206,MATCH(A10,'12 P6 activities'!$A$7:$A$206,0)),"⚠ not in P6 list"))</f>
        <v>SITE.FND.RAF</v>
      </c>
      <c r="D10" s="164" t="str">
        <f>IF($A10="","",IFERROR(INDEX('12 P6 activities'!$E$7:$E$206,MATCH($A10,'12 P6 activities'!$A$7:$A$206,0)),""))</f>
        <v>t</v>
      </c>
      <c r="E10" s="154">
        <v>60</v>
      </c>
      <c r="F10" s="165">
        <v>900</v>
      </c>
      <c r="G10" s="166">
        <f t="shared" si="0"/>
        <v>15</v>
      </c>
      <c r="H10" s="167">
        <f>IF($A10="","",SUMIFS('05 Work done log'!$F$7:$F$506,'05 Work done log'!$B$7:$B$506,$A10))</f>
        <v>0</v>
      </c>
      <c r="I10" s="168">
        <f>IF($A10="","",SUMIFS('04 Resource log'!$J$7:$J$506,'04 Resource log'!$B$7:$B$506,$A10,'04 Resource log'!$E$7:$E$506,"Labour"))</f>
        <v>0</v>
      </c>
      <c r="J10" s="168">
        <f t="shared" si="1"/>
        <v>0</v>
      </c>
      <c r="K10" s="169">
        <f t="shared" si="2"/>
        <v>0</v>
      </c>
      <c r="L10" s="170" t="str">
        <f t="shared" si="3"/>
        <v/>
      </c>
      <c r="M10" s="6"/>
      <c r="N10" s="6"/>
      <c r="O10" s="6"/>
      <c r="P10" s="6"/>
      <c r="Q10" s="6"/>
      <c r="R10" s="6"/>
      <c r="S10" s="6"/>
      <c r="T10" s="6"/>
      <c r="U10" s="6"/>
      <c r="V10" s="6"/>
      <c r="W10" s="6"/>
      <c r="X10" s="6"/>
      <c r="Y10" s="6"/>
      <c r="Z10" s="6"/>
    </row>
    <row r="11" spans="1:26" ht="18" customHeight="1" x14ac:dyDescent="0.3">
      <c r="A11" s="152" t="s">
        <v>284</v>
      </c>
      <c r="B11" s="127" t="str">
        <f>IF($A11="","",IFERROR(INDEX('12 P6 activities'!$B$7:$B$206,MATCH($A11,'12 P6 activities'!$A$7:$A$206,0)),"ID not in P6 list"))</f>
        <v>Blinding, substation slab</v>
      </c>
      <c r="C11" s="144" t="str">
        <f>IF(A11="","",IFERROR(INDEX('12 P6 activities'!$C$7:$C$206,MATCH(A11,'12 P6 activities'!$A$7:$A$206,0)),"⚠ not in P6 list"))</f>
        <v>SITE.SUB.SLB</v>
      </c>
      <c r="D11" s="164" t="str">
        <f>IF($A11="","",IFERROR(INDEX('12 P6 activities'!$E$7:$E$206,MATCH($A11,'12 P6 activities'!$A$7:$A$206,0)),""))</f>
        <v>m²</v>
      </c>
      <c r="E11" s="154">
        <v>150</v>
      </c>
      <c r="F11" s="165">
        <v>300</v>
      </c>
      <c r="G11" s="166">
        <f t="shared" si="0"/>
        <v>2</v>
      </c>
      <c r="H11" s="167">
        <f>IF($A11="","",SUMIFS('05 Work done log'!$F$7:$F$506,'05 Work done log'!$B$7:$B$506,$A11))</f>
        <v>38</v>
      </c>
      <c r="I11" s="168">
        <f>IF($A11="","",SUMIFS('04 Resource log'!$J$7:$J$506,'04 Resource log'!$B$7:$B$506,$A11,'04 Resource log'!$E$7:$E$506,"Labour"))</f>
        <v>54</v>
      </c>
      <c r="J11" s="168">
        <f t="shared" si="1"/>
        <v>76</v>
      </c>
      <c r="K11" s="169">
        <f t="shared" si="2"/>
        <v>0.25333333333333335</v>
      </c>
      <c r="L11" s="170">
        <f t="shared" si="3"/>
        <v>1.4074074074074074</v>
      </c>
      <c r="M11" s="6"/>
      <c r="N11" s="6"/>
      <c r="O11" s="6"/>
      <c r="P11" s="6"/>
      <c r="Q11" s="6"/>
      <c r="R11" s="6"/>
      <c r="S11" s="6"/>
      <c r="T11" s="6"/>
      <c r="U11" s="6"/>
      <c r="V11" s="6"/>
      <c r="W11" s="6"/>
      <c r="X11" s="6"/>
      <c r="Y11" s="6"/>
      <c r="Z11" s="6"/>
    </row>
    <row r="12" spans="1:26" ht="18" customHeight="1" x14ac:dyDescent="0.3">
      <c r="A12" s="152" t="s">
        <v>286</v>
      </c>
      <c r="B12" s="127" t="str">
        <f>IF($A12="","",IFERROR(INDEX('12 P6 activities'!$B$7:$B$206,MATCH($A12,'12 P6 activities'!$A$7:$A$206,0)),"ID not in P6 list"))</f>
        <v>Drainage run D2</v>
      </c>
      <c r="C12" s="144" t="str">
        <f>IF(A12="","",IFERROR(INDEX('12 P6 activities'!$C$7:$C$206,MATCH(A12,'12 P6 activities'!$A$7:$A$206,0)),"⚠ not in P6 list"))</f>
        <v>SITE.EXT.DRN</v>
      </c>
      <c r="D12" s="164" t="str">
        <f>IF($A12="","",IFERROR(INDEX('12 P6 activities'!$E$7:$E$206,MATCH($A12,'12 P6 activities'!$A$7:$A$206,0)),""))</f>
        <v>m</v>
      </c>
      <c r="E12" s="154">
        <v>120</v>
      </c>
      <c r="F12" s="165">
        <v>240</v>
      </c>
      <c r="G12" s="166">
        <f t="shared" si="0"/>
        <v>2</v>
      </c>
      <c r="H12" s="167">
        <f>IF($A12="","",SUMIFS('05 Work done log'!$F$7:$F$506,'05 Work done log'!$B$7:$B$506,$A12))</f>
        <v>24</v>
      </c>
      <c r="I12" s="168">
        <f>IF($A12="","",SUMIFS('04 Resource log'!$J$7:$J$506,'04 Resource log'!$B$7:$B$506,$A12,'04 Resource log'!$E$7:$E$506,"Labour"))</f>
        <v>45</v>
      </c>
      <c r="J12" s="168">
        <f t="shared" si="1"/>
        <v>48</v>
      </c>
      <c r="K12" s="169">
        <f t="shared" si="2"/>
        <v>0.2</v>
      </c>
      <c r="L12" s="170">
        <f t="shared" si="3"/>
        <v>1.0666666666666667</v>
      </c>
      <c r="M12" s="6"/>
      <c r="N12" s="6"/>
      <c r="O12" s="6"/>
      <c r="P12" s="6"/>
      <c r="Q12" s="6"/>
      <c r="R12" s="6"/>
      <c r="S12" s="6"/>
      <c r="T12" s="6"/>
      <c r="U12" s="6"/>
      <c r="V12" s="6"/>
      <c r="W12" s="6"/>
      <c r="X12" s="6"/>
      <c r="Y12" s="6"/>
      <c r="Z12" s="6"/>
    </row>
    <row r="13" spans="1:26" ht="18" customHeight="1" x14ac:dyDescent="0.3">
      <c r="A13" s="152" t="s">
        <v>288</v>
      </c>
      <c r="B13" s="127" t="str">
        <f>IF($A13="","",IFERROR(INDEX('12 P6 activities'!$B$7:$B$206,MATCH($A13,'12 P6 activities'!$A$7:$A$206,0)),"ID not in P6 list"))</f>
        <v>Drainage run D3</v>
      </c>
      <c r="C13" s="144" t="str">
        <f>IF(A13="","",IFERROR(INDEX('12 P6 activities'!$C$7:$C$206,MATCH(A13,'12 P6 activities'!$A$7:$A$206,0)),"⚠ not in P6 list"))</f>
        <v>SITE.EXT.DRN</v>
      </c>
      <c r="D13" s="164" t="str">
        <f>IF($A13="","",IFERROR(INDEX('12 P6 activities'!$E$7:$E$206,MATCH($A13,'12 P6 activities'!$A$7:$A$206,0)),""))</f>
        <v>m</v>
      </c>
      <c r="E13" s="154">
        <v>100</v>
      </c>
      <c r="F13" s="165">
        <v>200</v>
      </c>
      <c r="G13" s="166">
        <f t="shared" si="0"/>
        <v>2</v>
      </c>
      <c r="H13" s="167">
        <f>IF($A13="","",SUMIFS('05 Work done log'!$F$7:$F$506,'05 Work done log'!$B$7:$B$506,$A13))</f>
        <v>0</v>
      </c>
      <c r="I13" s="168">
        <f>IF($A13="","",SUMIFS('04 Resource log'!$J$7:$J$506,'04 Resource log'!$B$7:$B$506,$A13,'04 Resource log'!$E$7:$E$506,"Labour"))</f>
        <v>0</v>
      </c>
      <c r="J13" s="168">
        <f t="shared" si="1"/>
        <v>0</v>
      </c>
      <c r="K13" s="169">
        <f t="shared" si="2"/>
        <v>0</v>
      </c>
      <c r="L13" s="170" t="str">
        <f t="shared" si="3"/>
        <v/>
      </c>
      <c r="M13" s="6"/>
      <c r="N13" s="6"/>
      <c r="O13" s="6"/>
      <c r="P13" s="6"/>
      <c r="Q13" s="6"/>
      <c r="R13" s="6"/>
      <c r="S13" s="6"/>
      <c r="T13" s="6"/>
      <c r="U13" s="6"/>
      <c r="V13" s="6"/>
      <c r="W13" s="6"/>
      <c r="X13" s="6"/>
      <c r="Y13" s="6"/>
      <c r="Z13" s="6"/>
    </row>
    <row r="14" spans="1:26" ht="18" customHeight="1" x14ac:dyDescent="0.3">
      <c r="A14" s="152" t="s">
        <v>290</v>
      </c>
      <c r="B14" s="127" t="str">
        <f>IF($A14="","",IFERROR(INDEX('12 P6 activities'!$B$7:$B$206,MATCH($A14,'12 P6 activities'!$A$7:$A$206,0)),"ID not in P6 list"))</f>
        <v>Ground beams GB1 to GB3</v>
      </c>
      <c r="C14" s="144" t="str">
        <f>IF(A14="","",IFERROR(INDEX('12 P6 activities'!$C$7:$C$206,MATCH(A14,'12 P6 activities'!$A$7:$A$206,0)),"⚠ not in P6 list"))</f>
        <v>SITE.FND.GB</v>
      </c>
      <c r="D14" s="164" t="str">
        <f>IF($A14="","",IFERROR(INDEX('12 P6 activities'!$E$7:$E$206,MATCH($A14,'12 P6 activities'!$A$7:$A$206,0)),""))</f>
        <v>m³</v>
      </c>
      <c r="E14" s="154">
        <v>45</v>
      </c>
      <c r="F14" s="165">
        <v>360</v>
      </c>
      <c r="G14" s="166">
        <f t="shared" si="0"/>
        <v>8</v>
      </c>
      <c r="H14" s="167">
        <f>IF($A14="","",SUMIFS('05 Work done log'!$F$7:$F$506,'05 Work done log'!$B$7:$B$506,$A14))</f>
        <v>0</v>
      </c>
      <c r="I14" s="168">
        <f>IF($A14="","",SUMIFS('04 Resource log'!$J$7:$J$506,'04 Resource log'!$B$7:$B$506,$A14,'04 Resource log'!$E$7:$E$506,"Labour"))</f>
        <v>0</v>
      </c>
      <c r="J14" s="168">
        <f t="shared" si="1"/>
        <v>0</v>
      </c>
      <c r="K14" s="169">
        <f t="shared" si="2"/>
        <v>0</v>
      </c>
      <c r="L14" s="170" t="str">
        <f t="shared" si="3"/>
        <v/>
      </c>
      <c r="M14" s="6"/>
      <c r="N14" s="6"/>
      <c r="O14" s="6"/>
      <c r="P14" s="6"/>
      <c r="Q14" s="6"/>
      <c r="R14" s="6"/>
      <c r="S14" s="6"/>
      <c r="T14" s="6"/>
      <c r="U14" s="6"/>
      <c r="V14" s="6"/>
      <c r="W14" s="6"/>
      <c r="X14" s="6"/>
      <c r="Y14" s="6"/>
      <c r="Z14" s="6"/>
    </row>
    <row r="15" spans="1:26" ht="18" customHeight="1" x14ac:dyDescent="0.3">
      <c r="A15" s="152"/>
      <c r="B15" s="127" t="str">
        <f>IF($A15="","",IFERROR(INDEX('12 P6 activities'!$B$7:$B$206,MATCH($A15,'12 P6 activities'!$A$7:$A$206,0)),"ID not in P6 list"))</f>
        <v/>
      </c>
      <c r="C15" s="144" t="str">
        <f>IF(A15="","",IFERROR(INDEX('12 P6 activities'!$C$7:$C$206,MATCH(A15,'12 P6 activities'!$A$7:$A$206,0)),"⚠ not in P6 list"))</f>
        <v/>
      </c>
      <c r="D15" s="164" t="str">
        <f>IF($A15="","",IFERROR(INDEX('12 P6 activities'!$E$7:$E$206,MATCH($A15,'12 P6 activities'!$A$7:$A$206,0)),""))</f>
        <v/>
      </c>
      <c r="E15" s="154"/>
      <c r="F15" s="165"/>
      <c r="G15" s="166" t="str">
        <f t="shared" si="0"/>
        <v/>
      </c>
      <c r="H15" s="167" t="str">
        <f>IF($A15="","",SUMIFS('05 Work done log'!$F$7:$F$506,'05 Work done log'!$B$7:$B$506,$A15))</f>
        <v/>
      </c>
      <c r="I15" s="168" t="str">
        <f>IF($A15="","",SUMIFS('04 Resource log'!$J$7:$J$506,'04 Resource log'!$B$7:$B$506,$A15,'04 Resource log'!$E$7:$E$506,"Labour"))</f>
        <v/>
      </c>
      <c r="J15" s="168" t="str">
        <f t="shared" si="1"/>
        <v/>
      </c>
      <c r="K15" s="169" t="str">
        <f t="shared" si="2"/>
        <v/>
      </c>
      <c r="L15" s="170" t="str">
        <f t="shared" si="3"/>
        <v/>
      </c>
      <c r="M15" s="6"/>
      <c r="N15" s="6"/>
      <c r="O15" s="6"/>
      <c r="P15" s="6"/>
      <c r="Q15" s="6"/>
      <c r="R15" s="6"/>
      <c r="S15" s="6"/>
      <c r="T15" s="6"/>
      <c r="U15" s="6"/>
      <c r="V15" s="6"/>
      <c r="W15" s="6"/>
      <c r="X15" s="6"/>
      <c r="Y15" s="6"/>
      <c r="Z15" s="6"/>
    </row>
    <row r="16" spans="1:26" ht="18" customHeight="1" x14ac:dyDescent="0.3">
      <c r="A16" s="152"/>
      <c r="B16" s="127" t="str">
        <f>IF($A16="","",IFERROR(INDEX('12 P6 activities'!$B$7:$B$206,MATCH($A16,'12 P6 activities'!$A$7:$A$206,0)),"ID not in P6 list"))</f>
        <v/>
      </c>
      <c r="C16" s="144" t="str">
        <f>IF(A16="","",IFERROR(INDEX('12 P6 activities'!$C$7:$C$206,MATCH(A16,'12 P6 activities'!$A$7:$A$206,0)),"⚠ not in P6 list"))</f>
        <v/>
      </c>
      <c r="D16" s="164" t="str">
        <f>IF($A16="","",IFERROR(INDEX('12 P6 activities'!$E$7:$E$206,MATCH($A16,'12 P6 activities'!$A$7:$A$206,0)),""))</f>
        <v/>
      </c>
      <c r="E16" s="154"/>
      <c r="F16" s="165"/>
      <c r="G16" s="166" t="str">
        <f t="shared" si="0"/>
        <v/>
      </c>
      <c r="H16" s="167" t="str">
        <f>IF($A16="","",SUMIFS('05 Work done log'!$F$7:$F$506,'05 Work done log'!$B$7:$B$506,$A16))</f>
        <v/>
      </c>
      <c r="I16" s="168" t="str">
        <f>IF($A16="","",SUMIFS('04 Resource log'!$J$7:$J$506,'04 Resource log'!$B$7:$B$506,$A16,'04 Resource log'!$E$7:$E$506,"Labour"))</f>
        <v/>
      </c>
      <c r="J16" s="168" t="str">
        <f t="shared" si="1"/>
        <v/>
      </c>
      <c r="K16" s="169" t="str">
        <f t="shared" si="2"/>
        <v/>
      </c>
      <c r="L16" s="170" t="str">
        <f t="shared" si="3"/>
        <v/>
      </c>
      <c r="M16" s="6"/>
      <c r="N16" s="6"/>
      <c r="O16" s="6"/>
      <c r="P16" s="6"/>
      <c r="Q16" s="6"/>
      <c r="R16" s="6"/>
      <c r="S16" s="6"/>
      <c r="T16" s="6"/>
      <c r="U16" s="6"/>
      <c r="V16" s="6"/>
      <c r="W16" s="6"/>
      <c r="X16" s="6"/>
      <c r="Y16" s="6"/>
      <c r="Z16" s="6"/>
    </row>
    <row r="17" spans="1:26" ht="18" customHeight="1" x14ac:dyDescent="0.3">
      <c r="A17" s="152"/>
      <c r="B17" s="127" t="str">
        <f>IF($A17="","",IFERROR(INDEX('12 P6 activities'!$B$7:$B$206,MATCH($A17,'12 P6 activities'!$A$7:$A$206,0)),"ID not in P6 list"))</f>
        <v/>
      </c>
      <c r="C17" s="144" t="str">
        <f>IF(A17="","",IFERROR(INDEX('12 P6 activities'!$C$7:$C$206,MATCH(A17,'12 P6 activities'!$A$7:$A$206,0)),"⚠ not in P6 list"))</f>
        <v/>
      </c>
      <c r="D17" s="164" t="str">
        <f>IF($A17="","",IFERROR(INDEX('12 P6 activities'!$E$7:$E$206,MATCH($A17,'12 P6 activities'!$A$7:$A$206,0)),""))</f>
        <v/>
      </c>
      <c r="E17" s="154"/>
      <c r="F17" s="165"/>
      <c r="G17" s="166" t="str">
        <f t="shared" si="0"/>
        <v/>
      </c>
      <c r="H17" s="167" t="str">
        <f>IF($A17="","",SUMIFS('05 Work done log'!$F$7:$F$506,'05 Work done log'!$B$7:$B$506,$A17))</f>
        <v/>
      </c>
      <c r="I17" s="168" t="str">
        <f>IF($A17="","",SUMIFS('04 Resource log'!$J$7:$J$506,'04 Resource log'!$B$7:$B$506,$A17,'04 Resource log'!$E$7:$E$506,"Labour"))</f>
        <v/>
      </c>
      <c r="J17" s="168" t="str">
        <f t="shared" si="1"/>
        <v/>
      </c>
      <c r="K17" s="169" t="str">
        <f t="shared" si="2"/>
        <v/>
      </c>
      <c r="L17" s="170" t="str">
        <f t="shared" si="3"/>
        <v/>
      </c>
      <c r="M17" s="6"/>
      <c r="N17" s="6"/>
      <c r="O17" s="6"/>
      <c r="P17" s="6"/>
      <c r="Q17" s="6"/>
      <c r="R17" s="6"/>
      <c r="S17" s="6"/>
      <c r="T17" s="6"/>
      <c r="U17" s="6"/>
      <c r="V17" s="6"/>
      <c r="W17" s="6"/>
      <c r="X17" s="6"/>
      <c r="Y17" s="6"/>
      <c r="Z17" s="6"/>
    </row>
    <row r="18" spans="1:26" ht="18" customHeight="1" x14ac:dyDescent="0.3">
      <c r="A18" s="152"/>
      <c r="B18" s="127" t="str">
        <f>IF($A18="","",IFERROR(INDEX('12 P6 activities'!$B$7:$B$206,MATCH($A18,'12 P6 activities'!$A$7:$A$206,0)),"ID not in P6 list"))</f>
        <v/>
      </c>
      <c r="C18" s="144" t="str">
        <f>IF(A18="","",IFERROR(INDEX('12 P6 activities'!$C$7:$C$206,MATCH(A18,'12 P6 activities'!$A$7:$A$206,0)),"⚠ not in P6 list"))</f>
        <v/>
      </c>
      <c r="D18" s="164" t="str">
        <f>IF($A18="","",IFERROR(INDEX('12 P6 activities'!$E$7:$E$206,MATCH($A18,'12 P6 activities'!$A$7:$A$206,0)),""))</f>
        <v/>
      </c>
      <c r="E18" s="154"/>
      <c r="F18" s="165"/>
      <c r="G18" s="166" t="str">
        <f t="shared" si="0"/>
        <v/>
      </c>
      <c r="H18" s="167" t="str">
        <f>IF($A18="","",SUMIFS('05 Work done log'!$F$7:$F$506,'05 Work done log'!$B$7:$B$506,$A18))</f>
        <v/>
      </c>
      <c r="I18" s="168" t="str">
        <f>IF($A18="","",SUMIFS('04 Resource log'!$J$7:$J$506,'04 Resource log'!$B$7:$B$506,$A18,'04 Resource log'!$E$7:$E$506,"Labour"))</f>
        <v/>
      </c>
      <c r="J18" s="168" t="str">
        <f t="shared" si="1"/>
        <v/>
      </c>
      <c r="K18" s="169" t="str">
        <f t="shared" si="2"/>
        <v/>
      </c>
      <c r="L18" s="170" t="str">
        <f t="shared" si="3"/>
        <v/>
      </c>
      <c r="M18" s="6"/>
      <c r="N18" s="6"/>
      <c r="O18" s="6"/>
      <c r="P18" s="6"/>
      <c r="Q18" s="6"/>
      <c r="R18" s="6"/>
      <c r="S18" s="6"/>
      <c r="T18" s="6"/>
      <c r="U18" s="6"/>
      <c r="V18" s="6"/>
      <c r="W18" s="6"/>
      <c r="X18" s="6"/>
      <c r="Y18" s="6"/>
      <c r="Z18" s="6"/>
    </row>
    <row r="19" spans="1:26" ht="18" customHeight="1" x14ac:dyDescent="0.3">
      <c r="A19" s="152"/>
      <c r="B19" s="127" t="str">
        <f>IF($A19="","",IFERROR(INDEX('12 P6 activities'!$B$7:$B$206,MATCH($A19,'12 P6 activities'!$A$7:$A$206,0)),"ID not in P6 list"))</f>
        <v/>
      </c>
      <c r="C19" s="144" t="str">
        <f>IF(A19="","",IFERROR(INDEX('12 P6 activities'!$C$7:$C$206,MATCH(A19,'12 P6 activities'!$A$7:$A$206,0)),"⚠ not in P6 list"))</f>
        <v/>
      </c>
      <c r="D19" s="164" t="str">
        <f>IF($A19="","",IFERROR(INDEX('12 P6 activities'!$E$7:$E$206,MATCH($A19,'12 P6 activities'!$A$7:$A$206,0)),""))</f>
        <v/>
      </c>
      <c r="E19" s="154"/>
      <c r="F19" s="165"/>
      <c r="G19" s="166" t="str">
        <f t="shared" si="0"/>
        <v/>
      </c>
      <c r="H19" s="167" t="str">
        <f>IF($A19="","",SUMIFS('05 Work done log'!$F$7:$F$506,'05 Work done log'!$B$7:$B$506,$A19))</f>
        <v/>
      </c>
      <c r="I19" s="168" t="str">
        <f>IF($A19="","",SUMIFS('04 Resource log'!$J$7:$J$506,'04 Resource log'!$B$7:$B$506,$A19,'04 Resource log'!$E$7:$E$506,"Labour"))</f>
        <v/>
      </c>
      <c r="J19" s="168" t="str">
        <f t="shared" si="1"/>
        <v/>
      </c>
      <c r="K19" s="169" t="str">
        <f t="shared" si="2"/>
        <v/>
      </c>
      <c r="L19" s="170" t="str">
        <f t="shared" si="3"/>
        <v/>
      </c>
      <c r="M19" s="6"/>
      <c r="N19" s="6"/>
      <c r="O19" s="6"/>
      <c r="P19" s="6"/>
      <c r="Q19" s="6"/>
      <c r="R19" s="6"/>
      <c r="S19" s="6"/>
      <c r="T19" s="6"/>
      <c r="U19" s="6"/>
      <c r="V19" s="6"/>
      <c r="W19" s="6"/>
      <c r="X19" s="6"/>
      <c r="Y19" s="6"/>
      <c r="Z19" s="6"/>
    </row>
    <row r="20" spans="1:26" ht="18" customHeight="1" x14ac:dyDescent="0.3">
      <c r="A20" s="152"/>
      <c r="B20" s="127" t="str">
        <f>IF($A20="","",IFERROR(INDEX('12 P6 activities'!$B$7:$B$206,MATCH($A20,'12 P6 activities'!$A$7:$A$206,0)),"ID not in P6 list"))</f>
        <v/>
      </c>
      <c r="C20" s="144" t="str">
        <f>IF(A20="","",IFERROR(INDEX('12 P6 activities'!$C$7:$C$206,MATCH(A20,'12 P6 activities'!$A$7:$A$206,0)),"⚠ not in P6 list"))</f>
        <v/>
      </c>
      <c r="D20" s="164" t="str">
        <f>IF($A20="","",IFERROR(INDEX('12 P6 activities'!$E$7:$E$206,MATCH($A20,'12 P6 activities'!$A$7:$A$206,0)),""))</f>
        <v/>
      </c>
      <c r="E20" s="154"/>
      <c r="F20" s="165"/>
      <c r="G20" s="166" t="str">
        <f t="shared" si="0"/>
        <v/>
      </c>
      <c r="H20" s="167" t="str">
        <f>IF($A20="","",SUMIFS('05 Work done log'!$F$7:$F$506,'05 Work done log'!$B$7:$B$506,$A20))</f>
        <v/>
      </c>
      <c r="I20" s="168" t="str">
        <f>IF($A20="","",SUMIFS('04 Resource log'!$J$7:$J$506,'04 Resource log'!$B$7:$B$506,$A20,'04 Resource log'!$E$7:$E$506,"Labour"))</f>
        <v/>
      </c>
      <c r="J20" s="168" t="str">
        <f t="shared" si="1"/>
        <v/>
      </c>
      <c r="K20" s="169" t="str">
        <f t="shared" si="2"/>
        <v/>
      </c>
      <c r="L20" s="170" t="str">
        <f t="shared" si="3"/>
        <v/>
      </c>
      <c r="M20" s="6"/>
      <c r="N20" s="6"/>
      <c r="O20" s="6"/>
      <c r="P20" s="6"/>
      <c r="Q20" s="6"/>
      <c r="R20" s="6"/>
      <c r="S20" s="6"/>
      <c r="T20" s="6"/>
      <c r="U20" s="6"/>
      <c r="V20" s="6"/>
      <c r="W20" s="6"/>
      <c r="X20" s="6"/>
      <c r="Y20" s="6"/>
      <c r="Z20" s="6"/>
    </row>
    <row r="21" spans="1:26" ht="18" customHeight="1" x14ac:dyDescent="0.3">
      <c r="A21" s="152"/>
      <c r="B21" s="127" t="str">
        <f>IF($A21="","",IFERROR(INDEX('12 P6 activities'!$B$7:$B$206,MATCH($A21,'12 P6 activities'!$A$7:$A$206,0)),"ID not in P6 list"))</f>
        <v/>
      </c>
      <c r="C21" s="144" t="str">
        <f>IF(A21="","",IFERROR(INDEX('12 P6 activities'!$C$7:$C$206,MATCH(A21,'12 P6 activities'!$A$7:$A$206,0)),"⚠ not in P6 list"))</f>
        <v/>
      </c>
      <c r="D21" s="164" t="str">
        <f>IF($A21="","",IFERROR(INDEX('12 P6 activities'!$E$7:$E$206,MATCH($A21,'12 P6 activities'!$A$7:$A$206,0)),""))</f>
        <v/>
      </c>
      <c r="E21" s="154"/>
      <c r="F21" s="165"/>
      <c r="G21" s="166" t="str">
        <f t="shared" si="0"/>
        <v/>
      </c>
      <c r="H21" s="167" t="str">
        <f>IF($A21="","",SUMIFS('05 Work done log'!$F$7:$F$506,'05 Work done log'!$B$7:$B$506,$A21))</f>
        <v/>
      </c>
      <c r="I21" s="168" t="str">
        <f>IF($A21="","",SUMIFS('04 Resource log'!$J$7:$J$506,'04 Resource log'!$B$7:$B$506,$A21,'04 Resource log'!$E$7:$E$506,"Labour"))</f>
        <v/>
      </c>
      <c r="J21" s="168" t="str">
        <f t="shared" si="1"/>
        <v/>
      </c>
      <c r="K21" s="169" t="str">
        <f t="shared" si="2"/>
        <v/>
      </c>
      <c r="L21" s="170" t="str">
        <f t="shared" si="3"/>
        <v/>
      </c>
      <c r="M21" s="6"/>
      <c r="N21" s="6"/>
      <c r="O21" s="6"/>
      <c r="P21" s="6"/>
      <c r="Q21" s="6"/>
      <c r="R21" s="6"/>
      <c r="S21" s="6"/>
      <c r="T21" s="6"/>
      <c r="U21" s="6"/>
      <c r="V21" s="6"/>
      <c r="W21" s="6"/>
      <c r="X21" s="6"/>
      <c r="Y21" s="6"/>
      <c r="Z21" s="6"/>
    </row>
    <row r="22" spans="1:26" ht="18" customHeight="1" x14ac:dyDescent="0.3">
      <c r="A22" s="152"/>
      <c r="B22" s="127" t="str">
        <f>IF($A22="","",IFERROR(INDEX('12 P6 activities'!$B$7:$B$206,MATCH($A22,'12 P6 activities'!$A$7:$A$206,0)),"ID not in P6 list"))</f>
        <v/>
      </c>
      <c r="C22" s="144" t="str">
        <f>IF(A22="","",IFERROR(INDEX('12 P6 activities'!$C$7:$C$206,MATCH(A22,'12 P6 activities'!$A$7:$A$206,0)),"⚠ not in P6 list"))</f>
        <v/>
      </c>
      <c r="D22" s="164" t="str">
        <f>IF($A22="","",IFERROR(INDEX('12 P6 activities'!$E$7:$E$206,MATCH($A22,'12 P6 activities'!$A$7:$A$206,0)),""))</f>
        <v/>
      </c>
      <c r="E22" s="154"/>
      <c r="F22" s="165"/>
      <c r="G22" s="166" t="str">
        <f t="shared" si="0"/>
        <v/>
      </c>
      <c r="H22" s="167" t="str">
        <f>IF($A22="","",SUMIFS('05 Work done log'!$F$7:$F$506,'05 Work done log'!$B$7:$B$506,$A22))</f>
        <v/>
      </c>
      <c r="I22" s="168" t="str">
        <f>IF($A22="","",SUMIFS('04 Resource log'!$J$7:$J$506,'04 Resource log'!$B$7:$B$506,$A22,'04 Resource log'!$E$7:$E$506,"Labour"))</f>
        <v/>
      </c>
      <c r="J22" s="168" t="str">
        <f t="shared" si="1"/>
        <v/>
      </c>
      <c r="K22" s="169" t="str">
        <f t="shared" si="2"/>
        <v/>
      </c>
      <c r="L22" s="170" t="str">
        <f t="shared" si="3"/>
        <v/>
      </c>
      <c r="M22" s="6"/>
      <c r="N22" s="6"/>
      <c r="O22" s="6"/>
      <c r="P22" s="6"/>
      <c r="Q22" s="6"/>
      <c r="R22" s="6"/>
      <c r="S22" s="6"/>
      <c r="T22" s="6"/>
      <c r="U22" s="6"/>
      <c r="V22" s="6"/>
      <c r="W22" s="6"/>
      <c r="X22" s="6"/>
      <c r="Y22" s="6"/>
      <c r="Z22" s="6"/>
    </row>
    <row r="23" spans="1:26" ht="18" customHeight="1" x14ac:dyDescent="0.3">
      <c r="A23" s="152"/>
      <c r="B23" s="127" t="str">
        <f>IF($A23="","",IFERROR(INDEX('12 P6 activities'!$B$7:$B$206,MATCH($A23,'12 P6 activities'!$A$7:$A$206,0)),"ID not in P6 list"))</f>
        <v/>
      </c>
      <c r="C23" s="144" t="str">
        <f>IF(A23="","",IFERROR(INDEX('12 P6 activities'!$C$7:$C$206,MATCH(A23,'12 P6 activities'!$A$7:$A$206,0)),"⚠ not in P6 list"))</f>
        <v/>
      </c>
      <c r="D23" s="164" t="str">
        <f>IF($A23="","",IFERROR(INDEX('12 P6 activities'!$E$7:$E$206,MATCH($A23,'12 P6 activities'!$A$7:$A$206,0)),""))</f>
        <v/>
      </c>
      <c r="E23" s="154"/>
      <c r="F23" s="165"/>
      <c r="G23" s="166" t="str">
        <f t="shared" si="0"/>
        <v/>
      </c>
      <c r="H23" s="167" t="str">
        <f>IF($A23="","",SUMIFS('05 Work done log'!$F$7:$F$506,'05 Work done log'!$B$7:$B$506,$A23))</f>
        <v/>
      </c>
      <c r="I23" s="168" t="str">
        <f>IF($A23="","",SUMIFS('04 Resource log'!$J$7:$J$506,'04 Resource log'!$B$7:$B$506,$A23,'04 Resource log'!$E$7:$E$506,"Labour"))</f>
        <v/>
      </c>
      <c r="J23" s="168" t="str">
        <f t="shared" si="1"/>
        <v/>
      </c>
      <c r="K23" s="169" t="str">
        <f t="shared" si="2"/>
        <v/>
      </c>
      <c r="L23" s="170" t="str">
        <f t="shared" si="3"/>
        <v/>
      </c>
      <c r="M23" s="6"/>
      <c r="N23" s="6"/>
      <c r="O23" s="6"/>
      <c r="P23" s="6"/>
      <c r="Q23" s="6"/>
      <c r="R23" s="6"/>
      <c r="S23" s="6"/>
      <c r="T23" s="6"/>
      <c r="U23" s="6"/>
      <c r="V23" s="6"/>
      <c r="W23" s="6"/>
      <c r="X23" s="6"/>
      <c r="Y23" s="6"/>
      <c r="Z23" s="6"/>
    </row>
    <row r="24" spans="1:26" ht="18" customHeight="1" x14ac:dyDescent="0.3">
      <c r="A24" s="152"/>
      <c r="B24" s="127" t="str">
        <f>IF($A24="","",IFERROR(INDEX('12 P6 activities'!$B$7:$B$206,MATCH($A24,'12 P6 activities'!$A$7:$A$206,0)),"ID not in P6 list"))</f>
        <v/>
      </c>
      <c r="C24" s="144" t="str">
        <f>IF(A24="","",IFERROR(INDEX('12 P6 activities'!$C$7:$C$206,MATCH(A24,'12 P6 activities'!$A$7:$A$206,0)),"⚠ not in P6 list"))</f>
        <v/>
      </c>
      <c r="D24" s="164" t="str">
        <f>IF($A24="","",IFERROR(INDEX('12 P6 activities'!$E$7:$E$206,MATCH($A24,'12 P6 activities'!$A$7:$A$206,0)),""))</f>
        <v/>
      </c>
      <c r="E24" s="154"/>
      <c r="F24" s="165"/>
      <c r="G24" s="166" t="str">
        <f t="shared" si="0"/>
        <v/>
      </c>
      <c r="H24" s="167" t="str">
        <f>IF($A24="","",SUMIFS('05 Work done log'!$F$7:$F$506,'05 Work done log'!$B$7:$B$506,$A24))</f>
        <v/>
      </c>
      <c r="I24" s="168" t="str">
        <f>IF($A24="","",SUMIFS('04 Resource log'!$J$7:$J$506,'04 Resource log'!$B$7:$B$506,$A24,'04 Resource log'!$E$7:$E$506,"Labour"))</f>
        <v/>
      </c>
      <c r="J24" s="168" t="str">
        <f t="shared" si="1"/>
        <v/>
      </c>
      <c r="K24" s="169" t="str">
        <f t="shared" si="2"/>
        <v/>
      </c>
      <c r="L24" s="170" t="str">
        <f t="shared" si="3"/>
        <v/>
      </c>
      <c r="M24" s="6"/>
      <c r="N24" s="6"/>
      <c r="O24" s="6"/>
      <c r="P24" s="6"/>
      <c r="Q24" s="6"/>
      <c r="R24" s="6"/>
      <c r="S24" s="6"/>
      <c r="T24" s="6"/>
      <c r="U24" s="6"/>
      <c r="V24" s="6"/>
      <c r="W24" s="6"/>
      <c r="X24" s="6"/>
      <c r="Y24" s="6"/>
      <c r="Z24" s="6"/>
    </row>
    <row r="25" spans="1:26" ht="18" customHeight="1" x14ac:dyDescent="0.3">
      <c r="A25" s="152"/>
      <c r="B25" s="127" t="str">
        <f>IF($A25="","",IFERROR(INDEX('12 P6 activities'!$B$7:$B$206,MATCH($A25,'12 P6 activities'!$A$7:$A$206,0)),"ID not in P6 list"))</f>
        <v/>
      </c>
      <c r="C25" s="144" t="str">
        <f>IF(A25="","",IFERROR(INDEX('12 P6 activities'!$C$7:$C$206,MATCH(A25,'12 P6 activities'!$A$7:$A$206,0)),"⚠ not in P6 list"))</f>
        <v/>
      </c>
      <c r="D25" s="164" t="str">
        <f>IF($A25="","",IFERROR(INDEX('12 P6 activities'!$E$7:$E$206,MATCH($A25,'12 P6 activities'!$A$7:$A$206,0)),""))</f>
        <v/>
      </c>
      <c r="E25" s="154"/>
      <c r="F25" s="165"/>
      <c r="G25" s="166" t="str">
        <f t="shared" si="0"/>
        <v/>
      </c>
      <c r="H25" s="167" t="str">
        <f>IF($A25="","",SUMIFS('05 Work done log'!$F$7:$F$506,'05 Work done log'!$B$7:$B$506,$A25))</f>
        <v/>
      </c>
      <c r="I25" s="168" t="str">
        <f>IF($A25="","",SUMIFS('04 Resource log'!$J$7:$J$506,'04 Resource log'!$B$7:$B$506,$A25,'04 Resource log'!$E$7:$E$506,"Labour"))</f>
        <v/>
      </c>
      <c r="J25" s="168" t="str">
        <f t="shared" si="1"/>
        <v/>
      </c>
      <c r="K25" s="169" t="str">
        <f t="shared" si="2"/>
        <v/>
      </c>
      <c r="L25" s="170" t="str">
        <f t="shared" si="3"/>
        <v/>
      </c>
      <c r="M25" s="6"/>
      <c r="N25" s="6"/>
      <c r="O25" s="6"/>
      <c r="P25" s="6"/>
      <c r="Q25" s="6"/>
      <c r="R25" s="6"/>
      <c r="S25" s="6"/>
      <c r="T25" s="6"/>
      <c r="U25" s="6"/>
      <c r="V25" s="6"/>
      <c r="W25" s="6"/>
      <c r="X25" s="6"/>
      <c r="Y25" s="6"/>
      <c r="Z25" s="6"/>
    </row>
    <row r="26" spans="1:26" ht="18" customHeight="1" x14ac:dyDescent="0.3">
      <c r="A26" s="152"/>
      <c r="B26" s="127" t="str">
        <f>IF($A26="","",IFERROR(INDEX('12 P6 activities'!$B$7:$B$206,MATCH($A26,'12 P6 activities'!$A$7:$A$206,0)),"ID not in P6 list"))</f>
        <v/>
      </c>
      <c r="C26" s="144" t="str">
        <f>IF(A26="","",IFERROR(INDEX('12 P6 activities'!$C$7:$C$206,MATCH(A26,'12 P6 activities'!$A$7:$A$206,0)),"⚠ not in P6 list"))</f>
        <v/>
      </c>
      <c r="D26" s="164" t="str">
        <f>IF($A26="","",IFERROR(INDEX('12 P6 activities'!$E$7:$E$206,MATCH($A26,'12 P6 activities'!$A$7:$A$206,0)),""))</f>
        <v/>
      </c>
      <c r="E26" s="154"/>
      <c r="F26" s="165"/>
      <c r="G26" s="166" t="str">
        <f t="shared" si="0"/>
        <v/>
      </c>
      <c r="H26" s="167" t="str">
        <f>IF($A26="","",SUMIFS('05 Work done log'!$F$7:$F$506,'05 Work done log'!$B$7:$B$506,$A26))</f>
        <v/>
      </c>
      <c r="I26" s="168" t="str">
        <f>IF($A26="","",SUMIFS('04 Resource log'!$J$7:$J$506,'04 Resource log'!$B$7:$B$506,$A26,'04 Resource log'!$E$7:$E$506,"Labour"))</f>
        <v/>
      </c>
      <c r="J26" s="168" t="str">
        <f t="shared" si="1"/>
        <v/>
      </c>
      <c r="K26" s="169" t="str">
        <f t="shared" si="2"/>
        <v/>
      </c>
      <c r="L26" s="170" t="str">
        <f t="shared" si="3"/>
        <v/>
      </c>
      <c r="M26" s="6"/>
      <c r="N26" s="6"/>
      <c r="O26" s="6"/>
      <c r="P26" s="6"/>
      <c r="Q26" s="6"/>
      <c r="R26" s="6"/>
      <c r="S26" s="6"/>
      <c r="T26" s="6"/>
      <c r="U26" s="6"/>
      <c r="V26" s="6"/>
      <c r="W26" s="6"/>
      <c r="X26" s="6"/>
      <c r="Y26" s="6"/>
      <c r="Z26" s="6"/>
    </row>
    <row r="27" spans="1:26" ht="18" customHeight="1" x14ac:dyDescent="0.3">
      <c r="A27" s="152"/>
      <c r="B27" s="127" t="str">
        <f>IF($A27="","",IFERROR(INDEX('12 P6 activities'!$B$7:$B$206,MATCH($A27,'12 P6 activities'!$A$7:$A$206,0)),"ID not in P6 list"))</f>
        <v/>
      </c>
      <c r="C27" s="144" t="str">
        <f>IF(A27="","",IFERROR(INDEX('12 P6 activities'!$C$7:$C$206,MATCH(A27,'12 P6 activities'!$A$7:$A$206,0)),"⚠ not in P6 list"))</f>
        <v/>
      </c>
      <c r="D27" s="164" t="str">
        <f>IF($A27="","",IFERROR(INDEX('12 P6 activities'!$E$7:$E$206,MATCH($A27,'12 P6 activities'!$A$7:$A$206,0)),""))</f>
        <v/>
      </c>
      <c r="E27" s="154"/>
      <c r="F27" s="165"/>
      <c r="G27" s="166" t="str">
        <f t="shared" si="0"/>
        <v/>
      </c>
      <c r="H27" s="167" t="str">
        <f>IF($A27="","",SUMIFS('05 Work done log'!$F$7:$F$506,'05 Work done log'!$B$7:$B$506,$A27))</f>
        <v/>
      </c>
      <c r="I27" s="168" t="str">
        <f>IF($A27="","",SUMIFS('04 Resource log'!$J$7:$J$506,'04 Resource log'!$B$7:$B$506,$A27,'04 Resource log'!$E$7:$E$506,"Labour"))</f>
        <v/>
      </c>
      <c r="J27" s="168" t="str">
        <f t="shared" si="1"/>
        <v/>
      </c>
      <c r="K27" s="169" t="str">
        <f t="shared" si="2"/>
        <v/>
      </c>
      <c r="L27" s="170" t="str">
        <f t="shared" si="3"/>
        <v/>
      </c>
      <c r="M27" s="6"/>
      <c r="N27" s="6"/>
      <c r="O27" s="6"/>
      <c r="P27" s="6"/>
      <c r="Q27" s="6"/>
      <c r="R27" s="6"/>
      <c r="S27" s="6"/>
      <c r="T27" s="6"/>
      <c r="U27" s="6"/>
      <c r="V27" s="6"/>
      <c r="W27" s="6"/>
      <c r="X27" s="6"/>
      <c r="Y27" s="6"/>
      <c r="Z27" s="6"/>
    </row>
    <row r="28" spans="1:26" ht="18" customHeight="1" x14ac:dyDescent="0.3">
      <c r="A28" s="152"/>
      <c r="B28" s="127" t="str">
        <f>IF($A28="","",IFERROR(INDEX('12 P6 activities'!$B$7:$B$206,MATCH($A28,'12 P6 activities'!$A$7:$A$206,0)),"ID not in P6 list"))</f>
        <v/>
      </c>
      <c r="C28" s="144" t="str">
        <f>IF(A28="","",IFERROR(INDEX('12 P6 activities'!$C$7:$C$206,MATCH(A28,'12 P6 activities'!$A$7:$A$206,0)),"⚠ not in P6 list"))</f>
        <v/>
      </c>
      <c r="D28" s="164" t="str">
        <f>IF($A28="","",IFERROR(INDEX('12 P6 activities'!$E$7:$E$206,MATCH($A28,'12 P6 activities'!$A$7:$A$206,0)),""))</f>
        <v/>
      </c>
      <c r="E28" s="154"/>
      <c r="F28" s="165"/>
      <c r="G28" s="166" t="str">
        <f t="shared" si="0"/>
        <v/>
      </c>
      <c r="H28" s="167" t="str">
        <f>IF($A28="","",SUMIFS('05 Work done log'!$F$7:$F$506,'05 Work done log'!$B$7:$B$506,$A28))</f>
        <v/>
      </c>
      <c r="I28" s="168" t="str">
        <f>IF($A28="","",SUMIFS('04 Resource log'!$J$7:$J$506,'04 Resource log'!$B$7:$B$506,$A28,'04 Resource log'!$E$7:$E$506,"Labour"))</f>
        <v/>
      </c>
      <c r="J28" s="168" t="str">
        <f t="shared" si="1"/>
        <v/>
      </c>
      <c r="K28" s="169" t="str">
        <f t="shared" si="2"/>
        <v/>
      </c>
      <c r="L28" s="170" t="str">
        <f t="shared" si="3"/>
        <v/>
      </c>
      <c r="M28" s="6"/>
      <c r="N28" s="6"/>
      <c r="O28" s="6"/>
      <c r="P28" s="6"/>
      <c r="Q28" s="6"/>
      <c r="R28" s="6"/>
      <c r="S28" s="6"/>
      <c r="T28" s="6"/>
      <c r="U28" s="6"/>
      <c r="V28" s="6"/>
      <c r="W28" s="6"/>
      <c r="X28" s="6"/>
      <c r="Y28" s="6"/>
      <c r="Z28" s="6"/>
    </row>
    <row r="29" spans="1:26" ht="18" customHeight="1" x14ac:dyDescent="0.3">
      <c r="A29" s="152"/>
      <c r="B29" s="127" t="str">
        <f>IF($A29="","",IFERROR(INDEX('12 P6 activities'!$B$7:$B$206,MATCH($A29,'12 P6 activities'!$A$7:$A$206,0)),"ID not in P6 list"))</f>
        <v/>
      </c>
      <c r="C29" s="144" t="str">
        <f>IF(A29="","",IFERROR(INDEX('12 P6 activities'!$C$7:$C$206,MATCH(A29,'12 P6 activities'!$A$7:$A$206,0)),"⚠ not in P6 list"))</f>
        <v/>
      </c>
      <c r="D29" s="164" t="str">
        <f>IF($A29="","",IFERROR(INDEX('12 P6 activities'!$E$7:$E$206,MATCH($A29,'12 P6 activities'!$A$7:$A$206,0)),""))</f>
        <v/>
      </c>
      <c r="E29" s="154"/>
      <c r="F29" s="165"/>
      <c r="G29" s="166" t="str">
        <f t="shared" si="0"/>
        <v/>
      </c>
      <c r="H29" s="167" t="str">
        <f>IF($A29="","",SUMIFS('05 Work done log'!$F$7:$F$506,'05 Work done log'!$B$7:$B$506,$A29))</f>
        <v/>
      </c>
      <c r="I29" s="168" t="str">
        <f>IF($A29="","",SUMIFS('04 Resource log'!$J$7:$J$506,'04 Resource log'!$B$7:$B$506,$A29,'04 Resource log'!$E$7:$E$506,"Labour"))</f>
        <v/>
      </c>
      <c r="J29" s="168" t="str">
        <f t="shared" si="1"/>
        <v/>
      </c>
      <c r="K29" s="169" t="str">
        <f t="shared" si="2"/>
        <v/>
      </c>
      <c r="L29" s="170" t="str">
        <f t="shared" si="3"/>
        <v/>
      </c>
      <c r="M29" s="6"/>
      <c r="N29" s="6"/>
      <c r="O29" s="6"/>
      <c r="P29" s="6"/>
      <c r="Q29" s="6"/>
      <c r="R29" s="6"/>
      <c r="S29" s="6"/>
      <c r="T29" s="6"/>
      <c r="U29" s="6"/>
      <c r="V29" s="6"/>
      <c r="W29" s="6"/>
      <c r="X29" s="6"/>
      <c r="Y29" s="6"/>
      <c r="Z29" s="6"/>
    </row>
    <row r="30" spans="1:26" ht="18" customHeight="1" x14ac:dyDescent="0.3">
      <c r="A30" s="152"/>
      <c r="B30" s="127" t="str">
        <f>IF($A30="","",IFERROR(INDEX('12 P6 activities'!$B$7:$B$206,MATCH($A30,'12 P6 activities'!$A$7:$A$206,0)),"ID not in P6 list"))</f>
        <v/>
      </c>
      <c r="C30" s="144" t="str">
        <f>IF(A30="","",IFERROR(INDEX('12 P6 activities'!$C$7:$C$206,MATCH(A30,'12 P6 activities'!$A$7:$A$206,0)),"⚠ not in P6 list"))</f>
        <v/>
      </c>
      <c r="D30" s="164" t="str">
        <f>IF($A30="","",IFERROR(INDEX('12 P6 activities'!$E$7:$E$206,MATCH($A30,'12 P6 activities'!$A$7:$A$206,0)),""))</f>
        <v/>
      </c>
      <c r="E30" s="154"/>
      <c r="F30" s="165"/>
      <c r="G30" s="166" t="str">
        <f t="shared" si="0"/>
        <v/>
      </c>
      <c r="H30" s="167" t="str">
        <f>IF($A30="","",SUMIFS('05 Work done log'!$F$7:$F$506,'05 Work done log'!$B$7:$B$506,$A30))</f>
        <v/>
      </c>
      <c r="I30" s="168" t="str">
        <f>IF($A30="","",SUMIFS('04 Resource log'!$J$7:$J$506,'04 Resource log'!$B$7:$B$506,$A30,'04 Resource log'!$E$7:$E$506,"Labour"))</f>
        <v/>
      </c>
      <c r="J30" s="168" t="str">
        <f t="shared" si="1"/>
        <v/>
      </c>
      <c r="K30" s="169" t="str">
        <f t="shared" si="2"/>
        <v/>
      </c>
      <c r="L30" s="170" t="str">
        <f t="shared" si="3"/>
        <v/>
      </c>
      <c r="M30" s="6"/>
      <c r="N30" s="6"/>
      <c r="O30" s="6"/>
      <c r="P30" s="6"/>
      <c r="Q30" s="6"/>
      <c r="R30" s="6"/>
      <c r="S30" s="6"/>
      <c r="T30" s="6"/>
      <c r="U30" s="6"/>
      <c r="V30" s="6"/>
      <c r="W30" s="6"/>
      <c r="X30" s="6"/>
      <c r="Y30" s="6"/>
      <c r="Z30" s="6"/>
    </row>
    <row r="31" spans="1:26" ht="18" customHeight="1" x14ac:dyDescent="0.3">
      <c r="A31" s="152"/>
      <c r="B31" s="127" t="str">
        <f>IF($A31="","",IFERROR(INDEX('12 P6 activities'!$B$7:$B$206,MATCH($A31,'12 P6 activities'!$A$7:$A$206,0)),"ID not in P6 list"))</f>
        <v/>
      </c>
      <c r="C31" s="144" t="str">
        <f>IF(A31="","",IFERROR(INDEX('12 P6 activities'!$C$7:$C$206,MATCH(A31,'12 P6 activities'!$A$7:$A$206,0)),"⚠ not in P6 list"))</f>
        <v/>
      </c>
      <c r="D31" s="164" t="str">
        <f>IF($A31="","",IFERROR(INDEX('12 P6 activities'!$E$7:$E$206,MATCH($A31,'12 P6 activities'!$A$7:$A$206,0)),""))</f>
        <v/>
      </c>
      <c r="E31" s="154"/>
      <c r="F31" s="165"/>
      <c r="G31" s="166" t="str">
        <f t="shared" si="0"/>
        <v/>
      </c>
      <c r="H31" s="167" t="str">
        <f>IF($A31="","",SUMIFS('05 Work done log'!$F$7:$F$506,'05 Work done log'!$B$7:$B$506,$A31))</f>
        <v/>
      </c>
      <c r="I31" s="168" t="str">
        <f>IF($A31="","",SUMIFS('04 Resource log'!$J$7:$J$506,'04 Resource log'!$B$7:$B$506,$A31,'04 Resource log'!$E$7:$E$506,"Labour"))</f>
        <v/>
      </c>
      <c r="J31" s="168" t="str">
        <f t="shared" si="1"/>
        <v/>
      </c>
      <c r="K31" s="169" t="str">
        <f t="shared" si="2"/>
        <v/>
      </c>
      <c r="L31" s="170" t="str">
        <f t="shared" si="3"/>
        <v/>
      </c>
      <c r="M31" s="6"/>
      <c r="N31" s="6"/>
      <c r="O31" s="6"/>
      <c r="P31" s="6"/>
      <c r="Q31" s="6"/>
      <c r="R31" s="6"/>
      <c r="S31" s="6"/>
      <c r="T31" s="6"/>
      <c r="U31" s="6"/>
      <c r="V31" s="6"/>
      <c r="W31" s="6"/>
      <c r="X31" s="6"/>
      <c r="Y31" s="6"/>
      <c r="Z31" s="6"/>
    </row>
    <row r="32" spans="1:26" ht="18" customHeight="1" x14ac:dyDescent="0.3">
      <c r="A32" s="152"/>
      <c r="B32" s="127" t="str">
        <f>IF($A32="","",IFERROR(INDEX('12 P6 activities'!$B$7:$B$206,MATCH($A32,'12 P6 activities'!$A$7:$A$206,0)),"ID not in P6 list"))</f>
        <v/>
      </c>
      <c r="C32" s="144" t="str">
        <f>IF(A32="","",IFERROR(INDEX('12 P6 activities'!$C$7:$C$206,MATCH(A32,'12 P6 activities'!$A$7:$A$206,0)),"⚠ not in P6 list"))</f>
        <v/>
      </c>
      <c r="D32" s="164" t="str">
        <f>IF($A32="","",IFERROR(INDEX('12 P6 activities'!$E$7:$E$206,MATCH($A32,'12 P6 activities'!$A$7:$A$206,0)),""))</f>
        <v/>
      </c>
      <c r="E32" s="154"/>
      <c r="F32" s="165"/>
      <c r="G32" s="166" t="str">
        <f t="shared" si="0"/>
        <v/>
      </c>
      <c r="H32" s="167" t="str">
        <f>IF($A32="","",SUMIFS('05 Work done log'!$F$7:$F$506,'05 Work done log'!$B$7:$B$506,$A32))</f>
        <v/>
      </c>
      <c r="I32" s="168" t="str">
        <f>IF($A32="","",SUMIFS('04 Resource log'!$J$7:$J$506,'04 Resource log'!$B$7:$B$506,$A32,'04 Resource log'!$E$7:$E$506,"Labour"))</f>
        <v/>
      </c>
      <c r="J32" s="168" t="str">
        <f t="shared" si="1"/>
        <v/>
      </c>
      <c r="K32" s="169" t="str">
        <f t="shared" si="2"/>
        <v/>
      </c>
      <c r="L32" s="170" t="str">
        <f t="shared" si="3"/>
        <v/>
      </c>
      <c r="M32" s="6"/>
      <c r="N32" s="6"/>
      <c r="O32" s="6"/>
      <c r="P32" s="6"/>
      <c r="Q32" s="6"/>
      <c r="R32" s="6"/>
      <c r="S32" s="6"/>
      <c r="T32" s="6"/>
      <c r="U32" s="6"/>
      <c r="V32" s="6"/>
      <c r="W32" s="6"/>
      <c r="X32" s="6"/>
      <c r="Y32" s="6"/>
      <c r="Z32" s="6"/>
    </row>
    <row r="33" spans="1:26" ht="18" customHeight="1" x14ac:dyDescent="0.3">
      <c r="A33" s="152"/>
      <c r="B33" s="127" t="str">
        <f>IF($A33="","",IFERROR(INDEX('12 P6 activities'!$B$7:$B$206,MATCH($A33,'12 P6 activities'!$A$7:$A$206,0)),"ID not in P6 list"))</f>
        <v/>
      </c>
      <c r="C33" s="144" t="str">
        <f>IF(A33="","",IFERROR(INDEX('12 P6 activities'!$C$7:$C$206,MATCH(A33,'12 P6 activities'!$A$7:$A$206,0)),"⚠ not in P6 list"))</f>
        <v/>
      </c>
      <c r="D33" s="164" t="str">
        <f>IF($A33="","",IFERROR(INDEX('12 P6 activities'!$E$7:$E$206,MATCH($A33,'12 P6 activities'!$A$7:$A$206,0)),""))</f>
        <v/>
      </c>
      <c r="E33" s="154"/>
      <c r="F33" s="165"/>
      <c r="G33" s="166" t="str">
        <f t="shared" si="0"/>
        <v/>
      </c>
      <c r="H33" s="167" t="str">
        <f>IF($A33="","",SUMIFS('05 Work done log'!$F$7:$F$506,'05 Work done log'!$B$7:$B$506,$A33))</f>
        <v/>
      </c>
      <c r="I33" s="168" t="str">
        <f>IF($A33="","",SUMIFS('04 Resource log'!$J$7:$J$506,'04 Resource log'!$B$7:$B$506,$A33,'04 Resource log'!$E$7:$E$506,"Labour"))</f>
        <v/>
      </c>
      <c r="J33" s="168" t="str">
        <f t="shared" si="1"/>
        <v/>
      </c>
      <c r="K33" s="169" t="str">
        <f t="shared" si="2"/>
        <v/>
      </c>
      <c r="L33" s="170" t="str">
        <f t="shared" si="3"/>
        <v/>
      </c>
      <c r="M33" s="6"/>
      <c r="N33" s="6"/>
      <c r="O33" s="6"/>
      <c r="P33" s="6"/>
      <c r="Q33" s="6"/>
      <c r="R33" s="6"/>
      <c r="S33" s="6"/>
      <c r="T33" s="6"/>
      <c r="U33" s="6"/>
      <c r="V33" s="6"/>
      <c r="W33" s="6"/>
      <c r="X33" s="6"/>
      <c r="Y33" s="6"/>
      <c r="Z33" s="6"/>
    </row>
    <row r="34" spans="1:26" ht="18" customHeight="1" x14ac:dyDescent="0.3">
      <c r="A34" s="152"/>
      <c r="B34" s="127" t="str">
        <f>IF($A34="","",IFERROR(INDEX('12 P6 activities'!$B$7:$B$206,MATCH($A34,'12 P6 activities'!$A$7:$A$206,0)),"ID not in P6 list"))</f>
        <v/>
      </c>
      <c r="C34" s="144" t="str">
        <f>IF(A34="","",IFERROR(INDEX('12 P6 activities'!$C$7:$C$206,MATCH(A34,'12 P6 activities'!$A$7:$A$206,0)),"⚠ not in P6 list"))</f>
        <v/>
      </c>
      <c r="D34" s="164" t="str">
        <f>IF($A34="","",IFERROR(INDEX('12 P6 activities'!$E$7:$E$206,MATCH($A34,'12 P6 activities'!$A$7:$A$206,0)),""))</f>
        <v/>
      </c>
      <c r="E34" s="154"/>
      <c r="F34" s="165"/>
      <c r="G34" s="166" t="str">
        <f t="shared" si="0"/>
        <v/>
      </c>
      <c r="H34" s="167" t="str">
        <f>IF($A34="","",SUMIFS('05 Work done log'!$F$7:$F$506,'05 Work done log'!$B$7:$B$506,$A34))</f>
        <v/>
      </c>
      <c r="I34" s="168" t="str">
        <f>IF($A34="","",SUMIFS('04 Resource log'!$J$7:$J$506,'04 Resource log'!$B$7:$B$506,$A34,'04 Resource log'!$E$7:$E$506,"Labour"))</f>
        <v/>
      </c>
      <c r="J34" s="168" t="str">
        <f t="shared" si="1"/>
        <v/>
      </c>
      <c r="K34" s="169" t="str">
        <f t="shared" si="2"/>
        <v/>
      </c>
      <c r="L34" s="170" t="str">
        <f t="shared" si="3"/>
        <v/>
      </c>
      <c r="M34" s="6"/>
      <c r="N34" s="6"/>
      <c r="O34" s="6"/>
      <c r="P34" s="6"/>
      <c r="Q34" s="6"/>
      <c r="R34" s="6"/>
      <c r="S34" s="6"/>
      <c r="T34" s="6"/>
      <c r="U34" s="6"/>
      <c r="V34" s="6"/>
      <c r="W34" s="6"/>
      <c r="X34" s="6"/>
      <c r="Y34" s="6"/>
      <c r="Z34" s="6"/>
    </row>
    <row r="35" spans="1:26" ht="18" customHeight="1" x14ac:dyDescent="0.3">
      <c r="A35" s="152"/>
      <c r="B35" s="127" t="str">
        <f>IF($A35="","",IFERROR(INDEX('12 P6 activities'!$B$7:$B$206,MATCH($A35,'12 P6 activities'!$A$7:$A$206,0)),"ID not in P6 list"))</f>
        <v/>
      </c>
      <c r="C35" s="144" t="str">
        <f>IF(A35="","",IFERROR(INDEX('12 P6 activities'!$C$7:$C$206,MATCH(A35,'12 P6 activities'!$A$7:$A$206,0)),"⚠ not in P6 list"))</f>
        <v/>
      </c>
      <c r="D35" s="164" t="str">
        <f>IF($A35="","",IFERROR(INDEX('12 P6 activities'!$E$7:$E$206,MATCH($A35,'12 P6 activities'!$A$7:$A$206,0)),""))</f>
        <v/>
      </c>
      <c r="E35" s="154"/>
      <c r="F35" s="165"/>
      <c r="G35" s="166" t="str">
        <f t="shared" si="0"/>
        <v/>
      </c>
      <c r="H35" s="167" t="str">
        <f>IF($A35="","",SUMIFS('05 Work done log'!$F$7:$F$506,'05 Work done log'!$B$7:$B$506,$A35))</f>
        <v/>
      </c>
      <c r="I35" s="168" t="str">
        <f>IF($A35="","",SUMIFS('04 Resource log'!$J$7:$J$506,'04 Resource log'!$B$7:$B$506,$A35,'04 Resource log'!$E$7:$E$506,"Labour"))</f>
        <v/>
      </c>
      <c r="J35" s="168" t="str">
        <f t="shared" si="1"/>
        <v/>
      </c>
      <c r="K35" s="169" t="str">
        <f t="shared" si="2"/>
        <v/>
      </c>
      <c r="L35" s="170" t="str">
        <f t="shared" si="3"/>
        <v/>
      </c>
      <c r="M35" s="6"/>
      <c r="N35" s="6"/>
      <c r="O35" s="6"/>
      <c r="P35" s="6"/>
      <c r="Q35" s="6"/>
      <c r="R35" s="6"/>
      <c r="S35" s="6"/>
      <c r="T35" s="6"/>
      <c r="U35" s="6"/>
      <c r="V35" s="6"/>
      <c r="W35" s="6"/>
      <c r="X35" s="6"/>
      <c r="Y35" s="6"/>
      <c r="Z35" s="6"/>
    </row>
    <row r="36" spans="1:26" ht="18" customHeight="1" x14ac:dyDescent="0.3">
      <c r="A36" s="152"/>
      <c r="B36" s="127" t="str">
        <f>IF($A36="","",IFERROR(INDEX('12 P6 activities'!$B$7:$B$206,MATCH($A36,'12 P6 activities'!$A$7:$A$206,0)),"ID not in P6 list"))</f>
        <v/>
      </c>
      <c r="C36" s="144" t="str">
        <f>IF(A36="","",IFERROR(INDEX('12 P6 activities'!$C$7:$C$206,MATCH(A36,'12 P6 activities'!$A$7:$A$206,0)),"⚠ not in P6 list"))</f>
        <v/>
      </c>
      <c r="D36" s="164" t="str">
        <f>IF($A36="","",IFERROR(INDEX('12 P6 activities'!$E$7:$E$206,MATCH($A36,'12 P6 activities'!$A$7:$A$206,0)),""))</f>
        <v/>
      </c>
      <c r="E36" s="154"/>
      <c r="F36" s="165"/>
      <c r="G36" s="166" t="str">
        <f t="shared" si="0"/>
        <v/>
      </c>
      <c r="H36" s="167" t="str">
        <f>IF($A36="","",SUMIFS('05 Work done log'!$F$7:$F$506,'05 Work done log'!$B$7:$B$506,$A36))</f>
        <v/>
      </c>
      <c r="I36" s="168" t="str">
        <f>IF($A36="","",SUMIFS('04 Resource log'!$J$7:$J$506,'04 Resource log'!$B$7:$B$506,$A36,'04 Resource log'!$E$7:$E$506,"Labour"))</f>
        <v/>
      </c>
      <c r="J36" s="168" t="str">
        <f t="shared" si="1"/>
        <v/>
      </c>
      <c r="K36" s="169" t="str">
        <f t="shared" si="2"/>
        <v/>
      </c>
      <c r="L36" s="170" t="str">
        <f t="shared" si="3"/>
        <v/>
      </c>
      <c r="M36" s="6"/>
      <c r="N36" s="6"/>
      <c r="O36" s="6"/>
      <c r="P36" s="6"/>
      <c r="Q36" s="6"/>
      <c r="R36" s="6"/>
      <c r="S36" s="6"/>
      <c r="T36" s="6"/>
      <c r="U36" s="6"/>
      <c r="V36" s="6"/>
      <c r="W36" s="6"/>
      <c r="X36" s="6"/>
      <c r="Y36" s="6"/>
      <c r="Z36" s="6"/>
    </row>
    <row r="37" spans="1:26" ht="18" customHeight="1" x14ac:dyDescent="0.3">
      <c r="A37" s="152"/>
      <c r="B37" s="127" t="str">
        <f>IF($A37="","",IFERROR(INDEX('12 P6 activities'!$B$7:$B$206,MATCH($A37,'12 P6 activities'!$A$7:$A$206,0)),"ID not in P6 list"))</f>
        <v/>
      </c>
      <c r="C37" s="144" t="str">
        <f>IF(A37="","",IFERROR(INDEX('12 P6 activities'!$C$7:$C$206,MATCH(A37,'12 P6 activities'!$A$7:$A$206,0)),"⚠ not in P6 list"))</f>
        <v/>
      </c>
      <c r="D37" s="164" t="str">
        <f>IF($A37="","",IFERROR(INDEX('12 P6 activities'!$E$7:$E$206,MATCH($A37,'12 P6 activities'!$A$7:$A$206,0)),""))</f>
        <v/>
      </c>
      <c r="E37" s="154"/>
      <c r="F37" s="165"/>
      <c r="G37" s="166" t="str">
        <f t="shared" si="0"/>
        <v/>
      </c>
      <c r="H37" s="167" t="str">
        <f>IF($A37="","",SUMIFS('05 Work done log'!$F$7:$F$506,'05 Work done log'!$B$7:$B$506,$A37))</f>
        <v/>
      </c>
      <c r="I37" s="168" t="str">
        <f>IF($A37="","",SUMIFS('04 Resource log'!$J$7:$J$506,'04 Resource log'!$B$7:$B$506,$A37,'04 Resource log'!$E$7:$E$506,"Labour"))</f>
        <v/>
      </c>
      <c r="J37" s="168" t="str">
        <f t="shared" si="1"/>
        <v/>
      </c>
      <c r="K37" s="169" t="str">
        <f t="shared" si="2"/>
        <v/>
      </c>
      <c r="L37" s="170" t="str">
        <f t="shared" si="3"/>
        <v/>
      </c>
      <c r="M37" s="6"/>
      <c r="N37" s="6"/>
      <c r="O37" s="6"/>
      <c r="P37" s="6"/>
      <c r="Q37" s="6"/>
      <c r="R37" s="6"/>
      <c r="S37" s="6"/>
      <c r="T37" s="6"/>
      <c r="U37" s="6"/>
      <c r="V37" s="6"/>
      <c r="W37" s="6"/>
      <c r="X37" s="6"/>
      <c r="Y37" s="6"/>
      <c r="Z37" s="6"/>
    </row>
    <row r="38" spans="1:26" ht="18" customHeight="1" x14ac:dyDescent="0.3">
      <c r="A38" s="152"/>
      <c r="B38" s="127" t="str">
        <f>IF($A38="","",IFERROR(INDEX('12 P6 activities'!$B$7:$B$206,MATCH($A38,'12 P6 activities'!$A$7:$A$206,0)),"ID not in P6 list"))</f>
        <v/>
      </c>
      <c r="C38" s="144" t="str">
        <f>IF(A38="","",IFERROR(INDEX('12 P6 activities'!$C$7:$C$206,MATCH(A38,'12 P6 activities'!$A$7:$A$206,0)),"⚠ not in P6 list"))</f>
        <v/>
      </c>
      <c r="D38" s="164" t="str">
        <f>IF($A38="","",IFERROR(INDEX('12 P6 activities'!$E$7:$E$206,MATCH($A38,'12 P6 activities'!$A$7:$A$206,0)),""))</f>
        <v/>
      </c>
      <c r="E38" s="154"/>
      <c r="F38" s="165"/>
      <c r="G38" s="166" t="str">
        <f t="shared" si="0"/>
        <v/>
      </c>
      <c r="H38" s="167" t="str">
        <f>IF($A38="","",SUMIFS('05 Work done log'!$F$7:$F$506,'05 Work done log'!$B$7:$B$506,$A38))</f>
        <v/>
      </c>
      <c r="I38" s="168" t="str">
        <f>IF($A38="","",SUMIFS('04 Resource log'!$J$7:$J$506,'04 Resource log'!$B$7:$B$506,$A38,'04 Resource log'!$E$7:$E$506,"Labour"))</f>
        <v/>
      </c>
      <c r="J38" s="168" t="str">
        <f t="shared" si="1"/>
        <v/>
      </c>
      <c r="K38" s="169" t="str">
        <f t="shared" si="2"/>
        <v/>
      </c>
      <c r="L38" s="170" t="str">
        <f t="shared" si="3"/>
        <v/>
      </c>
      <c r="M38" s="6"/>
      <c r="N38" s="6"/>
      <c r="O38" s="6"/>
      <c r="P38" s="6"/>
      <c r="Q38" s="6"/>
      <c r="R38" s="6"/>
      <c r="S38" s="6"/>
      <c r="T38" s="6"/>
      <c r="U38" s="6"/>
      <c r="V38" s="6"/>
      <c r="W38" s="6"/>
      <c r="X38" s="6"/>
      <c r="Y38" s="6"/>
      <c r="Z38" s="6"/>
    </row>
    <row r="39" spans="1:26" ht="18" customHeight="1" x14ac:dyDescent="0.3">
      <c r="A39" s="152"/>
      <c r="B39" s="127" t="str">
        <f>IF($A39="","",IFERROR(INDEX('12 P6 activities'!$B$7:$B$206,MATCH($A39,'12 P6 activities'!$A$7:$A$206,0)),"ID not in P6 list"))</f>
        <v/>
      </c>
      <c r="C39" s="144" t="str">
        <f>IF(A39="","",IFERROR(INDEX('12 P6 activities'!$C$7:$C$206,MATCH(A39,'12 P6 activities'!$A$7:$A$206,0)),"⚠ not in P6 list"))</f>
        <v/>
      </c>
      <c r="D39" s="164" t="str">
        <f>IF($A39="","",IFERROR(INDEX('12 P6 activities'!$E$7:$E$206,MATCH($A39,'12 P6 activities'!$A$7:$A$206,0)),""))</f>
        <v/>
      </c>
      <c r="E39" s="154"/>
      <c r="F39" s="165"/>
      <c r="G39" s="166" t="str">
        <f t="shared" si="0"/>
        <v/>
      </c>
      <c r="H39" s="167" t="str">
        <f>IF($A39="","",SUMIFS('05 Work done log'!$F$7:$F$506,'05 Work done log'!$B$7:$B$506,$A39))</f>
        <v/>
      </c>
      <c r="I39" s="168" t="str">
        <f>IF($A39="","",SUMIFS('04 Resource log'!$J$7:$J$506,'04 Resource log'!$B$7:$B$506,$A39,'04 Resource log'!$E$7:$E$506,"Labour"))</f>
        <v/>
      </c>
      <c r="J39" s="168" t="str">
        <f t="shared" si="1"/>
        <v/>
      </c>
      <c r="K39" s="169" t="str">
        <f t="shared" si="2"/>
        <v/>
      </c>
      <c r="L39" s="170" t="str">
        <f t="shared" si="3"/>
        <v/>
      </c>
      <c r="M39" s="6"/>
      <c r="N39" s="6"/>
      <c r="O39" s="6"/>
      <c r="P39" s="6"/>
      <c r="Q39" s="6"/>
      <c r="R39" s="6"/>
      <c r="S39" s="6"/>
      <c r="T39" s="6"/>
      <c r="U39" s="6"/>
      <c r="V39" s="6"/>
      <c r="W39" s="6"/>
      <c r="X39" s="6"/>
      <c r="Y39" s="6"/>
      <c r="Z39" s="6"/>
    </row>
    <row r="40" spans="1:26" ht="18" customHeight="1" x14ac:dyDescent="0.3">
      <c r="A40" s="152"/>
      <c r="B40" s="127" t="str">
        <f>IF($A40="","",IFERROR(INDEX('12 P6 activities'!$B$7:$B$206,MATCH($A40,'12 P6 activities'!$A$7:$A$206,0)),"ID not in P6 list"))</f>
        <v/>
      </c>
      <c r="C40" s="144" t="str">
        <f>IF(A40="","",IFERROR(INDEX('12 P6 activities'!$C$7:$C$206,MATCH(A40,'12 P6 activities'!$A$7:$A$206,0)),"⚠ not in P6 list"))</f>
        <v/>
      </c>
      <c r="D40" s="164" t="str">
        <f>IF($A40="","",IFERROR(INDEX('12 P6 activities'!$E$7:$E$206,MATCH($A40,'12 P6 activities'!$A$7:$A$206,0)),""))</f>
        <v/>
      </c>
      <c r="E40" s="154"/>
      <c r="F40" s="165"/>
      <c r="G40" s="166" t="str">
        <f t="shared" si="0"/>
        <v/>
      </c>
      <c r="H40" s="167" t="str">
        <f>IF($A40="","",SUMIFS('05 Work done log'!$F$7:$F$506,'05 Work done log'!$B$7:$B$506,$A40))</f>
        <v/>
      </c>
      <c r="I40" s="168" t="str">
        <f>IF($A40="","",SUMIFS('04 Resource log'!$J$7:$J$506,'04 Resource log'!$B$7:$B$506,$A40,'04 Resource log'!$E$7:$E$506,"Labour"))</f>
        <v/>
      </c>
      <c r="J40" s="168" t="str">
        <f t="shared" si="1"/>
        <v/>
      </c>
      <c r="K40" s="169" t="str">
        <f t="shared" si="2"/>
        <v/>
      </c>
      <c r="L40" s="170" t="str">
        <f t="shared" si="3"/>
        <v/>
      </c>
      <c r="M40" s="6"/>
      <c r="N40" s="6"/>
      <c r="O40" s="6"/>
      <c r="P40" s="6"/>
      <c r="Q40" s="6"/>
      <c r="R40" s="6"/>
      <c r="S40" s="6"/>
      <c r="T40" s="6"/>
      <c r="U40" s="6"/>
      <c r="V40" s="6"/>
      <c r="W40" s="6"/>
      <c r="X40" s="6"/>
      <c r="Y40" s="6"/>
      <c r="Z40" s="6"/>
    </row>
    <row r="41" spans="1:26" ht="18" customHeight="1" x14ac:dyDescent="0.3">
      <c r="A41" s="152"/>
      <c r="B41" s="127" t="str">
        <f>IF($A41="","",IFERROR(INDEX('12 P6 activities'!$B$7:$B$206,MATCH($A41,'12 P6 activities'!$A$7:$A$206,0)),"ID not in P6 list"))</f>
        <v/>
      </c>
      <c r="C41" s="144" t="str">
        <f>IF(A41="","",IFERROR(INDEX('12 P6 activities'!$C$7:$C$206,MATCH(A41,'12 P6 activities'!$A$7:$A$206,0)),"⚠ not in P6 list"))</f>
        <v/>
      </c>
      <c r="D41" s="164" t="str">
        <f>IF($A41="","",IFERROR(INDEX('12 P6 activities'!$E$7:$E$206,MATCH($A41,'12 P6 activities'!$A$7:$A$206,0)),""))</f>
        <v/>
      </c>
      <c r="E41" s="154"/>
      <c r="F41" s="165"/>
      <c r="G41" s="166" t="str">
        <f t="shared" si="0"/>
        <v/>
      </c>
      <c r="H41" s="167" t="str">
        <f>IF($A41="","",SUMIFS('05 Work done log'!$F$7:$F$506,'05 Work done log'!$B$7:$B$506,$A41))</f>
        <v/>
      </c>
      <c r="I41" s="168" t="str">
        <f>IF($A41="","",SUMIFS('04 Resource log'!$J$7:$J$506,'04 Resource log'!$B$7:$B$506,$A41,'04 Resource log'!$E$7:$E$506,"Labour"))</f>
        <v/>
      </c>
      <c r="J41" s="168" t="str">
        <f t="shared" si="1"/>
        <v/>
      </c>
      <c r="K41" s="169" t="str">
        <f t="shared" si="2"/>
        <v/>
      </c>
      <c r="L41" s="170" t="str">
        <f t="shared" si="3"/>
        <v/>
      </c>
      <c r="M41" s="6"/>
      <c r="N41" s="6"/>
      <c r="O41" s="6"/>
      <c r="P41" s="6"/>
      <c r="Q41" s="6"/>
      <c r="R41" s="6"/>
      <c r="S41" s="6"/>
      <c r="T41" s="6"/>
      <c r="U41" s="6"/>
      <c r="V41" s="6"/>
      <c r="W41" s="6"/>
      <c r="X41" s="6"/>
      <c r="Y41" s="6"/>
      <c r="Z41" s="6"/>
    </row>
    <row r="42" spans="1:26" ht="18" customHeight="1" x14ac:dyDescent="0.3">
      <c r="A42" s="152"/>
      <c r="B42" s="127" t="str">
        <f>IF($A42="","",IFERROR(INDEX('12 P6 activities'!$B$7:$B$206,MATCH($A42,'12 P6 activities'!$A$7:$A$206,0)),"ID not in P6 list"))</f>
        <v/>
      </c>
      <c r="C42" s="144" t="str">
        <f>IF(A42="","",IFERROR(INDEX('12 P6 activities'!$C$7:$C$206,MATCH(A42,'12 P6 activities'!$A$7:$A$206,0)),"⚠ not in P6 list"))</f>
        <v/>
      </c>
      <c r="D42" s="164" t="str">
        <f>IF($A42="","",IFERROR(INDEX('12 P6 activities'!$E$7:$E$206,MATCH($A42,'12 P6 activities'!$A$7:$A$206,0)),""))</f>
        <v/>
      </c>
      <c r="E42" s="154"/>
      <c r="F42" s="165"/>
      <c r="G42" s="166" t="str">
        <f t="shared" si="0"/>
        <v/>
      </c>
      <c r="H42" s="167" t="str">
        <f>IF($A42="","",SUMIFS('05 Work done log'!$F$7:$F$506,'05 Work done log'!$B$7:$B$506,$A42))</f>
        <v/>
      </c>
      <c r="I42" s="168" t="str">
        <f>IF($A42="","",SUMIFS('04 Resource log'!$J$7:$J$506,'04 Resource log'!$B$7:$B$506,$A42,'04 Resource log'!$E$7:$E$506,"Labour"))</f>
        <v/>
      </c>
      <c r="J42" s="168" t="str">
        <f t="shared" si="1"/>
        <v/>
      </c>
      <c r="K42" s="169" t="str">
        <f t="shared" si="2"/>
        <v/>
      </c>
      <c r="L42" s="170" t="str">
        <f t="shared" si="3"/>
        <v/>
      </c>
      <c r="M42" s="6"/>
      <c r="N42" s="6"/>
      <c r="O42" s="6"/>
      <c r="P42" s="6"/>
      <c r="Q42" s="6"/>
      <c r="R42" s="6"/>
      <c r="S42" s="6"/>
      <c r="T42" s="6"/>
      <c r="U42" s="6"/>
      <c r="V42" s="6"/>
      <c r="W42" s="6"/>
      <c r="X42" s="6"/>
      <c r="Y42" s="6"/>
      <c r="Z42" s="6"/>
    </row>
    <row r="43" spans="1:26" ht="18" customHeight="1" x14ac:dyDescent="0.3">
      <c r="A43" s="152"/>
      <c r="B43" s="127" t="str">
        <f>IF($A43="","",IFERROR(INDEX('12 P6 activities'!$B$7:$B$206,MATCH($A43,'12 P6 activities'!$A$7:$A$206,0)),"ID not in P6 list"))</f>
        <v/>
      </c>
      <c r="C43" s="144" t="str">
        <f>IF(A43="","",IFERROR(INDEX('12 P6 activities'!$C$7:$C$206,MATCH(A43,'12 P6 activities'!$A$7:$A$206,0)),"⚠ not in P6 list"))</f>
        <v/>
      </c>
      <c r="D43" s="164" t="str">
        <f>IF($A43="","",IFERROR(INDEX('12 P6 activities'!$E$7:$E$206,MATCH($A43,'12 P6 activities'!$A$7:$A$206,0)),""))</f>
        <v/>
      </c>
      <c r="E43" s="154"/>
      <c r="F43" s="165"/>
      <c r="G43" s="166" t="str">
        <f t="shared" si="0"/>
        <v/>
      </c>
      <c r="H43" s="167" t="str">
        <f>IF($A43="","",SUMIFS('05 Work done log'!$F$7:$F$506,'05 Work done log'!$B$7:$B$506,$A43))</f>
        <v/>
      </c>
      <c r="I43" s="168" t="str">
        <f>IF($A43="","",SUMIFS('04 Resource log'!$J$7:$J$506,'04 Resource log'!$B$7:$B$506,$A43,'04 Resource log'!$E$7:$E$506,"Labour"))</f>
        <v/>
      </c>
      <c r="J43" s="168" t="str">
        <f t="shared" si="1"/>
        <v/>
      </c>
      <c r="K43" s="169" t="str">
        <f t="shared" si="2"/>
        <v/>
      </c>
      <c r="L43" s="170" t="str">
        <f t="shared" si="3"/>
        <v/>
      </c>
      <c r="M43" s="6"/>
      <c r="N43" s="6"/>
      <c r="O43" s="6"/>
      <c r="P43" s="6"/>
      <c r="Q43" s="6"/>
      <c r="R43" s="6"/>
      <c r="S43" s="6"/>
      <c r="T43" s="6"/>
      <c r="U43" s="6"/>
      <c r="V43" s="6"/>
      <c r="W43" s="6"/>
      <c r="X43" s="6"/>
      <c r="Y43" s="6"/>
      <c r="Z43" s="6"/>
    </row>
    <row r="44" spans="1:26" ht="18" customHeight="1" x14ac:dyDescent="0.3">
      <c r="A44" s="152"/>
      <c r="B44" s="127" t="str">
        <f>IF($A44="","",IFERROR(INDEX('12 P6 activities'!$B$7:$B$206,MATCH($A44,'12 P6 activities'!$A$7:$A$206,0)),"ID not in P6 list"))</f>
        <v/>
      </c>
      <c r="C44" s="144" t="str">
        <f>IF(A44="","",IFERROR(INDEX('12 P6 activities'!$C$7:$C$206,MATCH(A44,'12 P6 activities'!$A$7:$A$206,0)),"⚠ not in P6 list"))</f>
        <v/>
      </c>
      <c r="D44" s="164" t="str">
        <f>IF($A44="","",IFERROR(INDEX('12 P6 activities'!$E$7:$E$206,MATCH($A44,'12 P6 activities'!$A$7:$A$206,0)),""))</f>
        <v/>
      </c>
      <c r="E44" s="154"/>
      <c r="F44" s="165"/>
      <c r="G44" s="166" t="str">
        <f t="shared" si="0"/>
        <v/>
      </c>
      <c r="H44" s="167" t="str">
        <f>IF($A44="","",SUMIFS('05 Work done log'!$F$7:$F$506,'05 Work done log'!$B$7:$B$506,$A44))</f>
        <v/>
      </c>
      <c r="I44" s="168" t="str">
        <f>IF($A44="","",SUMIFS('04 Resource log'!$J$7:$J$506,'04 Resource log'!$B$7:$B$506,$A44,'04 Resource log'!$E$7:$E$506,"Labour"))</f>
        <v/>
      </c>
      <c r="J44" s="168" t="str">
        <f t="shared" si="1"/>
        <v/>
      </c>
      <c r="K44" s="169" t="str">
        <f t="shared" si="2"/>
        <v/>
      </c>
      <c r="L44" s="170" t="str">
        <f t="shared" si="3"/>
        <v/>
      </c>
      <c r="M44" s="6"/>
      <c r="N44" s="6"/>
      <c r="O44" s="6"/>
      <c r="P44" s="6"/>
      <c r="Q44" s="6"/>
      <c r="R44" s="6"/>
      <c r="S44" s="6"/>
      <c r="T44" s="6"/>
      <c r="U44" s="6"/>
      <c r="V44" s="6"/>
      <c r="W44" s="6"/>
      <c r="X44" s="6"/>
      <c r="Y44" s="6"/>
      <c r="Z44" s="6"/>
    </row>
    <row r="45" spans="1:26" ht="18" customHeight="1" x14ac:dyDescent="0.3">
      <c r="A45" s="152"/>
      <c r="B45" s="127" t="str">
        <f>IF($A45="","",IFERROR(INDEX('12 P6 activities'!$B$7:$B$206,MATCH($A45,'12 P6 activities'!$A$7:$A$206,0)),"ID not in P6 list"))</f>
        <v/>
      </c>
      <c r="C45" s="144" t="str">
        <f>IF(A45="","",IFERROR(INDEX('12 P6 activities'!$C$7:$C$206,MATCH(A45,'12 P6 activities'!$A$7:$A$206,0)),"⚠ not in P6 list"))</f>
        <v/>
      </c>
      <c r="D45" s="164" t="str">
        <f>IF($A45="","",IFERROR(INDEX('12 P6 activities'!$E$7:$E$206,MATCH($A45,'12 P6 activities'!$A$7:$A$206,0)),""))</f>
        <v/>
      </c>
      <c r="E45" s="154"/>
      <c r="F45" s="165"/>
      <c r="G45" s="166" t="str">
        <f t="shared" si="0"/>
        <v/>
      </c>
      <c r="H45" s="167" t="str">
        <f>IF($A45="","",SUMIFS('05 Work done log'!$F$7:$F$506,'05 Work done log'!$B$7:$B$506,$A45))</f>
        <v/>
      </c>
      <c r="I45" s="168" t="str">
        <f>IF($A45="","",SUMIFS('04 Resource log'!$J$7:$J$506,'04 Resource log'!$B$7:$B$506,$A45,'04 Resource log'!$E$7:$E$506,"Labour"))</f>
        <v/>
      </c>
      <c r="J45" s="168" t="str">
        <f t="shared" si="1"/>
        <v/>
      </c>
      <c r="K45" s="169" t="str">
        <f t="shared" si="2"/>
        <v/>
      </c>
      <c r="L45" s="170" t="str">
        <f t="shared" si="3"/>
        <v/>
      </c>
      <c r="M45" s="6"/>
      <c r="N45" s="6"/>
      <c r="O45" s="6"/>
      <c r="P45" s="6"/>
      <c r="Q45" s="6"/>
      <c r="R45" s="6"/>
      <c r="S45" s="6"/>
      <c r="T45" s="6"/>
      <c r="U45" s="6"/>
      <c r="V45" s="6"/>
      <c r="W45" s="6"/>
      <c r="X45" s="6"/>
      <c r="Y45" s="6"/>
      <c r="Z45" s="6"/>
    </row>
    <row r="46" spans="1:26" ht="18" customHeight="1" x14ac:dyDescent="0.3">
      <c r="A46" s="152"/>
      <c r="B46" s="127" t="str">
        <f>IF($A46="","",IFERROR(INDEX('12 P6 activities'!$B$7:$B$206,MATCH($A46,'12 P6 activities'!$A$7:$A$206,0)),"ID not in P6 list"))</f>
        <v/>
      </c>
      <c r="C46" s="144" t="str">
        <f>IF(A46="","",IFERROR(INDEX('12 P6 activities'!$C$7:$C$206,MATCH(A46,'12 P6 activities'!$A$7:$A$206,0)),"⚠ not in P6 list"))</f>
        <v/>
      </c>
      <c r="D46" s="164" t="str">
        <f>IF($A46="","",IFERROR(INDEX('12 P6 activities'!$E$7:$E$206,MATCH($A46,'12 P6 activities'!$A$7:$A$206,0)),""))</f>
        <v/>
      </c>
      <c r="E46" s="154"/>
      <c r="F46" s="165"/>
      <c r="G46" s="166" t="str">
        <f t="shared" si="0"/>
        <v/>
      </c>
      <c r="H46" s="167" t="str">
        <f>IF($A46="","",SUMIFS('05 Work done log'!$F$7:$F$506,'05 Work done log'!$B$7:$B$506,$A46))</f>
        <v/>
      </c>
      <c r="I46" s="168" t="str">
        <f>IF($A46="","",SUMIFS('04 Resource log'!$J$7:$J$506,'04 Resource log'!$B$7:$B$506,$A46,'04 Resource log'!$E$7:$E$506,"Labour"))</f>
        <v/>
      </c>
      <c r="J46" s="168" t="str">
        <f t="shared" si="1"/>
        <v/>
      </c>
      <c r="K46" s="169" t="str">
        <f t="shared" si="2"/>
        <v/>
      </c>
      <c r="L46" s="170" t="str">
        <f t="shared" si="3"/>
        <v/>
      </c>
      <c r="M46" s="6"/>
      <c r="N46" s="6"/>
      <c r="O46" s="6"/>
      <c r="P46" s="6"/>
      <c r="Q46" s="6"/>
      <c r="R46" s="6"/>
      <c r="S46" s="6"/>
      <c r="T46" s="6"/>
      <c r="U46" s="6"/>
      <c r="V46" s="6"/>
      <c r="W46" s="6"/>
      <c r="X46" s="6"/>
      <c r="Y46" s="6"/>
      <c r="Z46" s="6"/>
    </row>
    <row r="47" spans="1:26" ht="18" customHeight="1" x14ac:dyDescent="0.3">
      <c r="A47" s="152"/>
      <c r="B47" s="127" t="str">
        <f>IF($A47="","",IFERROR(INDEX('12 P6 activities'!$B$7:$B$206,MATCH($A47,'12 P6 activities'!$A$7:$A$206,0)),"ID not in P6 list"))</f>
        <v/>
      </c>
      <c r="C47" s="144" t="str">
        <f>IF(A47="","",IFERROR(INDEX('12 P6 activities'!$C$7:$C$206,MATCH(A47,'12 P6 activities'!$A$7:$A$206,0)),"⚠ not in P6 list"))</f>
        <v/>
      </c>
      <c r="D47" s="164" t="str">
        <f>IF($A47="","",IFERROR(INDEX('12 P6 activities'!$E$7:$E$206,MATCH($A47,'12 P6 activities'!$A$7:$A$206,0)),""))</f>
        <v/>
      </c>
      <c r="E47" s="154"/>
      <c r="F47" s="165"/>
      <c r="G47" s="166" t="str">
        <f t="shared" si="0"/>
        <v/>
      </c>
      <c r="H47" s="167" t="str">
        <f>IF($A47="","",SUMIFS('05 Work done log'!$F$7:$F$506,'05 Work done log'!$B$7:$B$506,$A47))</f>
        <v/>
      </c>
      <c r="I47" s="168" t="str">
        <f>IF($A47="","",SUMIFS('04 Resource log'!$J$7:$J$506,'04 Resource log'!$B$7:$B$506,$A47,'04 Resource log'!$E$7:$E$506,"Labour"))</f>
        <v/>
      </c>
      <c r="J47" s="168" t="str">
        <f t="shared" si="1"/>
        <v/>
      </c>
      <c r="K47" s="169" t="str">
        <f t="shared" si="2"/>
        <v/>
      </c>
      <c r="L47" s="170" t="str">
        <f t="shared" si="3"/>
        <v/>
      </c>
      <c r="M47" s="6"/>
      <c r="N47" s="6"/>
      <c r="O47" s="6"/>
      <c r="P47" s="6"/>
      <c r="Q47" s="6"/>
      <c r="R47" s="6"/>
      <c r="S47" s="6"/>
      <c r="T47" s="6"/>
      <c r="U47" s="6"/>
      <c r="V47" s="6"/>
      <c r="W47" s="6"/>
      <c r="X47" s="6"/>
      <c r="Y47" s="6"/>
      <c r="Z47" s="6"/>
    </row>
    <row r="48" spans="1:26" ht="18" customHeight="1" x14ac:dyDescent="0.3">
      <c r="A48" s="152"/>
      <c r="B48" s="127" t="str">
        <f>IF($A48="","",IFERROR(INDEX('12 P6 activities'!$B$7:$B$206,MATCH($A48,'12 P6 activities'!$A$7:$A$206,0)),"ID not in P6 list"))</f>
        <v/>
      </c>
      <c r="C48" s="144" t="str">
        <f>IF(A48="","",IFERROR(INDEX('12 P6 activities'!$C$7:$C$206,MATCH(A48,'12 P6 activities'!$A$7:$A$206,0)),"⚠ not in P6 list"))</f>
        <v/>
      </c>
      <c r="D48" s="164" t="str">
        <f>IF($A48="","",IFERROR(INDEX('12 P6 activities'!$E$7:$E$206,MATCH($A48,'12 P6 activities'!$A$7:$A$206,0)),""))</f>
        <v/>
      </c>
      <c r="E48" s="154"/>
      <c r="F48" s="165"/>
      <c r="G48" s="166" t="str">
        <f t="shared" si="0"/>
        <v/>
      </c>
      <c r="H48" s="167" t="str">
        <f>IF($A48="","",SUMIFS('05 Work done log'!$F$7:$F$506,'05 Work done log'!$B$7:$B$506,$A48))</f>
        <v/>
      </c>
      <c r="I48" s="168" t="str">
        <f>IF($A48="","",SUMIFS('04 Resource log'!$J$7:$J$506,'04 Resource log'!$B$7:$B$506,$A48,'04 Resource log'!$E$7:$E$506,"Labour"))</f>
        <v/>
      </c>
      <c r="J48" s="168" t="str">
        <f t="shared" si="1"/>
        <v/>
      </c>
      <c r="K48" s="169" t="str">
        <f t="shared" si="2"/>
        <v/>
      </c>
      <c r="L48" s="170" t="str">
        <f t="shared" si="3"/>
        <v/>
      </c>
      <c r="M48" s="6"/>
      <c r="N48" s="6"/>
      <c r="O48" s="6"/>
      <c r="P48" s="6"/>
      <c r="Q48" s="6"/>
      <c r="R48" s="6"/>
      <c r="S48" s="6"/>
      <c r="T48" s="6"/>
      <c r="U48" s="6"/>
      <c r="V48" s="6"/>
      <c r="W48" s="6"/>
      <c r="X48" s="6"/>
      <c r="Y48" s="6"/>
      <c r="Z48" s="6"/>
    </row>
    <row r="49" spans="1:26" ht="18" customHeight="1" x14ac:dyDescent="0.3">
      <c r="A49" s="152"/>
      <c r="B49" s="127" t="str">
        <f>IF($A49="","",IFERROR(INDEX('12 P6 activities'!$B$7:$B$206,MATCH($A49,'12 P6 activities'!$A$7:$A$206,0)),"ID not in P6 list"))</f>
        <v/>
      </c>
      <c r="C49" s="144" t="str">
        <f>IF(A49="","",IFERROR(INDEX('12 P6 activities'!$C$7:$C$206,MATCH(A49,'12 P6 activities'!$A$7:$A$206,0)),"⚠ not in P6 list"))</f>
        <v/>
      </c>
      <c r="D49" s="164" t="str">
        <f>IF($A49="","",IFERROR(INDEX('12 P6 activities'!$E$7:$E$206,MATCH($A49,'12 P6 activities'!$A$7:$A$206,0)),""))</f>
        <v/>
      </c>
      <c r="E49" s="154"/>
      <c r="F49" s="165"/>
      <c r="G49" s="166" t="str">
        <f t="shared" si="0"/>
        <v/>
      </c>
      <c r="H49" s="167" t="str">
        <f>IF($A49="","",SUMIFS('05 Work done log'!$F$7:$F$506,'05 Work done log'!$B$7:$B$506,$A49))</f>
        <v/>
      </c>
      <c r="I49" s="168" t="str">
        <f>IF($A49="","",SUMIFS('04 Resource log'!$J$7:$J$506,'04 Resource log'!$B$7:$B$506,$A49,'04 Resource log'!$E$7:$E$506,"Labour"))</f>
        <v/>
      </c>
      <c r="J49" s="168" t="str">
        <f t="shared" si="1"/>
        <v/>
      </c>
      <c r="K49" s="169" t="str">
        <f t="shared" si="2"/>
        <v/>
      </c>
      <c r="L49" s="170" t="str">
        <f t="shared" si="3"/>
        <v/>
      </c>
      <c r="M49" s="6"/>
      <c r="N49" s="6"/>
      <c r="O49" s="6"/>
      <c r="P49" s="6"/>
      <c r="Q49" s="6"/>
      <c r="R49" s="6"/>
      <c r="S49" s="6"/>
      <c r="T49" s="6"/>
      <c r="U49" s="6"/>
      <c r="V49" s="6"/>
      <c r="W49" s="6"/>
      <c r="X49" s="6"/>
      <c r="Y49" s="6"/>
      <c r="Z49" s="6"/>
    </row>
    <row r="50" spans="1:26" ht="18" customHeight="1" x14ac:dyDescent="0.3">
      <c r="A50" s="152"/>
      <c r="B50" s="127" t="str">
        <f>IF($A50="","",IFERROR(INDEX('12 P6 activities'!$B$7:$B$206,MATCH($A50,'12 P6 activities'!$A$7:$A$206,0)),"ID not in P6 list"))</f>
        <v/>
      </c>
      <c r="C50" s="144" t="str">
        <f>IF(A50="","",IFERROR(INDEX('12 P6 activities'!$C$7:$C$206,MATCH(A50,'12 P6 activities'!$A$7:$A$206,0)),"⚠ not in P6 list"))</f>
        <v/>
      </c>
      <c r="D50" s="164" t="str">
        <f>IF($A50="","",IFERROR(INDEX('12 P6 activities'!$E$7:$E$206,MATCH($A50,'12 P6 activities'!$A$7:$A$206,0)),""))</f>
        <v/>
      </c>
      <c r="E50" s="154"/>
      <c r="F50" s="165"/>
      <c r="G50" s="166" t="str">
        <f t="shared" si="0"/>
        <v/>
      </c>
      <c r="H50" s="167" t="str">
        <f>IF($A50="","",SUMIFS('05 Work done log'!$F$7:$F$506,'05 Work done log'!$B$7:$B$506,$A50))</f>
        <v/>
      </c>
      <c r="I50" s="168" t="str">
        <f>IF($A50="","",SUMIFS('04 Resource log'!$J$7:$J$506,'04 Resource log'!$B$7:$B$506,$A50,'04 Resource log'!$E$7:$E$506,"Labour"))</f>
        <v/>
      </c>
      <c r="J50" s="168" t="str">
        <f t="shared" si="1"/>
        <v/>
      </c>
      <c r="K50" s="169" t="str">
        <f t="shared" si="2"/>
        <v/>
      </c>
      <c r="L50" s="170" t="str">
        <f t="shared" si="3"/>
        <v/>
      </c>
      <c r="M50" s="6"/>
      <c r="N50" s="6"/>
      <c r="O50" s="6"/>
      <c r="P50" s="6"/>
      <c r="Q50" s="6"/>
      <c r="R50" s="6"/>
      <c r="S50" s="6"/>
      <c r="T50" s="6"/>
      <c r="U50" s="6"/>
      <c r="V50" s="6"/>
      <c r="W50" s="6"/>
      <c r="X50" s="6"/>
      <c r="Y50" s="6"/>
      <c r="Z50" s="6"/>
    </row>
    <row r="51" spans="1:26" ht="18" customHeight="1" x14ac:dyDescent="0.3">
      <c r="A51" s="152"/>
      <c r="B51" s="127" t="str">
        <f>IF($A51="","",IFERROR(INDEX('12 P6 activities'!$B$7:$B$206,MATCH($A51,'12 P6 activities'!$A$7:$A$206,0)),"ID not in P6 list"))</f>
        <v/>
      </c>
      <c r="C51" s="144" t="str">
        <f>IF(A51="","",IFERROR(INDEX('12 P6 activities'!$C$7:$C$206,MATCH(A51,'12 P6 activities'!$A$7:$A$206,0)),"⚠ not in P6 list"))</f>
        <v/>
      </c>
      <c r="D51" s="164" t="str">
        <f>IF($A51="","",IFERROR(INDEX('12 P6 activities'!$E$7:$E$206,MATCH($A51,'12 P6 activities'!$A$7:$A$206,0)),""))</f>
        <v/>
      </c>
      <c r="E51" s="154"/>
      <c r="F51" s="165"/>
      <c r="G51" s="166" t="str">
        <f t="shared" si="0"/>
        <v/>
      </c>
      <c r="H51" s="167" t="str">
        <f>IF($A51="","",SUMIFS('05 Work done log'!$F$7:$F$506,'05 Work done log'!$B$7:$B$506,$A51))</f>
        <v/>
      </c>
      <c r="I51" s="168" t="str">
        <f>IF($A51="","",SUMIFS('04 Resource log'!$J$7:$J$506,'04 Resource log'!$B$7:$B$506,$A51,'04 Resource log'!$E$7:$E$506,"Labour"))</f>
        <v/>
      </c>
      <c r="J51" s="168" t="str">
        <f t="shared" si="1"/>
        <v/>
      </c>
      <c r="K51" s="169" t="str">
        <f t="shared" si="2"/>
        <v/>
      </c>
      <c r="L51" s="170" t="str">
        <f t="shared" si="3"/>
        <v/>
      </c>
      <c r="M51" s="6"/>
      <c r="N51" s="6"/>
      <c r="O51" s="6"/>
      <c r="P51" s="6"/>
      <c r="Q51" s="6"/>
      <c r="R51" s="6"/>
      <c r="S51" s="6"/>
      <c r="T51" s="6"/>
      <c r="U51" s="6"/>
      <c r="V51" s="6"/>
      <c r="W51" s="6"/>
      <c r="X51" s="6"/>
      <c r="Y51" s="6"/>
      <c r="Z51" s="6"/>
    </row>
    <row r="52" spans="1:26" ht="18" customHeight="1" x14ac:dyDescent="0.3">
      <c r="A52" s="152"/>
      <c r="B52" s="127" t="str">
        <f>IF($A52="","",IFERROR(INDEX('12 P6 activities'!$B$7:$B$206,MATCH($A52,'12 P6 activities'!$A$7:$A$206,0)),"ID not in P6 list"))</f>
        <v/>
      </c>
      <c r="C52" s="144" t="str">
        <f>IF(A52="","",IFERROR(INDEX('12 P6 activities'!$C$7:$C$206,MATCH(A52,'12 P6 activities'!$A$7:$A$206,0)),"⚠ not in P6 list"))</f>
        <v/>
      </c>
      <c r="D52" s="164" t="str">
        <f>IF($A52="","",IFERROR(INDEX('12 P6 activities'!$E$7:$E$206,MATCH($A52,'12 P6 activities'!$A$7:$A$206,0)),""))</f>
        <v/>
      </c>
      <c r="E52" s="154"/>
      <c r="F52" s="165"/>
      <c r="G52" s="166" t="str">
        <f t="shared" si="0"/>
        <v/>
      </c>
      <c r="H52" s="167" t="str">
        <f>IF($A52="","",SUMIFS('05 Work done log'!$F$7:$F$506,'05 Work done log'!$B$7:$B$506,$A52))</f>
        <v/>
      </c>
      <c r="I52" s="168" t="str">
        <f>IF($A52="","",SUMIFS('04 Resource log'!$J$7:$J$506,'04 Resource log'!$B$7:$B$506,$A52,'04 Resource log'!$E$7:$E$506,"Labour"))</f>
        <v/>
      </c>
      <c r="J52" s="168" t="str">
        <f t="shared" si="1"/>
        <v/>
      </c>
      <c r="K52" s="169" t="str">
        <f t="shared" si="2"/>
        <v/>
      </c>
      <c r="L52" s="170" t="str">
        <f t="shared" si="3"/>
        <v/>
      </c>
      <c r="M52" s="6"/>
      <c r="N52" s="6"/>
      <c r="O52" s="6"/>
      <c r="P52" s="6"/>
      <c r="Q52" s="6"/>
      <c r="R52" s="6"/>
      <c r="S52" s="6"/>
      <c r="T52" s="6"/>
      <c r="U52" s="6"/>
      <c r="V52" s="6"/>
      <c r="W52" s="6"/>
      <c r="X52" s="6"/>
      <c r="Y52" s="6"/>
      <c r="Z52" s="6"/>
    </row>
    <row r="53" spans="1:26" ht="18" customHeight="1" x14ac:dyDescent="0.3">
      <c r="A53" s="152"/>
      <c r="B53" s="127" t="str">
        <f>IF($A53="","",IFERROR(INDEX('12 P6 activities'!$B$7:$B$206,MATCH($A53,'12 P6 activities'!$A$7:$A$206,0)),"ID not in P6 list"))</f>
        <v/>
      </c>
      <c r="C53" s="144" t="str">
        <f>IF(A53="","",IFERROR(INDEX('12 P6 activities'!$C$7:$C$206,MATCH(A53,'12 P6 activities'!$A$7:$A$206,0)),"⚠ not in P6 list"))</f>
        <v/>
      </c>
      <c r="D53" s="164" t="str">
        <f>IF($A53="","",IFERROR(INDEX('12 P6 activities'!$E$7:$E$206,MATCH($A53,'12 P6 activities'!$A$7:$A$206,0)),""))</f>
        <v/>
      </c>
      <c r="E53" s="154"/>
      <c r="F53" s="165"/>
      <c r="G53" s="166" t="str">
        <f t="shared" si="0"/>
        <v/>
      </c>
      <c r="H53" s="167" t="str">
        <f>IF($A53="","",SUMIFS('05 Work done log'!$F$7:$F$506,'05 Work done log'!$B$7:$B$506,$A53))</f>
        <v/>
      </c>
      <c r="I53" s="168" t="str">
        <f>IF($A53="","",SUMIFS('04 Resource log'!$J$7:$J$506,'04 Resource log'!$B$7:$B$506,$A53,'04 Resource log'!$E$7:$E$506,"Labour"))</f>
        <v/>
      </c>
      <c r="J53" s="168" t="str">
        <f t="shared" si="1"/>
        <v/>
      </c>
      <c r="K53" s="169" t="str">
        <f t="shared" si="2"/>
        <v/>
      </c>
      <c r="L53" s="170" t="str">
        <f t="shared" si="3"/>
        <v/>
      </c>
      <c r="M53" s="6"/>
      <c r="N53" s="6"/>
      <c r="O53" s="6"/>
      <c r="P53" s="6"/>
      <c r="Q53" s="6"/>
      <c r="R53" s="6"/>
      <c r="S53" s="6"/>
      <c r="T53" s="6"/>
      <c r="U53" s="6"/>
      <c r="V53" s="6"/>
      <c r="W53" s="6"/>
      <c r="X53" s="6"/>
      <c r="Y53" s="6"/>
      <c r="Z53" s="6"/>
    </row>
    <row r="54" spans="1:26" ht="18" customHeight="1" x14ac:dyDescent="0.3">
      <c r="A54" s="152"/>
      <c r="B54" s="127" t="str">
        <f>IF($A54="","",IFERROR(INDEX('12 P6 activities'!$B$7:$B$206,MATCH($A54,'12 P6 activities'!$A$7:$A$206,0)),"ID not in P6 list"))</f>
        <v/>
      </c>
      <c r="C54" s="144" t="str">
        <f>IF(A54="","",IFERROR(INDEX('12 P6 activities'!$C$7:$C$206,MATCH(A54,'12 P6 activities'!$A$7:$A$206,0)),"⚠ not in P6 list"))</f>
        <v/>
      </c>
      <c r="D54" s="164" t="str">
        <f>IF($A54="","",IFERROR(INDEX('12 P6 activities'!$E$7:$E$206,MATCH($A54,'12 P6 activities'!$A$7:$A$206,0)),""))</f>
        <v/>
      </c>
      <c r="E54" s="154"/>
      <c r="F54" s="165"/>
      <c r="G54" s="166" t="str">
        <f t="shared" si="0"/>
        <v/>
      </c>
      <c r="H54" s="167" t="str">
        <f>IF($A54="","",SUMIFS('05 Work done log'!$F$7:$F$506,'05 Work done log'!$B$7:$B$506,$A54))</f>
        <v/>
      </c>
      <c r="I54" s="168" t="str">
        <f>IF($A54="","",SUMIFS('04 Resource log'!$J$7:$J$506,'04 Resource log'!$B$7:$B$506,$A54,'04 Resource log'!$E$7:$E$506,"Labour"))</f>
        <v/>
      </c>
      <c r="J54" s="168" t="str">
        <f t="shared" si="1"/>
        <v/>
      </c>
      <c r="K54" s="169" t="str">
        <f t="shared" si="2"/>
        <v/>
      </c>
      <c r="L54" s="170" t="str">
        <f t="shared" si="3"/>
        <v/>
      </c>
      <c r="M54" s="6"/>
      <c r="N54" s="6"/>
      <c r="O54" s="6"/>
      <c r="P54" s="6"/>
      <c r="Q54" s="6"/>
      <c r="R54" s="6"/>
      <c r="S54" s="6"/>
      <c r="T54" s="6"/>
      <c r="U54" s="6"/>
      <c r="V54" s="6"/>
      <c r="W54" s="6"/>
      <c r="X54" s="6"/>
      <c r="Y54" s="6"/>
      <c r="Z54" s="6"/>
    </row>
    <row r="55" spans="1:26" ht="18" customHeight="1" x14ac:dyDescent="0.3">
      <c r="A55" s="152"/>
      <c r="B55" s="127" t="str">
        <f>IF($A55="","",IFERROR(INDEX('12 P6 activities'!$B$7:$B$206,MATCH($A55,'12 P6 activities'!$A$7:$A$206,0)),"ID not in P6 list"))</f>
        <v/>
      </c>
      <c r="C55" s="144" t="str">
        <f>IF(A55="","",IFERROR(INDEX('12 P6 activities'!$C$7:$C$206,MATCH(A55,'12 P6 activities'!$A$7:$A$206,0)),"⚠ not in P6 list"))</f>
        <v/>
      </c>
      <c r="D55" s="164" t="str">
        <f>IF($A55="","",IFERROR(INDEX('12 P6 activities'!$E$7:$E$206,MATCH($A55,'12 P6 activities'!$A$7:$A$206,0)),""))</f>
        <v/>
      </c>
      <c r="E55" s="154"/>
      <c r="F55" s="165"/>
      <c r="G55" s="166" t="str">
        <f t="shared" si="0"/>
        <v/>
      </c>
      <c r="H55" s="167" t="str">
        <f>IF($A55="","",SUMIFS('05 Work done log'!$F$7:$F$506,'05 Work done log'!$B$7:$B$506,$A55))</f>
        <v/>
      </c>
      <c r="I55" s="168" t="str">
        <f>IF($A55="","",SUMIFS('04 Resource log'!$J$7:$J$506,'04 Resource log'!$B$7:$B$506,$A55,'04 Resource log'!$E$7:$E$506,"Labour"))</f>
        <v/>
      </c>
      <c r="J55" s="168" t="str">
        <f t="shared" si="1"/>
        <v/>
      </c>
      <c r="K55" s="169" t="str">
        <f t="shared" si="2"/>
        <v/>
      </c>
      <c r="L55" s="170" t="str">
        <f t="shared" si="3"/>
        <v/>
      </c>
      <c r="M55" s="6"/>
      <c r="N55" s="6"/>
      <c r="O55" s="6"/>
      <c r="P55" s="6"/>
      <c r="Q55" s="6"/>
      <c r="R55" s="6"/>
      <c r="S55" s="6"/>
      <c r="T55" s="6"/>
      <c r="U55" s="6"/>
      <c r="V55" s="6"/>
      <c r="W55" s="6"/>
      <c r="X55" s="6"/>
      <c r="Y55" s="6"/>
      <c r="Z55" s="6"/>
    </row>
    <row r="56" spans="1:26" ht="18" customHeight="1" x14ac:dyDescent="0.3">
      <c r="A56" s="152"/>
      <c r="B56" s="127" t="str">
        <f>IF($A56="","",IFERROR(INDEX('12 P6 activities'!$B$7:$B$206,MATCH($A56,'12 P6 activities'!$A$7:$A$206,0)),"ID not in P6 list"))</f>
        <v/>
      </c>
      <c r="C56" s="144" t="str">
        <f>IF(A56="","",IFERROR(INDEX('12 P6 activities'!$C$7:$C$206,MATCH(A56,'12 P6 activities'!$A$7:$A$206,0)),"⚠ not in P6 list"))</f>
        <v/>
      </c>
      <c r="D56" s="164" t="str">
        <f>IF($A56="","",IFERROR(INDEX('12 P6 activities'!$E$7:$E$206,MATCH($A56,'12 P6 activities'!$A$7:$A$206,0)),""))</f>
        <v/>
      </c>
      <c r="E56" s="154"/>
      <c r="F56" s="165"/>
      <c r="G56" s="166" t="str">
        <f t="shared" si="0"/>
        <v/>
      </c>
      <c r="H56" s="167" t="str">
        <f>IF($A56="","",SUMIFS('05 Work done log'!$F$7:$F$506,'05 Work done log'!$B$7:$B$506,$A56))</f>
        <v/>
      </c>
      <c r="I56" s="168" t="str">
        <f>IF($A56="","",SUMIFS('04 Resource log'!$J$7:$J$506,'04 Resource log'!$B$7:$B$506,$A56,'04 Resource log'!$E$7:$E$506,"Labour"))</f>
        <v/>
      </c>
      <c r="J56" s="168" t="str">
        <f t="shared" si="1"/>
        <v/>
      </c>
      <c r="K56" s="169" t="str">
        <f t="shared" si="2"/>
        <v/>
      </c>
      <c r="L56" s="170" t="str">
        <f t="shared" si="3"/>
        <v/>
      </c>
      <c r="M56" s="6"/>
      <c r="N56" s="6"/>
      <c r="O56" s="6"/>
      <c r="P56" s="6"/>
      <c r="Q56" s="6"/>
      <c r="R56" s="6"/>
      <c r="S56" s="6"/>
      <c r="T56" s="6"/>
      <c r="U56" s="6"/>
      <c r="V56" s="6"/>
      <c r="W56" s="6"/>
      <c r="X56" s="6"/>
      <c r="Y56" s="6"/>
      <c r="Z56" s="6"/>
    </row>
    <row r="57" spans="1:26" ht="18" customHeight="1" x14ac:dyDescent="0.3">
      <c r="A57" s="152"/>
      <c r="B57" s="127" t="str">
        <f>IF($A57="","",IFERROR(INDEX('12 P6 activities'!$B$7:$B$206,MATCH($A57,'12 P6 activities'!$A$7:$A$206,0)),"ID not in P6 list"))</f>
        <v/>
      </c>
      <c r="C57" s="144" t="str">
        <f>IF(A57="","",IFERROR(INDEX('12 P6 activities'!$C$7:$C$206,MATCH(A57,'12 P6 activities'!$A$7:$A$206,0)),"⚠ not in P6 list"))</f>
        <v/>
      </c>
      <c r="D57" s="164" t="str">
        <f>IF($A57="","",IFERROR(INDEX('12 P6 activities'!$E$7:$E$206,MATCH($A57,'12 P6 activities'!$A$7:$A$206,0)),""))</f>
        <v/>
      </c>
      <c r="E57" s="154"/>
      <c r="F57" s="165"/>
      <c r="G57" s="166" t="str">
        <f t="shared" si="0"/>
        <v/>
      </c>
      <c r="H57" s="167" t="str">
        <f>IF($A57="","",SUMIFS('05 Work done log'!$F$7:$F$506,'05 Work done log'!$B$7:$B$506,$A57))</f>
        <v/>
      </c>
      <c r="I57" s="168" t="str">
        <f>IF($A57="","",SUMIFS('04 Resource log'!$J$7:$J$506,'04 Resource log'!$B$7:$B$506,$A57,'04 Resource log'!$E$7:$E$506,"Labour"))</f>
        <v/>
      </c>
      <c r="J57" s="168" t="str">
        <f t="shared" si="1"/>
        <v/>
      </c>
      <c r="K57" s="169" t="str">
        <f t="shared" si="2"/>
        <v/>
      </c>
      <c r="L57" s="170" t="str">
        <f t="shared" si="3"/>
        <v/>
      </c>
      <c r="M57" s="6"/>
      <c r="N57" s="6"/>
      <c r="O57" s="6"/>
      <c r="P57" s="6"/>
      <c r="Q57" s="6"/>
      <c r="R57" s="6"/>
      <c r="S57" s="6"/>
      <c r="T57" s="6"/>
      <c r="U57" s="6"/>
      <c r="V57" s="6"/>
      <c r="W57" s="6"/>
      <c r="X57" s="6"/>
      <c r="Y57" s="6"/>
      <c r="Z57" s="6"/>
    </row>
    <row r="58" spans="1:26" ht="18" customHeight="1" x14ac:dyDescent="0.3">
      <c r="A58" s="152"/>
      <c r="B58" s="127" t="str">
        <f>IF($A58="","",IFERROR(INDEX('12 P6 activities'!$B$7:$B$206,MATCH($A58,'12 P6 activities'!$A$7:$A$206,0)),"ID not in P6 list"))</f>
        <v/>
      </c>
      <c r="C58" s="144" t="str">
        <f>IF(A58="","",IFERROR(INDEX('12 P6 activities'!$C$7:$C$206,MATCH(A58,'12 P6 activities'!$A$7:$A$206,0)),"⚠ not in P6 list"))</f>
        <v/>
      </c>
      <c r="D58" s="164" t="str">
        <f>IF($A58="","",IFERROR(INDEX('12 P6 activities'!$E$7:$E$206,MATCH($A58,'12 P6 activities'!$A$7:$A$206,0)),""))</f>
        <v/>
      </c>
      <c r="E58" s="154"/>
      <c r="F58" s="165"/>
      <c r="G58" s="166" t="str">
        <f t="shared" si="0"/>
        <v/>
      </c>
      <c r="H58" s="167" t="str">
        <f>IF($A58="","",SUMIFS('05 Work done log'!$F$7:$F$506,'05 Work done log'!$B$7:$B$506,$A58))</f>
        <v/>
      </c>
      <c r="I58" s="168" t="str">
        <f>IF($A58="","",SUMIFS('04 Resource log'!$J$7:$J$506,'04 Resource log'!$B$7:$B$506,$A58,'04 Resource log'!$E$7:$E$506,"Labour"))</f>
        <v/>
      </c>
      <c r="J58" s="168" t="str">
        <f t="shared" si="1"/>
        <v/>
      </c>
      <c r="K58" s="169" t="str">
        <f t="shared" si="2"/>
        <v/>
      </c>
      <c r="L58" s="170" t="str">
        <f t="shared" si="3"/>
        <v/>
      </c>
      <c r="M58" s="6"/>
      <c r="N58" s="6"/>
      <c r="O58" s="6"/>
      <c r="P58" s="6"/>
      <c r="Q58" s="6"/>
      <c r="R58" s="6"/>
      <c r="S58" s="6"/>
      <c r="T58" s="6"/>
      <c r="U58" s="6"/>
      <c r="V58" s="6"/>
      <c r="W58" s="6"/>
      <c r="X58" s="6"/>
      <c r="Y58" s="6"/>
      <c r="Z58" s="6"/>
    </row>
    <row r="59" spans="1:26" ht="18" customHeight="1" x14ac:dyDescent="0.3">
      <c r="A59" s="152"/>
      <c r="B59" s="127" t="str">
        <f>IF($A59="","",IFERROR(INDEX('12 P6 activities'!$B$7:$B$206,MATCH($A59,'12 P6 activities'!$A$7:$A$206,0)),"ID not in P6 list"))</f>
        <v/>
      </c>
      <c r="C59" s="144" t="str">
        <f>IF(A59="","",IFERROR(INDEX('12 P6 activities'!$C$7:$C$206,MATCH(A59,'12 P6 activities'!$A$7:$A$206,0)),"⚠ not in P6 list"))</f>
        <v/>
      </c>
      <c r="D59" s="164" t="str">
        <f>IF($A59="","",IFERROR(INDEX('12 P6 activities'!$E$7:$E$206,MATCH($A59,'12 P6 activities'!$A$7:$A$206,0)),""))</f>
        <v/>
      </c>
      <c r="E59" s="154"/>
      <c r="F59" s="165"/>
      <c r="G59" s="166" t="str">
        <f t="shared" si="0"/>
        <v/>
      </c>
      <c r="H59" s="167" t="str">
        <f>IF($A59="","",SUMIFS('05 Work done log'!$F$7:$F$506,'05 Work done log'!$B$7:$B$506,$A59))</f>
        <v/>
      </c>
      <c r="I59" s="168" t="str">
        <f>IF($A59="","",SUMIFS('04 Resource log'!$J$7:$J$506,'04 Resource log'!$B$7:$B$506,$A59,'04 Resource log'!$E$7:$E$506,"Labour"))</f>
        <v/>
      </c>
      <c r="J59" s="168" t="str">
        <f t="shared" si="1"/>
        <v/>
      </c>
      <c r="K59" s="169" t="str">
        <f t="shared" si="2"/>
        <v/>
      </c>
      <c r="L59" s="170" t="str">
        <f t="shared" si="3"/>
        <v/>
      </c>
      <c r="M59" s="6"/>
      <c r="N59" s="6"/>
      <c r="O59" s="6"/>
      <c r="P59" s="6"/>
      <c r="Q59" s="6"/>
      <c r="R59" s="6"/>
      <c r="S59" s="6"/>
      <c r="T59" s="6"/>
      <c r="U59" s="6"/>
      <c r="V59" s="6"/>
      <c r="W59" s="6"/>
      <c r="X59" s="6"/>
      <c r="Y59" s="6"/>
      <c r="Z59" s="6"/>
    </row>
    <row r="60" spans="1:26" ht="18" customHeight="1" x14ac:dyDescent="0.3">
      <c r="A60" s="152"/>
      <c r="B60" s="127" t="str">
        <f>IF($A60="","",IFERROR(INDEX('12 P6 activities'!$B$7:$B$206,MATCH($A60,'12 P6 activities'!$A$7:$A$206,0)),"ID not in P6 list"))</f>
        <v/>
      </c>
      <c r="C60" s="144" t="str">
        <f>IF(A60="","",IFERROR(INDEX('12 P6 activities'!$C$7:$C$206,MATCH(A60,'12 P6 activities'!$A$7:$A$206,0)),"⚠ not in P6 list"))</f>
        <v/>
      </c>
      <c r="D60" s="164" t="str">
        <f>IF($A60="","",IFERROR(INDEX('12 P6 activities'!$E$7:$E$206,MATCH($A60,'12 P6 activities'!$A$7:$A$206,0)),""))</f>
        <v/>
      </c>
      <c r="E60" s="154"/>
      <c r="F60" s="165"/>
      <c r="G60" s="166" t="str">
        <f t="shared" si="0"/>
        <v/>
      </c>
      <c r="H60" s="167" t="str">
        <f>IF($A60="","",SUMIFS('05 Work done log'!$F$7:$F$506,'05 Work done log'!$B$7:$B$506,$A60))</f>
        <v/>
      </c>
      <c r="I60" s="168" t="str">
        <f>IF($A60="","",SUMIFS('04 Resource log'!$J$7:$J$506,'04 Resource log'!$B$7:$B$506,$A60,'04 Resource log'!$E$7:$E$506,"Labour"))</f>
        <v/>
      </c>
      <c r="J60" s="168" t="str">
        <f t="shared" si="1"/>
        <v/>
      </c>
      <c r="K60" s="169" t="str">
        <f t="shared" si="2"/>
        <v/>
      </c>
      <c r="L60" s="170" t="str">
        <f t="shared" si="3"/>
        <v/>
      </c>
      <c r="M60" s="6"/>
      <c r="N60" s="6"/>
      <c r="O60" s="6"/>
      <c r="P60" s="6"/>
      <c r="Q60" s="6"/>
      <c r="R60" s="6"/>
      <c r="S60" s="6"/>
      <c r="T60" s="6"/>
      <c r="U60" s="6"/>
      <c r="V60" s="6"/>
      <c r="W60" s="6"/>
      <c r="X60" s="6"/>
      <c r="Y60" s="6"/>
      <c r="Z60" s="6"/>
    </row>
    <row r="61" spans="1:26" ht="18" customHeight="1" x14ac:dyDescent="0.3">
      <c r="A61" s="152"/>
      <c r="B61" s="127" t="str">
        <f>IF($A61="","",IFERROR(INDEX('12 P6 activities'!$B$7:$B$206,MATCH($A61,'12 P6 activities'!$A$7:$A$206,0)),"ID not in P6 list"))</f>
        <v/>
      </c>
      <c r="C61" s="144" t="str">
        <f>IF(A61="","",IFERROR(INDEX('12 P6 activities'!$C$7:$C$206,MATCH(A61,'12 P6 activities'!$A$7:$A$206,0)),"⚠ not in P6 list"))</f>
        <v/>
      </c>
      <c r="D61" s="164" t="str">
        <f>IF($A61="","",IFERROR(INDEX('12 P6 activities'!$E$7:$E$206,MATCH($A61,'12 P6 activities'!$A$7:$A$206,0)),""))</f>
        <v/>
      </c>
      <c r="E61" s="154"/>
      <c r="F61" s="165"/>
      <c r="G61" s="166" t="str">
        <f t="shared" si="0"/>
        <v/>
      </c>
      <c r="H61" s="167" t="str">
        <f>IF($A61="","",SUMIFS('05 Work done log'!$F$7:$F$506,'05 Work done log'!$B$7:$B$506,$A61))</f>
        <v/>
      </c>
      <c r="I61" s="168" t="str">
        <f>IF($A61="","",SUMIFS('04 Resource log'!$J$7:$J$506,'04 Resource log'!$B$7:$B$506,$A61,'04 Resource log'!$E$7:$E$506,"Labour"))</f>
        <v/>
      </c>
      <c r="J61" s="168" t="str">
        <f t="shared" si="1"/>
        <v/>
      </c>
      <c r="K61" s="169" t="str">
        <f t="shared" si="2"/>
        <v/>
      </c>
      <c r="L61" s="170" t="str">
        <f t="shared" si="3"/>
        <v/>
      </c>
      <c r="M61" s="6"/>
      <c r="N61" s="6"/>
      <c r="O61" s="6"/>
      <c r="P61" s="6"/>
      <c r="Q61" s="6"/>
      <c r="R61" s="6"/>
      <c r="S61" s="6"/>
      <c r="T61" s="6"/>
      <c r="U61" s="6"/>
      <c r="V61" s="6"/>
      <c r="W61" s="6"/>
      <c r="X61" s="6"/>
      <c r="Y61" s="6"/>
      <c r="Z61" s="6"/>
    </row>
    <row r="62" spans="1:26" ht="18" customHeight="1" x14ac:dyDescent="0.3">
      <c r="A62" s="152"/>
      <c r="B62" s="127" t="str">
        <f>IF($A62="","",IFERROR(INDEX('12 P6 activities'!$B$7:$B$206,MATCH($A62,'12 P6 activities'!$A$7:$A$206,0)),"ID not in P6 list"))</f>
        <v/>
      </c>
      <c r="C62" s="144" t="str">
        <f>IF(A62="","",IFERROR(INDEX('12 P6 activities'!$C$7:$C$206,MATCH(A62,'12 P6 activities'!$A$7:$A$206,0)),"⚠ not in P6 list"))</f>
        <v/>
      </c>
      <c r="D62" s="164" t="str">
        <f>IF($A62="","",IFERROR(INDEX('12 P6 activities'!$E$7:$E$206,MATCH($A62,'12 P6 activities'!$A$7:$A$206,0)),""))</f>
        <v/>
      </c>
      <c r="E62" s="154"/>
      <c r="F62" s="165"/>
      <c r="G62" s="166" t="str">
        <f t="shared" si="0"/>
        <v/>
      </c>
      <c r="H62" s="167" t="str">
        <f>IF($A62="","",SUMIFS('05 Work done log'!$F$7:$F$506,'05 Work done log'!$B$7:$B$506,$A62))</f>
        <v/>
      </c>
      <c r="I62" s="168" t="str">
        <f>IF($A62="","",SUMIFS('04 Resource log'!$J$7:$J$506,'04 Resource log'!$B$7:$B$506,$A62,'04 Resource log'!$E$7:$E$506,"Labour"))</f>
        <v/>
      </c>
      <c r="J62" s="168" t="str">
        <f t="shared" si="1"/>
        <v/>
      </c>
      <c r="K62" s="169" t="str">
        <f t="shared" si="2"/>
        <v/>
      </c>
      <c r="L62" s="170" t="str">
        <f t="shared" si="3"/>
        <v/>
      </c>
      <c r="M62" s="6"/>
      <c r="N62" s="6"/>
      <c r="O62" s="6"/>
      <c r="P62" s="6"/>
      <c r="Q62" s="6"/>
      <c r="R62" s="6"/>
      <c r="S62" s="6"/>
      <c r="T62" s="6"/>
      <c r="U62" s="6"/>
      <c r="V62" s="6"/>
      <c r="W62" s="6"/>
      <c r="X62" s="6"/>
      <c r="Y62" s="6"/>
      <c r="Z62" s="6"/>
    </row>
    <row r="63" spans="1:26" ht="18" customHeight="1" x14ac:dyDescent="0.3">
      <c r="A63" s="152"/>
      <c r="B63" s="127" t="str">
        <f>IF($A63="","",IFERROR(INDEX('12 P6 activities'!$B$7:$B$206,MATCH($A63,'12 P6 activities'!$A$7:$A$206,0)),"ID not in P6 list"))</f>
        <v/>
      </c>
      <c r="C63" s="144" t="str">
        <f>IF(A63="","",IFERROR(INDEX('12 P6 activities'!$C$7:$C$206,MATCH(A63,'12 P6 activities'!$A$7:$A$206,0)),"⚠ not in P6 list"))</f>
        <v/>
      </c>
      <c r="D63" s="164" t="str">
        <f>IF($A63="","",IFERROR(INDEX('12 P6 activities'!$E$7:$E$206,MATCH($A63,'12 P6 activities'!$A$7:$A$206,0)),""))</f>
        <v/>
      </c>
      <c r="E63" s="154"/>
      <c r="F63" s="165"/>
      <c r="G63" s="166" t="str">
        <f t="shared" si="0"/>
        <v/>
      </c>
      <c r="H63" s="167" t="str">
        <f>IF($A63="","",SUMIFS('05 Work done log'!$F$7:$F$506,'05 Work done log'!$B$7:$B$506,$A63))</f>
        <v/>
      </c>
      <c r="I63" s="168" t="str">
        <f>IF($A63="","",SUMIFS('04 Resource log'!$J$7:$J$506,'04 Resource log'!$B$7:$B$506,$A63,'04 Resource log'!$E$7:$E$506,"Labour"))</f>
        <v/>
      </c>
      <c r="J63" s="168" t="str">
        <f t="shared" si="1"/>
        <v/>
      </c>
      <c r="K63" s="169" t="str">
        <f t="shared" si="2"/>
        <v/>
      </c>
      <c r="L63" s="170" t="str">
        <f t="shared" si="3"/>
        <v/>
      </c>
      <c r="M63" s="6"/>
      <c r="N63" s="6"/>
      <c r="O63" s="6"/>
      <c r="P63" s="6"/>
      <c r="Q63" s="6"/>
      <c r="R63" s="6"/>
      <c r="S63" s="6"/>
      <c r="T63" s="6"/>
      <c r="U63" s="6"/>
      <c r="V63" s="6"/>
      <c r="W63" s="6"/>
      <c r="X63" s="6"/>
      <c r="Y63" s="6"/>
      <c r="Z63" s="6"/>
    </row>
    <row r="64" spans="1:26" ht="18" customHeight="1" x14ac:dyDescent="0.3">
      <c r="A64" s="152"/>
      <c r="B64" s="127" t="str">
        <f>IF($A64="","",IFERROR(INDEX('12 P6 activities'!$B$7:$B$206,MATCH($A64,'12 P6 activities'!$A$7:$A$206,0)),"ID not in P6 list"))</f>
        <v/>
      </c>
      <c r="C64" s="144" t="str">
        <f>IF(A64="","",IFERROR(INDEX('12 P6 activities'!$C$7:$C$206,MATCH(A64,'12 P6 activities'!$A$7:$A$206,0)),"⚠ not in P6 list"))</f>
        <v/>
      </c>
      <c r="D64" s="164" t="str">
        <f>IF($A64="","",IFERROR(INDEX('12 P6 activities'!$E$7:$E$206,MATCH($A64,'12 P6 activities'!$A$7:$A$206,0)),""))</f>
        <v/>
      </c>
      <c r="E64" s="154"/>
      <c r="F64" s="165"/>
      <c r="G64" s="166" t="str">
        <f t="shared" si="0"/>
        <v/>
      </c>
      <c r="H64" s="167" t="str">
        <f>IF($A64="","",SUMIFS('05 Work done log'!$F$7:$F$506,'05 Work done log'!$B$7:$B$506,$A64))</f>
        <v/>
      </c>
      <c r="I64" s="168" t="str">
        <f>IF($A64="","",SUMIFS('04 Resource log'!$J$7:$J$506,'04 Resource log'!$B$7:$B$506,$A64,'04 Resource log'!$E$7:$E$506,"Labour"))</f>
        <v/>
      </c>
      <c r="J64" s="168" t="str">
        <f t="shared" si="1"/>
        <v/>
      </c>
      <c r="K64" s="169" t="str">
        <f t="shared" si="2"/>
        <v/>
      </c>
      <c r="L64" s="170" t="str">
        <f t="shared" si="3"/>
        <v/>
      </c>
      <c r="M64" s="6"/>
      <c r="N64" s="6"/>
      <c r="O64" s="6"/>
      <c r="P64" s="6"/>
      <c r="Q64" s="6"/>
      <c r="R64" s="6"/>
      <c r="S64" s="6"/>
      <c r="T64" s="6"/>
      <c r="U64" s="6"/>
      <c r="V64" s="6"/>
      <c r="W64" s="6"/>
      <c r="X64" s="6"/>
      <c r="Y64" s="6"/>
      <c r="Z64" s="6"/>
    </row>
    <row r="65" spans="1:26" ht="18" customHeight="1" x14ac:dyDescent="0.3">
      <c r="A65" s="152"/>
      <c r="B65" s="127" t="str">
        <f>IF($A65="","",IFERROR(INDEX('12 P6 activities'!$B$7:$B$206,MATCH($A65,'12 P6 activities'!$A$7:$A$206,0)),"ID not in P6 list"))</f>
        <v/>
      </c>
      <c r="C65" s="144" t="str">
        <f>IF(A65="","",IFERROR(INDEX('12 P6 activities'!$C$7:$C$206,MATCH(A65,'12 P6 activities'!$A$7:$A$206,0)),"⚠ not in P6 list"))</f>
        <v/>
      </c>
      <c r="D65" s="164" t="str">
        <f>IF($A65="","",IFERROR(INDEX('12 P6 activities'!$E$7:$E$206,MATCH($A65,'12 P6 activities'!$A$7:$A$206,0)),""))</f>
        <v/>
      </c>
      <c r="E65" s="154"/>
      <c r="F65" s="165"/>
      <c r="G65" s="166" t="str">
        <f t="shared" si="0"/>
        <v/>
      </c>
      <c r="H65" s="167" t="str">
        <f>IF($A65="","",SUMIFS('05 Work done log'!$F$7:$F$506,'05 Work done log'!$B$7:$B$506,$A65))</f>
        <v/>
      </c>
      <c r="I65" s="168" t="str">
        <f>IF($A65="","",SUMIFS('04 Resource log'!$J$7:$J$506,'04 Resource log'!$B$7:$B$506,$A65,'04 Resource log'!$E$7:$E$506,"Labour"))</f>
        <v/>
      </c>
      <c r="J65" s="168" t="str">
        <f t="shared" si="1"/>
        <v/>
      </c>
      <c r="K65" s="169" t="str">
        <f t="shared" si="2"/>
        <v/>
      </c>
      <c r="L65" s="170" t="str">
        <f t="shared" si="3"/>
        <v/>
      </c>
      <c r="M65" s="6"/>
      <c r="N65" s="6"/>
      <c r="O65" s="6"/>
      <c r="P65" s="6"/>
      <c r="Q65" s="6"/>
      <c r="R65" s="6"/>
      <c r="S65" s="6"/>
      <c r="T65" s="6"/>
      <c r="U65" s="6"/>
      <c r="V65" s="6"/>
      <c r="W65" s="6"/>
      <c r="X65" s="6"/>
      <c r="Y65" s="6"/>
      <c r="Z65" s="6"/>
    </row>
    <row r="66" spans="1:26" ht="18" customHeight="1" x14ac:dyDescent="0.3">
      <c r="A66" s="152"/>
      <c r="B66" s="127" t="str">
        <f>IF($A66="","",IFERROR(INDEX('12 P6 activities'!$B$7:$B$206,MATCH($A66,'12 P6 activities'!$A$7:$A$206,0)),"ID not in P6 list"))</f>
        <v/>
      </c>
      <c r="C66" s="144" t="str">
        <f>IF(A66="","",IFERROR(INDEX('12 P6 activities'!$C$7:$C$206,MATCH(A66,'12 P6 activities'!$A$7:$A$206,0)),"⚠ not in P6 list"))</f>
        <v/>
      </c>
      <c r="D66" s="164" t="str">
        <f>IF($A66="","",IFERROR(INDEX('12 P6 activities'!$E$7:$E$206,MATCH($A66,'12 P6 activities'!$A$7:$A$206,0)),""))</f>
        <v/>
      </c>
      <c r="E66" s="154"/>
      <c r="F66" s="165"/>
      <c r="G66" s="166" t="str">
        <f t="shared" si="0"/>
        <v/>
      </c>
      <c r="H66" s="167" t="str">
        <f>IF($A66="","",SUMIFS('05 Work done log'!$F$7:$F$506,'05 Work done log'!$B$7:$B$506,$A66))</f>
        <v/>
      </c>
      <c r="I66" s="168" t="str">
        <f>IF($A66="","",SUMIFS('04 Resource log'!$J$7:$J$506,'04 Resource log'!$B$7:$B$506,$A66,'04 Resource log'!$E$7:$E$506,"Labour"))</f>
        <v/>
      </c>
      <c r="J66" s="168" t="str">
        <f t="shared" si="1"/>
        <v/>
      </c>
      <c r="K66" s="169" t="str">
        <f t="shared" si="2"/>
        <v/>
      </c>
      <c r="L66" s="170" t="str">
        <f t="shared" si="3"/>
        <v/>
      </c>
      <c r="M66" s="6"/>
      <c r="N66" s="6"/>
      <c r="O66" s="6"/>
      <c r="P66" s="6"/>
      <c r="Q66" s="6"/>
      <c r="R66" s="6"/>
      <c r="S66" s="6"/>
      <c r="T66" s="6"/>
      <c r="U66" s="6"/>
      <c r="V66" s="6"/>
      <c r="W66" s="6"/>
      <c r="X66" s="6"/>
      <c r="Y66" s="6"/>
      <c r="Z66" s="6"/>
    </row>
    <row r="67" spans="1:26" ht="18" customHeight="1" x14ac:dyDescent="0.3">
      <c r="A67" s="152"/>
      <c r="B67" s="127" t="str">
        <f>IF($A67="","",IFERROR(INDEX('12 P6 activities'!$B$7:$B$206,MATCH($A67,'12 P6 activities'!$A$7:$A$206,0)),"ID not in P6 list"))</f>
        <v/>
      </c>
      <c r="C67" s="144" t="str">
        <f>IF(A67="","",IFERROR(INDEX('12 P6 activities'!$C$7:$C$206,MATCH(A67,'12 P6 activities'!$A$7:$A$206,0)),"⚠ not in P6 list"))</f>
        <v/>
      </c>
      <c r="D67" s="164" t="str">
        <f>IF($A67="","",IFERROR(INDEX('12 P6 activities'!$E$7:$E$206,MATCH($A67,'12 P6 activities'!$A$7:$A$206,0)),""))</f>
        <v/>
      </c>
      <c r="E67" s="154"/>
      <c r="F67" s="165"/>
      <c r="G67" s="166" t="str">
        <f t="shared" si="0"/>
        <v/>
      </c>
      <c r="H67" s="167" t="str">
        <f>IF($A67="","",SUMIFS('05 Work done log'!$F$7:$F$506,'05 Work done log'!$B$7:$B$506,$A67))</f>
        <v/>
      </c>
      <c r="I67" s="168" t="str">
        <f>IF($A67="","",SUMIFS('04 Resource log'!$J$7:$J$506,'04 Resource log'!$B$7:$B$506,$A67,'04 Resource log'!$E$7:$E$506,"Labour"))</f>
        <v/>
      </c>
      <c r="J67" s="168" t="str">
        <f t="shared" si="1"/>
        <v/>
      </c>
      <c r="K67" s="169" t="str">
        <f t="shared" si="2"/>
        <v/>
      </c>
      <c r="L67" s="170" t="str">
        <f t="shared" si="3"/>
        <v/>
      </c>
      <c r="M67" s="6"/>
      <c r="N67" s="6"/>
      <c r="O67" s="6"/>
      <c r="P67" s="6"/>
      <c r="Q67" s="6"/>
      <c r="R67" s="6"/>
      <c r="S67" s="6"/>
      <c r="T67" s="6"/>
      <c r="U67" s="6"/>
      <c r="V67" s="6"/>
      <c r="W67" s="6"/>
      <c r="X67" s="6"/>
      <c r="Y67" s="6"/>
      <c r="Z67" s="6"/>
    </row>
    <row r="68" spans="1:26" ht="18" customHeight="1" x14ac:dyDescent="0.3">
      <c r="A68" s="152"/>
      <c r="B68" s="127" t="str">
        <f>IF($A68="","",IFERROR(INDEX('12 P6 activities'!$B$7:$B$206,MATCH($A68,'12 P6 activities'!$A$7:$A$206,0)),"ID not in P6 list"))</f>
        <v/>
      </c>
      <c r="C68" s="144" t="str">
        <f>IF(A68="","",IFERROR(INDEX('12 P6 activities'!$C$7:$C$206,MATCH(A68,'12 P6 activities'!$A$7:$A$206,0)),"⚠ not in P6 list"))</f>
        <v/>
      </c>
      <c r="D68" s="164" t="str">
        <f>IF($A68="","",IFERROR(INDEX('12 P6 activities'!$E$7:$E$206,MATCH($A68,'12 P6 activities'!$A$7:$A$206,0)),""))</f>
        <v/>
      </c>
      <c r="E68" s="154"/>
      <c r="F68" s="165"/>
      <c r="G68" s="166" t="str">
        <f t="shared" si="0"/>
        <v/>
      </c>
      <c r="H68" s="167" t="str">
        <f>IF($A68="","",SUMIFS('05 Work done log'!$F$7:$F$506,'05 Work done log'!$B$7:$B$506,$A68))</f>
        <v/>
      </c>
      <c r="I68" s="168" t="str">
        <f>IF($A68="","",SUMIFS('04 Resource log'!$J$7:$J$506,'04 Resource log'!$B$7:$B$506,$A68,'04 Resource log'!$E$7:$E$506,"Labour"))</f>
        <v/>
      </c>
      <c r="J68" s="168" t="str">
        <f t="shared" si="1"/>
        <v/>
      </c>
      <c r="K68" s="169" t="str">
        <f t="shared" si="2"/>
        <v/>
      </c>
      <c r="L68" s="170" t="str">
        <f t="shared" si="3"/>
        <v/>
      </c>
      <c r="M68" s="6"/>
      <c r="N68" s="6"/>
      <c r="O68" s="6"/>
      <c r="P68" s="6"/>
      <c r="Q68" s="6"/>
      <c r="R68" s="6"/>
      <c r="S68" s="6"/>
      <c r="T68" s="6"/>
      <c r="U68" s="6"/>
      <c r="V68" s="6"/>
      <c r="W68" s="6"/>
      <c r="X68" s="6"/>
      <c r="Y68" s="6"/>
      <c r="Z68" s="6"/>
    </row>
    <row r="69" spans="1:26" ht="18" customHeight="1" x14ac:dyDescent="0.3">
      <c r="A69" s="152"/>
      <c r="B69" s="127" t="str">
        <f>IF($A69="","",IFERROR(INDEX('12 P6 activities'!$B$7:$B$206,MATCH($A69,'12 P6 activities'!$A$7:$A$206,0)),"ID not in P6 list"))</f>
        <v/>
      </c>
      <c r="C69" s="144" t="str">
        <f>IF(A69="","",IFERROR(INDEX('12 P6 activities'!$C$7:$C$206,MATCH(A69,'12 P6 activities'!$A$7:$A$206,0)),"⚠ not in P6 list"))</f>
        <v/>
      </c>
      <c r="D69" s="164" t="str">
        <f>IF($A69="","",IFERROR(INDEX('12 P6 activities'!$E$7:$E$206,MATCH($A69,'12 P6 activities'!$A$7:$A$206,0)),""))</f>
        <v/>
      </c>
      <c r="E69" s="154"/>
      <c r="F69" s="165"/>
      <c r="G69" s="166" t="str">
        <f t="shared" si="0"/>
        <v/>
      </c>
      <c r="H69" s="167" t="str">
        <f>IF($A69="","",SUMIFS('05 Work done log'!$F$7:$F$506,'05 Work done log'!$B$7:$B$506,$A69))</f>
        <v/>
      </c>
      <c r="I69" s="168" t="str">
        <f>IF($A69="","",SUMIFS('04 Resource log'!$J$7:$J$506,'04 Resource log'!$B$7:$B$506,$A69,'04 Resource log'!$E$7:$E$506,"Labour"))</f>
        <v/>
      </c>
      <c r="J69" s="168" t="str">
        <f t="shared" si="1"/>
        <v/>
      </c>
      <c r="K69" s="169" t="str">
        <f t="shared" si="2"/>
        <v/>
      </c>
      <c r="L69" s="170" t="str">
        <f t="shared" si="3"/>
        <v/>
      </c>
      <c r="M69" s="6"/>
      <c r="N69" s="6"/>
      <c r="O69" s="6"/>
      <c r="P69" s="6"/>
      <c r="Q69" s="6"/>
      <c r="R69" s="6"/>
      <c r="S69" s="6"/>
      <c r="T69" s="6"/>
      <c r="U69" s="6"/>
      <c r="V69" s="6"/>
      <c r="W69" s="6"/>
      <c r="X69" s="6"/>
      <c r="Y69" s="6"/>
      <c r="Z69" s="6"/>
    </row>
    <row r="70" spans="1:26" ht="18" customHeight="1" x14ac:dyDescent="0.3">
      <c r="A70" s="152"/>
      <c r="B70" s="127" t="str">
        <f>IF($A70="","",IFERROR(INDEX('12 P6 activities'!$B$7:$B$206,MATCH($A70,'12 P6 activities'!$A$7:$A$206,0)),"ID not in P6 list"))</f>
        <v/>
      </c>
      <c r="C70" s="144" t="str">
        <f>IF(A70="","",IFERROR(INDEX('12 P6 activities'!$C$7:$C$206,MATCH(A70,'12 P6 activities'!$A$7:$A$206,0)),"⚠ not in P6 list"))</f>
        <v/>
      </c>
      <c r="D70" s="164" t="str">
        <f>IF($A70="","",IFERROR(INDEX('12 P6 activities'!$E$7:$E$206,MATCH($A70,'12 P6 activities'!$A$7:$A$206,0)),""))</f>
        <v/>
      </c>
      <c r="E70" s="154"/>
      <c r="F70" s="165"/>
      <c r="G70" s="166" t="str">
        <f t="shared" si="0"/>
        <v/>
      </c>
      <c r="H70" s="167" t="str">
        <f>IF($A70="","",SUMIFS('05 Work done log'!$F$7:$F$506,'05 Work done log'!$B$7:$B$506,$A70))</f>
        <v/>
      </c>
      <c r="I70" s="168" t="str">
        <f>IF($A70="","",SUMIFS('04 Resource log'!$J$7:$J$506,'04 Resource log'!$B$7:$B$506,$A70,'04 Resource log'!$E$7:$E$506,"Labour"))</f>
        <v/>
      </c>
      <c r="J70" s="168" t="str">
        <f t="shared" si="1"/>
        <v/>
      </c>
      <c r="K70" s="169" t="str">
        <f t="shared" si="2"/>
        <v/>
      </c>
      <c r="L70" s="170" t="str">
        <f t="shared" si="3"/>
        <v/>
      </c>
      <c r="M70" s="6"/>
      <c r="N70" s="6"/>
      <c r="O70" s="6"/>
      <c r="P70" s="6"/>
      <c r="Q70" s="6"/>
      <c r="R70" s="6"/>
      <c r="S70" s="6"/>
      <c r="T70" s="6"/>
      <c r="U70" s="6"/>
      <c r="V70" s="6"/>
      <c r="W70" s="6"/>
      <c r="X70" s="6"/>
      <c r="Y70" s="6"/>
      <c r="Z70" s="6"/>
    </row>
    <row r="71" spans="1:26" ht="18" customHeight="1" x14ac:dyDescent="0.3">
      <c r="A71" s="152"/>
      <c r="B71" s="127" t="str">
        <f>IF($A71="","",IFERROR(INDEX('12 P6 activities'!$B$7:$B$206,MATCH($A71,'12 P6 activities'!$A$7:$A$206,0)),"ID not in P6 list"))</f>
        <v/>
      </c>
      <c r="C71" s="144" t="str">
        <f>IF(A71="","",IFERROR(INDEX('12 P6 activities'!$C$7:$C$206,MATCH(A71,'12 P6 activities'!$A$7:$A$206,0)),"⚠ not in P6 list"))</f>
        <v/>
      </c>
      <c r="D71" s="164" t="str">
        <f>IF($A71="","",IFERROR(INDEX('12 P6 activities'!$E$7:$E$206,MATCH($A71,'12 P6 activities'!$A$7:$A$206,0)),""))</f>
        <v/>
      </c>
      <c r="E71" s="154"/>
      <c r="F71" s="165"/>
      <c r="G71" s="166" t="str">
        <f t="shared" si="0"/>
        <v/>
      </c>
      <c r="H71" s="167" t="str">
        <f>IF($A71="","",SUMIFS('05 Work done log'!$F$7:$F$506,'05 Work done log'!$B$7:$B$506,$A71))</f>
        <v/>
      </c>
      <c r="I71" s="168" t="str">
        <f>IF($A71="","",SUMIFS('04 Resource log'!$J$7:$J$506,'04 Resource log'!$B$7:$B$506,$A71,'04 Resource log'!$E$7:$E$506,"Labour"))</f>
        <v/>
      </c>
      <c r="J71" s="168" t="str">
        <f t="shared" si="1"/>
        <v/>
      </c>
      <c r="K71" s="169" t="str">
        <f t="shared" si="2"/>
        <v/>
      </c>
      <c r="L71" s="170" t="str">
        <f t="shared" si="3"/>
        <v/>
      </c>
      <c r="M71" s="6"/>
      <c r="N71" s="6"/>
      <c r="O71" s="6"/>
      <c r="P71" s="6"/>
      <c r="Q71" s="6"/>
      <c r="R71" s="6"/>
      <c r="S71" s="6"/>
      <c r="T71" s="6"/>
      <c r="U71" s="6"/>
      <c r="V71" s="6"/>
      <c r="W71" s="6"/>
      <c r="X71" s="6"/>
      <c r="Y71" s="6"/>
      <c r="Z71" s="6"/>
    </row>
    <row r="72" spans="1:26" ht="18" customHeight="1" x14ac:dyDescent="0.3">
      <c r="A72" s="152"/>
      <c r="B72" s="127" t="str">
        <f>IF($A72="","",IFERROR(INDEX('12 P6 activities'!$B$7:$B$206,MATCH($A72,'12 P6 activities'!$A$7:$A$206,0)),"ID not in P6 list"))</f>
        <v/>
      </c>
      <c r="C72" s="144" t="str">
        <f>IF(A72="","",IFERROR(INDEX('12 P6 activities'!$C$7:$C$206,MATCH(A72,'12 P6 activities'!$A$7:$A$206,0)),"⚠ not in P6 list"))</f>
        <v/>
      </c>
      <c r="D72" s="164" t="str">
        <f>IF($A72="","",IFERROR(INDEX('12 P6 activities'!$E$7:$E$206,MATCH($A72,'12 P6 activities'!$A$7:$A$206,0)),""))</f>
        <v/>
      </c>
      <c r="E72" s="154"/>
      <c r="F72" s="165"/>
      <c r="G72" s="166" t="str">
        <f t="shared" ref="G72:G135" si="4">IF(OR($E72="",$F72=""),"",IF($E72=0,"",$F72/$E72))</f>
        <v/>
      </c>
      <c r="H72" s="167" t="str">
        <f>IF($A72="","",SUMIFS('05 Work done log'!$F$7:$F$506,'05 Work done log'!$B$7:$B$506,$A72))</f>
        <v/>
      </c>
      <c r="I72" s="168" t="str">
        <f>IF($A72="","",SUMIFS('04 Resource log'!$J$7:$J$506,'04 Resource log'!$B$7:$B$506,$A72,'04 Resource log'!$E$7:$E$506,"Labour"))</f>
        <v/>
      </c>
      <c r="J72" s="168" t="str">
        <f t="shared" ref="J72:J135" si="5">IF(OR($A72="",$G72=""),"",$H72*$G72)</f>
        <v/>
      </c>
      <c r="K72" s="169" t="str">
        <f t="shared" ref="K72:K135" si="6">IF(OR($A72="",N($E72)=0),"",$H72/$E72)</f>
        <v/>
      </c>
      <c r="L72" s="170" t="str">
        <f t="shared" ref="L72:L135" si="7">IF(OR($A72="",N($I72)=0),"",$J72/$I72)</f>
        <v/>
      </c>
      <c r="M72" s="6"/>
      <c r="N72" s="6"/>
      <c r="O72" s="6"/>
      <c r="P72" s="6"/>
      <c r="Q72" s="6"/>
      <c r="R72" s="6"/>
      <c r="S72" s="6"/>
      <c r="T72" s="6"/>
      <c r="U72" s="6"/>
      <c r="V72" s="6"/>
      <c r="W72" s="6"/>
      <c r="X72" s="6"/>
      <c r="Y72" s="6"/>
      <c r="Z72" s="6"/>
    </row>
    <row r="73" spans="1:26" ht="18" customHeight="1" x14ac:dyDescent="0.3">
      <c r="A73" s="152"/>
      <c r="B73" s="127" t="str">
        <f>IF($A73="","",IFERROR(INDEX('12 P6 activities'!$B$7:$B$206,MATCH($A73,'12 P6 activities'!$A$7:$A$206,0)),"ID not in P6 list"))</f>
        <v/>
      </c>
      <c r="C73" s="144" t="str">
        <f>IF(A73="","",IFERROR(INDEX('12 P6 activities'!$C$7:$C$206,MATCH(A73,'12 P6 activities'!$A$7:$A$206,0)),"⚠ not in P6 list"))</f>
        <v/>
      </c>
      <c r="D73" s="164" t="str">
        <f>IF($A73="","",IFERROR(INDEX('12 P6 activities'!$E$7:$E$206,MATCH($A73,'12 P6 activities'!$A$7:$A$206,0)),""))</f>
        <v/>
      </c>
      <c r="E73" s="154"/>
      <c r="F73" s="165"/>
      <c r="G73" s="166" t="str">
        <f t="shared" si="4"/>
        <v/>
      </c>
      <c r="H73" s="167" t="str">
        <f>IF($A73="","",SUMIFS('05 Work done log'!$F$7:$F$506,'05 Work done log'!$B$7:$B$506,$A73))</f>
        <v/>
      </c>
      <c r="I73" s="168" t="str">
        <f>IF($A73="","",SUMIFS('04 Resource log'!$J$7:$J$506,'04 Resource log'!$B$7:$B$506,$A73,'04 Resource log'!$E$7:$E$506,"Labour"))</f>
        <v/>
      </c>
      <c r="J73" s="168" t="str">
        <f t="shared" si="5"/>
        <v/>
      </c>
      <c r="K73" s="169" t="str">
        <f t="shared" si="6"/>
        <v/>
      </c>
      <c r="L73" s="170" t="str">
        <f t="shared" si="7"/>
        <v/>
      </c>
      <c r="M73" s="6"/>
      <c r="N73" s="6"/>
      <c r="O73" s="6"/>
      <c r="P73" s="6"/>
      <c r="Q73" s="6"/>
      <c r="R73" s="6"/>
      <c r="S73" s="6"/>
      <c r="T73" s="6"/>
      <c r="U73" s="6"/>
      <c r="V73" s="6"/>
      <c r="W73" s="6"/>
      <c r="X73" s="6"/>
      <c r="Y73" s="6"/>
      <c r="Z73" s="6"/>
    </row>
    <row r="74" spans="1:26" ht="18" customHeight="1" x14ac:dyDescent="0.3">
      <c r="A74" s="152"/>
      <c r="B74" s="127" t="str">
        <f>IF($A74="","",IFERROR(INDEX('12 P6 activities'!$B$7:$B$206,MATCH($A74,'12 P6 activities'!$A$7:$A$206,0)),"ID not in P6 list"))</f>
        <v/>
      </c>
      <c r="C74" s="144" t="str">
        <f>IF(A74="","",IFERROR(INDEX('12 P6 activities'!$C$7:$C$206,MATCH(A74,'12 P6 activities'!$A$7:$A$206,0)),"⚠ not in P6 list"))</f>
        <v/>
      </c>
      <c r="D74" s="164" t="str">
        <f>IF($A74="","",IFERROR(INDEX('12 P6 activities'!$E$7:$E$206,MATCH($A74,'12 P6 activities'!$A$7:$A$206,0)),""))</f>
        <v/>
      </c>
      <c r="E74" s="154"/>
      <c r="F74" s="165"/>
      <c r="G74" s="166" t="str">
        <f t="shared" si="4"/>
        <v/>
      </c>
      <c r="H74" s="167" t="str">
        <f>IF($A74="","",SUMIFS('05 Work done log'!$F$7:$F$506,'05 Work done log'!$B$7:$B$506,$A74))</f>
        <v/>
      </c>
      <c r="I74" s="168" t="str">
        <f>IF($A74="","",SUMIFS('04 Resource log'!$J$7:$J$506,'04 Resource log'!$B$7:$B$506,$A74,'04 Resource log'!$E$7:$E$506,"Labour"))</f>
        <v/>
      </c>
      <c r="J74" s="168" t="str">
        <f t="shared" si="5"/>
        <v/>
      </c>
      <c r="K74" s="169" t="str">
        <f t="shared" si="6"/>
        <v/>
      </c>
      <c r="L74" s="170" t="str">
        <f t="shared" si="7"/>
        <v/>
      </c>
      <c r="M74" s="6"/>
      <c r="N74" s="6"/>
      <c r="O74" s="6"/>
      <c r="P74" s="6"/>
      <c r="Q74" s="6"/>
      <c r="R74" s="6"/>
      <c r="S74" s="6"/>
      <c r="T74" s="6"/>
      <c r="U74" s="6"/>
      <c r="V74" s="6"/>
      <c r="W74" s="6"/>
      <c r="X74" s="6"/>
      <c r="Y74" s="6"/>
      <c r="Z74" s="6"/>
    </row>
    <row r="75" spans="1:26" ht="18" customHeight="1" x14ac:dyDescent="0.3">
      <c r="A75" s="152"/>
      <c r="B75" s="127" t="str">
        <f>IF($A75="","",IFERROR(INDEX('12 P6 activities'!$B$7:$B$206,MATCH($A75,'12 P6 activities'!$A$7:$A$206,0)),"ID not in P6 list"))</f>
        <v/>
      </c>
      <c r="C75" s="144" t="str">
        <f>IF(A75="","",IFERROR(INDEX('12 P6 activities'!$C$7:$C$206,MATCH(A75,'12 P6 activities'!$A$7:$A$206,0)),"⚠ not in P6 list"))</f>
        <v/>
      </c>
      <c r="D75" s="164" t="str">
        <f>IF($A75="","",IFERROR(INDEX('12 P6 activities'!$E$7:$E$206,MATCH($A75,'12 P6 activities'!$A$7:$A$206,0)),""))</f>
        <v/>
      </c>
      <c r="E75" s="154"/>
      <c r="F75" s="165"/>
      <c r="G75" s="166" t="str">
        <f t="shared" si="4"/>
        <v/>
      </c>
      <c r="H75" s="167" t="str">
        <f>IF($A75="","",SUMIFS('05 Work done log'!$F$7:$F$506,'05 Work done log'!$B$7:$B$506,$A75))</f>
        <v/>
      </c>
      <c r="I75" s="168" t="str">
        <f>IF($A75="","",SUMIFS('04 Resource log'!$J$7:$J$506,'04 Resource log'!$B$7:$B$506,$A75,'04 Resource log'!$E$7:$E$506,"Labour"))</f>
        <v/>
      </c>
      <c r="J75" s="168" t="str">
        <f t="shared" si="5"/>
        <v/>
      </c>
      <c r="K75" s="169" t="str">
        <f t="shared" si="6"/>
        <v/>
      </c>
      <c r="L75" s="170" t="str">
        <f t="shared" si="7"/>
        <v/>
      </c>
      <c r="M75" s="6"/>
      <c r="N75" s="6"/>
      <c r="O75" s="6"/>
      <c r="P75" s="6"/>
      <c r="Q75" s="6"/>
      <c r="R75" s="6"/>
      <c r="S75" s="6"/>
      <c r="T75" s="6"/>
      <c r="U75" s="6"/>
      <c r="V75" s="6"/>
      <c r="W75" s="6"/>
      <c r="X75" s="6"/>
      <c r="Y75" s="6"/>
      <c r="Z75" s="6"/>
    </row>
    <row r="76" spans="1:26" ht="18" customHeight="1" x14ac:dyDescent="0.3">
      <c r="A76" s="152"/>
      <c r="B76" s="127" t="str">
        <f>IF($A76="","",IFERROR(INDEX('12 P6 activities'!$B$7:$B$206,MATCH($A76,'12 P6 activities'!$A$7:$A$206,0)),"ID not in P6 list"))</f>
        <v/>
      </c>
      <c r="C76" s="144" t="str">
        <f>IF(A76="","",IFERROR(INDEX('12 P6 activities'!$C$7:$C$206,MATCH(A76,'12 P6 activities'!$A$7:$A$206,0)),"⚠ not in P6 list"))</f>
        <v/>
      </c>
      <c r="D76" s="164" t="str">
        <f>IF($A76="","",IFERROR(INDEX('12 P6 activities'!$E$7:$E$206,MATCH($A76,'12 P6 activities'!$A$7:$A$206,0)),""))</f>
        <v/>
      </c>
      <c r="E76" s="154"/>
      <c r="F76" s="165"/>
      <c r="G76" s="166" t="str">
        <f t="shared" si="4"/>
        <v/>
      </c>
      <c r="H76" s="167" t="str">
        <f>IF($A76="","",SUMIFS('05 Work done log'!$F$7:$F$506,'05 Work done log'!$B$7:$B$506,$A76))</f>
        <v/>
      </c>
      <c r="I76" s="168" t="str">
        <f>IF($A76="","",SUMIFS('04 Resource log'!$J$7:$J$506,'04 Resource log'!$B$7:$B$506,$A76,'04 Resource log'!$E$7:$E$506,"Labour"))</f>
        <v/>
      </c>
      <c r="J76" s="168" t="str">
        <f t="shared" si="5"/>
        <v/>
      </c>
      <c r="K76" s="169" t="str">
        <f t="shared" si="6"/>
        <v/>
      </c>
      <c r="L76" s="170" t="str">
        <f t="shared" si="7"/>
        <v/>
      </c>
      <c r="M76" s="6"/>
      <c r="N76" s="6"/>
      <c r="O76" s="6"/>
      <c r="P76" s="6"/>
      <c r="Q76" s="6"/>
      <c r="R76" s="6"/>
      <c r="S76" s="6"/>
      <c r="T76" s="6"/>
      <c r="U76" s="6"/>
      <c r="V76" s="6"/>
      <c r="W76" s="6"/>
      <c r="X76" s="6"/>
      <c r="Y76" s="6"/>
      <c r="Z76" s="6"/>
    </row>
    <row r="77" spans="1:26" ht="18" customHeight="1" x14ac:dyDescent="0.3">
      <c r="A77" s="152"/>
      <c r="B77" s="127" t="str">
        <f>IF($A77="","",IFERROR(INDEX('12 P6 activities'!$B$7:$B$206,MATCH($A77,'12 P6 activities'!$A$7:$A$206,0)),"ID not in P6 list"))</f>
        <v/>
      </c>
      <c r="C77" s="144" t="str">
        <f>IF(A77="","",IFERROR(INDEX('12 P6 activities'!$C$7:$C$206,MATCH(A77,'12 P6 activities'!$A$7:$A$206,0)),"⚠ not in P6 list"))</f>
        <v/>
      </c>
      <c r="D77" s="164" t="str">
        <f>IF($A77="","",IFERROR(INDEX('12 P6 activities'!$E$7:$E$206,MATCH($A77,'12 P6 activities'!$A$7:$A$206,0)),""))</f>
        <v/>
      </c>
      <c r="E77" s="154"/>
      <c r="F77" s="165"/>
      <c r="G77" s="166" t="str">
        <f t="shared" si="4"/>
        <v/>
      </c>
      <c r="H77" s="167" t="str">
        <f>IF($A77="","",SUMIFS('05 Work done log'!$F$7:$F$506,'05 Work done log'!$B$7:$B$506,$A77))</f>
        <v/>
      </c>
      <c r="I77" s="168" t="str">
        <f>IF($A77="","",SUMIFS('04 Resource log'!$J$7:$J$506,'04 Resource log'!$B$7:$B$506,$A77,'04 Resource log'!$E$7:$E$506,"Labour"))</f>
        <v/>
      </c>
      <c r="J77" s="168" t="str">
        <f t="shared" si="5"/>
        <v/>
      </c>
      <c r="K77" s="169" t="str">
        <f t="shared" si="6"/>
        <v/>
      </c>
      <c r="L77" s="170" t="str">
        <f t="shared" si="7"/>
        <v/>
      </c>
      <c r="M77" s="6"/>
      <c r="N77" s="6"/>
      <c r="O77" s="6"/>
      <c r="P77" s="6"/>
      <c r="Q77" s="6"/>
      <c r="R77" s="6"/>
      <c r="S77" s="6"/>
      <c r="T77" s="6"/>
      <c r="U77" s="6"/>
      <c r="V77" s="6"/>
      <c r="W77" s="6"/>
      <c r="X77" s="6"/>
      <c r="Y77" s="6"/>
      <c r="Z77" s="6"/>
    </row>
    <row r="78" spans="1:26" ht="18" customHeight="1" x14ac:dyDescent="0.3">
      <c r="A78" s="152"/>
      <c r="B78" s="127" t="str">
        <f>IF($A78="","",IFERROR(INDEX('12 P6 activities'!$B$7:$B$206,MATCH($A78,'12 P6 activities'!$A$7:$A$206,0)),"ID not in P6 list"))</f>
        <v/>
      </c>
      <c r="C78" s="144" t="str">
        <f>IF(A78="","",IFERROR(INDEX('12 P6 activities'!$C$7:$C$206,MATCH(A78,'12 P6 activities'!$A$7:$A$206,0)),"⚠ not in P6 list"))</f>
        <v/>
      </c>
      <c r="D78" s="164" t="str">
        <f>IF($A78="","",IFERROR(INDEX('12 P6 activities'!$E$7:$E$206,MATCH($A78,'12 P6 activities'!$A$7:$A$206,0)),""))</f>
        <v/>
      </c>
      <c r="E78" s="154"/>
      <c r="F78" s="165"/>
      <c r="G78" s="166" t="str">
        <f t="shared" si="4"/>
        <v/>
      </c>
      <c r="H78" s="167" t="str">
        <f>IF($A78="","",SUMIFS('05 Work done log'!$F$7:$F$506,'05 Work done log'!$B$7:$B$506,$A78))</f>
        <v/>
      </c>
      <c r="I78" s="168" t="str">
        <f>IF($A78="","",SUMIFS('04 Resource log'!$J$7:$J$506,'04 Resource log'!$B$7:$B$506,$A78,'04 Resource log'!$E$7:$E$506,"Labour"))</f>
        <v/>
      </c>
      <c r="J78" s="168" t="str">
        <f t="shared" si="5"/>
        <v/>
      </c>
      <c r="K78" s="169" t="str">
        <f t="shared" si="6"/>
        <v/>
      </c>
      <c r="L78" s="170" t="str">
        <f t="shared" si="7"/>
        <v/>
      </c>
      <c r="M78" s="6"/>
      <c r="N78" s="6"/>
      <c r="O78" s="6"/>
      <c r="P78" s="6"/>
      <c r="Q78" s="6"/>
      <c r="R78" s="6"/>
      <c r="S78" s="6"/>
      <c r="T78" s="6"/>
      <c r="U78" s="6"/>
      <c r="V78" s="6"/>
      <c r="W78" s="6"/>
      <c r="X78" s="6"/>
      <c r="Y78" s="6"/>
      <c r="Z78" s="6"/>
    </row>
    <row r="79" spans="1:26" ht="18" customHeight="1" x14ac:dyDescent="0.3">
      <c r="A79" s="152"/>
      <c r="B79" s="127" t="str">
        <f>IF($A79="","",IFERROR(INDEX('12 P6 activities'!$B$7:$B$206,MATCH($A79,'12 P6 activities'!$A$7:$A$206,0)),"ID not in P6 list"))</f>
        <v/>
      </c>
      <c r="C79" s="144" t="str">
        <f>IF(A79="","",IFERROR(INDEX('12 P6 activities'!$C$7:$C$206,MATCH(A79,'12 P6 activities'!$A$7:$A$206,0)),"⚠ not in P6 list"))</f>
        <v/>
      </c>
      <c r="D79" s="164" t="str">
        <f>IF($A79="","",IFERROR(INDEX('12 P6 activities'!$E$7:$E$206,MATCH($A79,'12 P6 activities'!$A$7:$A$206,0)),""))</f>
        <v/>
      </c>
      <c r="E79" s="154"/>
      <c r="F79" s="165"/>
      <c r="G79" s="166" t="str">
        <f t="shared" si="4"/>
        <v/>
      </c>
      <c r="H79" s="167" t="str">
        <f>IF($A79="","",SUMIFS('05 Work done log'!$F$7:$F$506,'05 Work done log'!$B$7:$B$506,$A79))</f>
        <v/>
      </c>
      <c r="I79" s="168" t="str">
        <f>IF($A79="","",SUMIFS('04 Resource log'!$J$7:$J$506,'04 Resource log'!$B$7:$B$506,$A79,'04 Resource log'!$E$7:$E$506,"Labour"))</f>
        <v/>
      </c>
      <c r="J79" s="168" t="str">
        <f t="shared" si="5"/>
        <v/>
      </c>
      <c r="K79" s="169" t="str">
        <f t="shared" si="6"/>
        <v/>
      </c>
      <c r="L79" s="170" t="str">
        <f t="shared" si="7"/>
        <v/>
      </c>
      <c r="M79" s="6"/>
      <c r="N79" s="6"/>
      <c r="O79" s="6"/>
      <c r="P79" s="6"/>
      <c r="Q79" s="6"/>
      <c r="R79" s="6"/>
      <c r="S79" s="6"/>
      <c r="T79" s="6"/>
      <c r="U79" s="6"/>
      <c r="V79" s="6"/>
      <c r="W79" s="6"/>
      <c r="X79" s="6"/>
      <c r="Y79" s="6"/>
      <c r="Z79" s="6"/>
    </row>
    <row r="80" spans="1:26" ht="18" customHeight="1" x14ac:dyDescent="0.3">
      <c r="A80" s="152"/>
      <c r="B80" s="127" t="str">
        <f>IF($A80="","",IFERROR(INDEX('12 P6 activities'!$B$7:$B$206,MATCH($A80,'12 P6 activities'!$A$7:$A$206,0)),"ID not in P6 list"))</f>
        <v/>
      </c>
      <c r="C80" s="144" t="str">
        <f>IF(A80="","",IFERROR(INDEX('12 P6 activities'!$C$7:$C$206,MATCH(A80,'12 P6 activities'!$A$7:$A$206,0)),"⚠ not in P6 list"))</f>
        <v/>
      </c>
      <c r="D80" s="164" t="str">
        <f>IF($A80="","",IFERROR(INDEX('12 P6 activities'!$E$7:$E$206,MATCH($A80,'12 P6 activities'!$A$7:$A$206,0)),""))</f>
        <v/>
      </c>
      <c r="E80" s="154"/>
      <c r="F80" s="165"/>
      <c r="G80" s="166" t="str">
        <f t="shared" si="4"/>
        <v/>
      </c>
      <c r="H80" s="167" t="str">
        <f>IF($A80="","",SUMIFS('05 Work done log'!$F$7:$F$506,'05 Work done log'!$B$7:$B$506,$A80))</f>
        <v/>
      </c>
      <c r="I80" s="168" t="str">
        <f>IF($A80="","",SUMIFS('04 Resource log'!$J$7:$J$506,'04 Resource log'!$B$7:$B$506,$A80,'04 Resource log'!$E$7:$E$506,"Labour"))</f>
        <v/>
      </c>
      <c r="J80" s="168" t="str">
        <f t="shared" si="5"/>
        <v/>
      </c>
      <c r="K80" s="169" t="str">
        <f t="shared" si="6"/>
        <v/>
      </c>
      <c r="L80" s="170" t="str">
        <f t="shared" si="7"/>
        <v/>
      </c>
      <c r="M80" s="6"/>
      <c r="N80" s="6"/>
      <c r="O80" s="6"/>
      <c r="P80" s="6"/>
      <c r="Q80" s="6"/>
      <c r="R80" s="6"/>
      <c r="S80" s="6"/>
      <c r="T80" s="6"/>
      <c r="U80" s="6"/>
      <c r="V80" s="6"/>
      <c r="W80" s="6"/>
      <c r="X80" s="6"/>
      <c r="Y80" s="6"/>
      <c r="Z80" s="6"/>
    </row>
    <row r="81" spans="1:26" ht="18" customHeight="1" x14ac:dyDescent="0.3">
      <c r="A81" s="152"/>
      <c r="B81" s="127" t="str">
        <f>IF($A81="","",IFERROR(INDEX('12 P6 activities'!$B$7:$B$206,MATCH($A81,'12 P6 activities'!$A$7:$A$206,0)),"ID not in P6 list"))</f>
        <v/>
      </c>
      <c r="C81" s="144" t="str">
        <f>IF(A81="","",IFERROR(INDEX('12 P6 activities'!$C$7:$C$206,MATCH(A81,'12 P6 activities'!$A$7:$A$206,0)),"⚠ not in P6 list"))</f>
        <v/>
      </c>
      <c r="D81" s="164" t="str">
        <f>IF($A81="","",IFERROR(INDEX('12 P6 activities'!$E$7:$E$206,MATCH($A81,'12 P6 activities'!$A$7:$A$206,0)),""))</f>
        <v/>
      </c>
      <c r="E81" s="154"/>
      <c r="F81" s="165"/>
      <c r="G81" s="166" t="str">
        <f t="shared" si="4"/>
        <v/>
      </c>
      <c r="H81" s="167" t="str">
        <f>IF($A81="","",SUMIFS('05 Work done log'!$F$7:$F$506,'05 Work done log'!$B$7:$B$506,$A81))</f>
        <v/>
      </c>
      <c r="I81" s="168" t="str">
        <f>IF($A81="","",SUMIFS('04 Resource log'!$J$7:$J$506,'04 Resource log'!$B$7:$B$506,$A81,'04 Resource log'!$E$7:$E$506,"Labour"))</f>
        <v/>
      </c>
      <c r="J81" s="168" t="str">
        <f t="shared" si="5"/>
        <v/>
      </c>
      <c r="K81" s="169" t="str">
        <f t="shared" si="6"/>
        <v/>
      </c>
      <c r="L81" s="170" t="str">
        <f t="shared" si="7"/>
        <v/>
      </c>
      <c r="M81" s="6"/>
      <c r="N81" s="6"/>
      <c r="O81" s="6"/>
      <c r="P81" s="6"/>
      <c r="Q81" s="6"/>
      <c r="R81" s="6"/>
      <c r="S81" s="6"/>
      <c r="T81" s="6"/>
      <c r="U81" s="6"/>
      <c r="V81" s="6"/>
      <c r="W81" s="6"/>
      <c r="X81" s="6"/>
      <c r="Y81" s="6"/>
      <c r="Z81" s="6"/>
    </row>
    <row r="82" spans="1:26" ht="18" customHeight="1" x14ac:dyDescent="0.3">
      <c r="A82" s="152"/>
      <c r="B82" s="127" t="str">
        <f>IF($A82="","",IFERROR(INDEX('12 P6 activities'!$B$7:$B$206,MATCH($A82,'12 P6 activities'!$A$7:$A$206,0)),"ID not in P6 list"))</f>
        <v/>
      </c>
      <c r="C82" s="144" t="str">
        <f>IF(A82="","",IFERROR(INDEX('12 P6 activities'!$C$7:$C$206,MATCH(A82,'12 P6 activities'!$A$7:$A$206,0)),"⚠ not in P6 list"))</f>
        <v/>
      </c>
      <c r="D82" s="164" t="str">
        <f>IF($A82="","",IFERROR(INDEX('12 P6 activities'!$E$7:$E$206,MATCH($A82,'12 P6 activities'!$A$7:$A$206,0)),""))</f>
        <v/>
      </c>
      <c r="E82" s="154"/>
      <c r="F82" s="165"/>
      <c r="G82" s="166" t="str">
        <f t="shared" si="4"/>
        <v/>
      </c>
      <c r="H82" s="167" t="str">
        <f>IF($A82="","",SUMIFS('05 Work done log'!$F$7:$F$506,'05 Work done log'!$B$7:$B$506,$A82))</f>
        <v/>
      </c>
      <c r="I82" s="168" t="str">
        <f>IF($A82="","",SUMIFS('04 Resource log'!$J$7:$J$506,'04 Resource log'!$B$7:$B$506,$A82,'04 Resource log'!$E$7:$E$506,"Labour"))</f>
        <v/>
      </c>
      <c r="J82" s="168" t="str">
        <f t="shared" si="5"/>
        <v/>
      </c>
      <c r="K82" s="169" t="str">
        <f t="shared" si="6"/>
        <v/>
      </c>
      <c r="L82" s="170" t="str">
        <f t="shared" si="7"/>
        <v/>
      </c>
      <c r="M82" s="6"/>
      <c r="N82" s="6"/>
      <c r="O82" s="6"/>
      <c r="P82" s="6"/>
      <c r="Q82" s="6"/>
      <c r="R82" s="6"/>
      <c r="S82" s="6"/>
      <c r="T82" s="6"/>
      <c r="U82" s="6"/>
      <c r="V82" s="6"/>
      <c r="W82" s="6"/>
      <c r="X82" s="6"/>
      <c r="Y82" s="6"/>
      <c r="Z82" s="6"/>
    </row>
    <row r="83" spans="1:26" ht="18" customHeight="1" x14ac:dyDescent="0.3">
      <c r="A83" s="152"/>
      <c r="B83" s="127" t="str">
        <f>IF($A83="","",IFERROR(INDEX('12 P6 activities'!$B$7:$B$206,MATCH($A83,'12 P6 activities'!$A$7:$A$206,0)),"ID not in P6 list"))</f>
        <v/>
      </c>
      <c r="C83" s="144" t="str">
        <f>IF(A83="","",IFERROR(INDEX('12 P6 activities'!$C$7:$C$206,MATCH(A83,'12 P6 activities'!$A$7:$A$206,0)),"⚠ not in P6 list"))</f>
        <v/>
      </c>
      <c r="D83" s="164" t="str">
        <f>IF($A83="","",IFERROR(INDEX('12 P6 activities'!$E$7:$E$206,MATCH($A83,'12 P6 activities'!$A$7:$A$206,0)),""))</f>
        <v/>
      </c>
      <c r="E83" s="154"/>
      <c r="F83" s="165"/>
      <c r="G83" s="166" t="str">
        <f t="shared" si="4"/>
        <v/>
      </c>
      <c r="H83" s="167" t="str">
        <f>IF($A83="","",SUMIFS('05 Work done log'!$F$7:$F$506,'05 Work done log'!$B$7:$B$506,$A83))</f>
        <v/>
      </c>
      <c r="I83" s="168" t="str">
        <f>IF($A83="","",SUMIFS('04 Resource log'!$J$7:$J$506,'04 Resource log'!$B$7:$B$506,$A83,'04 Resource log'!$E$7:$E$506,"Labour"))</f>
        <v/>
      </c>
      <c r="J83" s="168" t="str">
        <f t="shared" si="5"/>
        <v/>
      </c>
      <c r="K83" s="169" t="str">
        <f t="shared" si="6"/>
        <v/>
      </c>
      <c r="L83" s="170" t="str">
        <f t="shared" si="7"/>
        <v/>
      </c>
      <c r="M83" s="6"/>
      <c r="N83" s="6"/>
      <c r="O83" s="6"/>
      <c r="P83" s="6"/>
      <c r="Q83" s="6"/>
      <c r="R83" s="6"/>
      <c r="S83" s="6"/>
      <c r="T83" s="6"/>
      <c r="U83" s="6"/>
      <c r="V83" s="6"/>
      <c r="W83" s="6"/>
      <c r="X83" s="6"/>
      <c r="Y83" s="6"/>
      <c r="Z83" s="6"/>
    </row>
    <row r="84" spans="1:26" ht="18" customHeight="1" x14ac:dyDescent="0.3">
      <c r="A84" s="152"/>
      <c r="B84" s="127" t="str">
        <f>IF($A84="","",IFERROR(INDEX('12 P6 activities'!$B$7:$B$206,MATCH($A84,'12 P6 activities'!$A$7:$A$206,0)),"ID not in P6 list"))</f>
        <v/>
      </c>
      <c r="C84" s="144" t="str">
        <f>IF(A84="","",IFERROR(INDEX('12 P6 activities'!$C$7:$C$206,MATCH(A84,'12 P6 activities'!$A$7:$A$206,0)),"⚠ not in P6 list"))</f>
        <v/>
      </c>
      <c r="D84" s="164" t="str">
        <f>IF($A84="","",IFERROR(INDEX('12 P6 activities'!$E$7:$E$206,MATCH($A84,'12 P6 activities'!$A$7:$A$206,0)),""))</f>
        <v/>
      </c>
      <c r="E84" s="154"/>
      <c r="F84" s="165"/>
      <c r="G84" s="166" t="str">
        <f t="shared" si="4"/>
        <v/>
      </c>
      <c r="H84" s="167" t="str">
        <f>IF($A84="","",SUMIFS('05 Work done log'!$F$7:$F$506,'05 Work done log'!$B$7:$B$506,$A84))</f>
        <v/>
      </c>
      <c r="I84" s="168" t="str">
        <f>IF($A84="","",SUMIFS('04 Resource log'!$J$7:$J$506,'04 Resource log'!$B$7:$B$506,$A84,'04 Resource log'!$E$7:$E$506,"Labour"))</f>
        <v/>
      </c>
      <c r="J84" s="168" t="str">
        <f t="shared" si="5"/>
        <v/>
      </c>
      <c r="K84" s="169" t="str">
        <f t="shared" si="6"/>
        <v/>
      </c>
      <c r="L84" s="170" t="str">
        <f t="shared" si="7"/>
        <v/>
      </c>
      <c r="M84" s="6"/>
      <c r="N84" s="6"/>
      <c r="O84" s="6"/>
      <c r="P84" s="6"/>
      <c r="Q84" s="6"/>
      <c r="R84" s="6"/>
      <c r="S84" s="6"/>
      <c r="T84" s="6"/>
      <c r="U84" s="6"/>
      <c r="V84" s="6"/>
      <c r="W84" s="6"/>
      <c r="X84" s="6"/>
      <c r="Y84" s="6"/>
      <c r="Z84" s="6"/>
    </row>
    <row r="85" spans="1:26" ht="18" customHeight="1" x14ac:dyDescent="0.3">
      <c r="A85" s="152"/>
      <c r="B85" s="127" t="str">
        <f>IF($A85="","",IFERROR(INDEX('12 P6 activities'!$B$7:$B$206,MATCH($A85,'12 P6 activities'!$A$7:$A$206,0)),"ID not in P6 list"))</f>
        <v/>
      </c>
      <c r="C85" s="144" t="str">
        <f>IF(A85="","",IFERROR(INDEX('12 P6 activities'!$C$7:$C$206,MATCH(A85,'12 P6 activities'!$A$7:$A$206,0)),"⚠ not in P6 list"))</f>
        <v/>
      </c>
      <c r="D85" s="164" t="str">
        <f>IF($A85="","",IFERROR(INDEX('12 P6 activities'!$E$7:$E$206,MATCH($A85,'12 P6 activities'!$A$7:$A$206,0)),""))</f>
        <v/>
      </c>
      <c r="E85" s="154"/>
      <c r="F85" s="165"/>
      <c r="G85" s="166" t="str">
        <f t="shared" si="4"/>
        <v/>
      </c>
      <c r="H85" s="167" t="str">
        <f>IF($A85="","",SUMIFS('05 Work done log'!$F$7:$F$506,'05 Work done log'!$B$7:$B$506,$A85))</f>
        <v/>
      </c>
      <c r="I85" s="168" t="str">
        <f>IF($A85="","",SUMIFS('04 Resource log'!$J$7:$J$506,'04 Resource log'!$B$7:$B$506,$A85,'04 Resource log'!$E$7:$E$506,"Labour"))</f>
        <v/>
      </c>
      <c r="J85" s="168" t="str">
        <f t="shared" si="5"/>
        <v/>
      </c>
      <c r="K85" s="169" t="str">
        <f t="shared" si="6"/>
        <v/>
      </c>
      <c r="L85" s="170" t="str">
        <f t="shared" si="7"/>
        <v/>
      </c>
      <c r="M85" s="6"/>
      <c r="N85" s="6"/>
      <c r="O85" s="6"/>
      <c r="P85" s="6"/>
      <c r="Q85" s="6"/>
      <c r="R85" s="6"/>
      <c r="S85" s="6"/>
      <c r="T85" s="6"/>
      <c r="U85" s="6"/>
      <c r="V85" s="6"/>
      <c r="W85" s="6"/>
      <c r="X85" s="6"/>
      <c r="Y85" s="6"/>
      <c r="Z85" s="6"/>
    </row>
    <row r="86" spans="1:26" ht="18" customHeight="1" x14ac:dyDescent="0.3">
      <c r="A86" s="152"/>
      <c r="B86" s="127" t="str">
        <f>IF($A86="","",IFERROR(INDEX('12 P6 activities'!$B$7:$B$206,MATCH($A86,'12 P6 activities'!$A$7:$A$206,0)),"ID not in P6 list"))</f>
        <v/>
      </c>
      <c r="C86" s="144" t="str">
        <f>IF(A86="","",IFERROR(INDEX('12 P6 activities'!$C$7:$C$206,MATCH(A86,'12 P6 activities'!$A$7:$A$206,0)),"⚠ not in P6 list"))</f>
        <v/>
      </c>
      <c r="D86" s="164" t="str">
        <f>IF($A86="","",IFERROR(INDEX('12 P6 activities'!$E$7:$E$206,MATCH($A86,'12 P6 activities'!$A$7:$A$206,0)),""))</f>
        <v/>
      </c>
      <c r="E86" s="154"/>
      <c r="F86" s="165"/>
      <c r="G86" s="166" t="str">
        <f t="shared" si="4"/>
        <v/>
      </c>
      <c r="H86" s="167" t="str">
        <f>IF($A86="","",SUMIFS('05 Work done log'!$F$7:$F$506,'05 Work done log'!$B$7:$B$506,$A86))</f>
        <v/>
      </c>
      <c r="I86" s="168" t="str">
        <f>IF($A86="","",SUMIFS('04 Resource log'!$J$7:$J$506,'04 Resource log'!$B$7:$B$506,$A86,'04 Resource log'!$E$7:$E$506,"Labour"))</f>
        <v/>
      </c>
      <c r="J86" s="168" t="str">
        <f t="shared" si="5"/>
        <v/>
      </c>
      <c r="K86" s="169" t="str">
        <f t="shared" si="6"/>
        <v/>
      </c>
      <c r="L86" s="170" t="str">
        <f t="shared" si="7"/>
        <v/>
      </c>
      <c r="M86" s="6"/>
      <c r="N86" s="6"/>
      <c r="O86" s="6"/>
      <c r="P86" s="6"/>
      <c r="Q86" s="6"/>
      <c r="R86" s="6"/>
      <c r="S86" s="6"/>
      <c r="T86" s="6"/>
      <c r="U86" s="6"/>
      <c r="V86" s="6"/>
      <c r="W86" s="6"/>
      <c r="X86" s="6"/>
      <c r="Y86" s="6"/>
      <c r="Z86" s="6"/>
    </row>
    <row r="87" spans="1:26" ht="18" customHeight="1" x14ac:dyDescent="0.3">
      <c r="A87" s="152"/>
      <c r="B87" s="127" t="str">
        <f>IF($A87="","",IFERROR(INDEX('12 P6 activities'!$B$7:$B$206,MATCH($A87,'12 P6 activities'!$A$7:$A$206,0)),"ID not in P6 list"))</f>
        <v/>
      </c>
      <c r="C87" s="144" t="str">
        <f>IF(A87="","",IFERROR(INDEX('12 P6 activities'!$C$7:$C$206,MATCH(A87,'12 P6 activities'!$A$7:$A$206,0)),"⚠ not in P6 list"))</f>
        <v/>
      </c>
      <c r="D87" s="164" t="str">
        <f>IF($A87="","",IFERROR(INDEX('12 P6 activities'!$E$7:$E$206,MATCH($A87,'12 P6 activities'!$A$7:$A$206,0)),""))</f>
        <v/>
      </c>
      <c r="E87" s="154"/>
      <c r="F87" s="165"/>
      <c r="G87" s="166" t="str">
        <f t="shared" si="4"/>
        <v/>
      </c>
      <c r="H87" s="167" t="str">
        <f>IF($A87="","",SUMIFS('05 Work done log'!$F$7:$F$506,'05 Work done log'!$B$7:$B$506,$A87))</f>
        <v/>
      </c>
      <c r="I87" s="168" t="str">
        <f>IF($A87="","",SUMIFS('04 Resource log'!$J$7:$J$506,'04 Resource log'!$B$7:$B$506,$A87,'04 Resource log'!$E$7:$E$506,"Labour"))</f>
        <v/>
      </c>
      <c r="J87" s="168" t="str">
        <f t="shared" si="5"/>
        <v/>
      </c>
      <c r="K87" s="169" t="str">
        <f t="shared" si="6"/>
        <v/>
      </c>
      <c r="L87" s="170" t="str">
        <f t="shared" si="7"/>
        <v/>
      </c>
      <c r="M87" s="6"/>
      <c r="N87" s="6"/>
      <c r="O87" s="6"/>
      <c r="P87" s="6"/>
      <c r="Q87" s="6"/>
      <c r="R87" s="6"/>
      <c r="S87" s="6"/>
      <c r="T87" s="6"/>
      <c r="U87" s="6"/>
      <c r="V87" s="6"/>
      <c r="W87" s="6"/>
      <c r="X87" s="6"/>
      <c r="Y87" s="6"/>
      <c r="Z87" s="6"/>
    </row>
    <row r="88" spans="1:26" ht="18" customHeight="1" x14ac:dyDescent="0.3">
      <c r="A88" s="152"/>
      <c r="B88" s="127" t="str">
        <f>IF($A88="","",IFERROR(INDEX('12 P6 activities'!$B$7:$B$206,MATCH($A88,'12 P6 activities'!$A$7:$A$206,0)),"ID not in P6 list"))</f>
        <v/>
      </c>
      <c r="C88" s="144" t="str">
        <f>IF(A88="","",IFERROR(INDEX('12 P6 activities'!$C$7:$C$206,MATCH(A88,'12 P6 activities'!$A$7:$A$206,0)),"⚠ not in P6 list"))</f>
        <v/>
      </c>
      <c r="D88" s="164" t="str">
        <f>IF($A88="","",IFERROR(INDEX('12 P6 activities'!$E$7:$E$206,MATCH($A88,'12 P6 activities'!$A$7:$A$206,0)),""))</f>
        <v/>
      </c>
      <c r="E88" s="154"/>
      <c r="F88" s="165"/>
      <c r="G88" s="166" t="str">
        <f t="shared" si="4"/>
        <v/>
      </c>
      <c r="H88" s="167" t="str">
        <f>IF($A88="","",SUMIFS('05 Work done log'!$F$7:$F$506,'05 Work done log'!$B$7:$B$506,$A88))</f>
        <v/>
      </c>
      <c r="I88" s="168" t="str">
        <f>IF($A88="","",SUMIFS('04 Resource log'!$J$7:$J$506,'04 Resource log'!$B$7:$B$506,$A88,'04 Resource log'!$E$7:$E$506,"Labour"))</f>
        <v/>
      </c>
      <c r="J88" s="168" t="str">
        <f t="shared" si="5"/>
        <v/>
      </c>
      <c r="K88" s="169" t="str">
        <f t="shared" si="6"/>
        <v/>
      </c>
      <c r="L88" s="170" t="str">
        <f t="shared" si="7"/>
        <v/>
      </c>
      <c r="M88" s="6"/>
      <c r="N88" s="6"/>
      <c r="O88" s="6"/>
      <c r="P88" s="6"/>
      <c r="Q88" s="6"/>
      <c r="R88" s="6"/>
      <c r="S88" s="6"/>
      <c r="T88" s="6"/>
      <c r="U88" s="6"/>
      <c r="V88" s="6"/>
      <c r="W88" s="6"/>
      <c r="X88" s="6"/>
      <c r="Y88" s="6"/>
      <c r="Z88" s="6"/>
    </row>
    <row r="89" spans="1:26" ht="18" customHeight="1" x14ac:dyDescent="0.3">
      <c r="A89" s="152"/>
      <c r="B89" s="127" t="str">
        <f>IF($A89="","",IFERROR(INDEX('12 P6 activities'!$B$7:$B$206,MATCH($A89,'12 P6 activities'!$A$7:$A$206,0)),"ID not in P6 list"))</f>
        <v/>
      </c>
      <c r="C89" s="144" t="str">
        <f>IF(A89="","",IFERROR(INDEX('12 P6 activities'!$C$7:$C$206,MATCH(A89,'12 P6 activities'!$A$7:$A$206,0)),"⚠ not in P6 list"))</f>
        <v/>
      </c>
      <c r="D89" s="164" t="str">
        <f>IF($A89="","",IFERROR(INDEX('12 P6 activities'!$E$7:$E$206,MATCH($A89,'12 P6 activities'!$A$7:$A$206,0)),""))</f>
        <v/>
      </c>
      <c r="E89" s="154"/>
      <c r="F89" s="165"/>
      <c r="G89" s="166" t="str">
        <f t="shared" si="4"/>
        <v/>
      </c>
      <c r="H89" s="167" t="str">
        <f>IF($A89="","",SUMIFS('05 Work done log'!$F$7:$F$506,'05 Work done log'!$B$7:$B$506,$A89))</f>
        <v/>
      </c>
      <c r="I89" s="168" t="str">
        <f>IF($A89="","",SUMIFS('04 Resource log'!$J$7:$J$506,'04 Resource log'!$B$7:$B$506,$A89,'04 Resource log'!$E$7:$E$506,"Labour"))</f>
        <v/>
      </c>
      <c r="J89" s="168" t="str">
        <f t="shared" si="5"/>
        <v/>
      </c>
      <c r="K89" s="169" t="str">
        <f t="shared" si="6"/>
        <v/>
      </c>
      <c r="L89" s="170" t="str">
        <f t="shared" si="7"/>
        <v/>
      </c>
      <c r="M89" s="6"/>
      <c r="N89" s="6"/>
      <c r="O89" s="6"/>
      <c r="P89" s="6"/>
      <c r="Q89" s="6"/>
      <c r="R89" s="6"/>
      <c r="S89" s="6"/>
      <c r="T89" s="6"/>
      <c r="U89" s="6"/>
      <c r="V89" s="6"/>
      <c r="W89" s="6"/>
      <c r="X89" s="6"/>
      <c r="Y89" s="6"/>
      <c r="Z89" s="6"/>
    </row>
    <row r="90" spans="1:26" ht="18" customHeight="1" x14ac:dyDescent="0.3">
      <c r="A90" s="152"/>
      <c r="B90" s="127" t="str">
        <f>IF($A90="","",IFERROR(INDEX('12 P6 activities'!$B$7:$B$206,MATCH($A90,'12 P6 activities'!$A$7:$A$206,0)),"ID not in P6 list"))</f>
        <v/>
      </c>
      <c r="C90" s="144" t="str">
        <f>IF(A90="","",IFERROR(INDEX('12 P6 activities'!$C$7:$C$206,MATCH(A90,'12 P6 activities'!$A$7:$A$206,0)),"⚠ not in P6 list"))</f>
        <v/>
      </c>
      <c r="D90" s="164" t="str">
        <f>IF($A90="","",IFERROR(INDEX('12 P6 activities'!$E$7:$E$206,MATCH($A90,'12 P6 activities'!$A$7:$A$206,0)),""))</f>
        <v/>
      </c>
      <c r="E90" s="154"/>
      <c r="F90" s="165"/>
      <c r="G90" s="166" t="str">
        <f t="shared" si="4"/>
        <v/>
      </c>
      <c r="H90" s="167" t="str">
        <f>IF($A90="","",SUMIFS('05 Work done log'!$F$7:$F$506,'05 Work done log'!$B$7:$B$506,$A90))</f>
        <v/>
      </c>
      <c r="I90" s="168" t="str">
        <f>IF($A90="","",SUMIFS('04 Resource log'!$J$7:$J$506,'04 Resource log'!$B$7:$B$506,$A90,'04 Resource log'!$E$7:$E$506,"Labour"))</f>
        <v/>
      </c>
      <c r="J90" s="168" t="str">
        <f t="shared" si="5"/>
        <v/>
      </c>
      <c r="K90" s="169" t="str">
        <f t="shared" si="6"/>
        <v/>
      </c>
      <c r="L90" s="170" t="str">
        <f t="shared" si="7"/>
        <v/>
      </c>
      <c r="M90" s="6"/>
      <c r="N90" s="6"/>
      <c r="O90" s="6"/>
      <c r="P90" s="6"/>
      <c r="Q90" s="6"/>
      <c r="R90" s="6"/>
      <c r="S90" s="6"/>
      <c r="T90" s="6"/>
      <c r="U90" s="6"/>
      <c r="V90" s="6"/>
      <c r="W90" s="6"/>
      <c r="X90" s="6"/>
      <c r="Y90" s="6"/>
      <c r="Z90" s="6"/>
    </row>
    <row r="91" spans="1:26" ht="18" customHeight="1" x14ac:dyDescent="0.3">
      <c r="A91" s="152"/>
      <c r="B91" s="127" t="str">
        <f>IF($A91="","",IFERROR(INDEX('12 P6 activities'!$B$7:$B$206,MATCH($A91,'12 P6 activities'!$A$7:$A$206,0)),"ID not in P6 list"))</f>
        <v/>
      </c>
      <c r="C91" s="144" t="str">
        <f>IF(A91="","",IFERROR(INDEX('12 P6 activities'!$C$7:$C$206,MATCH(A91,'12 P6 activities'!$A$7:$A$206,0)),"⚠ not in P6 list"))</f>
        <v/>
      </c>
      <c r="D91" s="164" t="str">
        <f>IF($A91="","",IFERROR(INDEX('12 P6 activities'!$E$7:$E$206,MATCH($A91,'12 P6 activities'!$A$7:$A$206,0)),""))</f>
        <v/>
      </c>
      <c r="E91" s="154"/>
      <c r="F91" s="165"/>
      <c r="G91" s="166" t="str">
        <f t="shared" si="4"/>
        <v/>
      </c>
      <c r="H91" s="167" t="str">
        <f>IF($A91="","",SUMIFS('05 Work done log'!$F$7:$F$506,'05 Work done log'!$B$7:$B$506,$A91))</f>
        <v/>
      </c>
      <c r="I91" s="168" t="str">
        <f>IF($A91="","",SUMIFS('04 Resource log'!$J$7:$J$506,'04 Resource log'!$B$7:$B$506,$A91,'04 Resource log'!$E$7:$E$506,"Labour"))</f>
        <v/>
      </c>
      <c r="J91" s="168" t="str">
        <f t="shared" si="5"/>
        <v/>
      </c>
      <c r="K91" s="169" t="str">
        <f t="shared" si="6"/>
        <v/>
      </c>
      <c r="L91" s="170" t="str">
        <f t="shared" si="7"/>
        <v/>
      </c>
      <c r="M91" s="6"/>
      <c r="N91" s="6"/>
      <c r="O91" s="6"/>
      <c r="P91" s="6"/>
      <c r="Q91" s="6"/>
      <c r="R91" s="6"/>
      <c r="S91" s="6"/>
      <c r="T91" s="6"/>
      <c r="U91" s="6"/>
      <c r="V91" s="6"/>
      <c r="W91" s="6"/>
      <c r="X91" s="6"/>
      <c r="Y91" s="6"/>
      <c r="Z91" s="6"/>
    </row>
    <row r="92" spans="1:26" ht="18" customHeight="1" x14ac:dyDescent="0.3">
      <c r="A92" s="152"/>
      <c r="B92" s="127" t="str">
        <f>IF($A92="","",IFERROR(INDEX('12 P6 activities'!$B$7:$B$206,MATCH($A92,'12 P6 activities'!$A$7:$A$206,0)),"ID not in P6 list"))</f>
        <v/>
      </c>
      <c r="C92" s="144" t="str">
        <f>IF(A92="","",IFERROR(INDEX('12 P6 activities'!$C$7:$C$206,MATCH(A92,'12 P6 activities'!$A$7:$A$206,0)),"⚠ not in P6 list"))</f>
        <v/>
      </c>
      <c r="D92" s="164" t="str">
        <f>IF($A92="","",IFERROR(INDEX('12 P6 activities'!$E$7:$E$206,MATCH($A92,'12 P6 activities'!$A$7:$A$206,0)),""))</f>
        <v/>
      </c>
      <c r="E92" s="154"/>
      <c r="F92" s="165"/>
      <c r="G92" s="166" t="str">
        <f t="shared" si="4"/>
        <v/>
      </c>
      <c r="H92" s="167" t="str">
        <f>IF($A92="","",SUMIFS('05 Work done log'!$F$7:$F$506,'05 Work done log'!$B$7:$B$506,$A92))</f>
        <v/>
      </c>
      <c r="I92" s="168" t="str">
        <f>IF($A92="","",SUMIFS('04 Resource log'!$J$7:$J$506,'04 Resource log'!$B$7:$B$506,$A92,'04 Resource log'!$E$7:$E$506,"Labour"))</f>
        <v/>
      </c>
      <c r="J92" s="168" t="str">
        <f t="shared" si="5"/>
        <v/>
      </c>
      <c r="K92" s="169" t="str">
        <f t="shared" si="6"/>
        <v/>
      </c>
      <c r="L92" s="170" t="str">
        <f t="shared" si="7"/>
        <v/>
      </c>
      <c r="M92" s="6"/>
      <c r="N92" s="6"/>
      <c r="O92" s="6"/>
      <c r="P92" s="6"/>
      <c r="Q92" s="6"/>
      <c r="R92" s="6"/>
      <c r="S92" s="6"/>
      <c r="T92" s="6"/>
      <c r="U92" s="6"/>
      <c r="V92" s="6"/>
      <c r="W92" s="6"/>
      <c r="X92" s="6"/>
      <c r="Y92" s="6"/>
      <c r="Z92" s="6"/>
    </row>
    <row r="93" spans="1:26" ht="18" customHeight="1" x14ac:dyDescent="0.3">
      <c r="A93" s="152"/>
      <c r="B93" s="127" t="str">
        <f>IF($A93="","",IFERROR(INDEX('12 P6 activities'!$B$7:$B$206,MATCH($A93,'12 P6 activities'!$A$7:$A$206,0)),"ID not in P6 list"))</f>
        <v/>
      </c>
      <c r="C93" s="144" t="str">
        <f>IF(A93="","",IFERROR(INDEX('12 P6 activities'!$C$7:$C$206,MATCH(A93,'12 P6 activities'!$A$7:$A$206,0)),"⚠ not in P6 list"))</f>
        <v/>
      </c>
      <c r="D93" s="164" t="str">
        <f>IF($A93="","",IFERROR(INDEX('12 P6 activities'!$E$7:$E$206,MATCH($A93,'12 P6 activities'!$A$7:$A$206,0)),""))</f>
        <v/>
      </c>
      <c r="E93" s="154"/>
      <c r="F93" s="165"/>
      <c r="G93" s="166" t="str">
        <f t="shared" si="4"/>
        <v/>
      </c>
      <c r="H93" s="167" t="str">
        <f>IF($A93="","",SUMIFS('05 Work done log'!$F$7:$F$506,'05 Work done log'!$B$7:$B$506,$A93))</f>
        <v/>
      </c>
      <c r="I93" s="168" t="str">
        <f>IF($A93="","",SUMIFS('04 Resource log'!$J$7:$J$506,'04 Resource log'!$B$7:$B$506,$A93,'04 Resource log'!$E$7:$E$506,"Labour"))</f>
        <v/>
      </c>
      <c r="J93" s="168" t="str">
        <f t="shared" si="5"/>
        <v/>
      </c>
      <c r="K93" s="169" t="str">
        <f t="shared" si="6"/>
        <v/>
      </c>
      <c r="L93" s="170" t="str">
        <f t="shared" si="7"/>
        <v/>
      </c>
      <c r="M93" s="6"/>
      <c r="N93" s="6"/>
      <c r="O93" s="6"/>
      <c r="P93" s="6"/>
      <c r="Q93" s="6"/>
      <c r="R93" s="6"/>
      <c r="S93" s="6"/>
      <c r="T93" s="6"/>
      <c r="U93" s="6"/>
      <c r="V93" s="6"/>
      <c r="W93" s="6"/>
      <c r="X93" s="6"/>
      <c r="Y93" s="6"/>
      <c r="Z93" s="6"/>
    </row>
    <row r="94" spans="1:26" ht="18" customHeight="1" x14ac:dyDescent="0.3">
      <c r="A94" s="152"/>
      <c r="B94" s="127" t="str">
        <f>IF($A94="","",IFERROR(INDEX('12 P6 activities'!$B$7:$B$206,MATCH($A94,'12 P6 activities'!$A$7:$A$206,0)),"ID not in P6 list"))</f>
        <v/>
      </c>
      <c r="C94" s="144" t="str">
        <f>IF(A94="","",IFERROR(INDEX('12 P6 activities'!$C$7:$C$206,MATCH(A94,'12 P6 activities'!$A$7:$A$206,0)),"⚠ not in P6 list"))</f>
        <v/>
      </c>
      <c r="D94" s="164" t="str">
        <f>IF($A94="","",IFERROR(INDEX('12 P6 activities'!$E$7:$E$206,MATCH($A94,'12 P6 activities'!$A$7:$A$206,0)),""))</f>
        <v/>
      </c>
      <c r="E94" s="154"/>
      <c r="F94" s="165"/>
      <c r="G94" s="166" t="str">
        <f t="shared" si="4"/>
        <v/>
      </c>
      <c r="H94" s="167" t="str">
        <f>IF($A94="","",SUMIFS('05 Work done log'!$F$7:$F$506,'05 Work done log'!$B$7:$B$506,$A94))</f>
        <v/>
      </c>
      <c r="I94" s="168" t="str">
        <f>IF($A94="","",SUMIFS('04 Resource log'!$J$7:$J$506,'04 Resource log'!$B$7:$B$506,$A94,'04 Resource log'!$E$7:$E$506,"Labour"))</f>
        <v/>
      </c>
      <c r="J94" s="168" t="str">
        <f t="shared" si="5"/>
        <v/>
      </c>
      <c r="K94" s="169" t="str">
        <f t="shared" si="6"/>
        <v/>
      </c>
      <c r="L94" s="170" t="str">
        <f t="shared" si="7"/>
        <v/>
      </c>
      <c r="M94" s="6"/>
      <c r="N94" s="6"/>
      <c r="O94" s="6"/>
      <c r="P94" s="6"/>
      <c r="Q94" s="6"/>
      <c r="R94" s="6"/>
      <c r="S94" s="6"/>
      <c r="T94" s="6"/>
      <c r="U94" s="6"/>
      <c r="V94" s="6"/>
      <c r="W94" s="6"/>
      <c r="X94" s="6"/>
      <c r="Y94" s="6"/>
      <c r="Z94" s="6"/>
    </row>
    <row r="95" spans="1:26" ht="18" customHeight="1" x14ac:dyDescent="0.3">
      <c r="A95" s="152"/>
      <c r="B95" s="127" t="str">
        <f>IF($A95="","",IFERROR(INDEX('12 P6 activities'!$B$7:$B$206,MATCH($A95,'12 P6 activities'!$A$7:$A$206,0)),"ID not in P6 list"))</f>
        <v/>
      </c>
      <c r="C95" s="144" t="str">
        <f>IF(A95="","",IFERROR(INDEX('12 P6 activities'!$C$7:$C$206,MATCH(A95,'12 P6 activities'!$A$7:$A$206,0)),"⚠ not in P6 list"))</f>
        <v/>
      </c>
      <c r="D95" s="164" t="str">
        <f>IF($A95="","",IFERROR(INDEX('12 P6 activities'!$E$7:$E$206,MATCH($A95,'12 P6 activities'!$A$7:$A$206,0)),""))</f>
        <v/>
      </c>
      <c r="E95" s="154"/>
      <c r="F95" s="165"/>
      <c r="G95" s="166" t="str">
        <f t="shared" si="4"/>
        <v/>
      </c>
      <c r="H95" s="167" t="str">
        <f>IF($A95="","",SUMIFS('05 Work done log'!$F$7:$F$506,'05 Work done log'!$B$7:$B$506,$A95))</f>
        <v/>
      </c>
      <c r="I95" s="168" t="str">
        <f>IF($A95="","",SUMIFS('04 Resource log'!$J$7:$J$506,'04 Resource log'!$B$7:$B$506,$A95,'04 Resource log'!$E$7:$E$506,"Labour"))</f>
        <v/>
      </c>
      <c r="J95" s="168" t="str">
        <f t="shared" si="5"/>
        <v/>
      </c>
      <c r="K95" s="169" t="str">
        <f t="shared" si="6"/>
        <v/>
      </c>
      <c r="L95" s="170" t="str">
        <f t="shared" si="7"/>
        <v/>
      </c>
      <c r="M95" s="6"/>
      <c r="N95" s="6"/>
      <c r="O95" s="6"/>
      <c r="P95" s="6"/>
      <c r="Q95" s="6"/>
      <c r="R95" s="6"/>
      <c r="S95" s="6"/>
      <c r="T95" s="6"/>
      <c r="U95" s="6"/>
      <c r="V95" s="6"/>
      <c r="W95" s="6"/>
      <c r="X95" s="6"/>
      <c r="Y95" s="6"/>
      <c r="Z95" s="6"/>
    </row>
    <row r="96" spans="1:26" ht="18" customHeight="1" x14ac:dyDescent="0.3">
      <c r="A96" s="152"/>
      <c r="B96" s="127" t="str">
        <f>IF($A96="","",IFERROR(INDEX('12 P6 activities'!$B$7:$B$206,MATCH($A96,'12 P6 activities'!$A$7:$A$206,0)),"ID not in P6 list"))</f>
        <v/>
      </c>
      <c r="C96" s="144" t="str">
        <f>IF(A96="","",IFERROR(INDEX('12 P6 activities'!$C$7:$C$206,MATCH(A96,'12 P6 activities'!$A$7:$A$206,0)),"⚠ not in P6 list"))</f>
        <v/>
      </c>
      <c r="D96" s="164" t="str">
        <f>IF($A96="","",IFERROR(INDEX('12 P6 activities'!$E$7:$E$206,MATCH($A96,'12 P6 activities'!$A$7:$A$206,0)),""))</f>
        <v/>
      </c>
      <c r="E96" s="154"/>
      <c r="F96" s="165"/>
      <c r="G96" s="166" t="str">
        <f t="shared" si="4"/>
        <v/>
      </c>
      <c r="H96" s="167" t="str">
        <f>IF($A96="","",SUMIFS('05 Work done log'!$F$7:$F$506,'05 Work done log'!$B$7:$B$506,$A96))</f>
        <v/>
      </c>
      <c r="I96" s="168" t="str">
        <f>IF($A96="","",SUMIFS('04 Resource log'!$J$7:$J$506,'04 Resource log'!$B$7:$B$506,$A96,'04 Resource log'!$E$7:$E$506,"Labour"))</f>
        <v/>
      </c>
      <c r="J96" s="168" t="str">
        <f t="shared" si="5"/>
        <v/>
      </c>
      <c r="K96" s="169" t="str">
        <f t="shared" si="6"/>
        <v/>
      </c>
      <c r="L96" s="170" t="str">
        <f t="shared" si="7"/>
        <v/>
      </c>
      <c r="M96" s="6"/>
      <c r="N96" s="6"/>
      <c r="O96" s="6"/>
      <c r="P96" s="6"/>
      <c r="Q96" s="6"/>
      <c r="R96" s="6"/>
      <c r="S96" s="6"/>
      <c r="T96" s="6"/>
      <c r="U96" s="6"/>
      <c r="V96" s="6"/>
      <c r="W96" s="6"/>
      <c r="X96" s="6"/>
      <c r="Y96" s="6"/>
      <c r="Z96" s="6"/>
    </row>
    <row r="97" spans="1:26" ht="18" customHeight="1" x14ac:dyDescent="0.3">
      <c r="A97" s="152"/>
      <c r="B97" s="127" t="str">
        <f>IF($A97="","",IFERROR(INDEX('12 P6 activities'!$B$7:$B$206,MATCH($A97,'12 P6 activities'!$A$7:$A$206,0)),"ID not in P6 list"))</f>
        <v/>
      </c>
      <c r="C97" s="144" t="str">
        <f>IF(A97="","",IFERROR(INDEX('12 P6 activities'!$C$7:$C$206,MATCH(A97,'12 P6 activities'!$A$7:$A$206,0)),"⚠ not in P6 list"))</f>
        <v/>
      </c>
      <c r="D97" s="164" t="str">
        <f>IF($A97="","",IFERROR(INDEX('12 P6 activities'!$E$7:$E$206,MATCH($A97,'12 P6 activities'!$A$7:$A$206,0)),""))</f>
        <v/>
      </c>
      <c r="E97" s="154"/>
      <c r="F97" s="165"/>
      <c r="G97" s="166" t="str">
        <f t="shared" si="4"/>
        <v/>
      </c>
      <c r="H97" s="167" t="str">
        <f>IF($A97="","",SUMIFS('05 Work done log'!$F$7:$F$506,'05 Work done log'!$B$7:$B$506,$A97))</f>
        <v/>
      </c>
      <c r="I97" s="168" t="str">
        <f>IF($A97="","",SUMIFS('04 Resource log'!$J$7:$J$506,'04 Resource log'!$B$7:$B$506,$A97,'04 Resource log'!$E$7:$E$506,"Labour"))</f>
        <v/>
      </c>
      <c r="J97" s="168" t="str">
        <f t="shared" si="5"/>
        <v/>
      </c>
      <c r="K97" s="169" t="str">
        <f t="shared" si="6"/>
        <v/>
      </c>
      <c r="L97" s="170" t="str">
        <f t="shared" si="7"/>
        <v/>
      </c>
      <c r="M97" s="6"/>
      <c r="N97" s="6"/>
      <c r="O97" s="6"/>
      <c r="P97" s="6"/>
      <c r="Q97" s="6"/>
      <c r="R97" s="6"/>
      <c r="S97" s="6"/>
      <c r="T97" s="6"/>
      <c r="U97" s="6"/>
      <c r="V97" s="6"/>
      <c r="W97" s="6"/>
      <c r="X97" s="6"/>
      <c r="Y97" s="6"/>
      <c r="Z97" s="6"/>
    </row>
    <row r="98" spans="1:26" ht="18" customHeight="1" x14ac:dyDescent="0.3">
      <c r="A98" s="152"/>
      <c r="B98" s="127" t="str">
        <f>IF($A98="","",IFERROR(INDEX('12 P6 activities'!$B$7:$B$206,MATCH($A98,'12 P6 activities'!$A$7:$A$206,0)),"ID not in P6 list"))</f>
        <v/>
      </c>
      <c r="C98" s="144" t="str">
        <f>IF(A98="","",IFERROR(INDEX('12 P6 activities'!$C$7:$C$206,MATCH(A98,'12 P6 activities'!$A$7:$A$206,0)),"⚠ not in P6 list"))</f>
        <v/>
      </c>
      <c r="D98" s="164" t="str">
        <f>IF($A98="","",IFERROR(INDEX('12 P6 activities'!$E$7:$E$206,MATCH($A98,'12 P6 activities'!$A$7:$A$206,0)),""))</f>
        <v/>
      </c>
      <c r="E98" s="154"/>
      <c r="F98" s="165"/>
      <c r="G98" s="166" t="str">
        <f t="shared" si="4"/>
        <v/>
      </c>
      <c r="H98" s="167" t="str">
        <f>IF($A98="","",SUMIFS('05 Work done log'!$F$7:$F$506,'05 Work done log'!$B$7:$B$506,$A98))</f>
        <v/>
      </c>
      <c r="I98" s="168" t="str">
        <f>IF($A98="","",SUMIFS('04 Resource log'!$J$7:$J$506,'04 Resource log'!$B$7:$B$506,$A98,'04 Resource log'!$E$7:$E$506,"Labour"))</f>
        <v/>
      </c>
      <c r="J98" s="168" t="str">
        <f t="shared" si="5"/>
        <v/>
      </c>
      <c r="K98" s="169" t="str">
        <f t="shared" si="6"/>
        <v/>
      </c>
      <c r="L98" s="170" t="str">
        <f t="shared" si="7"/>
        <v/>
      </c>
      <c r="M98" s="6"/>
      <c r="N98" s="6"/>
      <c r="O98" s="6"/>
      <c r="P98" s="6"/>
      <c r="Q98" s="6"/>
      <c r="R98" s="6"/>
      <c r="S98" s="6"/>
      <c r="T98" s="6"/>
      <c r="U98" s="6"/>
      <c r="V98" s="6"/>
      <c r="W98" s="6"/>
      <c r="X98" s="6"/>
      <c r="Y98" s="6"/>
      <c r="Z98" s="6"/>
    </row>
    <row r="99" spans="1:26" ht="18" customHeight="1" x14ac:dyDescent="0.3">
      <c r="A99" s="152"/>
      <c r="B99" s="127" t="str">
        <f>IF($A99="","",IFERROR(INDEX('12 P6 activities'!$B$7:$B$206,MATCH($A99,'12 P6 activities'!$A$7:$A$206,0)),"ID not in P6 list"))</f>
        <v/>
      </c>
      <c r="C99" s="144" t="str">
        <f>IF(A99="","",IFERROR(INDEX('12 P6 activities'!$C$7:$C$206,MATCH(A99,'12 P6 activities'!$A$7:$A$206,0)),"⚠ not in P6 list"))</f>
        <v/>
      </c>
      <c r="D99" s="164" t="str">
        <f>IF($A99="","",IFERROR(INDEX('12 P6 activities'!$E$7:$E$206,MATCH($A99,'12 P6 activities'!$A$7:$A$206,0)),""))</f>
        <v/>
      </c>
      <c r="E99" s="154"/>
      <c r="F99" s="165"/>
      <c r="G99" s="166" t="str">
        <f t="shared" si="4"/>
        <v/>
      </c>
      <c r="H99" s="167" t="str">
        <f>IF($A99="","",SUMIFS('05 Work done log'!$F$7:$F$506,'05 Work done log'!$B$7:$B$506,$A99))</f>
        <v/>
      </c>
      <c r="I99" s="168" t="str">
        <f>IF($A99="","",SUMIFS('04 Resource log'!$J$7:$J$506,'04 Resource log'!$B$7:$B$506,$A99,'04 Resource log'!$E$7:$E$506,"Labour"))</f>
        <v/>
      </c>
      <c r="J99" s="168" t="str">
        <f t="shared" si="5"/>
        <v/>
      </c>
      <c r="K99" s="169" t="str">
        <f t="shared" si="6"/>
        <v/>
      </c>
      <c r="L99" s="170" t="str">
        <f t="shared" si="7"/>
        <v/>
      </c>
      <c r="M99" s="6"/>
      <c r="N99" s="6"/>
      <c r="O99" s="6"/>
      <c r="P99" s="6"/>
      <c r="Q99" s="6"/>
      <c r="R99" s="6"/>
      <c r="S99" s="6"/>
      <c r="T99" s="6"/>
      <c r="U99" s="6"/>
      <c r="V99" s="6"/>
      <c r="W99" s="6"/>
      <c r="X99" s="6"/>
      <c r="Y99" s="6"/>
      <c r="Z99" s="6"/>
    </row>
    <row r="100" spans="1:26" ht="18" customHeight="1" x14ac:dyDescent="0.3">
      <c r="A100" s="152"/>
      <c r="B100" s="127" t="str">
        <f>IF($A100="","",IFERROR(INDEX('12 P6 activities'!$B$7:$B$206,MATCH($A100,'12 P6 activities'!$A$7:$A$206,0)),"ID not in P6 list"))</f>
        <v/>
      </c>
      <c r="C100" s="144" t="str">
        <f>IF(A100="","",IFERROR(INDEX('12 P6 activities'!$C$7:$C$206,MATCH(A100,'12 P6 activities'!$A$7:$A$206,0)),"⚠ not in P6 list"))</f>
        <v/>
      </c>
      <c r="D100" s="164" t="str">
        <f>IF($A100="","",IFERROR(INDEX('12 P6 activities'!$E$7:$E$206,MATCH($A100,'12 P6 activities'!$A$7:$A$206,0)),""))</f>
        <v/>
      </c>
      <c r="E100" s="154"/>
      <c r="F100" s="165"/>
      <c r="G100" s="166" t="str">
        <f t="shared" si="4"/>
        <v/>
      </c>
      <c r="H100" s="167" t="str">
        <f>IF($A100="","",SUMIFS('05 Work done log'!$F$7:$F$506,'05 Work done log'!$B$7:$B$506,$A100))</f>
        <v/>
      </c>
      <c r="I100" s="168" t="str">
        <f>IF($A100="","",SUMIFS('04 Resource log'!$J$7:$J$506,'04 Resource log'!$B$7:$B$506,$A100,'04 Resource log'!$E$7:$E$506,"Labour"))</f>
        <v/>
      </c>
      <c r="J100" s="168" t="str">
        <f t="shared" si="5"/>
        <v/>
      </c>
      <c r="K100" s="169" t="str">
        <f t="shared" si="6"/>
        <v/>
      </c>
      <c r="L100" s="170" t="str">
        <f t="shared" si="7"/>
        <v/>
      </c>
      <c r="M100" s="6"/>
      <c r="N100" s="6"/>
      <c r="O100" s="6"/>
      <c r="P100" s="6"/>
      <c r="Q100" s="6"/>
      <c r="R100" s="6"/>
      <c r="S100" s="6"/>
      <c r="T100" s="6"/>
      <c r="U100" s="6"/>
      <c r="V100" s="6"/>
      <c r="W100" s="6"/>
      <c r="X100" s="6"/>
      <c r="Y100" s="6"/>
      <c r="Z100" s="6"/>
    </row>
    <row r="101" spans="1:26" ht="18" customHeight="1" x14ac:dyDescent="0.3">
      <c r="A101" s="152"/>
      <c r="B101" s="127" t="str">
        <f>IF($A101="","",IFERROR(INDEX('12 P6 activities'!$B$7:$B$206,MATCH($A101,'12 P6 activities'!$A$7:$A$206,0)),"ID not in P6 list"))</f>
        <v/>
      </c>
      <c r="C101" s="144" t="str">
        <f>IF(A101="","",IFERROR(INDEX('12 P6 activities'!$C$7:$C$206,MATCH(A101,'12 P6 activities'!$A$7:$A$206,0)),"⚠ not in P6 list"))</f>
        <v/>
      </c>
      <c r="D101" s="164" t="str">
        <f>IF($A101="","",IFERROR(INDEX('12 P6 activities'!$E$7:$E$206,MATCH($A101,'12 P6 activities'!$A$7:$A$206,0)),""))</f>
        <v/>
      </c>
      <c r="E101" s="154"/>
      <c r="F101" s="165"/>
      <c r="G101" s="166" t="str">
        <f t="shared" si="4"/>
        <v/>
      </c>
      <c r="H101" s="167" t="str">
        <f>IF($A101="","",SUMIFS('05 Work done log'!$F$7:$F$506,'05 Work done log'!$B$7:$B$506,$A101))</f>
        <v/>
      </c>
      <c r="I101" s="168" t="str">
        <f>IF($A101="","",SUMIFS('04 Resource log'!$J$7:$J$506,'04 Resource log'!$B$7:$B$506,$A101,'04 Resource log'!$E$7:$E$506,"Labour"))</f>
        <v/>
      </c>
      <c r="J101" s="168" t="str">
        <f t="shared" si="5"/>
        <v/>
      </c>
      <c r="K101" s="169" t="str">
        <f t="shared" si="6"/>
        <v/>
      </c>
      <c r="L101" s="170" t="str">
        <f t="shared" si="7"/>
        <v/>
      </c>
      <c r="M101" s="6"/>
      <c r="N101" s="6"/>
      <c r="O101" s="6"/>
      <c r="P101" s="6"/>
      <c r="Q101" s="6"/>
      <c r="R101" s="6"/>
      <c r="S101" s="6"/>
      <c r="T101" s="6"/>
      <c r="U101" s="6"/>
      <c r="V101" s="6"/>
      <c r="W101" s="6"/>
      <c r="X101" s="6"/>
      <c r="Y101" s="6"/>
      <c r="Z101" s="6"/>
    </row>
    <row r="102" spans="1:26" ht="18" customHeight="1" x14ac:dyDescent="0.3">
      <c r="A102" s="152"/>
      <c r="B102" s="127" t="str">
        <f>IF($A102="","",IFERROR(INDEX('12 P6 activities'!$B$7:$B$206,MATCH($A102,'12 P6 activities'!$A$7:$A$206,0)),"ID not in P6 list"))</f>
        <v/>
      </c>
      <c r="C102" s="144" t="str">
        <f>IF(A102="","",IFERROR(INDEX('12 P6 activities'!$C$7:$C$206,MATCH(A102,'12 P6 activities'!$A$7:$A$206,0)),"⚠ not in P6 list"))</f>
        <v/>
      </c>
      <c r="D102" s="164" t="str">
        <f>IF($A102="","",IFERROR(INDEX('12 P6 activities'!$E$7:$E$206,MATCH($A102,'12 P6 activities'!$A$7:$A$206,0)),""))</f>
        <v/>
      </c>
      <c r="E102" s="154"/>
      <c r="F102" s="165"/>
      <c r="G102" s="166" t="str">
        <f t="shared" si="4"/>
        <v/>
      </c>
      <c r="H102" s="167" t="str">
        <f>IF($A102="","",SUMIFS('05 Work done log'!$F$7:$F$506,'05 Work done log'!$B$7:$B$506,$A102))</f>
        <v/>
      </c>
      <c r="I102" s="168" t="str">
        <f>IF($A102="","",SUMIFS('04 Resource log'!$J$7:$J$506,'04 Resource log'!$B$7:$B$506,$A102,'04 Resource log'!$E$7:$E$506,"Labour"))</f>
        <v/>
      </c>
      <c r="J102" s="168" t="str">
        <f t="shared" si="5"/>
        <v/>
      </c>
      <c r="K102" s="169" t="str">
        <f t="shared" si="6"/>
        <v/>
      </c>
      <c r="L102" s="170" t="str">
        <f t="shared" si="7"/>
        <v/>
      </c>
      <c r="M102" s="6"/>
      <c r="N102" s="6"/>
      <c r="O102" s="6"/>
      <c r="P102" s="6"/>
      <c r="Q102" s="6"/>
      <c r="R102" s="6"/>
      <c r="S102" s="6"/>
      <c r="T102" s="6"/>
      <c r="U102" s="6"/>
      <c r="V102" s="6"/>
      <c r="W102" s="6"/>
      <c r="X102" s="6"/>
      <c r="Y102" s="6"/>
      <c r="Z102" s="6"/>
    </row>
    <row r="103" spans="1:26" ht="18" customHeight="1" x14ac:dyDescent="0.3">
      <c r="A103" s="152"/>
      <c r="B103" s="127" t="str">
        <f>IF($A103="","",IFERROR(INDEX('12 P6 activities'!$B$7:$B$206,MATCH($A103,'12 P6 activities'!$A$7:$A$206,0)),"ID not in P6 list"))</f>
        <v/>
      </c>
      <c r="C103" s="144" t="str">
        <f>IF(A103="","",IFERROR(INDEX('12 P6 activities'!$C$7:$C$206,MATCH(A103,'12 P6 activities'!$A$7:$A$206,0)),"⚠ not in P6 list"))</f>
        <v/>
      </c>
      <c r="D103" s="164" t="str">
        <f>IF($A103="","",IFERROR(INDEX('12 P6 activities'!$E$7:$E$206,MATCH($A103,'12 P6 activities'!$A$7:$A$206,0)),""))</f>
        <v/>
      </c>
      <c r="E103" s="154"/>
      <c r="F103" s="165"/>
      <c r="G103" s="166" t="str">
        <f t="shared" si="4"/>
        <v/>
      </c>
      <c r="H103" s="167" t="str">
        <f>IF($A103="","",SUMIFS('05 Work done log'!$F$7:$F$506,'05 Work done log'!$B$7:$B$506,$A103))</f>
        <v/>
      </c>
      <c r="I103" s="168" t="str">
        <f>IF($A103="","",SUMIFS('04 Resource log'!$J$7:$J$506,'04 Resource log'!$B$7:$B$506,$A103,'04 Resource log'!$E$7:$E$506,"Labour"))</f>
        <v/>
      </c>
      <c r="J103" s="168" t="str">
        <f t="shared" si="5"/>
        <v/>
      </c>
      <c r="K103" s="169" t="str">
        <f t="shared" si="6"/>
        <v/>
      </c>
      <c r="L103" s="170" t="str">
        <f t="shared" si="7"/>
        <v/>
      </c>
      <c r="M103" s="6"/>
      <c r="N103" s="6"/>
      <c r="O103" s="6"/>
      <c r="P103" s="6"/>
      <c r="Q103" s="6"/>
      <c r="R103" s="6"/>
      <c r="S103" s="6"/>
      <c r="T103" s="6"/>
      <c r="U103" s="6"/>
      <c r="V103" s="6"/>
      <c r="W103" s="6"/>
      <c r="X103" s="6"/>
      <c r="Y103" s="6"/>
      <c r="Z103" s="6"/>
    </row>
    <row r="104" spans="1:26" ht="18" customHeight="1" x14ac:dyDescent="0.3">
      <c r="A104" s="152"/>
      <c r="B104" s="127" t="str">
        <f>IF($A104="","",IFERROR(INDEX('12 P6 activities'!$B$7:$B$206,MATCH($A104,'12 P6 activities'!$A$7:$A$206,0)),"ID not in P6 list"))</f>
        <v/>
      </c>
      <c r="C104" s="144" t="str">
        <f>IF(A104="","",IFERROR(INDEX('12 P6 activities'!$C$7:$C$206,MATCH(A104,'12 P6 activities'!$A$7:$A$206,0)),"⚠ not in P6 list"))</f>
        <v/>
      </c>
      <c r="D104" s="164" t="str">
        <f>IF($A104="","",IFERROR(INDEX('12 P6 activities'!$E$7:$E$206,MATCH($A104,'12 P6 activities'!$A$7:$A$206,0)),""))</f>
        <v/>
      </c>
      <c r="E104" s="154"/>
      <c r="F104" s="165"/>
      <c r="G104" s="166" t="str">
        <f t="shared" si="4"/>
        <v/>
      </c>
      <c r="H104" s="167" t="str">
        <f>IF($A104="","",SUMIFS('05 Work done log'!$F$7:$F$506,'05 Work done log'!$B$7:$B$506,$A104))</f>
        <v/>
      </c>
      <c r="I104" s="168" t="str">
        <f>IF($A104="","",SUMIFS('04 Resource log'!$J$7:$J$506,'04 Resource log'!$B$7:$B$506,$A104,'04 Resource log'!$E$7:$E$506,"Labour"))</f>
        <v/>
      </c>
      <c r="J104" s="168" t="str">
        <f t="shared" si="5"/>
        <v/>
      </c>
      <c r="K104" s="169" t="str">
        <f t="shared" si="6"/>
        <v/>
      </c>
      <c r="L104" s="170" t="str">
        <f t="shared" si="7"/>
        <v/>
      </c>
      <c r="M104" s="6"/>
      <c r="N104" s="6"/>
      <c r="O104" s="6"/>
      <c r="P104" s="6"/>
      <c r="Q104" s="6"/>
      <c r="R104" s="6"/>
      <c r="S104" s="6"/>
      <c r="T104" s="6"/>
      <c r="U104" s="6"/>
      <c r="V104" s="6"/>
      <c r="W104" s="6"/>
      <c r="X104" s="6"/>
      <c r="Y104" s="6"/>
      <c r="Z104" s="6"/>
    </row>
    <row r="105" spans="1:26" ht="18" customHeight="1" x14ac:dyDescent="0.3">
      <c r="A105" s="152"/>
      <c r="B105" s="127" t="str">
        <f>IF($A105="","",IFERROR(INDEX('12 P6 activities'!$B$7:$B$206,MATCH($A105,'12 P6 activities'!$A$7:$A$206,0)),"ID not in P6 list"))</f>
        <v/>
      </c>
      <c r="C105" s="144" t="str">
        <f>IF(A105="","",IFERROR(INDEX('12 P6 activities'!$C$7:$C$206,MATCH(A105,'12 P6 activities'!$A$7:$A$206,0)),"⚠ not in P6 list"))</f>
        <v/>
      </c>
      <c r="D105" s="164" t="str">
        <f>IF($A105="","",IFERROR(INDEX('12 P6 activities'!$E$7:$E$206,MATCH($A105,'12 P6 activities'!$A$7:$A$206,0)),""))</f>
        <v/>
      </c>
      <c r="E105" s="154"/>
      <c r="F105" s="165"/>
      <c r="G105" s="166" t="str">
        <f t="shared" si="4"/>
        <v/>
      </c>
      <c r="H105" s="167" t="str">
        <f>IF($A105="","",SUMIFS('05 Work done log'!$F$7:$F$506,'05 Work done log'!$B$7:$B$506,$A105))</f>
        <v/>
      </c>
      <c r="I105" s="168" t="str">
        <f>IF($A105="","",SUMIFS('04 Resource log'!$J$7:$J$506,'04 Resource log'!$B$7:$B$506,$A105,'04 Resource log'!$E$7:$E$506,"Labour"))</f>
        <v/>
      </c>
      <c r="J105" s="168" t="str">
        <f t="shared" si="5"/>
        <v/>
      </c>
      <c r="K105" s="169" t="str">
        <f t="shared" si="6"/>
        <v/>
      </c>
      <c r="L105" s="170" t="str">
        <f t="shared" si="7"/>
        <v/>
      </c>
      <c r="M105" s="6"/>
      <c r="N105" s="6"/>
      <c r="O105" s="6"/>
      <c r="P105" s="6"/>
      <c r="Q105" s="6"/>
      <c r="R105" s="6"/>
      <c r="S105" s="6"/>
      <c r="T105" s="6"/>
      <c r="U105" s="6"/>
      <c r="V105" s="6"/>
      <c r="W105" s="6"/>
      <c r="X105" s="6"/>
      <c r="Y105" s="6"/>
      <c r="Z105" s="6"/>
    </row>
    <row r="106" spans="1:26" ht="18" customHeight="1" x14ac:dyDescent="0.3">
      <c r="A106" s="152"/>
      <c r="B106" s="127" t="str">
        <f>IF($A106="","",IFERROR(INDEX('12 P6 activities'!$B$7:$B$206,MATCH($A106,'12 P6 activities'!$A$7:$A$206,0)),"ID not in P6 list"))</f>
        <v/>
      </c>
      <c r="C106" s="144" t="str">
        <f>IF(A106="","",IFERROR(INDEX('12 P6 activities'!$C$7:$C$206,MATCH(A106,'12 P6 activities'!$A$7:$A$206,0)),"⚠ not in P6 list"))</f>
        <v/>
      </c>
      <c r="D106" s="164" t="str">
        <f>IF($A106="","",IFERROR(INDEX('12 P6 activities'!$E$7:$E$206,MATCH($A106,'12 P6 activities'!$A$7:$A$206,0)),""))</f>
        <v/>
      </c>
      <c r="E106" s="154"/>
      <c r="F106" s="165"/>
      <c r="G106" s="166" t="str">
        <f t="shared" si="4"/>
        <v/>
      </c>
      <c r="H106" s="167" t="str">
        <f>IF($A106="","",SUMIFS('05 Work done log'!$F$7:$F$506,'05 Work done log'!$B$7:$B$506,$A106))</f>
        <v/>
      </c>
      <c r="I106" s="168" t="str">
        <f>IF($A106="","",SUMIFS('04 Resource log'!$J$7:$J$506,'04 Resource log'!$B$7:$B$506,$A106,'04 Resource log'!$E$7:$E$506,"Labour"))</f>
        <v/>
      </c>
      <c r="J106" s="168" t="str">
        <f t="shared" si="5"/>
        <v/>
      </c>
      <c r="K106" s="169" t="str">
        <f t="shared" si="6"/>
        <v/>
      </c>
      <c r="L106" s="170" t="str">
        <f t="shared" si="7"/>
        <v/>
      </c>
      <c r="M106" s="6"/>
      <c r="N106" s="6"/>
      <c r="O106" s="6"/>
      <c r="P106" s="6"/>
      <c r="Q106" s="6"/>
      <c r="R106" s="6"/>
      <c r="S106" s="6"/>
      <c r="T106" s="6"/>
      <c r="U106" s="6"/>
      <c r="V106" s="6"/>
      <c r="W106" s="6"/>
      <c r="X106" s="6"/>
      <c r="Y106" s="6"/>
      <c r="Z106" s="6"/>
    </row>
    <row r="107" spans="1:26" ht="18" customHeight="1" x14ac:dyDescent="0.3">
      <c r="A107" s="152"/>
      <c r="B107" s="127" t="str">
        <f>IF($A107="","",IFERROR(INDEX('12 P6 activities'!$B$7:$B$206,MATCH($A107,'12 P6 activities'!$A$7:$A$206,0)),"ID not in P6 list"))</f>
        <v/>
      </c>
      <c r="C107" s="144" t="str">
        <f>IF(A107="","",IFERROR(INDEX('12 P6 activities'!$C$7:$C$206,MATCH(A107,'12 P6 activities'!$A$7:$A$206,0)),"⚠ not in P6 list"))</f>
        <v/>
      </c>
      <c r="D107" s="164" t="str">
        <f>IF($A107="","",IFERROR(INDEX('12 P6 activities'!$E$7:$E$206,MATCH($A107,'12 P6 activities'!$A$7:$A$206,0)),""))</f>
        <v/>
      </c>
      <c r="E107" s="154"/>
      <c r="F107" s="165"/>
      <c r="G107" s="166" t="str">
        <f t="shared" si="4"/>
        <v/>
      </c>
      <c r="H107" s="167" t="str">
        <f>IF($A107="","",SUMIFS('05 Work done log'!$F$7:$F$506,'05 Work done log'!$B$7:$B$506,$A107))</f>
        <v/>
      </c>
      <c r="I107" s="168" t="str">
        <f>IF($A107="","",SUMIFS('04 Resource log'!$J$7:$J$506,'04 Resource log'!$B$7:$B$506,$A107,'04 Resource log'!$E$7:$E$506,"Labour"))</f>
        <v/>
      </c>
      <c r="J107" s="168" t="str">
        <f t="shared" si="5"/>
        <v/>
      </c>
      <c r="K107" s="169" t="str">
        <f t="shared" si="6"/>
        <v/>
      </c>
      <c r="L107" s="170" t="str">
        <f t="shared" si="7"/>
        <v/>
      </c>
      <c r="M107" s="6"/>
      <c r="N107" s="6"/>
      <c r="O107" s="6"/>
      <c r="P107" s="6"/>
      <c r="Q107" s="6"/>
      <c r="R107" s="6"/>
      <c r="S107" s="6"/>
      <c r="T107" s="6"/>
      <c r="U107" s="6"/>
      <c r="V107" s="6"/>
      <c r="W107" s="6"/>
      <c r="X107" s="6"/>
      <c r="Y107" s="6"/>
      <c r="Z107" s="6"/>
    </row>
    <row r="108" spans="1:26" ht="18" customHeight="1" x14ac:dyDescent="0.3">
      <c r="A108" s="152"/>
      <c r="B108" s="127" t="str">
        <f>IF($A108="","",IFERROR(INDEX('12 P6 activities'!$B$7:$B$206,MATCH($A108,'12 P6 activities'!$A$7:$A$206,0)),"ID not in P6 list"))</f>
        <v/>
      </c>
      <c r="C108" s="144" t="str">
        <f>IF(A108="","",IFERROR(INDEX('12 P6 activities'!$C$7:$C$206,MATCH(A108,'12 P6 activities'!$A$7:$A$206,0)),"⚠ not in P6 list"))</f>
        <v/>
      </c>
      <c r="D108" s="164" t="str">
        <f>IF($A108="","",IFERROR(INDEX('12 P6 activities'!$E$7:$E$206,MATCH($A108,'12 P6 activities'!$A$7:$A$206,0)),""))</f>
        <v/>
      </c>
      <c r="E108" s="154"/>
      <c r="F108" s="165"/>
      <c r="G108" s="166" t="str">
        <f t="shared" si="4"/>
        <v/>
      </c>
      <c r="H108" s="167" t="str">
        <f>IF($A108="","",SUMIFS('05 Work done log'!$F$7:$F$506,'05 Work done log'!$B$7:$B$506,$A108))</f>
        <v/>
      </c>
      <c r="I108" s="168" t="str">
        <f>IF($A108="","",SUMIFS('04 Resource log'!$J$7:$J$506,'04 Resource log'!$B$7:$B$506,$A108,'04 Resource log'!$E$7:$E$506,"Labour"))</f>
        <v/>
      </c>
      <c r="J108" s="168" t="str">
        <f t="shared" si="5"/>
        <v/>
      </c>
      <c r="K108" s="169" t="str">
        <f t="shared" si="6"/>
        <v/>
      </c>
      <c r="L108" s="170" t="str">
        <f t="shared" si="7"/>
        <v/>
      </c>
      <c r="M108" s="6"/>
      <c r="N108" s="6"/>
      <c r="O108" s="6"/>
      <c r="P108" s="6"/>
      <c r="Q108" s="6"/>
      <c r="R108" s="6"/>
      <c r="S108" s="6"/>
      <c r="T108" s="6"/>
      <c r="U108" s="6"/>
      <c r="V108" s="6"/>
      <c r="W108" s="6"/>
      <c r="X108" s="6"/>
      <c r="Y108" s="6"/>
      <c r="Z108" s="6"/>
    </row>
    <row r="109" spans="1:26" ht="18" customHeight="1" x14ac:dyDescent="0.3">
      <c r="A109" s="152"/>
      <c r="B109" s="127" t="str">
        <f>IF($A109="","",IFERROR(INDEX('12 P6 activities'!$B$7:$B$206,MATCH($A109,'12 P6 activities'!$A$7:$A$206,0)),"ID not in P6 list"))</f>
        <v/>
      </c>
      <c r="C109" s="144" t="str">
        <f>IF(A109="","",IFERROR(INDEX('12 P6 activities'!$C$7:$C$206,MATCH(A109,'12 P6 activities'!$A$7:$A$206,0)),"⚠ not in P6 list"))</f>
        <v/>
      </c>
      <c r="D109" s="164" t="str">
        <f>IF($A109="","",IFERROR(INDEX('12 P6 activities'!$E$7:$E$206,MATCH($A109,'12 P6 activities'!$A$7:$A$206,0)),""))</f>
        <v/>
      </c>
      <c r="E109" s="154"/>
      <c r="F109" s="165"/>
      <c r="G109" s="166" t="str">
        <f t="shared" si="4"/>
        <v/>
      </c>
      <c r="H109" s="167" t="str">
        <f>IF($A109="","",SUMIFS('05 Work done log'!$F$7:$F$506,'05 Work done log'!$B$7:$B$506,$A109))</f>
        <v/>
      </c>
      <c r="I109" s="168" t="str">
        <f>IF($A109="","",SUMIFS('04 Resource log'!$J$7:$J$506,'04 Resource log'!$B$7:$B$506,$A109,'04 Resource log'!$E$7:$E$506,"Labour"))</f>
        <v/>
      </c>
      <c r="J109" s="168" t="str">
        <f t="shared" si="5"/>
        <v/>
      </c>
      <c r="K109" s="169" t="str">
        <f t="shared" si="6"/>
        <v/>
      </c>
      <c r="L109" s="170" t="str">
        <f t="shared" si="7"/>
        <v/>
      </c>
      <c r="M109" s="6"/>
      <c r="N109" s="6"/>
      <c r="O109" s="6"/>
      <c r="P109" s="6"/>
      <c r="Q109" s="6"/>
      <c r="R109" s="6"/>
      <c r="S109" s="6"/>
      <c r="T109" s="6"/>
      <c r="U109" s="6"/>
      <c r="V109" s="6"/>
      <c r="W109" s="6"/>
      <c r="X109" s="6"/>
      <c r="Y109" s="6"/>
      <c r="Z109" s="6"/>
    </row>
    <row r="110" spans="1:26" ht="18" customHeight="1" x14ac:dyDescent="0.3">
      <c r="A110" s="152"/>
      <c r="B110" s="127" t="str">
        <f>IF($A110="","",IFERROR(INDEX('12 P6 activities'!$B$7:$B$206,MATCH($A110,'12 P6 activities'!$A$7:$A$206,0)),"ID not in P6 list"))</f>
        <v/>
      </c>
      <c r="C110" s="144" t="str">
        <f>IF(A110="","",IFERROR(INDEX('12 P6 activities'!$C$7:$C$206,MATCH(A110,'12 P6 activities'!$A$7:$A$206,0)),"⚠ not in P6 list"))</f>
        <v/>
      </c>
      <c r="D110" s="164" t="str">
        <f>IF($A110="","",IFERROR(INDEX('12 P6 activities'!$E$7:$E$206,MATCH($A110,'12 P6 activities'!$A$7:$A$206,0)),""))</f>
        <v/>
      </c>
      <c r="E110" s="154"/>
      <c r="F110" s="165"/>
      <c r="G110" s="166" t="str">
        <f t="shared" si="4"/>
        <v/>
      </c>
      <c r="H110" s="167" t="str">
        <f>IF($A110="","",SUMIFS('05 Work done log'!$F$7:$F$506,'05 Work done log'!$B$7:$B$506,$A110))</f>
        <v/>
      </c>
      <c r="I110" s="168" t="str">
        <f>IF($A110="","",SUMIFS('04 Resource log'!$J$7:$J$506,'04 Resource log'!$B$7:$B$506,$A110,'04 Resource log'!$E$7:$E$506,"Labour"))</f>
        <v/>
      </c>
      <c r="J110" s="168" t="str">
        <f t="shared" si="5"/>
        <v/>
      </c>
      <c r="K110" s="169" t="str">
        <f t="shared" si="6"/>
        <v/>
      </c>
      <c r="L110" s="170" t="str">
        <f t="shared" si="7"/>
        <v/>
      </c>
      <c r="M110" s="6"/>
      <c r="N110" s="6"/>
      <c r="O110" s="6"/>
      <c r="P110" s="6"/>
      <c r="Q110" s="6"/>
      <c r="R110" s="6"/>
      <c r="S110" s="6"/>
      <c r="T110" s="6"/>
      <c r="U110" s="6"/>
      <c r="V110" s="6"/>
      <c r="W110" s="6"/>
      <c r="X110" s="6"/>
      <c r="Y110" s="6"/>
      <c r="Z110" s="6"/>
    </row>
    <row r="111" spans="1:26" ht="18" customHeight="1" x14ac:dyDescent="0.3">
      <c r="A111" s="152"/>
      <c r="B111" s="127" t="str">
        <f>IF($A111="","",IFERROR(INDEX('12 P6 activities'!$B$7:$B$206,MATCH($A111,'12 P6 activities'!$A$7:$A$206,0)),"ID not in P6 list"))</f>
        <v/>
      </c>
      <c r="C111" s="144" t="str">
        <f>IF(A111="","",IFERROR(INDEX('12 P6 activities'!$C$7:$C$206,MATCH(A111,'12 P6 activities'!$A$7:$A$206,0)),"⚠ not in P6 list"))</f>
        <v/>
      </c>
      <c r="D111" s="164" t="str">
        <f>IF($A111="","",IFERROR(INDEX('12 P6 activities'!$E$7:$E$206,MATCH($A111,'12 P6 activities'!$A$7:$A$206,0)),""))</f>
        <v/>
      </c>
      <c r="E111" s="154"/>
      <c r="F111" s="165"/>
      <c r="G111" s="166" t="str">
        <f t="shared" si="4"/>
        <v/>
      </c>
      <c r="H111" s="167" t="str">
        <f>IF($A111="","",SUMIFS('05 Work done log'!$F$7:$F$506,'05 Work done log'!$B$7:$B$506,$A111))</f>
        <v/>
      </c>
      <c r="I111" s="168" t="str">
        <f>IF($A111="","",SUMIFS('04 Resource log'!$J$7:$J$506,'04 Resource log'!$B$7:$B$506,$A111,'04 Resource log'!$E$7:$E$506,"Labour"))</f>
        <v/>
      </c>
      <c r="J111" s="168" t="str">
        <f t="shared" si="5"/>
        <v/>
      </c>
      <c r="K111" s="169" t="str">
        <f t="shared" si="6"/>
        <v/>
      </c>
      <c r="L111" s="170" t="str">
        <f t="shared" si="7"/>
        <v/>
      </c>
      <c r="M111" s="6"/>
      <c r="N111" s="6"/>
      <c r="O111" s="6"/>
      <c r="P111" s="6"/>
      <c r="Q111" s="6"/>
      <c r="R111" s="6"/>
      <c r="S111" s="6"/>
      <c r="T111" s="6"/>
      <c r="U111" s="6"/>
      <c r="V111" s="6"/>
      <c r="W111" s="6"/>
      <c r="X111" s="6"/>
      <c r="Y111" s="6"/>
      <c r="Z111" s="6"/>
    </row>
    <row r="112" spans="1:26" ht="18" customHeight="1" x14ac:dyDescent="0.3">
      <c r="A112" s="152"/>
      <c r="B112" s="127" t="str">
        <f>IF($A112="","",IFERROR(INDEX('12 P6 activities'!$B$7:$B$206,MATCH($A112,'12 P6 activities'!$A$7:$A$206,0)),"ID not in P6 list"))</f>
        <v/>
      </c>
      <c r="C112" s="144" t="str">
        <f>IF(A112="","",IFERROR(INDEX('12 P6 activities'!$C$7:$C$206,MATCH(A112,'12 P6 activities'!$A$7:$A$206,0)),"⚠ not in P6 list"))</f>
        <v/>
      </c>
      <c r="D112" s="164" t="str">
        <f>IF($A112="","",IFERROR(INDEX('12 P6 activities'!$E$7:$E$206,MATCH($A112,'12 P6 activities'!$A$7:$A$206,0)),""))</f>
        <v/>
      </c>
      <c r="E112" s="154"/>
      <c r="F112" s="165"/>
      <c r="G112" s="166" t="str">
        <f t="shared" si="4"/>
        <v/>
      </c>
      <c r="H112" s="167" t="str">
        <f>IF($A112="","",SUMIFS('05 Work done log'!$F$7:$F$506,'05 Work done log'!$B$7:$B$506,$A112))</f>
        <v/>
      </c>
      <c r="I112" s="168" t="str">
        <f>IF($A112="","",SUMIFS('04 Resource log'!$J$7:$J$506,'04 Resource log'!$B$7:$B$506,$A112,'04 Resource log'!$E$7:$E$506,"Labour"))</f>
        <v/>
      </c>
      <c r="J112" s="168" t="str">
        <f t="shared" si="5"/>
        <v/>
      </c>
      <c r="K112" s="169" t="str">
        <f t="shared" si="6"/>
        <v/>
      </c>
      <c r="L112" s="170" t="str">
        <f t="shared" si="7"/>
        <v/>
      </c>
      <c r="M112" s="6"/>
      <c r="N112" s="6"/>
      <c r="O112" s="6"/>
      <c r="P112" s="6"/>
      <c r="Q112" s="6"/>
      <c r="R112" s="6"/>
      <c r="S112" s="6"/>
      <c r="T112" s="6"/>
      <c r="U112" s="6"/>
      <c r="V112" s="6"/>
      <c r="W112" s="6"/>
      <c r="X112" s="6"/>
      <c r="Y112" s="6"/>
      <c r="Z112" s="6"/>
    </row>
    <row r="113" spans="1:26" ht="18" customHeight="1" x14ac:dyDescent="0.3">
      <c r="A113" s="152"/>
      <c r="B113" s="127" t="str">
        <f>IF($A113="","",IFERROR(INDEX('12 P6 activities'!$B$7:$B$206,MATCH($A113,'12 P6 activities'!$A$7:$A$206,0)),"ID not in P6 list"))</f>
        <v/>
      </c>
      <c r="C113" s="144" t="str">
        <f>IF(A113="","",IFERROR(INDEX('12 P6 activities'!$C$7:$C$206,MATCH(A113,'12 P6 activities'!$A$7:$A$206,0)),"⚠ not in P6 list"))</f>
        <v/>
      </c>
      <c r="D113" s="164" t="str">
        <f>IF($A113="","",IFERROR(INDEX('12 P6 activities'!$E$7:$E$206,MATCH($A113,'12 P6 activities'!$A$7:$A$206,0)),""))</f>
        <v/>
      </c>
      <c r="E113" s="154"/>
      <c r="F113" s="165"/>
      <c r="G113" s="166" t="str">
        <f t="shared" si="4"/>
        <v/>
      </c>
      <c r="H113" s="167" t="str">
        <f>IF($A113="","",SUMIFS('05 Work done log'!$F$7:$F$506,'05 Work done log'!$B$7:$B$506,$A113))</f>
        <v/>
      </c>
      <c r="I113" s="168" t="str">
        <f>IF($A113="","",SUMIFS('04 Resource log'!$J$7:$J$506,'04 Resource log'!$B$7:$B$506,$A113,'04 Resource log'!$E$7:$E$506,"Labour"))</f>
        <v/>
      </c>
      <c r="J113" s="168" t="str">
        <f t="shared" si="5"/>
        <v/>
      </c>
      <c r="K113" s="169" t="str">
        <f t="shared" si="6"/>
        <v/>
      </c>
      <c r="L113" s="170" t="str">
        <f t="shared" si="7"/>
        <v/>
      </c>
      <c r="M113" s="6"/>
      <c r="N113" s="6"/>
      <c r="O113" s="6"/>
      <c r="P113" s="6"/>
      <c r="Q113" s="6"/>
      <c r="R113" s="6"/>
      <c r="S113" s="6"/>
      <c r="T113" s="6"/>
      <c r="U113" s="6"/>
      <c r="V113" s="6"/>
      <c r="W113" s="6"/>
      <c r="X113" s="6"/>
      <c r="Y113" s="6"/>
      <c r="Z113" s="6"/>
    </row>
    <row r="114" spans="1:26" ht="18" customHeight="1" x14ac:dyDescent="0.3">
      <c r="A114" s="152"/>
      <c r="B114" s="127" t="str">
        <f>IF($A114="","",IFERROR(INDEX('12 P6 activities'!$B$7:$B$206,MATCH($A114,'12 P6 activities'!$A$7:$A$206,0)),"ID not in P6 list"))</f>
        <v/>
      </c>
      <c r="C114" s="144" t="str">
        <f>IF(A114="","",IFERROR(INDEX('12 P6 activities'!$C$7:$C$206,MATCH(A114,'12 P6 activities'!$A$7:$A$206,0)),"⚠ not in P6 list"))</f>
        <v/>
      </c>
      <c r="D114" s="164" t="str">
        <f>IF($A114="","",IFERROR(INDEX('12 P6 activities'!$E$7:$E$206,MATCH($A114,'12 P6 activities'!$A$7:$A$206,0)),""))</f>
        <v/>
      </c>
      <c r="E114" s="154"/>
      <c r="F114" s="165"/>
      <c r="G114" s="166" t="str">
        <f t="shared" si="4"/>
        <v/>
      </c>
      <c r="H114" s="167" t="str">
        <f>IF($A114="","",SUMIFS('05 Work done log'!$F$7:$F$506,'05 Work done log'!$B$7:$B$506,$A114))</f>
        <v/>
      </c>
      <c r="I114" s="168" t="str">
        <f>IF($A114="","",SUMIFS('04 Resource log'!$J$7:$J$506,'04 Resource log'!$B$7:$B$506,$A114,'04 Resource log'!$E$7:$E$506,"Labour"))</f>
        <v/>
      </c>
      <c r="J114" s="168" t="str">
        <f t="shared" si="5"/>
        <v/>
      </c>
      <c r="K114" s="169" t="str">
        <f t="shared" si="6"/>
        <v/>
      </c>
      <c r="L114" s="170" t="str">
        <f t="shared" si="7"/>
        <v/>
      </c>
      <c r="M114" s="6"/>
      <c r="N114" s="6"/>
      <c r="O114" s="6"/>
      <c r="P114" s="6"/>
      <c r="Q114" s="6"/>
      <c r="R114" s="6"/>
      <c r="S114" s="6"/>
      <c r="T114" s="6"/>
      <c r="U114" s="6"/>
      <c r="V114" s="6"/>
      <c r="W114" s="6"/>
      <c r="X114" s="6"/>
      <c r="Y114" s="6"/>
      <c r="Z114" s="6"/>
    </row>
    <row r="115" spans="1:26" ht="18" customHeight="1" x14ac:dyDescent="0.3">
      <c r="A115" s="152"/>
      <c r="B115" s="127" t="str">
        <f>IF($A115="","",IFERROR(INDEX('12 P6 activities'!$B$7:$B$206,MATCH($A115,'12 P6 activities'!$A$7:$A$206,0)),"ID not in P6 list"))</f>
        <v/>
      </c>
      <c r="C115" s="144" t="str">
        <f>IF(A115="","",IFERROR(INDEX('12 P6 activities'!$C$7:$C$206,MATCH(A115,'12 P6 activities'!$A$7:$A$206,0)),"⚠ not in P6 list"))</f>
        <v/>
      </c>
      <c r="D115" s="164" t="str">
        <f>IF($A115="","",IFERROR(INDEX('12 P6 activities'!$E$7:$E$206,MATCH($A115,'12 P6 activities'!$A$7:$A$206,0)),""))</f>
        <v/>
      </c>
      <c r="E115" s="154"/>
      <c r="F115" s="165"/>
      <c r="G115" s="166" t="str">
        <f t="shared" si="4"/>
        <v/>
      </c>
      <c r="H115" s="167" t="str">
        <f>IF($A115="","",SUMIFS('05 Work done log'!$F$7:$F$506,'05 Work done log'!$B$7:$B$506,$A115))</f>
        <v/>
      </c>
      <c r="I115" s="168" t="str">
        <f>IF($A115="","",SUMIFS('04 Resource log'!$J$7:$J$506,'04 Resource log'!$B$7:$B$506,$A115,'04 Resource log'!$E$7:$E$506,"Labour"))</f>
        <v/>
      </c>
      <c r="J115" s="168" t="str">
        <f t="shared" si="5"/>
        <v/>
      </c>
      <c r="K115" s="169" t="str">
        <f t="shared" si="6"/>
        <v/>
      </c>
      <c r="L115" s="170" t="str">
        <f t="shared" si="7"/>
        <v/>
      </c>
      <c r="M115" s="6"/>
      <c r="N115" s="6"/>
      <c r="O115" s="6"/>
      <c r="P115" s="6"/>
      <c r="Q115" s="6"/>
      <c r="R115" s="6"/>
      <c r="S115" s="6"/>
      <c r="T115" s="6"/>
      <c r="U115" s="6"/>
      <c r="V115" s="6"/>
      <c r="W115" s="6"/>
      <c r="X115" s="6"/>
      <c r="Y115" s="6"/>
      <c r="Z115" s="6"/>
    </row>
    <row r="116" spans="1:26" ht="18" customHeight="1" x14ac:dyDescent="0.3">
      <c r="A116" s="152"/>
      <c r="B116" s="127" t="str">
        <f>IF($A116="","",IFERROR(INDEX('12 P6 activities'!$B$7:$B$206,MATCH($A116,'12 P6 activities'!$A$7:$A$206,0)),"ID not in P6 list"))</f>
        <v/>
      </c>
      <c r="C116" s="144" t="str">
        <f>IF(A116="","",IFERROR(INDEX('12 P6 activities'!$C$7:$C$206,MATCH(A116,'12 P6 activities'!$A$7:$A$206,0)),"⚠ not in P6 list"))</f>
        <v/>
      </c>
      <c r="D116" s="164" t="str">
        <f>IF($A116="","",IFERROR(INDEX('12 P6 activities'!$E$7:$E$206,MATCH($A116,'12 P6 activities'!$A$7:$A$206,0)),""))</f>
        <v/>
      </c>
      <c r="E116" s="154"/>
      <c r="F116" s="165"/>
      <c r="G116" s="166" t="str">
        <f t="shared" si="4"/>
        <v/>
      </c>
      <c r="H116" s="167" t="str">
        <f>IF($A116="","",SUMIFS('05 Work done log'!$F$7:$F$506,'05 Work done log'!$B$7:$B$506,$A116))</f>
        <v/>
      </c>
      <c r="I116" s="168" t="str">
        <f>IF($A116="","",SUMIFS('04 Resource log'!$J$7:$J$506,'04 Resource log'!$B$7:$B$506,$A116,'04 Resource log'!$E$7:$E$506,"Labour"))</f>
        <v/>
      </c>
      <c r="J116" s="168" t="str">
        <f t="shared" si="5"/>
        <v/>
      </c>
      <c r="K116" s="169" t="str">
        <f t="shared" si="6"/>
        <v/>
      </c>
      <c r="L116" s="170" t="str">
        <f t="shared" si="7"/>
        <v/>
      </c>
      <c r="M116" s="6"/>
      <c r="N116" s="6"/>
      <c r="O116" s="6"/>
      <c r="P116" s="6"/>
      <c r="Q116" s="6"/>
      <c r="R116" s="6"/>
      <c r="S116" s="6"/>
      <c r="T116" s="6"/>
      <c r="U116" s="6"/>
      <c r="V116" s="6"/>
      <c r="W116" s="6"/>
      <c r="X116" s="6"/>
      <c r="Y116" s="6"/>
      <c r="Z116" s="6"/>
    </row>
    <row r="117" spans="1:26" ht="18" customHeight="1" x14ac:dyDescent="0.3">
      <c r="A117" s="152"/>
      <c r="B117" s="127" t="str">
        <f>IF($A117="","",IFERROR(INDEX('12 P6 activities'!$B$7:$B$206,MATCH($A117,'12 P6 activities'!$A$7:$A$206,0)),"ID not in P6 list"))</f>
        <v/>
      </c>
      <c r="C117" s="144" t="str">
        <f>IF(A117="","",IFERROR(INDEX('12 P6 activities'!$C$7:$C$206,MATCH(A117,'12 P6 activities'!$A$7:$A$206,0)),"⚠ not in P6 list"))</f>
        <v/>
      </c>
      <c r="D117" s="164" t="str">
        <f>IF($A117="","",IFERROR(INDEX('12 P6 activities'!$E$7:$E$206,MATCH($A117,'12 P6 activities'!$A$7:$A$206,0)),""))</f>
        <v/>
      </c>
      <c r="E117" s="154"/>
      <c r="F117" s="165"/>
      <c r="G117" s="166" t="str">
        <f t="shared" si="4"/>
        <v/>
      </c>
      <c r="H117" s="167" t="str">
        <f>IF($A117="","",SUMIFS('05 Work done log'!$F$7:$F$506,'05 Work done log'!$B$7:$B$506,$A117))</f>
        <v/>
      </c>
      <c r="I117" s="168" t="str">
        <f>IF($A117="","",SUMIFS('04 Resource log'!$J$7:$J$506,'04 Resource log'!$B$7:$B$506,$A117,'04 Resource log'!$E$7:$E$506,"Labour"))</f>
        <v/>
      </c>
      <c r="J117" s="168" t="str">
        <f t="shared" si="5"/>
        <v/>
      </c>
      <c r="K117" s="169" t="str">
        <f t="shared" si="6"/>
        <v/>
      </c>
      <c r="L117" s="170" t="str">
        <f t="shared" si="7"/>
        <v/>
      </c>
      <c r="M117" s="6"/>
      <c r="N117" s="6"/>
      <c r="O117" s="6"/>
      <c r="P117" s="6"/>
      <c r="Q117" s="6"/>
      <c r="R117" s="6"/>
      <c r="S117" s="6"/>
      <c r="T117" s="6"/>
      <c r="U117" s="6"/>
      <c r="V117" s="6"/>
      <c r="W117" s="6"/>
      <c r="X117" s="6"/>
      <c r="Y117" s="6"/>
      <c r="Z117" s="6"/>
    </row>
    <row r="118" spans="1:26" ht="18" customHeight="1" x14ac:dyDescent="0.3">
      <c r="A118" s="152"/>
      <c r="B118" s="127" t="str">
        <f>IF($A118="","",IFERROR(INDEX('12 P6 activities'!$B$7:$B$206,MATCH($A118,'12 P6 activities'!$A$7:$A$206,0)),"ID not in P6 list"))</f>
        <v/>
      </c>
      <c r="C118" s="144" t="str">
        <f>IF(A118="","",IFERROR(INDEX('12 P6 activities'!$C$7:$C$206,MATCH(A118,'12 P6 activities'!$A$7:$A$206,0)),"⚠ not in P6 list"))</f>
        <v/>
      </c>
      <c r="D118" s="164" t="str">
        <f>IF($A118="","",IFERROR(INDEX('12 P6 activities'!$E$7:$E$206,MATCH($A118,'12 P6 activities'!$A$7:$A$206,0)),""))</f>
        <v/>
      </c>
      <c r="E118" s="154"/>
      <c r="F118" s="165"/>
      <c r="G118" s="166" t="str">
        <f t="shared" si="4"/>
        <v/>
      </c>
      <c r="H118" s="167" t="str">
        <f>IF($A118="","",SUMIFS('05 Work done log'!$F$7:$F$506,'05 Work done log'!$B$7:$B$506,$A118))</f>
        <v/>
      </c>
      <c r="I118" s="168" t="str">
        <f>IF($A118="","",SUMIFS('04 Resource log'!$J$7:$J$506,'04 Resource log'!$B$7:$B$506,$A118,'04 Resource log'!$E$7:$E$506,"Labour"))</f>
        <v/>
      </c>
      <c r="J118" s="168" t="str">
        <f t="shared" si="5"/>
        <v/>
      </c>
      <c r="K118" s="169" t="str">
        <f t="shared" si="6"/>
        <v/>
      </c>
      <c r="L118" s="170" t="str">
        <f t="shared" si="7"/>
        <v/>
      </c>
      <c r="M118" s="6"/>
      <c r="N118" s="6"/>
      <c r="O118" s="6"/>
      <c r="P118" s="6"/>
      <c r="Q118" s="6"/>
      <c r="R118" s="6"/>
      <c r="S118" s="6"/>
      <c r="T118" s="6"/>
      <c r="U118" s="6"/>
      <c r="V118" s="6"/>
      <c r="W118" s="6"/>
      <c r="X118" s="6"/>
      <c r="Y118" s="6"/>
      <c r="Z118" s="6"/>
    </row>
    <row r="119" spans="1:26" ht="18" customHeight="1" x14ac:dyDescent="0.3">
      <c r="A119" s="152"/>
      <c r="B119" s="127" t="str">
        <f>IF($A119="","",IFERROR(INDEX('12 P6 activities'!$B$7:$B$206,MATCH($A119,'12 P6 activities'!$A$7:$A$206,0)),"ID not in P6 list"))</f>
        <v/>
      </c>
      <c r="C119" s="144" t="str">
        <f>IF(A119="","",IFERROR(INDEX('12 P6 activities'!$C$7:$C$206,MATCH(A119,'12 P6 activities'!$A$7:$A$206,0)),"⚠ not in P6 list"))</f>
        <v/>
      </c>
      <c r="D119" s="164" t="str">
        <f>IF($A119="","",IFERROR(INDEX('12 P6 activities'!$E$7:$E$206,MATCH($A119,'12 P6 activities'!$A$7:$A$206,0)),""))</f>
        <v/>
      </c>
      <c r="E119" s="154"/>
      <c r="F119" s="165"/>
      <c r="G119" s="166" t="str">
        <f t="shared" si="4"/>
        <v/>
      </c>
      <c r="H119" s="167" t="str">
        <f>IF($A119="","",SUMIFS('05 Work done log'!$F$7:$F$506,'05 Work done log'!$B$7:$B$506,$A119))</f>
        <v/>
      </c>
      <c r="I119" s="168" t="str">
        <f>IF($A119="","",SUMIFS('04 Resource log'!$J$7:$J$506,'04 Resource log'!$B$7:$B$506,$A119,'04 Resource log'!$E$7:$E$506,"Labour"))</f>
        <v/>
      </c>
      <c r="J119" s="168" t="str">
        <f t="shared" si="5"/>
        <v/>
      </c>
      <c r="K119" s="169" t="str">
        <f t="shared" si="6"/>
        <v/>
      </c>
      <c r="L119" s="170" t="str">
        <f t="shared" si="7"/>
        <v/>
      </c>
      <c r="M119" s="6"/>
      <c r="N119" s="6"/>
      <c r="O119" s="6"/>
      <c r="P119" s="6"/>
      <c r="Q119" s="6"/>
      <c r="R119" s="6"/>
      <c r="S119" s="6"/>
      <c r="T119" s="6"/>
      <c r="U119" s="6"/>
      <c r="V119" s="6"/>
      <c r="W119" s="6"/>
      <c r="X119" s="6"/>
      <c r="Y119" s="6"/>
      <c r="Z119" s="6"/>
    </row>
    <row r="120" spans="1:26" ht="18" customHeight="1" x14ac:dyDescent="0.3">
      <c r="A120" s="152"/>
      <c r="B120" s="127" t="str">
        <f>IF($A120="","",IFERROR(INDEX('12 P6 activities'!$B$7:$B$206,MATCH($A120,'12 P6 activities'!$A$7:$A$206,0)),"ID not in P6 list"))</f>
        <v/>
      </c>
      <c r="C120" s="144" t="str">
        <f>IF(A120="","",IFERROR(INDEX('12 P6 activities'!$C$7:$C$206,MATCH(A120,'12 P6 activities'!$A$7:$A$206,0)),"⚠ not in P6 list"))</f>
        <v/>
      </c>
      <c r="D120" s="164" t="str">
        <f>IF($A120="","",IFERROR(INDEX('12 P6 activities'!$E$7:$E$206,MATCH($A120,'12 P6 activities'!$A$7:$A$206,0)),""))</f>
        <v/>
      </c>
      <c r="E120" s="154"/>
      <c r="F120" s="165"/>
      <c r="G120" s="166" t="str">
        <f t="shared" si="4"/>
        <v/>
      </c>
      <c r="H120" s="167" t="str">
        <f>IF($A120="","",SUMIFS('05 Work done log'!$F$7:$F$506,'05 Work done log'!$B$7:$B$506,$A120))</f>
        <v/>
      </c>
      <c r="I120" s="168" t="str">
        <f>IF($A120="","",SUMIFS('04 Resource log'!$J$7:$J$506,'04 Resource log'!$B$7:$B$506,$A120,'04 Resource log'!$E$7:$E$506,"Labour"))</f>
        <v/>
      </c>
      <c r="J120" s="168" t="str">
        <f t="shared" si="5"/>
        <v/>
      </c>
      <c r="K120" s="169" t="str">
        <f t="shared" si="6"/>
        <v/>
      </c>
      <c r="L120" s="170" t="str">
        <f t="shared" si="7"/>
        <v/>
      </c>
      <c r="M120" s="6"/>
      <c r="N120" s="6"/>
      <c r="O120" s="6"/>
      <c r="P120" s="6"/>
      <c r="Q120" s="6"/>
      <c r="R120" s="6"/>
      <c r="S120" s="6"/>
      <c r="T120" s="6"/>
      <c r="U120" s="6"/>
      <c r="V120" s="6"/>
      <c r="W120" s="6"/>
      <c r="X120" s="6"/>
      <c r="Y120" s="6"/>
      <c r="Z120" s="6"/>
    </row>
    <row r="121" spans="1:26" ht="18" customHeight="1" x14ac:dyDescent="0.3">
      <c r="A121" s="152"/>
      <c r="B121" s="127" t="str">
        <f>IF($A121="","",IFERROR(INDEX('12 P6 activities'!$B$7:$B$206,MATCH($A121,'12 P6 activities'!$A$7:$A$206,0)),"ID not in P6 list"))</f>
        <v/>
      </c>
      <c r="C121" s="144" t="str">
        <f>IF(A121="","",IFERROR(INDEX('12 P6 activities'!$C$7:$C$206,MATCH(A121,'12 P6 activities'!$A$7:$A$206,0)),"⚠ not in P6 list"))</f>
        <v/>
      </c>
      <c r="D121" s="164" t="str">
        <f>IF($A121="","",IFERROR(INDEX('12 P6 activities'!$E$7:$E$206,MATCH($A121,'12 P6 activities'!$A$7:$A$206,0)),""))</f>
        <v/>
      </c>
      <c r="E121" s="154"/>
      <c r="F121" s="165"/>
      <c r="G121" s="166" t="str">
        <f t="shared" si="4"/>
        <v/>
      </c>
      <c r="H121" s="167" t="str">
        <f>IF($A121="","",SUMIFS('05 Work done log'!$F$7:$F$506,'05 Work done log'!$B$7:$B$506,$A121))</f>
        <v/>
      </c>
      <c r="I121" s="168" t="str">
        <f>IF($A121="","",SUMIFS('04 Resource log'!$J$7:$J$506,'04 Resource log'!$B$7:$B$506,$A121,'04 Resource log'!$E$7:$E$506,"Labour"))</f>
        <v/>
      </c>
      <c r="J121" s="168" t="str">
        <f t="shared" si="5"/>
        <v/>
      </c>
      <c r="K121" s="169" t="str">
        <f t="shared" si="6"/>
        <v/>
      </c>
      <c r="L121" s="170" t="str">
        <f t="shared" si="7"/>
        <v/>
      </c>
      <c r="M121" s="6"/>
      <c r="N121" s="6"/>
      <c r="O121" s="6"/>
      <c r="P121" s="6"/>
      <c r="Q121" s="6"/>
      <c r="R121" s="6"/>
      <c r="S121" s="6"/>
      <c r="T121" s="6"/>
      <c r="U121" s="6"/>
      <c r="V121" s="6"/>
      <c r="W121" s="6"/>
      <c r="X121" s="6"/>
      <c r="Y121" s="6"/>
      <c r="Z121" s="6"/>
    </row>
    <row r="122" spans="1:26" ht="18" customHeight="1" x14ac:dyDescent="0.3">
      <c r="A122" s="152"/>
      <c r="B122" s="127" t="str">
        <f>IF($A122="","",IFERROR(INDEX('12 P6 activities'!$B$7:$B$206,MATCH($A122,'12 P6 activities'!$A$7:$A$206,0)),"ID not in P6 list"))</f>
        <v/>
      </c>
      <c r="C122" s="144" t="str">
        <f>IF(A122="","",IFERROR(INDEX('12 P6 activities'!$C$7:$C$206,MATCH(A122,'12 P6 activities'!$A$7:$A$206,0)),"⚠ not in P6 list"))</f>
        <v/>
      </c>
      <c r="D122" s="164" t="str">
        <f>IF($A122="","",IFERROR(INDEX('12 P6 activities'!$E$7:$E$206,MATCH($A122,'12 P6 activities'!$A$7:$A$206,0)),""))</f>
        <v/>
      </c>
      <c r="E122" s="154"/>
      <c r="F122" s="165"/>
      <c r="G122" s="166" t="str">
        <f t="shared" si="4"/>
        <v/>
      </c>
      <c r="H122" s="167" t="str">
        <f>IF($A122="","",SUMIFS('05 Work done log'!$F$7:$F$506,'05 Work done log'!$B$7:$B$506,$A122))</f>
        <v/>
      </c>
      <c r="I122" s="168" t="str">
        <f>IF($A122="","",SUMIFS('04 Resource log'!$J$7:$J$506,'04 Resource log'!$B$7:$B$506,$A122,'04 Resource log'!$E$7:$E$506,"Labour"))</f>
        <v/>
      </c>
      <c r="J122" s="168" t="str">
        <f t="shared" si="5"/>
        <v/>
      </c>
      <c r="K122" s="169" t="str">
        <f t="shared" si="6"/>
        <v/>
      </c>
      <c r="L122" s="170" t="str">
        <f t="shared" si="7"/>
        <v/>
      </c>
      <c r="M122" s="6"/>
      <c r="N122" s="6"/>
      <c r="O122" s="6"/>
      <c r="P122" s="6"/>
      <c r="Q122" s="6"/>
      <c r="R122" s="6"/>
      <c r="S122" s="6"/>
      <c r="T122" s="6"/>
      <c r="U122" s="6"/>
      <c r="V122" s="6"/>
      <c r="W122" s="6"/>
      <c r="X122" s="6"/>
      <c r="Y122" s="6"/>
      <c r="Z122" s="6"/>
    </row>
    <row r="123" spans="1:26" ht="18" customHeight="1" x14ac:dyDescent="0.3">
      <c r="A123" s="152"/>
      <c r="B123" s="127" t="str">
        <f>IF($A123="","",IFERROR(INDEX('12 P6 activities'!$B$7:$B$206,MATCH($A123,'12 P6 activities'!$A$7:$A$206,0)),"ID not in P6 list"))</f>
        <v/>
      </c>
      <c r="C123" s="144" t="str">
        <f>IF(A123="","",IFERROR(INDEX('12 P6 activities'!$C$7:$C$206,MATCH(A123,'12 P6 activities'!$A$7:$A$206,0)),"⚠ not in P6 list"))</f>
        <v/>
      </c>
      <c r="D123" s="164" t="str">
        <f>IF($A123="","",IFERROR(INDEX('12 P6 activities'!$E$7:$E$206,MATCH($A123,'12 P6 activities'!$A$7:$A$206,0)),""))</f>
        <v/>
      </c>
      <c r="E123" s="154"/>
      <c r="F123" s="165"/>
      <c r="G123" s="166" t="str">
        <f t="shared" si="4"/>
        <v/>
      </c>
      <c r="H123" s="167" t="str">
        <f>IF($A123="","",SUMIFS('05 Work done log'!$F$7:$F$506,'05 Work done log'!$B$7:$B$506,$A123))</f>
        <v/>
      </c>
      <c r="I123" s="168" t="str">
        <f>IF($A123="","",SUMIFS('04 Resource log'!$J$7:$J$506,'04 Resource log'!$B$7:$B$506,$A123,'04 Resource log'!$E$7:$E$506,"Labour"))</f>
        <v/>
      </c>
      <c r="J123" s="168" t="str">
        <f t="shared" si="5"/>
        <v/>
      </c>
      <c r="K123" s="169" t="str">
        <f t="shared" si="6"/>
        <v/>
      </c>
      <c r="L123" s="170" t="str">
        <f t="shared" si="7"/>
        <v/>
      </c>
      <c r="M123" s="6"/>
      <c r="N123" s="6"/>
      <c r="O123" s="6"/>
      <c r="P123" s="6"/>
      <c r="Q123" s="6"/>
      <c r="R123" s="6"/>
      <c r="S123" s="6"/>
      <c r="T123" s="6"/>
      <c r="U123" s="6"/>
      <c r="V123" s="6"/>
      <c r="W123" s="6"/>
      <c r="X123" s="6"/>
      <c r="Y123" s="6"/>
      <c r="Z123" s="6"/>
    </row>
    <row r="124" spans="1:26" ht="18" customHeight="1" x14ac:dyDescent="0.3">
      <c r="A124" s="152"/>
      <c r="B124" s="127" t="str">
        <f>IF($A124="","",IFERROR(INDEX('12 P6 activities'!$B$7:$B$206,MATCH($A124,'12 P6 activities'!$A$7:$A$206,0)),"ID not in P6 list"))</f>
        <v/>
      </c>
      <c r="C124" s="144" t="str">
        <f>IF(A124="","",IFERROR(INDEX('12 P6 activities'!$C$7:$C$206,MATCH(A124,'12 P6 activities'!$A$7:$A$206,0)),"⚠ not in P6 list"))</f>
        <v/>
      </c>
      <c r="D124" s="164" t="str">
        <f>IF($A124="","",IFERROR(INDEX('12 P6 activities'!$E$7:$E$206,MATCH($A124,'12 P6 activities'!$A$7:$A$206,0)),""))</f>
        <v/>
      </c>
      <c r="E124" s="154"/>
      <c r="F124" s="165"/>
      <c r="G124" s="166" t="str">
        <f t="shared" si="4"/>
        <v/>
      </c>
      <c r="H124" s="167" t="str">
        <f>IF($A124="","",SUMIFS('05 Work done log'!$F$7:$F$506,'05 Work done log'!$B$7:$B$506,$A124))</f>
        <v/>
      </c>
      <c r="I124" s="168" t="str">
        <f>IF($A124="","",SUMIFS('04 Resource log'!$J$7:$J$506,'04 Resource log'!$B$7:$B$506,$A124,'04 Resource log'!$E$7:$E$506,"Labour"))</f>
        <v/>
      </c>
      <c r="J124" s="168" t="str">
        <f t="shared" si="5"/>
        <v/>
      </c>
      <c r="K124" s="169" t="str">
        <f t="shared" si="6"/>
        <v/>
      </c>
      <c r="L124" s="170" t="str">
        <f t="shared" si="7"/>
        <v/>
      </c>
      <c r="M124" s="6"/>
      <c r="N124" s="6"/>
      <c r="O124" s="6"/>
      <c r="P124" s="6"/>
      <c r="Q124" s="6"/>
      <c r="R124" s="6"/>
      <c r="S124" s="6"/>
      <c r="T124" s="6"/>
      <c r="U124" s="6"/>
      <c r="V124" s="6"/>
      <c r="W124" s="6"/>
      <c r="X124" s="6"/>
      <c r="Y124" s="6"/>
      <c r="Z124" s="6"/>
    </row>
    <row r="125" spans="1:26" ht="18" customHeight="1" x14ac:dyDescent="0.3">
      <c r="A125" s="152"/>
      <c r="B125" s="127" t="str">
        <f>IF($A125="","",IFERROR(INDEX('12 P6 activities'!$B$7:$B$206,MATCH($A125,'12 P6 activities'!$A$7:$A$206,0)),"ID not in P6 list"))</f>
        <v/>
      </c>
      <c r="C125" s="144" t="str">
        <f>IF(A125="","",IFERROR(INDEX('12 P6 activities'!$C$7:$C$206,MATCH(A125,'12 P6 activities'!$A$7:$A$206,0)),"⚠ not in P6 list"))</f>
        <v/>
      </c>
      <c r="D125" s="164" t="str">
        <f>IF($A125="","",IFERROR(INDEX('12 P6 activities'!$E$7:$E$206,MATCH($A125,'12 P6 activities'!$A$7:$A$206,0)),""))</f>
        <v/>
      </c>
      <c r="E125" s="154"/>
      <c r="F125" s="165"/>
      <c r="G125" s="166" t="str">
        <f t="shared" si="4"/>
        <v/>
      </c>
      <c r="H125" s="167" t="str">
        <f>IF($A125="","",SUMIFS('05 Work done log'!$F$7:$F$506,'05 Work done log'!$B$7:$B$506,$A125))</f>
        <v/>
      </c>
      <c r="I125" s="168" t="str">
        <f>IF($A125="","",SUMIFS('04 Resource log'!$J$7:$J$506,'04 Resource log'!$B$7:$B$506,$A125,'04 Resource log'!$E$7:$E$506,"Labour"))</f>
        <v/>
      </c>
      <c r="J125" s="168" t="str">
        <f t="shared" si="5"/>
        <v/>
      </c>
      <c r="K125" s="169" t="str">
        <f t="shared" si="6"/>
        <v/>
      </c>
      <c r="L125" s="170" t="str">
        <f t="shared" si="7"/>
        <v/>
      </c>
      <c r="M125" s="6"/>
      <c r="N125" s="6"/>
      <c r="O125" s="6"/>
      <c r="P125" s="6"/>
      <c r="Q125" s="6"/>
      <c r="R125" s="6"/>
      <c r="S125" s="6"/>
      <c r="T125" s="6"/>
      <c r="U125" s="6"/>
      <c r="V125" s="6"/>
      <c r="W125" s="6"/>
      <c r="X125" s="6"/>
      <c r="Y125" s="6"/>
      <c r="Z125" s="6"/>
    </row>
    <row r="126" spans="1:26" ht="18" customHeight="1" x14ac:dyDescent="0.3">
      <c r="A126" s="152"/>
      <c r="B126" s="127" t="str">
        <f>IF($A126="","",IFERROR(INDEX('12 P6 activities'!$B$7:$B$206,MATCH($A126,'12 P6 activities'!$A$7:$A$206,0)),"ID not in P6 list"))</f>
        <v/>
      </c>
      <c r="C126" s="144" t="str">
        <f>IF(A126="","",IFERROR(INDEX('12 P6 activities'!$C$7:$C$206,MATCH(A126,'12 P6 activities'!$A$7:$A$206,0)),"⚠ not in P6 list"))</f>
        <v/>
      </c>
      <c r="D126" s="164" t="str">
        <f>IF($A126="","",IFERROR(INDEX('12 P6 activities'!$E$7:$E$206,MATCH($A126,'12 P6 activities'!$A$7:$A$206,0)),""))</f>
        <v/>
      </c>
      <c r="E126" s="154"/>
      <c r="F126" s="165"/>
      <c r="G126" s="166" t="str">
        <f t="shared" si="4"/>
        <v/>
      </c>
      <c r="H126" s="167" t="str">
        <f>IF($A126="","",SUMIFS('05 Work done log'!$F$7:$F$506,'05 Work done log'!$B$7:$B$506,$A126))</f>
        <v/>
      </c>
      <c r="I126" s="168" t="str">
        <f>IF($A126="","",SUMIFS('04 Resource log'!$J$7:$J$506,'04 Resource log'!$B$7:$B$506,$A126,'04 Resource log'!$E$7:$E$506,"Labour"))</f>
        <v/>
      </c>
      <c r="J126" s="168" t="str">
        <f t="shared" si="5"/>
        <v/>
      </c>
      <c r="K126" s="169" t="str">
        <f t="shared" si="6"/>
        <v/>
      </c>
      <c r="L126" s="170" t="str">
        <f t="shared" si="7"/>
        <v/>
      </c>
      <c r="M126" s="6"/>
      <c r="N126" s="6"/>
      <c r="O126" s="6"/>
      <c r="P126" s="6"/>
      <c r="Q126" s="6"/>
      <c r="R126" s="6"/>
      <c r="S126" s="6"/>
      <c r="T126" s="6"/>
      <c r="U126" s="6"/>
      <c r="V126" s="6"/>
      <c r="W126" s="6"/>
      <c r="X126" s="6"/>
      <c r="Y126" s="6"/>
      <c r="Z126" s="6"/>
    </row>
    <row r="127" spans="1:26" ht="18" customHeight="1" x14ac:dyDescent="0.3">
      <c r="A127" s="152"/>
      <c r="B127" s="127" t="str">
        <f>IF($A127="","",IFERROR(INDEX('12 P6 activities'!$B$7:$B$206,MATCH($A127,'12 P6 activities'!$A$7:$A$206,0)),"ID not in P6 list"))</f>
        <v/>
      </c>
      <c r="C127" s="144" t="str">
        <f>IF(A127="","",IFERROR(INDEX('12 P6 activities'!$C$7:$C$206,MATCH(A127,'12 P6 activities'!$A$7:$A$206,0)),"⚠ not in P6 list"))</f>
        <v/>
      </c>
      <c r="D127" s="164" t="str">
        <f>IF($A127="","",IFERROR(INDEX('12 P6 activities'!$E$7:$E$206,MATCH($A127,'12 P6 activities'!$A$7:$A$206,0)),""))</f>
        <v/>
      </c>
      <c r="E127" s="154"/>
      <c r="F127" s="165"/>
      <c r="G127" s="166" t="str">
        <f t="shared" si="4"/>
        <v/>
      </c>
      <c r="H127" s="167" t="str">
        <f>IF($A127="","",SUMIFS('05 Work done log'!$F$7:$F$506,'05 Work done log'!$B$7:$B$506,$A127))</f>
        <v/>
      </c>
      <c r="I127" s="168" t="str">
        <f>IF($A127="","",SUMIFS('04 Resource log'!$J$7:$J$506,'04 Resource log'!$B$7:$B$506,$A127,'04 Resource log'!$E$7:$E$506,"Labour"))</f>
        <v/>
      </c>
      <c r="J127" s="168" t="str">
        <f t="shared" si="5"/>
        <v/>
      </c>
      <c r="K127" s="169" t="str">
        <f t="shared" si="6"/>
        <v/>
      </c>
      <c r="L127" s="170" t="str">
        <f t="shared" si="7"/>
        <v/>
      </c>
      <c r="M127" s="6"/>
      <c r="N127" s="6"/>
      <c r="O127" s="6"/>
      <c r="P127" s="6"/>
      <c r="Q127" s="6"/>
      <c r="R127" s="6"/>
      <c r="S127" s="6"/>
      <c r="T127" s="6"/>
      <c r="U127" s="6"/>
      <c r="V127" s="6"/>
      <c r="W127" s="6"/>
      <c r="X127" s="6"/>
      <c r="Y127" s="6"/>
      <c r="Z127" s="6"/>
    </row>
    <row r="128" spans="1:26" ht="18" customHeight="1" x14ac:dyDescent="0.3">
      <c r="A128" s="152"/>
      <c r="B128" s="127" t="str">
        <f>IF($A128="","",IFERROR(INDEX('12 P6 activities'!$B$7:$B$206,MATCH($A128,'12 P6 activities'!$A$7:$A$206,0)),"ID not in P6 list"))</f>
        <v/>
      </c>
      <c r="C128" s="144" t="str">
        <f>IF(A128="","",IFERROR(INDEX('12 P6 activities'!$C$7:$C$206,MATCH(A128,'12 P6 activities'!$A$7:$A$206,0)),"⚠ not in P6 list"))</f>
        <v/>
      </c>
      <c r="D128" s="164" t="str">
        <f>IF($A128="","",IFERROR(INDEX('12 P6 activities'!$E$7:$E$206,MATCH($A128,'12 P6 activities'!$A$7:$A$206,0)),""))</f>
        <v/>
      </c>
      <c r="E128" s="154"/>
      <c r="F128" s="165"/>
      <c r="G128" s="166" t="str">
        <f t="shared" si="4"/>
        <v/>
      </c>
      <c r="H128" s="167" t="str">
        <f>IF($A128="","",SUMIFS('05 Work done log'!$F$7:$F$506,'05 Work done log'!$B$7:$B$506,$A128))</f>
        <v/>
      </c>
      <c r="I128" s="168" t="str">
        <f>IF($A128="","",SUMIFS('04 Resource log'!$J$7:$J$506,'04 Resource log'!$B$7:$B$506,$A128,'04 Resource log'!$E$7:$E$506,"Labour"))</f>
        <v/>
      </c>
      <c r="J128" s="168" t="str">
        <f t="shared" si="5"/>
        <v/>
      </c>
      <c r="K128" s="169" t="str">
        <f t="shared" si="6"/>
        <v/>
      </c>
      <c r="L128" s="170" t="str">
        <f t="shared" si="7"/>
        <v/>
      </c>
      <c r="M128" s="6"/>
      <c r="N128" s="6"/>
      <c r="O128" s="6"/>
      <c r="P128" s="6"/>
      <c r="Q128" s="6"/>
      <c r="R128" s="6"/>
      <c r="S128" s="6"/>
      <c r="T128" s="6"/>
      <c r="U128" s="6"/>
      <c r="V128" s="6"/>
      <c r="W128" s="6"/>
      <c r="X128" s="6"/>
      <c r="Y128" s="6"/>
      <c r="Z128" s="6"/>
    </row>
    <row r="129" spans="1:26" ht="18" customHeight="1" x14ac:dyDescent="0.3">
      <c r="A129" s="152"/>
      <c r="B129" s="127" t="str">
        <f>IF($A129="","",IFERROR(INDEX('12 P6 activities'!$B$7:$B$206,MATCH($A129,'12 P6 activities'!$A$7:$A$206,0)),"ID not in P6 list"))</f>
        <v/>
      </c>
      <c r="C129" s="144" t="str">
        <f>IF(A129="","",IFERROR(INDEX('12 P6 activities'!$C$7:$C$206,MATCH(A129,'12 P6 activities'!$A$7:$A$206,0)),"⚠ not in P6 list"))</f>
        <v/>
      </c>
      <c r="D129" s="164" t="str">
        <f>IF($A129="","",IFERROR(INDEX('12 P6 activities'!$E$7:$E$206,MATCH($A129,'12 P6 activities'!$A$7:$A$206,0)),""))</f>
        <v/>
      </c>
      <c r="E129" s="154"/>
      <c r="F129" s="165"/>
      <c r="G129" s="166" t="str">
        <f t="shared" si="4"/>
        <v/>
      </c>
      <c r="H129" s="167" t="str">
        <f>IF($A129="","",SUMIFS('05 Work done log'!$F$7:$F$506,'05 Work done log'!$B$7:$B$506,$A129))</f>
        <v/>
      </c>
      <c r="I129" s="168" t="str">
        <f>IF($A129="","",SUMIFS('04 Resource log'!$J$7:$J$506,'04 Resource log'!$B$7:$B$506,$A129,'04 Resource log'!$E$7:$E$506,"Labour"))</f>
        <v/>
      </c>
      <c r="J129" s="168" t="str">
        <f t="shared" si="5"/>
        <v/>
      </c>
      <c r="K129" s="169" t="str">
        <f t="shared" si="6"/>
        <v/>
      </c>
      <c r="L129" s="170" t="str">
        <f t="shared" si="7"/>
        <v/>
      </c>
      <c r="M129" s="6"/>
      <c r="N129" s="6"/>
      <c r="O129" s="6"/>
      <c r="P129" s="6"/>
      <c r="Q129" s="6"/>
      <c r="R129" s="6"/>
      <c r="S129" s="6"/>
      <c r="T129" s="6"/>
      <c r="U129" s="6"/>
      <c r="V129" s="6"/>
      <c r="W129" s="6"/>
      <c r="X129" s="6"/>
      <c r="Y129" s="6"/>
      <c r="Z129" s="6"/>
    </row>
    <row r="130" spans="1:26" ht="18" customHeight="1" x14ac:dyDescent="0.3">
      <c r="A130" s="152"/>
      <c r="B130" s="127" t="str">
        <f>IF($A130="","",IFERROR(INDEX('12 P6 activities'!$B$7:$B$206,MATCH($A130,'12 P6 activities'!$A$7:$A$206,0)),"ID not in P6 list"))</f>
        <v/>
      </c>
      <c r="C130" s="144" t="str">
        <f>IF(A130="","",IFERROR(INDEX('12 P6 activities'!$C$7:$C$206,MATCH(A130,'12 P6 activities'!$A$7:$A$206,0)),"⚠ not in P6 list"))</f>
        <v/>
      </c>
      <c r="D130" s="164" t="str">
        <f>IF($A130="","",IFERROR(INDEX('12 P6 activities'!$E$7:$E$206,MATCH($A130,'12 P6 activities'!$A$7:$A$206,0)),""))</f>
        <v/>
      </c>
      <c r="E130" s="154"/>
      <c r="F130" s="165"/>
      <c r="G130" s="166" t="str">
        <f t="shared" si="4"/>
        <v/>
      </c>
      <c r="H130" s="167" t="str">
        <f>IF($A130="","",SUMIFS('05 Work done log'!$F$7:$F$506,'05 Work done log'!$B$7:$B$506,$A130))</f>
        <v/>
      </c>
      <c r="I130" s="168" t="str">
        <f>IF($A130="","",SUMIFS('04 Resource log'!$J$7:$J$506,'04 Resource log'!$B$7:$B$506,$A130,'04 Resource log'!$E$7:$E$506,"Labour"))</f>
        <v/>
      </c>
      <c r="J130" s="168" t="str">
        <f t="shared" si="5"/>
        <v/>
      </c>
      <c r="K130" s="169" t="str">
        <f t="shared" si="6"/>
        <v/>
      </c>
      <c r="L130" s="170" t="str">
        <f t="shared" si="7"/>
        <v/>
      </c>
      <c r="M130" s="6"/>
      <c r="N130" s="6"/>
      <c r="O130" s="6"/>
      <c r="P130" s="6"/>
      <c r="Q130" s="6"/>
      <c r="R130" s="6"/>
      <c r="S130" s="6"/>
      <c r="T130" s="6"/>
      <c r="U130" s="6"/>
      <c r="V130" s="6"/>
      <c r="W130" s="6"/>
      <c r="X130" s="6"/>
      <c r="Y130" s="6"/>
      <c r="Z130" s="6"/>
    </row>
    <row r="131" spans="1:26" ht="18" customHeight="1" x14ac:dyDescent="0.3">
      <c r="A131" s="152"/>
      <c r="B131" s="127" t="str">
        <f>IF($A131="","",IFERROR(INDEX('12 P6 activities'!$B$7:$B$206,MATCH($A131,'12 P6 activities'!$A$7:$A$206,0)),"ID not in P6 list"))</f>
        <v/>
      </c>
      <c r="C131" s="144" t="str">
        <f>IF(A131="","",IFERROR(INDEX('12 P6 activities'!$C$7:$C$206,MATCH(A131,'12 P6 activities'!$A$7:$A$206,0)),"⚠ not in P6 list"))</f>
        <v/>
      </c>
      <c r="D131" s="164" t="str">
        <f>IF($A131="","",IFERROR(INDEX('12 P6 activities'!$E$7:$E$206,MATCH($A131,'12 P6 activities'!$A$7:$A$206,0)),""))</f>
        <v/>
      </c>
      <c r="E131" s="154"/>
      <c r="F131" s="165"/>
      <c r="G131" s="166" t="str">
        <f t="shared" si="4"/>
        <v/>
      </c>
      <c r="H131" s="167" t="str">
        <f>IF($A131="","",SUMIFS('05 Work done log'!$F$7:$F$506,'05 Work done log'!$B$7:$B$506,$A131))</f>
        <v/>
      </c>
      <c r="I131" s="168" t="str">
        <f>IF($A131="","",SUMIFS('04 Resource log'!$J$7:$J$506,'04 Resource log'!$B$7:$B$506,$A131,'04 Resource log'!$E$7:$E$506,"Labour"))</f>
        <v/>
      </c>
      <c r="J131" s="168" t="str">
        <f t="shared" si="5"/>
        <v/>
      </c>
      <c r="K131" s="169" t="str">
        <f t="shared" si="6"/>
        <v/>
      </c>
      <c r="L131" s="170" t="str">
        <f t="shared" si="7"/>
        <v/>
      </c>
      <c r="M131" s="6"/>
      <c r="N131" s="6"/>
      <c r="O131" s="6"/>
      <c r="P131" s="6"/>
      <c r="Q131" s="6"/>
      <c r="R131" s="6"/>
      <c r="S131" s="6"/>
      <c r="T131" s="6"/>
      <c r="U131" s="6"/>
      <c r="V131" s="6"/>
      <c r="W131" s="6"/>
      <c r="X131" s="6"/>
      <c r="Y131" s="6"/>
      <c r="Z131" s="6"/>
    </row>
    <row r="132" spans="1:26" ht="18" customHeight="1" x14ac:dyDescent="0.3">
      <c r="A132" s="152"/>
      <c r="B132" s="127" t="str">
        <f>IF($A132="","",IFERROR(INDEX('12 P6 activities'!$B$7:$B$206,MATCH($A132,'12 P6 activities'!$A$7:$A$206,0)),"ID not in P6 list"))</f>
        <v/>
      </c>
      <c r="C132" s="144" t="str">
        <f>IF(A132="","",IFERROR(INDEX('12 P6 activities'!$C$7:$C$206,MATCH(A132,'12 P6 activities'!$A$7:$A$206,0)),"⚠ not in P6 list"))</f>
        <v/>
      </c>
      <c r="D132" s="164" t="str">
        <f>IF($A132="","",IFERROR(INDEX('12 P6 activities'!$E$7:$E$206,MATCH($A132,'12 P6 activities'!$A$7:$A$206,0)),""))</f>
        <v/>
      </c>
      <c r="E132" s="154"/>
      <c r="F132" s="165"/>
      <c r="G132" s="166" t="str">
        <f t="shared" si="4"/>
        <v/>
      </c>
      <c r="H132" s="167" t="str">
        <f>IF($A132="","",SUMIFS('05 Work done log'!$F$7:$F$506,'05 Work done log'!$B$7:$B$506,$A132))</f>
        <v/>
      </c>
      <c r="I132" s="168" t="str">
        <f>IF($A132="","",SUMIFS('04 Resource log'!$J$7:$J$506,'04 Resource log'!$B$7:$B$506,$A132,'04 Resource log'!$E$7:$E$506,"Labour"))</f>
        <v/>
      </c>
      <c r="J132" s="168" t="str">
        <f t="shared" si="5"/>
        <v/>
      </c>
      <c r="K132" s="169" t="str">
        <f t="shared" si="6"/>
        <v/>
      </c>
      <c r="L132" s="170" t="str">
        <f t="shared" si="7"/>
        <v/>
      </c>
      <c r="M132" s="6"/>
      <c r="N132" s="6"/>
      <c r="O132" s="6"/>
      <c r="P132" s="6"/>
      <c r="Q132" s="6"/>
      <c r="R132" s="6"/>
      <c r="S132" s="6"/>
      <c r="T132" s="6"/>
      <c r="U132" s="6"/>
      <c r="V132" s="6"/>
      <c r="W132" s="6"/>
      <c r="X132" s="6"/>
      <c r="Y132" s="6"/>
      <c r="Z132" s="6"/>
    </row>
    <row r="133" spans="1:26" ht="18" customHeight="1" x14ac:dyDescent="0.3">
      <c r="A133" s="152"/>
      <c r="B133" s="127" t="str">
        <f>IF($A133="","",IFERROR(INDEX('12 P6 activities'!$B$7:$B$206,MATCH($A133,'12 P6 activities'!$A$7:$A$206,0)),"ID not in P6 list"))</f>
        <v/>
      </c>
      <c r="C133" s="144" t="str">
        <f>IF(A133="","",IFERROR(INDEX('12 P6 activities'!$C$7:$C$206,MATCH(A133,'12 P6 activities'!$A$7:$A$206,0)),"⚠ not in P6 list"))</f>
        <v/>
      </c>
      <c r="D133" s="164" t="str">
        <f>IF($A133="","",IFERROR(INDEX('12 P6 activities'!$E$7:$E$206,MATCH($A133,'12 P6 activities'!$A$7:$A$206,0)),""))</f>
        <v/>
      </c>
      <c r="E133" s="154"/>
      <c r="F133" s="165"/>
      <c r="G133" s="166" t="str">
        <f t="shared" si="4"/>
        <v/>
      </c>
      <c r="H133" s="167" t="str">
        <f>IF($A133="","",SUMIFS('05 Work done log'!$F$7:$F$506,'05 Work done log'!$B$7:$B$506,$A133))</f>
        <v/>
      </c>
      <c r="I133" s="168" t="str">
        <f>IF($A133="","",SUMIFS('04 Resource log'!$J$7:$J$506,'04 Resource log'!$B$7:$B$506,$A133,'04 Resource log'!$E$7:$E$506,"Labour"))</f>
        <v/>
      </c>
      <c r="J133" s="168" t="str">
        <f t="shared" si="5"/>
        <v/>
      </c>
      <c r="K133" s="169" t="str">
        <f t="shared" si="6"/>
        <v/>
      </c>
      <c r="L133" s="170" t="str">
        <f t="shared" si="7"/>
        <v/>
      </c>
      <c r="M133" s="6"/>
      <c r="N133" s="6"/>
      <c r="O133" s="6"/>
      <c r="P133" s="6"/>
      <c r="Q133" s="6"/>
      <c r="R133" s="6"/>
      <c r="S133" s="6"/>
      <c r="T133" s="6"/>
      <c r="U133" s="6"/>
      <c r="V133" s="6"/>
      <c r="W133" s="6"/>
      <c r="X133" s="6"/>
      <c r="Y133" s="6"/>
      <c r="Z133" s="6"/>
    </row>
    <row r="134" spans="1:26" ht="18" customHeight="1" x14ac:dyDescent="0.3">
      <c r="A134" s="152"/>
      <c r="B134" s="127" t="str">
        <f>IF($A134="","",IFERROR(INDEX('12 P6 activities'!$B$7:$B$206,MATCH($A134,'12 P6 activities'!$A$7:$A$206,0)),"ID not in P6 list"))</f>
        <v/>
      </c>
      <c r="C134" s="144" t="str">
        <f>IF(A134="","",IFERROR(INDEX('12 P6 activities'!$C$7:$C$206,MATCH(A134,'12 P6 activities'!$A$7:$A$206,0)),"⚠ not in P6 list"))</f>
        <v/>
      </c>
      <c r="D134" s="164" t="str">
        <f>IF($A134="","",IFERROR(INDEX('12 P6 activities'!$E$7:$E$206,MATCH($A134,'12 P6 activities'!$A$7:$A$206,0)),""))</f>
        <v/>
      </c>
      <c r="E134" s="154"/>
      <c r="F134" s="165"/>
      <c r="G134" s="166" t="str">
        <f t="shared" si="4"/>
        <v/>
      </c>
      <c r="H134" s="167" t="str">
        <f>IF($A134="","",SUMIFS('05 Work done log'!$F$7:$F$506,'05 Work done log'!$B$7:$B$506,$A134))</f>
        <v/>
      </c>
      <c r="I134" s="168" t="str">
        <f>IF($A134="","",SUMIFS('04 Resource log'!$J$7:$J$506,'04 Resource log'!$B$7:$B$506,$A134,'04 Resource log'!$E$7:$E$506,"Labour"))</f>
        <v/>
      </c>
      <c r="J134" s="168" t="str">
        <f t="shared" si="5"/>
        <v/>
      </c>
      <c r="K134" s="169" t="str">
        <f t="shared" si="6"/>
        <v/>
      </c>
      <c r="L134" s="170" t="str">
        <f t="shared" si="7"/>
        <v/>
      </c>
      <c r="M134" s="6"/>
      <c r="N134" s="6"/>
      <c r="O134" s="6"/>
      <c r="P134" s="6"/>
      <c r="Q134" s="6"/>
      <c r="R134" s="6"/>
      <c r="S134" s="6"/>
      <c r="T134" s="6"/>
      <c r="U134" s="6"/>
      <c r="V134" s="6"/>
      <c r="W134" s="6"/>
      <c r="X134" s="6"/>
      <c r="Y134" s="6"/>
      <c r="Z134" s="6"/>
    </row>
    <row r="135" spans="1:26" ht="18" customHeight="1" x14ac:dyDescent="0.3">
      <c r="A135" s="152"/>
      <c r="B135" s="127" t="str">
        <f>IF($A135="","",IFERROR(INDEX('12 P6 activities'!$B$7:$B$206,MATCH($A135,'12 P6 activities'!$A$7:$A$206,0)),"ID not in P6 list"))</f>
        <v/>
      </c>
      <c r="C135" s="144" t="str">
        <f>IF(A135="","",IFERROR(INDEX('12 P6 activities'!$C$7:$C$206,MATCH(A135,'12 P6 activities'!$A$7:$A$206,0)),"⚠ not in P6 list"))</f>
        <v/>
      </c>
      <c r="D135" s="164" t="str">
        <f>IF($A135="","",IFERROR(INDEX('12 P6 activities'!$E$7:$E$206,MATCH($A135,'12 P6 activities'!$A$7:$A$206,0)),""))</f>
        <v/>
      </c>
      <c r="E135" s="154"/>
      <c r="F135" s="165"/>
      <c r="G135" s="166" t="str">
        <f t="shared" si="4"/>
        <v/>
      </c>
      <c r="H135" s="167" t="str">
        <f>IF($A135="","",SUMIFS('05 Work done log'!$F$7:$F$506,'05 Work done log'!$B$7:$B$506,$A135))</f>
        <v/>
      </c>
      <c r="I135" s="168" t="str">
        <f>IF($A135="","",SUMIFS('04 Resource log'!$J$7:$J$506,'04 Resource log'!$B$7:$B$506,$A135,'04 Resource log'!$E$7:$E$506,"Labour"))</f>
        <v/>
      </c>
      <c r="J135" s="168" t="str">
        <f t="shared" si="5"/>
        <v/>
      </c>
      <c r="K135" s="169" t="str">
        <f t="shared" si="6"/>
        <v/>
      </c>
      <c r="L135" s="170" t="str">
        <f t="shared" si="7"/>
        <v/>
      </c>
      <c r="M135" s="6"/>
      <c r="N135" s="6"/>
      <c r="O135" s="6"/>
      <c r="P135" s="6"/>
      <c r="Q135" s="6"/>
      <c r="R135" s="6"/>
      <c r="S135" s="6"/>
      <c r="T135" s="6"/>
      <c r="U135" s="6"/>
      <c r="V135" s="6"/>
      <c r="W135" s="6"/>
      <c r="X135" s="6"/>
      <c r="Y135" s="6"/>
      <c r="Z135" s="6"/>
    </row>
    <row r="136" spans="1:26" ht="18" customHeight="1" x14ac:dyDescent="0.3">
      <c r="A136" s="152"/>
      <c r="B136" s="127" t="str">
        <f>IF($A136="","",IFERROR(INDEX('12 P6 activities'!$B$7:$B$206,MATCH($A136,'12 P6 activities'!$A$7:$A$206,0)),"ID not in P6 list"))</f>
        <v/>
      </c>
      <c r="C136" s="144" t="str">
        <f>IF(A136="","",IFERROR(INDEX('12 P6 activities'!$C$7:$C$206,MATCH(A136,'12 P6 activities'!$A$7:$A$206,0)),"⚠ not in P6 list"))</f>
        <v/>
      </c>
      <c r="D136" s="164" t="str">
        <f>IF($A136="","",IFERROR(INDEX('12 P6 activities'!$E$7:$E$206,MATCH($A136,'12 P6 activities'!$A$7:$A$206,0)),""))</f>
        <v/>
      </c>
      <c r="E136" s="154"/>
      <c r="F136" s="165"/>
      <c r="G136" s="166" t="str">
        <f t="shared" ref="G136:G199" si="8">IF(OR($E136="",$F136=""),"",IF($E136=0,"",$F136/$E136))</f>
        <v/>
      </c>
      <c r="H136" s="167" t="str">
        <f>IF($A136="","",SUMIFS('05 Work done log'!$F$7:$F$506,'05 Work done log'!$B$7:$B$506,$A136))</f>
        <v/>
      </c>
      <c r="I136" s="168" t="str">
        <f>IF($A136="","",SUMIFS('04 Resource log'!$J$7:$J$506,'04 Resource log'!$B$7:$B$506,$A136,'04 Resource log'!$E$7:$E$506,"Labour"))</f>
        <v/>
      </c>
      <c r="J136" s="168" t="str">
        <f t="shared" ref="J136:J199" si="9">IF(OR($A136="",$G136=""),"",$H136*$G136)</f>
        <v/>
      </c>
      <c r="K136" s="169" t="str">
        <f t="shared" ref="K136:K199" si="10">IF(OR($A136="",N($E136)=0),"",$H136/$E136)</f>
        <v/>
      </c>
      <c r="L136" s="170" t="str">
        <f t="shared" ref="L136:L199" si="11">IF(OR($A136="",N($I136)=0),"",$J136/$I136)</f>
        <v/>
      </c>
      <c r="M136" s="6"/>
      <c r="N136" s="6"/>
      <c r="O136" s="6"/>
      <c r="P136" s="6"/>
      <c r="Q136" s="6"/>
      <c r="R136" s="6"/>
      <c r="S136" s="6"/>
      <c r="T136" s="6"/>
      <c r="U136" s="6"/>
      <c r="V136" s="6"/>
      <c r="W136" s="6"/>
      <c r="X136" s="6"/>
      <c r="Y136" s="6"/>
      <c r="Z136" s="6"/>
    </row>
    <row r="137" spans="1:26" ht="18" customHeight="1" x14ac:dyDescent="0.3">
      <c r="A137" s="152"/>
      <c r="B137" s="127" t="str">
        <f>IF($A137="","",IFERROR(INDEX('12 P6 activities'!$B$7:$B$206,MATCH($A137,'12 P6 activities'!$A$7:$A$206,0)),"ID not in P6 list"))</f>
        <v/>
      </c>
      <c r="C137" s="144" t="str">
        <f>IF(A137="","",IFERROR(INDEX('12 P6 activities'!$C$7:$C$206,MATCH(A137,'12 P6 activities'!$A$7:$A$206,0)),"⚠ not in P6 list"))</f>
        <v/>
      </c>
      <c r="D137" s="164" t="str">
        <f>IF($A137="","",IFERROR(INDEX('12 P6 activities'!$E$7:$E$206,MATCH($A137,'12 P6 activities'!$A$7:$A$206,0)),""))</f>
        <v/>
      </c>
      <c r="E137" s="154"/>
      <c r="F137" s="165"/>
      <c r="G137" s="166" t="str">
        <f t="shared" si="8"/>
        <v/>
      </c>
      <c r="H137" s="167" t="str">
        <f>IF($A137="","",SUMIFS('05 Work done log'!$F$7:$F$506,'05 Work done log'!$B$7:$B$506,$A137))</f>
        <v/>
      </c>
      <c r="I137" s="168" t="str">
        <f>IF($A137="","",SUMIFS('04 Resource log'!$J$7:$J$506,'04 Resource log'!$B$7:$B$506,$A137,'04 Resource log'!$E$7:$E$506,"Labour"))</f>
        <v/>
      </c>
      <c r="J137" s="168" t="str">
        <f t="shared" si="9"/>
        <v/>
      </c>
      <c r="K137" s="169" t="str">
        <f t="shared" si="10"/>
        <v/>
      </c>
      <c r="L137" s="170" t="str">
        <f t="shared" si="11"/>
        <v/>
      </c>
      <c r="M137" s="6"/>
      <c r="N137" s="6"/>
      <c r="O137" s="6"/>
      <c r="P137" s="6"/>
      <c r="Q137" s="6"/>
      <c r="R137" s="6"/>
      <c r="S137" s="6"/>
      <c r="T137" s="6"/>
      <c r="U137" s="6"/>
      <c r="V137" s="6"/>
      <c r="W137" s="6"/>
      <c r="X137" s="6"/>
      <c r="Y137" s="6"/>
      <c r="Z137" s="6"/>
    </row>
    <row r="138" spans="1:26" ht="18" customHeight="1" x14ac:dyDescent="0.3">
      <c r="A138" s="152"/>
      <c r="B138" s="127" t="str">
        <f>IF($A138="","",IFERROR(INDEX('12 P6 activities'!$B$7:$B$206,MATCH($A138,'12 P6 activities'!$A$7:$A$206,0)),"ID not in P6 list"))</f>
        <v/>
      </c>
      <c r="C138" s="144" t="str">
        <f>IF(A138="","",IFERROR(INDEX('12 P6 activities'!$C$7:$C$206,MATCH(A138,'12 P6 activities'!$A$7:$A$206,0)),"⚠ not in P6 list"))</f>
        <v/>
      </c>
      <c r="D138" s="164" t="str">
        <f>IF($A138="","",IFERROR(INDEX('12 P6 activities'!$E$7:$E$206,MATCH($A138,'12 P6 activities'!$A$7:$A$206,0)),""))</f>
        <v/>
      </c>
      <c r="E138" s="154"/>
      <c r="F138" s="165"/>
      <c r="G138" s="166" t="str">
        <f t="shared" si="8"/>
        <v/>
      </c>
      <c r="H138" s="167" t="str">
        <f>IF($A138="","",SUMIFS('05 Work done log'!$F$7:$F$506,'05 Work done log'!$B$7:$B$506,$A138))</f>
        <v/>
      </c>
      <c r="I138" s="168" t="str">
        <f>IF($A138="","",SUMIFS('04 Resource log'!$J$7:$J$506,'04 Resource log'!$B$7:$B$506,$A138,'04 Resource log'!$E$7:$E$506,"Labour"))</f>
        <v/>
      </c>
      <c r="J138" s="168" t="str">
        <f t="shared" si="9"/>
        <v/>
      </c>
      <c r="K138" s="169" t="str">
        <f t="shared" si="10"/>
        <v/>
      </c>
      <c r="L138" s="170" t="str">
        <f t="shared" si="11"/>
        <v/>
      </c>
      <c r="M138" s="6"/>
      <c r="N138" s="6"/>
      <c r="O138" s="6"/>
      <c r="P138" s="6"/>
      <c r="Q138" s="6"/>
      <c r="R138" s="6"/>
      <c r="S138" s="6"/>
      <c r="T138" s="6"/>
      <c r="U138" s="6"/>
      <c r="V138" s="6"/>
      <c r="W138" s="6"/>
      <c r="X138" s="6"/>
      <c r="Y138" s="6"/>
      <c r="Z138" s="6"/>
    </row>
    <row r="139" spans="1:26" ht="18" customHeight="1" x14ac:dyDescent="0.3">
      <c r="A139" s="152"/>
      <c r="B139" s="127" t="str">
        <f>IF($A139="","",IFERROR(INDEX('12 P6 activities'!$B$7:$B$206,MATCH($A139,'12 P6 activities'!$A$7:$A$206,0)),"ID not in P6 list"))</f>
        <v/>
      </c>
      <c r="C139" s="144" t="str">
        <f>IF(A139="","",IFERROR(INDEX('12 P6 activities'!$C$7:$C$206,MATCH(A139,'12 P6 activities'!$A$7:$A$206,0)),"⚠ not in P6 list"))</f>
        <v/>
      </c>
      <c r="D139" s="164" t="str">
        <f>IF($A139="","",IFERROR(INDEX('12 P6 activities'!$E$7:$E$206,MATCH($A139,'12 P6 activities'!$A$7:$A$206,0)),""))</f>
        <v/>
      </c>
      <c r="E139" s="154"/>
      <c r="F139" s="165"/>
      <c r="G139" s="166" t="str">
        <f t="shared" si="8"/>
        <v/>
      </c>
      <c r="H139" s="167" t="str">
        <f>IF($A139="","",SUMIFS('05 Work done log'!$F$7:$F$506,'05 Work done log'!$B$7:$B$506,$A139))</f>
        <v/>
      </c>
      <c r="I139" s="168" t="str">
        <f>IF($A139="","",SUMIFS('04 Resource log'!$J$7:$J$506,'04 Resource log'!$B$7:$B$506,$A139,'04 Resource log'!$E$7:$E$506,"Labour"))</f>
        <v/>
      </c>
      <c r="J139" s="168" t="str">
        <f t="shared" si="9"/>
        <v/>
      </c>
      <c r="K139" s="169" t="str">
        <f t="shared" si="10"/>
        <v/>
      </c>
      <c r="L139" s="170" t="str">
        <f t="shared" si="11"/>
        <v/>
      </c>
      <c r="M139" s="6"/>
      <c r="N139" s="6"/>
      <c r="O139" s="6"/>
      <c r="P139" s="6"/>
      <c r="Q139" s="6"/>
      <c r="R139" s="6"/>
      <c r="S139" s="6"/>
      <c r="T139" s="6"/>
      <c r="U139" s="6"/>
      <c r="V139" s="6"/>
      <c r="W139" s="6"/>
      <c r="X139" s="6"/>
      <c r="Y139" s="6"/>
      <c r="Z139" s="6"/>
    </row>
    <row r="140" spans="1:26" ht="18" customHeight="1" x14ac:dyDescent="0.3">
      <c r="A140" s="152"/>
      <c r="B140" s="127" t="str">
        <f>IF($A140="","",IFERROR(INDEX('12 P6 activities'!$B$7:$B$206,MATCH($A140,'12 P6 activities'!$A$7:$A$206,0)),"ID not in P6 list"))</f>
        <v/>
      </c>
      <c r="C140" s="144" t="str">
        <f>IF(A140="","",IFERROR(INDEX('12 P6 activities'!$C$7:$C$206,MATCH(A140,'12 P6 activities'!$A$7:$A$206,0)),"⚠ not in P6 list"))</f>
        <v/>
      </c>
      <c r="D140" s="164" t="str">
        <f>IF($A140="","",IFERROR(INDEX('12 P6 activities'!$E$7:$E$206,MATCH($A140,'12 P6 activities'!$A$7:$A$206,0)),""))</f>
        <v/>
      </c>
      <c r="E140" s="154"/>
      <c r="F140" s="165"/>
      <c r="G140" s="166" t="str">
        <f t="shared" si="8"/>
        <v/>
      </c>
      <c r="H140" s="167" t="str">
        <f>IF($A140="","",SUMIFS('05 Work done log'!$F$7:$F$506,'05 Work done log'!$B$7:$B$506,$A140))</f>
        <v/>
      </c>
      <c r="I140" s="168" t="str">
        <f>IF($A140="","",SUMIFS('04 Resource log'!$J$7:$J$506,'04 Resource log'!$B$7:$B$506,$A140,'04 Resource log'!$E$7:$E$506,"Labour"))</f>
        <v/>
      </c>
      <c r="J140" s="168" t="str">
        <f t="shared" si="9"/>
        <v/>
      </c>
      <c r="K140" s="169" t="str">
        <f t="shared" si="10"/>
        <v/>
      </c>
      <c r="L140" s="170" t="str">
        <f t="shared" si="11"/>
        <v/>
      </c>
      <c r="M140" s="6"/>
      <c r="N140" s="6"/>
      <c r="O140" s="6"/>
      <c r="P140" s="6"/>
      <c r="Q140" s="6"/>
      <c r="R140" s="6"/>
      <c r="S140" s="6"/>
      <c r="T140" s="6"/>
      <c r="U140" s="6"/>
      <c r="V140" s="6"/>
      <c r="W140" s="6"/>
      <c r="X140" s="6"/>
      <c r="Y140" s="6"/>
      <c r="Z140" s="6"/>
    </row>
    <row r="141" spans="1:26" ht="18" customHeight="1" x14ac:dyDescent="0.3">
      <c r="A141" s="152"/>
      <c r="B141" s="127" t="str">
        <f>IF($A141="","",IFERROR(INDEX('12 P6 activities'!$B$7:$B$206,MATCH($A141,'12 P6 activities'!$A$7:$A$206,0)),"ID not in P6 list"))</f>
        <v/>
      </c>
      <c r="C141" s="144" t="str">
        <f>IF(A141="","",IFERROR(INDEX('12 P6 activities'!$C$7:$C$206,MATCH(A141,'12 P6 activities'!$A$7:$A$206,0)),"⚠ not in P6 list"))</f>
        <v/>
      </c>
      <c r="D141" s="164" t="str">
        <f>IF($A141="","",IFERROR(INDEX('12 P6 activities'!$E$7:$E$206,MATCH($A141,'12 P6 activities'!$A$7:$A$206,0)),""))</f>
        <v/>
      </c>
      <c r="E141" s="154"/>
      <c r="F141" s="165"/>
      <c r="G141" s="166" t="str">
        <f t="shared" si="8"/>
        <v/>
      </c>
      <c r="H141" s="167" t="str">
        <f>IF($A141="","",SUMIFS('05 Work done log'!$F$7:$F$506,'05 Work done log'!$B$7:$B$506,$A141))</f>
        <v/>
      </c>
      <c r="I141" s="168" t="str">
        <f>IF($A141="","",SUMIFS('04 Resource log'!$J$7:$J$506,'04 Resource log'!$B$7:$B$506,$A141,'04 Resource log'!$E$7:$E$506,"Labour"))</f>
        <v/>
      </c>
      <c r="J141" s="168" t="str">
        <f t="shared" si="9"/>
        <v/>
      </c>
      <c r="K141" s="169" t="str">
        <f t="shared" si="10"/>
        <v/>
      </c>
      <c r="L141" s="170" t="str">
        <f t="shared" si="11"/>
        <v/>
      </c>
      <c r="M141" s="6"/>
      <c r="N141" s="6"/>
      <c r="O141" s="6"/>
      <c r="P141" s="6"/>
      <c r="Q141" s="6"/>
      <c r="R141" s="6"/>
      <c r="S141" s="6"/>
      <c r="T141" s="6"/>
      <c r="U141" s="6"/>
      <c r="V141" s="6"/>
      <c r="W141" s="6"/>
      <c r="X141" s="6"/>
      <c r="Y141" s="6"/>
      <c r="Z141" s="6"/>
    </row>
    <row r="142" spans="1:26" ht="18" customHeight="1" x14ac:dyDescent="0.3">
      <c r="A142" s="152"/>
      <c r="B142" s="127" t="str">
        <f>IF($A142="","",IFERROR(INDEX('12 P6 activities'!$B$7:$B$206,MATCH($A142,'12 P6 activities'!$A$7:$A$206,0)),"ID not in P6 list"))</f>
        <v/>
      </c>
      <c r="C142" s="144" t="str">
        <f>IF(A142="","",IFERROR(INDEX('12 P6 activities'!$C$7:$C$206,MATCH(A142,'12 P6 activities'!$A$7:$A$206,0)),"⚠ not in P6 list"))</f>
        <v/>
      </c>
      <c r="D142" s="164" t="str">
        <f>IF($A142="","",IFERROR(INDEX('12 P6 activities'!$E$7:$E$206,MATCH($A142,'12 P6 activities'!$A$7:$A$206,0)),""))</f>
        <v/>
      </c>
      <c r="E142" s="154"/>
      <c r="F142" s="165"/>
      <c r="G142" s="166" t="str">
        <f t="shared" si="8"/>
        <v/>
      </c>
      <c r="H142" s="167" t="str">
        <f>IF($A142="","",SUMIFS('05 Work done log'!$F$7:$F$506,'05 Work done log'!$B$7:$B$506,$A142))</f>
        <v/>
      </c>
      <c r="I142" s="168" t="str">
        <f>IF($A142="","",SUMIFS('04 Resource log'!$J$7:$J$506,'04 Resource log'!$B$7:$B$506,$A142,'04 Resource log'!$E$7:$E$506,"Labour"))</f>
        <v/>
      </c>
      <c r="J142" s="168" t="str">
        <f t="shared" si="9"/>
        <v/>
      </c>
      <c r="K142" s="169" t="str">
        <f t="shared" si="10"/>
        <v/>
      </c>
      <c r="L142" s="170" t="str">
        <f t="shared" si="11"/>
        <v/>
      </c>
      <c r="M142" s="6"/>
      <c r="N142" s="6"/>
      <c r="O142" s="6"/>
      <c r="P142" s="6"/>
      <c r="Q142" s="6"/>
      <c r="R142" s="6"/>
      <c r="S142" s="6"/>
      <c r="T142" s="6"/>
      <c r="U142" s="6"/>
      <c r="V142" s="6"/>
      <c r="W142" s="6"/>
      <c r="X142" s="6"/>
      <c r="Y142" s="6"/>
      <c r="Z142" s="6"/>
    </row>
    <row r="143" spans="1:26" ht="18" customHeight="1" x14ac:dyDescent="0.3">
      <c r="A143" s="152"/>
      <c r="B143" s="127" t="str">
        <f>IF($A143="","",IFERROR(INDEX('12 P6 activities'!$B$7:$B$206,MATCH($A143,'12 P6 activities'!$A$7:$A$206,0)),"ID not in P6 list"))</f>
        <v/>
      </c>
      <c r="C143" s="144" t="str">
        <f>IF(A143="","",IFERROR(INDEX('12 P6 activities'!$C$7:$C$206,MATCH(A143,'12 P6 activities'!$A$7:$A$206,0)),"⚠ not in P6 list"))</f>
        <v/>
      </c>
      <c r="D143" s="164" t="str">
        <f>IF($A143="","",IFERROR(INDEX('12 P6 activities'!$E$7:$E$206,MATCH($A143,'12 P6 activities'!$A$7:$A$206,0)),""))</f>
        <v/>
      </c>
      <c r="E143" s="154"/>
      <c r="F143" s="165"/>
      <c r="G143" s="166" t="str">
        <f t="shared" si="8"/>
        <v/>
      </c>
      <c r="H143" s="167" t="str">
        <f>IF($A143="","",SUMIFS('05 Work done log'!$F$7:$F$506,'05 Work done log'!$B$7:$B$506,$A143))</f>
        <v/>
      </c>
      <c r="I143" s="168" t="str">
        <f>IF($A143="","",SUMIFS('04 Resource log'!$J$7:$J$506,'04 Resource log'!$B$7:$B$506,$A143,'04 Resource log'!$E$7:$E$506,"Labour"))</f>
        <v/>
      </c>
      <c r="J143" s="168" t="str">
        <f t="shared" si="9"/>
        <v/>
      </c>
      <c r="K143" s="169" t="str">
        <f t="shared" si="10"/>
        <v/>
      </c>
      <c r="L143" s="170" t="str">
        <f t="shared" si="11"/>
        <v/>
      </c>
      <c r="M143" s="6"/>
      <c r="N143" s="6"/>
      <c r="O143" s="6"/>
      <c r="P143" s="6"/>
      <c r="Q143" s="6"/>
      <c r="R143" s="6"/>
      <c r="S143" s="6"/>
      <c r="T143" s="6"/>
      <c r="U143" s="6"/>
      <c r="V143" s="6"/>
      <c r="W143" s="6"/>
      <c r="X143" s="6"/>
      <c r="Y143" s="6"/>
      <c r="Z143" s="6"/>
    </row>
    <row r="144" spans="1:26" ht="18" customHeight="1" x14ac:dyDescent="0.3">
      <c r="A144" s="152"/>
      <c r="B144" s="127" t="str">
        <f>IF($A144="","",IFERROR(INDEX('12 P6 activities'!$B$7:$B$206,MATCH($A144,'12 P6 activities'!$A$7:$A$206,0)),"ID not in P6 list"))</f>
        <v/>
      </c>
      <c r="C144" s="144" t="str">
        <f>IF(A144="","",IFERROR(INDEX('12 P6 activities'!$C$7:$C$206,MATCH(A144,'12 P6 activities'!$A$7:$A$206,0)),"⚠ not in P6 list"))</f>
        <v/>
      </c>
      <c r="D144" s="164" t="str">
        <f>IF($A144="","",IFERROR(INDEX('12 P6 activities'!$E$7:$E$206,MATCH($A144,'12 P6 activities'!$A$7:$A$206,0)),""))</f>
        <v/>
      </c>
      <c r="E144" s="154"/>
      <c r="F144" s="165"/>
      <c r="G144" s="166" t="str">
        <f t="shared" si="8"/>
        <v/>
      </c>
      <c r="H144" s="167" t="str">
        <f>IF($A144="","",SUMIFS('05 Work done log'!$F$7:$F$506,'05 Work done log'!$B$7:$B$506,$A144))</f>
        <v/>
      </c>
      <c r="I144" s="168" t="str">
        <f>IF($A144="","",SUMIFS('04 Resource log'!$J$7:$J$506,'04 Resource log'!$B$7:$B$506,$A144,'04 Resource log'!$E$7:$E$506,"Labour"))</f>
        <v/>
      </c>
      <c r="J144" s="168" t="str">
        <f t="shared" si="9"/>
        <v/>
      </c>
      <c r="K144" s="169" t="str">
        <f t="shared" si="10"/>
        <v/>
      </c>
      <c r="L144" s="170" t="str">
        <f t="shared" si="11"/>
        <v/>
      </c>
      <c r="M144" s="6"/>
      <c r="N144" s="6"/>
      <c r="O144" s="6"/>
      <c r="P144" s="6"/>
      <c r="Q144" s="6"/>
      <c r="R144" s="6"/>
      <c r="S144" s="6"/>
      <c r="T144" s="6"/>
      <c r="U144" s="6"/>
      <c r="V144" s="6"/>
      <c r="W144" s="6"/>
      <c r="X144" s="6"/>
      <c r="Y144" s="6"/>
      <c r="Z144" s="6"/>
    </row>
    <row r="145" spans="1:26" ht="18" customHeight="1" x14ac:dyDescent="0.3">
      <c r="A145" s="152"/>
      <c r="B145" s="127" t="str">
        <f>IF($A145="","",IFERROR(INDEX('12 P6 activities'!$B$7:$B$206,MATCH($A145,'12 P6 activities'!$A$7:$A$206,0)),"ID not in P6 list"))</f>
        <v/>
      </c>
      <c r="C145" s="144" t="str">
        <f>IF(A145="","",IFERROR(INDEX('12 P6 activities'!$C$7:$C$206,MATCH(A145,'12 P6 activities'!$A$7:$A$206,0)),"⚠ not in P6 list"))</f>
        <v/>
      </c>
      <c r="D145" s="164" t="str">
        <f>IF($A145="","",IFERROR(INDEX('12 P6 activities'!$E$7:$E$206,MATCH($A145,'12 P6 activities'!$A$7:$A$206,0)),""))</f>
        <v/>
      </c>
      <c r="E145" s="154"/>
      <c r="F145" s="165"/>
      <c r="G145" s="166" t="str">
        <f t="shared" si="8"/>
        <v/>
      </c>
      <c r="H145" s="167" t="str">
        <f>IF($A145="","",SUMIFS('05 Work done log'!$F$7:$F$506,'05 Work done log'!$B$7:$B$506,$A145))</f>
        <v/>
      </c>
      <c r="I145" s="168" t="str">
        <f>IF($A145="","",SUMIFS('04 Resource log'!$J$7:$J$506,'04 Resource log'!$B$7:$B$506,$A145,'04 Resource log'!$E$7:$E$506,"Labour"))</f>
        <v/>
      </c>
      <c r="J145" s="168" t="str">
        <f t="shared" si="9"/>
        <v/>
      </c>
      <c r="K145" s="169" t="str">
        <f t="shared" si="10"/>
        <v/>
      </c>
      <c r="L145" s="170" t="str">
        <f t="shared" si="11"/>
        <v/>
      </c>
      <c r="M145" s="6"/>
      <c r="N145" s="6"/>
      <c r="O145" s="6"/>
      <c r="P145" s="6"/>
      <c r="Q145" s="6"/>
      <c r="R145" s="6"/>
      <c r="S145" s="6"/>
      <c r="T145" s="6"/>
      <c r="U145" s="6"/>
      <c r="V145" s="6"/>
      <c r="W145" s="6"/>
      <c r="X145" s="6"/>
      <c r="Y145" s="6"/>
      <c r="Z145" s="6"/>
    </row>
    <row r="146" spans="1:26" ht="18" customHeight="1" x14ac:dyDescent="0.3">
      <c r="A146" s="152"/>
      <c r="B146" s="127" t="str">
        <f>IF($A146="","",IFERROR(INDEX('12 P6 activities'!$B$7:$B$206,MATCH($A146,'12 P6 activities'!$A$7:$A$206,0)),"ID not in P6 list"))</f>
        <v/>
      </c>
      <c r="C146" s="144" t="str">
        <f>IF(A146="","",IFERROR(INDEX('12 P6 activities'!$C$7:$C$206,MATCH(A146,'12 P6 activities'!$A$7:$A$206,0)),"⚠ not in P6 list"))</f>
        <v/>
      </c>
      <c r="D146" s="164" t="str">
        <f>IF($A146="","",IFERROR(INDEX('12 P6 activities'!$E$7:$E$206,MATCH($A146,'12 P6 activities'!$A$7:$A$206,0)),""))</f>
        <v/>
      </c>
      <c r="E146" s="154"/>
      <c r="F146" s="165"/>
      <c r="G146" s="166" t="str">
        <f t="shared" si="8"/>
        <v/>
      </c>
      <c r="H146" s="167" t="str">
        <f>IF($A146="","",SUMIFS('05 Work done log'!$F$7:$F$506,'05 Work done log'!$B$7:$B$506,$A146))</f>
        <v/>
      </c>
      <c r="I146" s="168" t="str">
        <f>IF($A146="","",SUMIFS('04 Resource log'!$J$7:$J$506,'04 Resource log'!$B$7:$B$506,$A146,'04 Resource log'!$E$7:$E$506,"Labour"))</f>
        <v/>
      </c>
      <c r="J146" s="168" t="str">
        <f t="shared" si="9"/>
        <v/>
      </c>
      <c r="K146" s="169" t="str">
        <f t="shared" si="10"/>
        <v/>
      </c>
      <c r="L146" s="170" t="str">
        <f t="shared" si="11"/>
        <v/>
      </c>
      <c r="M146" s="6"/>
      <c r="N146" s="6"/>
      <c r="O146" s="6"/>
      <c r="P146" s="6"/>
      <c r="Q146" s="6"/>
      <c r="R146" s="6"/>
      <c r="S146" s="6"/>
      <c r="T146" s="6"/>
      <c r="U146" s="6"/>
      <c r="V146" s="6"/>
      <c r="W146" s="6"/>
      <c r="X146" s="6"/>
      <c r="Y146" s="6"/>
      <c r="Z146" s="6"/>
    </row>
    <row r="147" spans="1:26" ht="18" customHeight="1" x14ac:dyDescent="0.3">
      <c r="A147" s="152"/>
      <c r="B147" s="127" t="str">
        <f>IF($A147="","",IFERROR(INDEX('12 P6 activities'!$B$7:$B$206,MATCH($A147,'12 P6 activities'!$A$7:$A$206,0)),"ID not in P6 list"))</f>
        <v/>
      </c>
      <c r="C147" s="144" t="str">
        <f>IF(A147="","",IFERROR(INDEX('12 P6 activities'!$C$7:$C$206,MATCH(A147,'12 P6 activities'!$A$7:$A$206,0)),"⚠ not in P6 list"))</f>
        <v/>
      </c>
      <c r="D147" s="164" t="str">
        <f>IF($A147="","",IFERROR(INDEX('12 P6 activities'!$E$7:$E$206,MATCH($A147,'12 P6 activities'!$A$7:$A$206,0)),""))</f>
        <v/>
      </c>
      <c r="E147" s="154"/>
      <c r="F147" s="165"/>
      <c r="G147" s="166" t="str">
        <f t="shared" si="8"/>
        <v/>
      </c>
      <c r="H147" s="167" t="str">
        <f>IF($A147="","",SUMIFS('05 Work done log'!$F$7:$F$506,'05 Work done log'!$B$7:$B$506,$A147))</f>
        <v/>
      </c>
      <c r="I147" s="168" t="str">
        <f>IF($A147="","",SUMIFS('04 Resource log'!$J$7:$J$506,'04 Resource log'!$B$7:$B$506,$A147,'04 Resource log'!$E$7:$E$506,"Labour"))</f>
        <v/>
      </c>
      <c r="J147" s="168" t="str">
        <f t="shared" si="9"/>
        <v/>
      </c>
      <c r="K147" s="169" t="str">
        <f t="shared" si="10"/>
        <v/>
      </c>
      <c r="L147" s="170" t="str">
        <f t="shared" si="11"/>
        <v/>
      </c>
      <c r="M147" s="6"/>
      <c r="N147" s="6"/>
      <c r="O147" s="6"/>
      <c r="P147" s="6"/>
      <c r="Q147" s="6"/>
      <c r="R147" s="6"/>
      <c r="S147" s="6"/>
      <c r="T147" s="6"/>
      <c r="U147" s="6"/>
      <c r="V147" s="6"/>
      <c r="W147" s="6"/>
      <c r="X147" s="6"/>
      <c r="Y147" s="6"/>
      <c r="Z147" s="6"/>
    </row>
    <row r="148" spans="1:26" ht="18" customHeight="1" x14ac:dyDescent="0.3">
      <c r="A148" s="152"/>
      <c r="B148" s="127" t="str">
        <f>IF($A148="","",IFERROR(INDEX('12 P6 activities'!$B$7:$B$206,MATCH($A148,'12 P6 activities'!$A$7:$A$206,0)),"ID not in P6 list"))</f>
        <v/>
      </c>
      <c r="C148" s="144" t="str">
        <f>IF(A148="","",IFERROR(INDEX('12 P6 activities'!$C$7:$C$206,MATCH(A148,'12 P6 activities'!$A$7:$A$206,0)),"⚠ not in P6 list"))</f>
        <v/>
      </c>
      <c r="D148" s="164" t="str">
        <f>IF($A148="","",IFERROR(INDEX('12 P6 activities'!$E$7:$E$206,MATCH($A148,'12 P6 activities'!$A$7:$A$206,0)),""))</f>
        <v/>
      </c>
      <c r="E148" s="154"/>
      <c r="F148" s="165"/>
      <c r="G148" s="166" t="str">
        <f t="shared" si="8"/>
        <v/>
      </c>
      <c r="H148" s="167" t="str">
        <f>IF($A148="","",SUMIFS('05 Work done log'!$F$7:$F$506,'05 Work done log'!$B$7:$B$506,$A148))</f>
        <v/>
      </c>
      <c r="I148" s="168" t="str">
        <f>IF($A148="","",SUMIFS('04 Resource log'!$J$7:$J$506,'04 Resource log'!$B$7:$B$506,$A148,'04 Resource log'!$E$7:$E$506,"Labour"))</f>
        <v/>
      </c>
      <c r="J148" s="168" t="str">
        <f t="shared" si="9"/>
        <v/>
      </c>
      <c r="K148" s="169" t="str">
        <f t="shared" si="10"/>
        <v/>
      </c>
      <c r="L148" s="170" t="str">
        <f t="shared" si="11"/>
        <v/>
      </c>
      <c r="M148" s="6"/>
      <c r="N148" s="6"/>
      <c r="O148" s="6"/>
      <c r="P148" s="6"/>
      <c r="Q148" s="6"/>
      <c r="R148" s="6"/>
      <c r="S148" s="6"/>
      <c r="T148" s="6"/>
      <c r="U148" s="6"/>
      <c r="V148" s="6"/>
      <c r="W148" s="6"/>
      <c r="X148" s="6"/>
      <c r="Y148" s="6"/>
      <c r="Z148" s="6"/>
    </row>
    <row r="149" spans="1:26" ht="18" customHeight="1" x14ac:dyDescent="0.3">
      <c r="A149" s="152"/>
      <c r="B149" s="127" t="str">
        <f>IF($A149="","",IFERROR(INDEX('12 P6 activities'!$B$7:$B$206,MATCH($A149,'12 P6 activities'!$A$7:$A$206,0)),"ID not in P6 list"))</f>
        <v/>
      </c>
      <c r="C149" s="144" t="str">
        <f>IF(A149="","",IFERROR(INDEX('12 P6 activities'!$C$7:$C$206,MATCH(A149,'12 P6 activities'!$A$7:$A$206,0)),"⚠ not in P6 list"))</f>
        <v/>
      </c>
      <c r="D149" s="164" t="str">
        <f>IF($A149="","",IFERROR(INDEX('12 P6 activities'!$E$7:$E$206,MATCH($A149,'12 P6 activities'!$A$7:$A$206,0)),""))</f>
        <v/>
      </c>
      <c r="E149" s="154"/>
      <c r="F149" s="165"/>
      <c r="G149" s="166" t="str">
        <f t="shared" si="8"/>
        <v/>
      </c>
      <c r="H149" s="167" t="str">
        <f>IF($A149="","",SUMIFS('05 Work done log'!$F$7:$F$506,'05 Work done log'!$B$7:$B$506,$A149))</f>
        <v/>
      </c>
      <c r="I149" s="168" t="str">
        <f>IF($A149="","",SUMIFS('04 Resource log'!$J$7:$J$506,'04 Resource log'!$B$7:$B$506,$A149,'04 Resource log'!$E$7:$E$506,"Labour"))</f>
        <v/>
      </c>
      <c r="J149" s="168" t="str">
        <f t="shared" si="9"/>
        <v/>
      </c>
      <c r="K149" s="169" t="str">
        <f t="shared" si="10"/>
        <v/>
      </c>
      <c r="L149" s="170" t="str">
        <f t="shared" si="11"/>
        <v/>
      </c>
      <c r="M149" s="6"/>
      <c r="N149" s="6"/>
      <c r="O149" s="6"/>
      <c r="P149" s="6"/>
      <c r="Q149" s="6"/>
      <c r="R149" s="6"/>
      <c r="S149" s="6"/>
      <c r="T149" s="6"/>
      <c r="U149" s="6"/>
      <c r="V149" s="6"/>
      <c r="W149" s="6"/>
      <c r="X149" s="6"/>
      <c r="Y149" s="6"/>
      <c r="Z149" s="6"/>
    </row>
    <row r="150" spans="1:26" ht="18" customHeight="1" x14ac:dyDescent="0.3">
      <c r="A150" s="152"/>
      <c r="B150" s="127" t="str">
        <f>IF($A150="","",IFERROR(INDEX('12 P6 activities'!$B$7:$B$206,MATCH($A150,'12 P6 activities'!$A$7:$A$206,0)),"ID not in P6 list"))</f>
        <v/>
      </c>
      <c r="C150" s="144" t="str">
        <f>IF(A150="","",IFERROR(INDEX('12 P6 activities'!$C$7:$C$206,MATCH(A150,'12 P6 activities'!$A$7:$A$206,0)),"⚠ not in P6 list"))</f>
        <v/>
      </c>
      <c r="D150" s="164" t="str">
        <f>IF($A150="","",IFERROR(INDEX('12 P6 activities'!$E$7:$E$206,MATCH($A150,'12 P6 activities'!$A$7:$A$206,0)),""))</f>
        <v/>
      </c>
      <c r="E150" s="154"/>
      <c r="F150" s="165"/>
      <c r="G150" s="166" t="str">
        <f t="shared" si="8"/>
        <v/>
      </c>
      <c r="H150" s="167" t="str">
        <f>IF($A150="","",SUMIFS('05 Work done log'!$F$7:$F$506,'05 Work done log'!$B$7:$B$506,$A150))</f>
        <v/>
      </c>
      <c r="I150" s="168" t="str">
        <f>IF($A150="","",SUMIFS('04 Resource log'!$J$7:$J$506,'04 Resource log'!$B$7:$B$506,$A150,'04 Resource log'!$E$7:$E$506,"Labour"))</f>
        <v/>
      </c>
      <c r="J150" s="168" t="str">
        <f t="shared" si="9"/>
        <v/>
      </c>
      <c r="K150" s="169" t="str">
        <f t="shared" si="10"/>
        <v/>
      </c>
      <c r="L150" s="170" t="str">
        <f t="shared" si="11"/>
        <v/>
      </c>
      <c r="M150" s="6"/>
      <c r="N150" s="6"/>
      <c r="O150" s="6"/>
      <c r="P150" s="6"/>
      <c r="Q150" s="6"/>
      <c r="R150" s="6"/>
      <c r="S150" s="6"/>
      <c r="T150" s="6"/>
      <c r="U150" s="6"/>
      <c r="V150" s="6"/>
      <c r="W150" s="6"/>
      <c r="X150" s="6"/>
      <c r="Y150" s="6"/>
      <c r="Z150" s="6"/>
    </row>
    <row r="151" spans="1:26" ht="18" customHeight="1" x14ac:dyDescent="0.3">
      <c r="A151" s="152"/>
      <c r="B151" s="127" t="str">
        <f>IF($A151="","",IFERROR(INDEX('12 P6 activities'!$B$7:$B$206,MATCH($A151,'12 P6 activities'!$A$7:$A$206,0)),"ID not in P6 list"))</f>
        <v/>
      </c>
      <c r="C151" s="144" t="str">
        <f>IF(A151="","",IFERROR(INDEX('12 P6 activities'!$C$7:$C$206,MATCH(A151,'12 P6 activities'!$A$7:$A$206,0)),"⚠ not in P6 list"))</f>
        <v/>
      </c>
      <c r="D151" s="164" t="str">
        <f>IF($A151="","",IFERROR(INDEX('12 P6 activities'!$E$7:$E$206,MATCH($A151,'12 P6 activities'!$A$7:$A$206,0)),""))</f>
        <v/>
      </c>
      <c r="E151" s="154"/>
      <c r="F151" s="165"/>
      <c r="G151" s="166" t="str">
        <f t="shared" si="8"/>
        <v/>
      </c>
      <c r="H151" s="167" t="str">
        <f>IF($A151="","",SUMIFS('05 Work done log'!$F$7:$F$506,'05 Work done log'!$B$7:$B$506,$A151))</f>
        <v/>
      </c>
      <c r="I151" s="168" t="str">
        <f>IF($A151="","",SUMIFS('04 Resource log'!$J$7:$J$506,'04 Resource log'!$B$7:$B$506,$A151,'04 Resource log'!$E$7:$E$506,"Labour"))</f>
        <v/>
      </c>
      <c r="J151" s="168" t="str">
        <f t="shared" si="9"/>
        <v/>
      </c>
      <c r="K151" s="169" t="str">
        <f t="shared" si="10"/>
        <v/>
      </c>
      <c r="L151" s="170" t="str">
        <f t="shared" si="11"/>
        <v/>
      </c>
      <c r="M151" s="6"/>
      <c r="N151" s="6"/>
      <c r="O151" s="6"/>
      <c r="P151" s="6"/>
      <c r="Q151" s="6"/>
      <c r="R151" s="6"/>
      <c r="S151" s="6"/>
      <c r="T151" s="6"/>
      <c r="U151" s="6"/>
      <c r="V151" s="6"/>
      <c r="W151" s="6"/>
      <c r="X151" s="6"/>
      <c r="Y151" s="6"/>
      <c r="Z151" s="6"/>
    </row>
    <row r="152" spans="1:26" ht="18" customHeight="1" x14ac:dyDescent="0.3">
      <c r="A152" s="152"/>
      <c r="B152" s="127" t="str">
        <f>IF($A152="","",IFERROR(INDEX('12 P6 activities'!$B$7:$B$206,MATCH($A152,'12 P6 activities'!$A$7:$A$206,0)),"ID not in P6 list"))</f>
        <v/>
      </c>
      <c r="C152" s="144" t="str">
        <f>IF(A152="","",IFERROR(INDEX('12 P6 activities'!$C$7:$C$206,MATCH(A152,'12 P6 activities'!$A$7:$A$206,0)),"⚠ not in P6 list"))</f>
        <v/>
      </c>
      <c r="D152" s="164" t="str">
        <f>IF($A152="","",IFERROR(INDEX('12 P6 activities'!$E$7:$E$206,MATCH($A152,'12 P6 activities'!$A$7:$A$206,0)),""))</f>
        <v/>
      </c>
      <c r="E152" s="154"/>
      <c r="F152" s="165"/>
      <c r="G152" s="166" t="str">
        <f t="shared" si="8"/>
        <v/>
      </c>
      <c r="H152" s="167" t="str">
        <f>IF($A152="","",SUMIFS('05 Work done log'!$F$7:$F$506,'05 Work done log'!$B$7:$B$506,$A152))</f>
        <v/>
      </c>
      <c r="I152" s="168" t="str">
        <f>IF($A152="","",SUMIFS('04 Resource log'!$J$7:$J$506,'04 Resource log'!$B$7:$B$506,$A152,'04 Resource log'!$E$7:$E$506,"Labour"))</f>
        <v/>
      </c>
      <c r="J152" s="168" t="str">
        <f t="shared" si="9"/>
        <v/>
      </c>
      <c r="K152" s="169" t="str">
        <f t="shared" si="10"/>
        <v/>
      </c>
      <c r="L152" s="170" t="str">
        <f t="shared" si="11"/>
        <v/>
      </c>
      <c r="M152" s="6"/>
      <c r="N152" s="6"/>
      <c r="O152" s="6"/>
      <c r="P152" s="6"/>
      <c r="Q152" s="6"/>
      <c r="R152" s="6"/>
      <c r="S152" s="6"/>
      <c r="T152" s="6"/>
      <c r="U152" s="6"/>
      <c r="V152" s="6"/>
      <c r="W152" s="6"/>
      <c r="X152" s="6"/>
      <c r="Y152" s="6"/>
      <c r="Z152" s="6"/>
    </row>
    <row r="153" spans="1:26" ht="18" customHeight="1" x14ac:dyDescent="0.3">
      <c r="A153" s="152"/>
      <c r="B153" s="127" t="str">
        <f>IF($A153="","",IFERROR(INDEX('12 P6 activities'!$B$7:$B$206,MATCH($A153,'12 P6 activities'!$A$7:$A$206,0)),"ID not in P6 list"))</f>
        <v/>
      </c>
      <c r="C153" s="144" t="str">
        <f>IF(A153="","",IFERROR(INDEX('12 P6 activities'!$C$7:$C$206,MATCH(A153,'12 P6 activities'!$A$7:$A$206,0)),"⚠ not in P6 list"))</f>
        <v/>
      </c>
      <c r="D153" s="164" t="str">
        <f>IF($A153="","",IFERROR(INDEX('12 P6 activities'!$E$7:$E$206,MATCH($A153,'12 P6 activities'!$A$7:$A$206,0)),""))</f>
        <v/>
      </c>
      <c r="E153" s="154"/>
      <c r="F153" s="165"/>
      <c r="G153" s="166" t="str">
        <f t="shared" si="8"/>
        <v/>
      </c>
      <c r="H153" s="167" t="str">
        <f>IF($A153="","",SUMIFS('05 Work done log'!$F$7:$F$506,'05 Work done log'!$B$7:$B$506,$A153))</f>
        <v/>
      </c>
      <c r="I153" s="168" t="str">
        <f>IF($A153="","",SUMIFS('04 Resource log'!$J$7:$J$506,'04 Resource log'!$B$7:$B$506,$A153,'04 Resource log'!$E$7:$E$506,"Labour"))</f>
        <v/>
      </c>
      <c r="J153" s="168" t="str">
        <f t="shared" si="9"/>
        <v/>
      </c>
      <c r="K153" s="169" t="str">
        <f t="shared" si="10"/>
        <v/>
      </c>
      <c r="L153" s="170" t="str">
        <f t="shared" si="11"/>
        <v/>
      </c>
      <c r="M153" s="6"/>
      <c r="N153" s="6"/>
      <c r="O153" s="6"/>
      <c r="P153" s="6"/>
      <c r="Q153" s="6"/>
      <c r="R153" s="6"/>
      <c r="S153" s="6"/>
      <c r="T153" s="6"/>
      <c r="U153" s="6"/>
      <c r="V153" s="6"/>
      <c r="W153" s="6"/>
      <c r="X153" s="6"/>
      <c r="Y153" s="6"/>
      <c r="Z153" s="6"/>
    </row>
    <row r="154" spans="1:26" ht="18" customHeight="1" x14ac:dyDescent="0.3">
      <c r="A154" s="152"/>
      <c r="B154" s="127" t="str">
        <f>IF($A154="","",IFERROR(INDEX('12 P6 activities'!$B$7:$B$206,MATCH($A154,'12 P6 activities'!$A$7:$A$206,0)),"ID not in P6 list"))</f>
        <v/>
      </c>
      <c r="C154" s="144" t="str">
        <f>IF(A154="","",IFERROR(INDEX('12 P6 activities'!$C$7:$C$206,MATCH(A154,'12 P6 activities'!$A$7:$A$206,0)),"⚠ not in P6 list"))</f>
        <v/>
      </c>
      <c r="D154" s="164" t="str">
        <f>IF($A154="","",IFERROR(INDEX('12 P6 activities'!$E$7:$E$206,MATCH($A154,'12 P6 activities'!$A$7:$A$206,0)),""))</f>
        <v/>
      </c>
      <c r="E154" s="154"/>
      <c r="F154" s="165"/>
      <c r="G154" s="166" t="str">
        <f t="shared" si="8"/>
        <v/>
      </c>
      <c r="H154" s="167" t="str">
        <f>IF($A154="","",SUMIFS('05 Work done log'!$F$7:$F$506,'05 Work done log'!$B$7:$B$506,$A154))</f>
        <v/>
      </c>
      <c r="I154" s="168" t="str">
        <f>IF($A154="","",SUMIFS('04 Resource log'!$J$7:$J$506,'04 Resource log'!$B$7:$B$506,$A154,'04 Resource log'!$E$7:$E$506,"Labour"))</f>
        <v/>
      </c>
      <c r="J154" s="168" t="str">
        <f t="shared" si="9"/>
        <v/>
      </c>
      <c r="K154" s="169" t="str">
        <f t="shared" si="10"/>
        <v/>
      </c>
      <c r="L154" s="170" t="str">
        <f t="shared" si="11"/>
        <v/>
      </c>
      <c r="M154" s="6"/>
      <c r="N154" s="6"/>
      <c r="O154" s="6"/>
      <c r="P154" s="6"/>
      <c r="Q154" s="6"/>
      <c r="R154" s="6"/>
      <c r="S154" s="6"/>
      <c r="T154" s="6"/>
      <c r="U154" s="6"/>
      <c r="V154" s="6"/>
      <c r="W154" s="6"/>
      <c r="X154" s="6"/>
      <c r="Y154" s="6"/>
      <c r="Z154" s="6"/>
    </row>
    <row r="155" spans="1:26" ht="18" customHeight="1" x14ac:dyDescent="0.3">
      <c r="A155" s="152"/>
      <c r="B155" s="127" t="str">
        <f>IF($A155="","",IFERROR(INDEX('12 P6 activities'!$B$7:$B$206,MATCH($A155,'12 P6 activities'!$A$7:$A$206,0)),"ID not in P6 list"))</f>
        <v/>
      </c>
      <c r="C155" s="144" t="str">
        <f>IF(A155="","",IFERROR(INDEX('12 P6 activities'!$C$7:$C$206,MATCH(A155,'12 P6 activities'!$A$7:$A$206,0)),"⚠ not in P6 list"))</f>
        <v/>
      </c>
      <c r="D155" s="164" t="str">
        <f>IF($A155="","",IFERROR(INDEX('12 P6 activities'!$E$7:$E$206,MATCH($A155,'12 P6 activities'!$A$7:$A$206,0)),""))</f>
        <v/>
      </c>
      <c r="E155" s="154"/>
      <c r="F155" s="165"/>
      <c r="G155" s="166" t="str">
        <f t="shared" si="8"/>
        <v/>
      </c>
      <c r="H155" s="167" t="str">
        <f>IF($A155="","",SUMIFS('05 Work done log'!$F$7:$F$506,'05 Work done log'!$B$7:$B$506,$A155))</f>
        <v/>
      </c>
      <c r="I155" s="168" t="str">
        <f>IF($A155="","",SUMIFS('04 Resource log'!$J$7:$J$506,'04 Resource log'!$B$7:$B$506,$A155,'04 Resource log'!$E$7:$E$506,"Labour"))</f>
        <v/>
      </c>
      <c r="J155" s="168" t="str">
        <f t="shared" si="9"/>
        <v/>
      </c>
      <c r="K155" s="169" t="str">
        <f t="shared" si="10"/>
        <v/>
      </c>
      <c r="L155" s="170" t="str">
        <f t="shared" si="11"/>
        <v/>
      </c>
      <c r="M155" s="6"/>
      <c r="N155" s="6"/>
      <c r="O155" s="6"/>
      <c r="P155" s="6"/>
      <c r="Q155" s="6"/>
      <c r="R155" s="6"/>
      <c r="S155" s="6"/>
      <c r="T155" s="6"/>
      <c r="U155" s="6"/>
      <c r="V155" s="6"/>
      <c r="W155" s="6"/>
      <c r="X155" s="6"/>
      <c r="Y155" s="6"/>
      <c r="Z155" s="6"/>
    </row>
    <row r="156" spans="1:26" ht="18" customHeight="1" x14ac:dyDescent="0.3">
      <c r="A156" s="152"/>
      <c r="B156" s="127" t="str">
        <f>IF($A156="","",IFERROR(INDEX('12 P6 activities'!$B$7:$B$206,MATCH($A156,'12 P6 activities'!$A$7:$A$206,0)),"ID not in P6 list"))</f>
        <v/>
      </c>
      <c r="C156" s="144" t="str">
        <f>IF(A156="","",IFERROR(INDEX('12 P6 activities'!$C$7:$C$206,MATCH(A156,'12 P6 activities'!$A$7:$A$206,0)),"⚠ not in P6 list"))</f>
        <v/>
      </c>
      <c r="D156" s="164" t="str">
        <f>IF($A156="","",IFERROR(INDEX('12 P6 activities'!$E$7:$E$206,MATCH($A156,'12 P6 activities'!$A$7:$A$206,0)),""))</f>
        <v/>
      </c>
      <c r="E156" s="154"/>
      <c r="F156" s="165"/>
      <c r="G156" s="166" t="str">
        <f t="shared" si="8"/>
        <v/>
      </c>
      <c r="H156" s="167" t="str">
        <f>IF($A156="","",SUMIFS('05 Work done log'!$F$7:$F$506,'05 Work done log'!$B$7:$B$506,$A156))</f>
        <v/>
      </c>
      <c r="I156" s="168" t="str">
        <f>IF($A156="","",SUMIFS('04 Resource log'!$J$7:$J$506,'04 Resource log'!$B$7:$B$506,$A156,'04 Resource log'!$E$7:$E$506,"Labour"))</f>
        <v/>
      </c>
      <c r="J156" s="168" t="str">
        <f t="shared" si="9"/>
        <v/>
      </c>
      <c r="K156" s="169" t="str">
        <f t="shared" si="10"/>
        <v/>
      </c>
      <c r="L156" s="170" t="str">
        <f t="shared" si="11"/>
        <v/>
      </c>
      <c r="M156" s="6"/>
      <c r="N156" s="6"/>
      <c r="O156" s="6"/>
      <c r="P156" s="6"/>
      <c r="Q156" s="6"/>
      <c r="R156" s="6"/>
      <c r="S156" s="6"/>
      <c r="T156" s="6"/>
      <c r="U156" s="6"/>
      <c r="V156" s="6"/>
      <c r="W156" s="6"/>
      <c r="X156" s="6"/>
      <c r="Y156" s="6"/>
      <c r="Z156" s="6"/>
    </row>
    <row r="157" spans="1:26" ht="18" customHeight="1" x14ac:dyDescent="0.3">
      <c r="A157" s="152"/>
      <c r="B157" s="127" t="str">
        <f>IF($A157="","",IFERROR(INDEX('12 P6 activities'!$B$7:$B$206,MATCH($A157,'12 P6 activities'!$A$7:$A$206,0)),"ID not in P6 list"))</f>
        <v/>
      </c>
      <c r="C157" s="144" t="str">
        <f>IF(A157="","",IFERROR(INDEX('12 P6 activities'!$C$7:$C$206,MATCH(A157,'12 P6 activities'!$A$7:$A$206,0)),"⚠ not in P6 list"))</f>
        <v/>
      </c>
      <c r="D157" s="164" t="str">
        <f>IF($A157="","",IFERROR(INDEX('12 P6 activities'!$E$7:$E$206,MATCH($A157,'12 P6 activities'!$A$7:$A$206,0)),""))</f>
        <v/>
      </c>
      <c r="E157" s="154"/>
      <c r="F157" s="165"/>
      <c r="G157" s="166" t="str">
        <f t="shared" si="8"/>
        <v/>
      </c>
      <c r="H157" s="167" t="str">
        <f>IF($A157="","",SUMIFS('05 Work done log'!$F$7:$F$506,'05 Work done log'!$B$7:$B$506,$A157))</f>
        <v/>
      </c>
      <c r="I157" s="168" t="str">
        <f>IF($A157="","",SUMIFS('04 Resource log'!$J$7:$J$506,'04 Resource log'!$B$7:$B$506,$A157,'04 Resource log'!$E$7:$E$506,"Labour"))</f>
        <v/>
      </c>
      <c r="J157" s="168" t="str">
        <f t="shared" si="9"/>
        <v/>
      </c>
      <c r="K157" s="169" t="str">
        <f t="shared" si="10"/>
        <v/>
      </c>
      <c r="L157" s="170" t="str">
        <f t="shared" si="11"/>
        <v/>
      </c>
      <c r="M157" s="6"/>
      <c r="N157" s="6"/>
      <c r="O157" s="6"/>
      <c r="P157" s="6"/>
      <c r="Q157" s="6"/>
      <c r="R157" s="6"/>
      <c r="S157" s="6"/>
      <c r="T157" s="6"/>
      <c r="U157" s="6"/>
      <c r="V157" s="6"/>
      <c r="W157" s="6"/>
      <c r="X157" s="6"/>
      <c r="Y157" s="6"/>
      <c r="Z157" s="6"/>
    </row>
    <row r="158" spans="1:26" ht="18" customHeight="1" x14ac:dyDescent="0.3">
      <c r="A158" s="152"/>
      <c r="B158" s="127" t="str">
        <f>IF($A158="","",IFERROR(INDEX('12 P6 activities'!$B$7:$B$206,MATCH($A158,'12 P6 activities'!$A$7:$A$206,0)),"ID not in P6 list"))</f>
        <v/>
      </c>
      <c r="C158" s="144" t="str">
        <f>IF(A158="","",IFERROR(INDEX('12 P6 activities'!$C$7:$C$206,MATCH(A158,'12 P6 activities'!$A$7:$A$206,0)),"⚠ not in P6 list"))</f>
        <v/>
      </c>
      <c r="D158" s="164" t="str">
        <f>IF($A158="","",IFERROR(INDEX('12 P6 activities'!$E$7:$E$206,MATCH($A158,'12 P6 activities'!$A$7:$A$206,0)),""))</f>
        <v/>
      </c>
      <c r="E158" s="154"/>
      <c r="F158" s="165"/>
      <c r="G158" s="166" t="str">
        <f t="shared" si="8"/>
        <v/>
      </c>
      <c r="H158" s="167" t="str">
        <f>IF($A158="","",SUMIFS('05 Work done log'!$F$7:$F$506,'05 Work done log'!$B$7:$B$506,$A158))</f>
        <v/>
      </c>
      <c r="I158" s="168" t="str">
        <f>IF($A158="","",SUMIFS('04 Resource log'!$J$7:$J$506,'04 Resource log'!$B$7:$B$506,$A158,'04 Resource log'!$E$7:$E$506,"Labour"))</f>
        <v/>
      </c>
      <c r="J158" s="168" t="str">
        <f t="shared" si="9"/>
        <v/>
      </c>
      <c r="K158" s="169" t="str">
        <f t="shared" si="10"/>
        <v/>
      </c>
      <c r="L158" s="170" t="str">
        <f t="shared" si="11"/>
        <v/>
      </c>
      <c r="M158" s="6"/>
      <c r="N158" s="6"/>
      <c r="O158" s="6"/>
      <c r="P158" s="6"/>
      <c r="Q158" s="6"/>
      <c r="R158" s="6"/>
      <c r="S158" s="6"/>
      <c r="T158" s="6"/>
      <c r="U158" s="6"/>
      <c r="V158" s="6"/>
      <c r="W158" s="6"/>
      <c r="X158" s="6"/>
      <c r="Y158" s="6"/>
      <c r="Z158" s="6"/>
    </row>
    <row r="159" spans="1:26" ht="18" customHeight="1" x14ac:dyDescent="0.3">
      <c r="A159" s="152"/>
      <c r="B159" s="127" t="str">
        <f>IF($A159="","",IFERROR(INDEX('12 P6 activities'!$B$7:$B$206,MATCH($A159,'12 P6 activities'!$A$7:$A$206,0)),"ID not in P6 list"))</f>
        <v/>
      </c>
      <c r="C159" s="144" t="str">
        <f>IF(A159="","",IFERROR(INDEX('12 P6 activities'!$C$7:$C$206,MATCH(A159,'12 P6 activities'!$A$7:$A$206,0)),"⚠ not in P6 list"))</f>
        <v/>
      </c>
      <c r="D159" s="164" t="str">
        <f>IF($A159="","",IFERROR(INDEX('12 P6 activities'!$E$7:$E$206,MATCH($A159,'12 P6 activities'!$A$7:$A$206,0)),""))</f>
        <v/>
      </c>
      <c r="E159" s="154"/>
      <c r="F159" s="165"/>
      <c r="G159" s="166" t="str">
        <f t="shared" si="8"/>
        <v/>
      </c>
      <c r="H159" s="167" t="str">
        <f>IF($A159="","",SUMIFS('05 Work done log'!$F$7:$F$506,'05 Work done log'!$B$7:$B$506,$A159))</f>
        <v/>
      </c>
      <c r="I159" s="168" t="str">
        <f>IF($A159="","",SUMIFS('04 Resource log'!$J$7:$J$506,'04 Resource log'!$B$7:$B$506,$A159,'04 Resource log'!$E$7:$E$506,"Labour"))</f>
        <v/>
      </c>
      <c r="J159" s="168" t="str">
        <f t="shared" si="9"/>
        <v/>
      </c>
      <c r="K159" s="169" t="str">
        <f t="shared" si="10"/>
        <v/>
      </c>
      <c r="L159" s="170" t="str">
        <f t="shared" si="11"/>
        <v/>
      </c>
      <c r="M159" s="6"/>
      <c r="N159" s="6"/>
      <c r="O159" s="6"/>
      <c r="P159" s="6"/>
      <c r="Q159" s="6"/>
      <c r="R159" s="6"/>
      <c r="S159" s="6"/>
      <c r="T159" s="6"/>
      <c r="U159" s="6"/>
      <c r="V159" s="6"/>
      <c r="W159" s="6"/>
      <c r="X159" s="6"/>
      <c r="Y159" s="6"/>
      <c r="Z159" s="6"/>
    </row>
    <row r="160" spans="1:26" ht="18" customHeight="1" x14ac:dyDescent="0.3">
      <c r="A160" s="152"/>
      <c r="B160" s="127" t="str">
        <f>IF($A160="","",IFERROR(INDEX('12 P6 activities'!$B$7:$B$206,MATCH($A160,'12 P6 activities'!$A$7:$A$206,0)),"ID not in P6 list"))</f>
        <v/>
      </c>
      <c r="C160" s="144" t="str">
        <f>IF(A160="","",IFERROR(INDEX('12 P6 activities'!$C$7:$C$206,MATCH(A160,'12 P6 activities'!$A$7:$A$206,0)),"⚠ not in P6 list"))</f>
        <v/>
      </c>
      <c r="D160" s="164" t="str">
        <f>IF($A160="","",IFERROR(INDEX('12 P6 activities'!$E$7:$E$206,MATCH($A160,'12 P6 activities'!$A$7:$A$206,0)),""))</f>
        <v/>
      </c>
      <c r="E160" s="154"/>
      <c r="F160" s="165"/>
      <c r="G160" s="166" t="str">
        <f t="shared" si="8"/>
        <v/>
      </c>
      <c r="H160" s="167" t="str">
        <f>IF($A160="","",SUMIFS('05 Work done log'!$F$7:$F$506,'05 Work done log'!$B$7:$B$506,$A160))</f>
        <v/>
      </c>
      <c r="I160" s="168" t="str">
        <f>IF($A160="","",SUMIFS('04 Resource log'!$J$7:$J$506,'04 Resource log'!$B$7:$B$506,$A160,'04 Resource log'!$E$7:$E$506,"Labour"))</f>
        <v/>
      </c>
      <c r="J160" s="168" t="str">
        <f t="shared" si="9"/>
        <v/>
      </c>
      <c r="K160" s="169" t="str">
        <f t="shared" si="10"/>
        <v/>
      </c>
      <c r="L160" s="170" t="str">
        <f t="shared" si="11"/>
        <v/>
      </c>
      <c r="M160" s="6"/>
      <c r="N160" s="6"/>
      <c r="O160" s="6"/>
      <c r="P160" s="6"/>
      <c r="Q160" s="6"/>
      <c r="R160" s="6"/>
      <c r="S160" s="6"/>
      <c r="T160" s="6"/>
      <c r="U160" s="6"/>
      <c r="V160" s="6"/>
      <c r="W160" s="6"/>
      <c r="X160" s="6"/>
      <c r="Y160" s="6"/>
      <c r="Z160" s="6"/>
    </row>
    <row r="161" spans="1:26" ht="18" customHeight="1" x14ac:dyDescent="0.3">
      <c r="A161" s="152"/>
      <c r="B161" s="127" t="str">
        <f>IF($A161="","",IFERROR(INDEX('12 P6 activities'!$B$7:$B$206,MATCH($A161,'12 P6 activities'!$A$7:$A$206,0)),"ID not in P6 list"))</f>
        <v/>
      </c>
      <c r="C161" s="144" t="str">
        <f>IF(A161="","",IFERROR(INDEX('12 P6 activities'!$C$7:$C$206,MATCH(A161,'12 P6 activities'!$A$7:$A$206,0)),"⚠ not in P6 list"))</f>
        <v/>
      </c>
      <c r="D161" s="164" t="str">
        <f>IF($A161="","",IFERROR(INDEX('12 P6 activities'!$E$7:$E$206,MATCH($A161,'12 P6 activities'!$A$7:$A$206,0)),""))</f>
        <v/>
      </c>
      <c r="E161" s="154"/>
      <c r="F161" s="165"/>
      <c r="G161" s="166" t="str">
        <f t="shared" si="8"/>
        <v/>
      </c>
      <c r="H161" s="167" t="str">
        <f>IF($A161="","",SUMIFS('05 Work done log'!$F$7:$F$506,'05 Work done log'!$B$7:$B$506,$A161))</f>
        <v/>
      </c>
      <c r="I161" s="168" t="str">
        <f>IF($A161="","",SUMIFS('04 Resource log'!$J$7:$J$506,'04 Resource log'!$B$7:$B$506,$A161,'04 Resource log'!$E$7:$E$506,"Labour"))</f>
        <v/>
      </c>
      <c r="J161" s="168" t="str">
        <f t="shared" si="9"/>
        <v/>
      </c>
      <c r="K161" s="169" t="str">
        <f t="shared" si="10"/>
        <v/>
      </c>
      <c r="L161" s="170" t="str">
        <f t="shared" si="11"/>
        <v/>
      </c>
      <c r="M161" s="6"/>
      <c r="N161" s="6"/>
      <c r="O161" s="6"/>
      <c r="P161" s="6"/>
      <c r="Q161" s="6"/>
      <c r="R161" s="6"/>
      <c r="S161" s="6"/>
      <c r="T161" s="6"/>
      <c r="U161" s="6"/>
      <c r="V161" s="6"/>
      <c r="W161" s="6"/>
      <c r="X161" s="6"/>
      <c r="Y161" s="6"/>
      <c r="Z161" s="6"/>
    </row>
    <row r="162" spans="1:26" ht="18" customHeight="1" x14ac:dyDescent="0.3">
      <c r="A162" s="152"/>
      <c r="B162" s="127" t="str">
        <f>IF($A162="","",IFERROR(INDEX('12 P6 activities'!$B$7:$B$206,MATCH($A162,'12 P6 activities'!$A$7:$A$206,0)),"ID not in P6 list"))</f>
        <v/>
      </c>
      <c r="C162" s="144" t="str">
        <f>IF(A162="","",IFERROR(INDEX('12 P6 activities'!$C$7:$C$206,MATCH(A162,'12 P6 activities'!$A$7:$A$206,0)),"⚠ not in P6 list"))</f>
        <v/>
      </c>
      <c r="D162" s="164" t="str">
        <f>IF($A162="","",IFERROR(INDEX('12 P6 activities'!$E$7:$E$206,MATCH($A162,'12 P6 activities'!$A$7:$A$206,0)),""))</f>
        <v/>
      </c>
      <c r="E162" s="154"/>
      <c r="F162" s="165"/>
      <c r="G162" s="166" t="str">
        <f t="shared" si="8"/>
        <v/>
      </c>
      <c r="H162" s="167" t="str">
        <f>IF($A162="","",SUMIFS('05 Work done log'!$F$7:$F$506,'05 Work done log'!$B$7:$B$506,$A162))</f>
        <v/>
      </c>
      <c r="I162" s="168" t="str">
        <f>IF($A162="","",SUMIFS('04 Resource log'!$J$7:$J$506,'04 Resource log'!$B$7:$B$506,$A162,'04 Resource log'!$E$7:$E$506,"Labour"))</f>
        <v/>
      </c>
      <c r="J162" s="168" t="str">
        <f t="shared" si="9"/>
        <v/>
      </c>
      <c r="K162" s="169" t="str">
        <f t="shared" si="10"/>
        <v/>
      </c>
      <c r="L162" s="170" t="str">
        <f t="shared" si="11"/>
        <v/>
      </c>
      <c r="M162" s="6"/>
      <c r="N162" s="6"/>
      <c r="O162" s="6"/>
      <c r="P162" s="6"/>
      <c r="Q162" s="6"/>
      <c r="R162" s="6"/>
      <c r="S162" s="6"/>
      <c r="T162" s="6"/>
      <c r="U162" s="6"/>
      <c r="V162" s="6"/>
      <c r="W162" s="6"/>
      <c r="X162" s="6"/>
      <c r="Y162" s="6"/>
      <c r="Z162" s="6"/>
    </row>
    <row r="163" spans="1:26" ht="18" customHeight="1" x14ac:dyDescent="0.3">
      <c r="A163" s="152"/>
      <c r="B163" s="127" t="str">
        <f>IF($A163="","",IFERROR(INDEX('12 P6 activities'!$B$7:$B$206,MATCH($A163,'12 P6 activities'!$A$7:$A$206,0)),"ID not in P6 list"))</f>
        <v/>
      </c>
      <c r="C163" s="144" t="str">
        <f>IF(A163="","",IFERROR(INDEX('12 P6 activities'!$C$7:$C$206,MATCH(A163,'12 P6 activities'!$A$7:$A$206,0)),"⚠ not in P6 list"))</f>
        <v/>
      </c>
      <c r="D163" s="164" t="str">
        <f>IF($A163="","",IFERROR(INDEX('12 P6 activities'!$E$7:$E$206,MATCH($A163,'12 P6 activities'!$A$7:$A$206,0)),""))</f>
        <v/>
      </c>
      <c r="E163" s="154"/>
      <c r="F163" s="165"/>
      <c r="G163" s="166" t="str">
        <f t="shared" si="8"/>
        <v/>
      </c>
      <c r="H163" s="167" t="str">
        <f>IF($A163="","",SUMIFS('05 Work done log'!$F$7:$F$506,'05 Work done log'!$B$7:$B$506,$A163))</f>
        <v/>
      </c>
      <c r="I163" s="168" t="str">
        <f>IF($A163="","",SUMIFS('04 Resource log'!$J$7:$J$506,'04 Resource log'!$B$7:$B$506,$A163,'04 Resource log'!$E$7:$E$506,"Labour"))</f>
        <v/>
      </c>
      <c r="J163" s="168" t="str">
        <f t="shared" si="9"/>
        <v/>
      </c>
      <c r="K163" s="169" t="str">
        <f t="shared" si="10"/>
        <v/>
      </c>
      <c r="L163" s="170" t="str">
        <f t="shared" si="11"/>
        <v/>
      </c>
      <c r="M163" s="6"/>
      <c r="N163" s="6"/>
      <c r="O163" s="6"/>
      <c r="P163" s="6"/>
      <c r="Q163" s="6"/>
      <c r="R163" s="6"/>
      <c r="S163" s="6"/>
      <c r="T163" s="6"/>
      <c r="U163" s="6"/>
      <c r="V163" s="6"/>
      <c r="W163" s="6"/>
      <c r="X163" s="6"/>
      <c r="Y163" s="6"/>
      <c r="Z163" s="6"/>
    </row>
    <row r="164" spans="1:26" ht="18" customHeight="1" x14ac:dyDescent="0.3">
      <c r="A164" s="152"/>
      <c r="B164" s="127" t="str">
        <f>IF($A164="","",IFERROR(INDEX('12 P6 activities'!$B$7:$B$206,MATCH($A164,'12 P6 activities'!$A$7:$A$206,0)),"ID not in P6 list"))</f>
        <v/>
      </c>
      <c r="C164" s="144" t="str">
        <f>IF(A164="","",IFERROR(INDEX('12 P6 activities'!$C$7:$C$206,MATCH(A164,'12 P6 activities'!$A$7:$A$206,0)),"⚠ not in P6 list"))</f>
        <v/>
      </c>
      <c r="D164" s="164" t="str">
        <f>IF($A164="","",IFERROR(INDEX('12 P6 activities'!$E$7:$E$206,MATCH($A164,'12 P6 activities'!$A$7:$A$206,0)),""))</f>
        <v/>
      </c>
      <c r="E164" s="154"/>
      <c r="F164" s="165"/>
      <c r="G164" s="166" t="str">
        <f t="shared" si="8"/>
        <v/>
      </c>
      <c r="H164" s="167" t="str">
        <f>IF($A164="","",SUMIFS('05 Work done log'!$F$7:$F$506,'05 Work done log'!$B$7:$B$506,$A164))</f>
        <v/>
      </c>
      <c r="I164" s="168" t="str">
        <f>IF($A164="","",SUMIFS('04 Resource log'!$J$7:$J$506,'04 Resource log'!$B$7:$B$506,$A164,'04 Resource log'!$E$7:$E$506,"Labour"))</f>
        <v/>
      </c>
      <c r="J164" s="168" t="str">
        <f t="shared" si="9"/>
        <v/>
      </c>
      <c r="K164" s="169" t="str">
        <f t="shared" si="10"/>
        <v/>
      </c>
      <c r="L164" s="170" t="str">
        <f t="shared" si="11"/>
        <v/>
      </c>
      <c r="M164" s="6"/>
      <c r="N164" s="6"/>
      <c r="O164" s="6"/>
      <c r="P164" s="6"/>
      <c r="Q164" s="6"/>
      <c r="R164" s="6"/>
      <c r="S164" s="6"/>
      <c r="T164" s="6"/>
      <c r="U164" s="6"/>
      <c r="V164" s="6"/>
      <c r="W164" s="6"/>
      <c r="X164" s="6"/>
      <c r="Y164" s="6"/>
      <c r="Z164" s="6"/>
    </row>
    <row r="165" spans="1:26" ht="18" customHeight="1" x14ac:dyDescent="0.3">
      <c r="A165" s="152"/>
      <c r="B165" s="127" t="str">
        <f>IF($A165="","",IFERROR(INDEX('12 P6 activities'!$B$7:$B$206,MATCH($A165,'12 P6 activities'!$A$7:$A$206,0)),"ID not in P6 list"))</f>
        <v/>
      </c>
      <c r="C165" s="144" t="str">
        <f>IF(A165="","",IFERROR(INDEX('12 P6 activities'!$C$7:$C$206,MATCH(A165,'12 P6 activities'!$A$7:$A$206,0)),"⚠ not in P6 list"))</f>
        <v/>
      </c>
      <c r="D165" s="164" t="str">
        <f>IF($A165="","",IFERROR(INDEX('12 P6 activities'!$E$7:$E$206,MATCH($A165,'12 P6 activities'!$A$7:$A$206,0)),""))</f>
        <v/>
      </c>
      <c r="E165" s="154"/>
      <c r="F165" s="165"/>
      <c r="G165" s="166" t="str">
        <f t="shared" si="8"/>
        <v/>
      </c>
      <c r="H165" s="167" t="str">
        <f>IF($A165="","",SUMIFS('05 Work done log'!$F$7:$F$506,'05 Work done log'!$B$7:$B$506,$A165))</f>
        <v/>
      </c>
      <c r="I165" s="168" t="str">
        <f>IF($A165="","",SUMIFS('04 Resource log'!$J$7:$J$506,'04 Resource log'!$B$7:$B$506,$A165,'04 Resource log'!$E$7:$E$506,"Labour"))</f>
        <v/>
      </c>
      <c r="J165" s="168" t="str">
        <f t="shared" si="9"/>
        <v/>
      </c>
      <c r="K165" s="169" t="str">
        <f t="shared" si="10"/>
        <v/>
      </c>
      <c r="L165" s="170" t="str">
        <f t="shared" si="11"/>
        <v/>
      </c>
      <c r="M165" s="6"/>
      <c r="N165" s="6"/>
      <c r="O165" s="6"/>
      <c r="P165" s="6"/>
      <c r="Q165" s="6"/>
      <c r="R165" s="6"/>
      <c r="S165" s="6"/>
      <c r="T165" s="6"/>
      <c r="U165" s="6"/>
      <c r="V165" s="6"/>
      <c r="W165" s="6"/>
      <c r="X165" s="6"/>
      <c r="Y165" s="6"/>
      <c r="Z165" s="6"/>
    </row>
    <row r="166" spans="1:26" ht="18" customHeight="1" x14ac:dyDescent="0.3">
      <c r="A166" s="152"/>
      <c r="B166" s="127" t="str">
        <f>IF($A166="","",IFERROR(INDEX('12 P6 activities'!$B$7:$B$206,MATCH($A166,'12 P6 activities'!$A$7:$A$206,0)),"ID not in P6 list"))</f>
        <v/>
      </c>
      <c r="C166" s="144" t="str">
        <f>IF(A166="","",IFERROR(INDEX('12 P6 activities'!$C$7:$C$206,MATCH(A166,'12 P6 activities'!$A$7:$A$206,0)),"⚠ not in P6 list"))</f>
        <v/>
      </c>
      <c r="D166" s="164" t="str">
        <f>IF($A166="","",IFERROR(INDEX('12 P6 activities'!$E$7:$E$206,MATCH($A166,'12 P6 activities'!$A$7:$A$206,0)),""))</f>
        <v/>
      </c>
      <c r="E166" s="154"/>
      <c r="F166" s="165"/>
      <c r="G166" s="166" t="str">
        <f t="shared" si="8"/>
        <v/>
      </c>
      <c r="H166" s="167" t="str">
        <f>IF($A166="","",SUMIFS('05 Work done log'!$F$7:$F$506,'05 Work done log'!$B$7:$B$506,$A166))</f>
        <v/>
      </c>
      <c r="I166" s="168" t="str">
        <f>IF($A166="","",SUMIFS('04 Resource log'!$J$7:$J$506,'04 Resource log'!$B$7:$B$506,$A166,'04 Resource log'!$E$7:$E$506,"Labour"))</f>
        <v/>
      </c>
      <c r="J166" s="168" t="str">
        <f t="shared" si="9"/>
        <v/>
      </c>
      <c r="K166" s="169" t="str">
        <f t="shared" si="10"/>
        <v/>
      </c>
      <c r="L166" s="170" t="str">
        <f t="shared" si="11"/>
        <v/>
      </c>
      <c r="M166" s="6"/>
      <c r="N166" s="6"/>
      <c r="O166" s="6"/>
      <c r="P166" s="6"/>
      <c r="Q166" s="6"/>
      <c r="R166" s="6"/>
      <c r="S166" s="6"/>
      <c r="T166" s="6"/>
      <c r="U166" s="6"/>
      <c r="V166" s="6"/>
      <c r="W166" s="6"/>
      <c r="X166" s="6"/>
      <c r="Y166" s="6"/>
      <c r="Z166" s="6"/>
    </row>
    <row r="167" spans="1:26" ht="18" customHeight="1" x14ac:dyDescent="0.3">
      <c r="A167" s="152"/>
      <c r="B167" s="127" t="str">
        <f>IF($A167="","",IFERROR(INDEX('12 P6 activities'!$B$7:$B$206,MATCH($A167,'12 P6 activities'!$A$7:$A$206,0)),"ID not in P6 list"))</f>
        <v/>
      </c>
      <c r="C167" s="144" t="str">
        <f>IF(A167="","",IFERROR(INDEX('12 P6 activities'!$C$7:$C$206,MATCH(A167,'12 P6 activities'!$A$7:$A$206,0)),"⚠ not in P6 list"))</f>
        <v/>
      </c>
      <c r="D167" s="164" t="str">
        <f>IF($A167="","",IFERROR(INDEX('12 P6 activities'!$E$7:$E$206,MATCH($A167,'12 P6 activities'!$A$7:$A$206,0)),""))</f>
        <v/>
      </c>
      <c r="E167" s="154"/>
      <c r="F167" s="165"/>
      <c r="G167" s="166" t="str">
        <f t="shared" si="8"/>
        <v/>
      </c>
      <c r="H167" s="167" t="str">
        <f>IF($A167="","",SUMIFS('05 Work done log'!$F$7:$F$506,'05 Work done log'!$B$7:$B$506,$A167))</f>
        <v/>
      </c>
      <c r="I167" s="168" t="str">
        <f>IF($A167="","",SUMIFS('04 Resource log'!$J$7:$J$506,'04 Resource log'!$B$7:$B$506,$A167,'04 Resource log'!$E$7:$E$506,"Labour"))</f>
        <v/>
      </c>
      <c r="J167" s="168" t="str">
        <f t="shared" si="9"/>
        <v/>
      </c>
      <c r="K167" s="169" t="str">
        <f t="shared" si="10"/>
        <v/>
      </c>
      <c r="L167" s="170" t="str">
        <f t="shared" si="11"/>
        <v/>
      </c>
      <c r="M167" s="6"/>
      <c r="N167" s="6"/>
      <c r="O167" s="6"/>
      <c r="P167" s="6"/>
      <c r="Q167" s="6"/>
      <c r="R167" s="6"/>
      <c r="S167" s="6"/>
      <c r="T167" s="6"/>
      <c r="U167" s="6"/>
      <c r="V167" s="6"/>
      <c r="W167" s="6"/>
      <c r="X167" s="6"/>
      <c r="Y167" s="6"/>
      <c r="Z167" s="6"/>
    </row>
    <row r="168" spans="1:26" ht="18" customHeight="1" x14ac:dyDescent="0.3">
      <c r="A168" s="152"/>
      <c r="B168" s="127" t="str">
        <f>IF($A168="","",IFERROR(INDEX('12 P6 activities'!$B$7:$B$206,MATCH($A168,'12 P6 activities'!$A$7:$A$206,0)),"ID not in P6 list"))</f>
        <v/>
      </c>
      <c r="C168" s="144" t="str">
        <f>IF(A168="","",IFERROR(INDEX('12 P6 activities'!$C$7:$C$206,MATCH(A168,'12 P6 activities'!$A$7:$A$206,0)),"⚠ not in P6 list"))</f>
        <v/>
      </c>
      <c r="D168" s="164" t="str">
        <f>IF($A168="","",IFERROR(INDEX('12 P6 activities'!$E$7:$E$206,MATCH($A168,'12 P6 activities'!$A$7:$A$206,0)),""))</f>
        <v/>
      </c>
      <c r="E168" s="154"/>
      <c r="F168" s="165"/>
      <c r="G168" s="166" t="str">
        <f t="shared" si="8"/>
        <v/>
      </c>
      <c r="H168" s="167" t="str">
        <f>IF($A168="","",SUMIFS('05 Work done log'!$F$7:$F$506,'05 Work done log'!$B$7:$B$506,$A168))</f>
        <v/>
      </c>
      <c r="I168" s="168" t="str">
        <f>IF($A168="","",SUMIFS('04 Resource log'!$J$7:$J$506,'04 Resource log'!$B$7:$B$506,$A168,'04 Resource log'!$E$7:$E$506,"Labour"))</f>
        <v/>
      </c>
      <c r="J168" s="168" t="str">
        <f t="shared" si="9"/>
        <v/>
      </c>
      <c r="K168" s="169" t="str">
        <f t="shared" si="10"/>
        <v/>
      </c>
      <c r="L168" s="170" t="str">
        <f t="shared" si="11"/>
        <v/>
      </c>
      <c r="M168" s="6"/>
      <c r="N168" s="6"/>
      <c r="O168" s="6"/>
      <c r="P168" s="6"/>
      <c r="Q168" s="6"/>
      <c r="R168" s="6"/>
      <c r="S168" s="6"/>
      <c r="T168" s="6"/>
      <c r="U168" s="6"/>
      <c r="V168" s="6"/>
      <c r="W168" s="6"/>
      <c r="X168" s="6"/>
      <c r="Y168" s="6"/>
      <c r="Z168" s="6"/>
    </row>
    <row r="169" spans="1:26" ht="18" customHeight="1" x14ac:dyDescent="0.3">
      <c r="A169" s="152"/>
      <c r="B169" s="127" t="str">
        <f>IF($A169="","",IFERROR(INDEX('12 P6 activities'!$B$7:$B$206,MATCH($A169,'12 P6 activities'!$A$7:$A$206,0)),"ID not in P6 list"))</f>
        <v/>
      </c>
      <c r="C169" s="144" t="str">
        <f>IF(A169="","",IFERROR(INDEX('12 P6 activities'!$C$7:$C$206,MATCH(A169,'12 P6 activities'!$A$7:$A$206,0)),"⚠ not in P6 list"))</f>
        <v/>
      </c>
      <c r="D169" s="164" t="str">
        <f>IF($A169="","",IFERROR(INDEX('12 P6 activities'!$E$7:$E$206,MATCH($A169,'12 P6 activities'!$A$7:$A$206,0)),""))</f>
        <v/>
      </c>
      <c r="E169" s="154"/>
      <c r="F169" s="165"/>
      <c r="G169" s="166" t="str">
        <f t="shared" si="8"/>
        <v/>
      </c>
      <c r="H169" s="167" t="str">
        <f>IF($A169="","",SUMIFS('05 Work done log'!$F$7:$F$506,'05 Work done log'!$B$7:$B$506,$A169))</f>
        <v/>
      </c>
      <c r="I169" s="168" t="str">
        <f>IF($A169="","",SUMIFS('04 Resource log'!$J$7:$J$506,'04 Resource log'!$B$7:$B$506,$A169,'04 Resource log'!$E$7:$E$506,"Labour"))</f>
        <v/>
      </c>
      <c r="J169" s="168" t="str">
        <f t="shared" si="9"/>
        <v/>
      </c>
      <c r="K169" s="169" t="str">
        <f t="shared" si="10"/>
        <v/>
      </c>
      <c r="L169" s="170" t="str">
        <f t="shared" si="11"/>
        <v/>
      </c>
      <c r="M169" s="6"/>
      <c r="N169" s="6"/>
      <c r="O169" s="6"/>
      <c r="P169" s="6"/>
      <c r="Q169" s="6"/>
      <c r="R169" s="6"/>
      <c r="S169" s="6"/>
      <c r="T169" s="6"/>
      <c r="U169" s="6"/>
      <c r="V169" s="6"/>
      <c r="W169" s="6"/>
      <c r="X169" s="6"/>
      <c r="Y169" s="6"/>
      <c r="Z169" s="6"/>
    </row>
    <row r="170" spans="1:26" ht="18" customHeight="1" x14ac:dyDescent="0.3">
      <c r="A170" s="152"/>
      <c r="B170" s="127" t="str">
        <f>IF($A170="","",IFERROR(INDEX('12 P6 activities'!$B$7:$B$206,MATCH($A170,'12 P6 activities'!$A$7:$A$206,0)),"ID not in P6 list"))</f>
        <v/>
      </c>
      <c r="C170" s="144" t="str">
        <f>IF(A170="","",IFERROR(INDEX('12 P6 activities'!$C$7:$C$206,MATCH(A170,'12 P6 activities'!$A$7:$A$206,0)),"⚠ not in P6 list"))</f>
        <v/>
      </c>
      <c r="D170" s="164" t="str">
        <f>IF($A170="","",IFERROR(INDEX('12 P6 activities'!$E$7:$E$206,MATCH($A170,'12 P6 activities'!$A$7:$A$206,0)),""))</f>
        <v/>
      </c>
      <c r="E170" s="154"/>
      <c r="F170" s="165"/>
      <c r="G170" s="166" t="str">
        <f t="shared" si="8"/>
        <v/>
      </c>
      <c r="H170" s="167" t="str">
        <f>IF($A170="","",SUMIFS('05 Work done log'!$F$7:$F$506,'05 Work done log'!$B$7:$B$506,$A170))</f>
        <v/>
      </c>
      <c r="I170" s="168" t="str">
        <f>IF($A170="","",SUMIFS('04 Resource log'!$J$7:$J$506,'04 Resource log'!$B$7:$B$506,$A170,'04 Resource log'!$E$7:$E$506,"Labour"))</f>
        <v/>
      </c>
      <c r="J170" s="168" t="str">
        <f t="shared" si="9"/>
        <v/>
      </c>
      <c r="K170" s="169" t="str">
        <f t="shared" si="10"/>
        <v/>
      </c>
      <c r="L170" s="170" t="str">
        <f t="shared" si="11"/>
        <v/>
      </c>
      <c r="M170" s="6"/>
      <c r="N170" s="6"/>
      <c r="O170" s="6"/>
      <c r="P170" s="6"/>
      <c r="Q170" s="6"/>
      <c r="R170" s="6"/>
      <c r="S170" s="6"/>
      <c r="T170" s="6"/>
      <c r="U170" s="6"/>
      <c r="V170" s="6"/>
      <c r="W170" s="6"/>
      <c r="X170" s="6"/>
      <c r="Y170" s="6"/>
      <c r="Z170" s="6"/>
    </row>
    <row r="171" spans="1:26" ht="18" customHeight="1" x14ac:dyDescent="0.3">
      <c r="A171" s="152"/>
      <c r="B171" s="127" t="str">
        <f>IF($A171="","",IFERROR(INDEX('12 P6 activities'!$B$7:$B$206,MATCH($A171,'12 P6 activities'!$A$7:$A$206,0)),"ID not in P6 list"))</f>
        <v/>
      </c>
      <c r="C171" s="144" t="str">
        <f>IF(A171="","",IFERROR(INDEX('12 P6 activities'!$C$7:$C$206,MATCH(A171,'12 P6 activities'!$A$7:$A$206,0)),"⚠ not in P6 list"))</f>
        <v/>
      </c>
      <c r="D171" s="164" t="str">
        <f>IF($A171="","",IFERROR(INDEX('12 P6 activities'!$E$7:$E$206,MATCH($A171,'12 P6 activities'!$A$7:$A$206,0)),""))</f>
        <v/>
      </c>
      <c r="E171" s="154"/>
      <c r="F171" s="165"/>
      <c r="G171" s="166" t="str">
        <f t="shared" si="8"/>
        <v/>
      </c>
      <c r="H171" s="167" t="str">
        <f>IF($A171="","",SUMIFS('05 Work done log'!$F$7:$F$506,'05 Work done log'!$B$7:$B$506,$A171))</f>
        <v/>
      </c>
      <c r="I171" s="168" t="str">
        <f>IF($A171="","",SUMIFS('04 Resource log'!$J$7:$J$506,'04 Resource log'!$B$7:$B$506,$A171,'04 Resource log'!$E$7:$E$506,"Labour"))</f>
        <v/>
      </c>
      <c r="J171" s="168" t="str">
        <f t="shared" si="9"/>
        <v/>
      </c>
      <c r="K171" s="169" t="str">
        <f t="shared" si="10"/>
        <v/>
      </c>
      <c r="L171" s="170" t="str">
        <f t="shared" si="11"/>
        <v/>
      </c>
      <c r="M171" s="6"/>
      <c r="N171" s="6"/>
      <c r="O171" s="6"/>
      <c r="P171" s="6"/>
      <c r="Q171" s="6"/>
      <c r="R171" s="6"/>
      <c r="S171" s="6"/>
      <c r="T171" s="6"/>
      <c r="U171" s="6"/>
      <c r="V171" s="6"/>
      <c r="W171" s="6"/>
      <c r="X171" s="6"/>
      <c r="Y171" s="6"/>
      <c r="Z171" s="6"/>
    </row>
    <row r="172" spans="1:26" ht="18" customHeight="1" x14ac:dyDescent="0.3">
      <c r="A172" s="152"/>
      <c r="B172" s="127" t="str">
        <f>IF($A172="","",IFERROR(INDEX('12 P6 activities'!$B$7:$B$206,MATCH($A172,'12 P6 activities'!$A$7:$A$206,0)),"ID not in P6 list"))</f>
        <v/>
      </c>
      <c r="C172" s="144" t="str">
        <f>IF(A172="","",IFERROR(INDEX('12 P6 activities'!$C$7:$C$206,MATCH(A172,'12 P6 activities'!$A$7:$A$206,0)),"⚠ not in P6 list"))</f>
        <v/>
      </c>
      <c r="D172" s="164" t="str">
        <f>IF($A172="","",IFERROR(INDEX('12 P6 activities'!$E$7:$E$206,MATCH($A172,'12 P6 activities'!$A$7:$A$206,0)),""))</f>
        <v/>
      </c>
      <c r="E172" s="154"/>
      <c r="F172" s="165"/>
      <c r="G172" s="166" t="str">
        <f t="shared" si="8"/>
        <v/>
      </c>
      <c r="H172" s="167" t="str">
        <f>IF($A172="","",SUMIFS('05 Work done log'!$F$7:$F$506,'05 Work done log'!$B$7:$B$506,$A172))</f>
        <v/>
      </c>
      <c r="I172" s="168" t="str">
        <f>IF($A172="","",SUMIFS('04 Resource log'!$J$7:$J$506,'04 Resource log'!$B$7:$B$506,$A172,'04 Resource log'!$E$7:$E$506,"Labour"))</f>
        <v/>
      </c>
      <c r="J172" s="168" t="str">
        <f t="shared" si="9"/>
        <v/>
      </c>
      <c r="K172" s="169" t="str">
        <f t="shared" si="10"/>
        <v/>
      </c>
      <c r="L172" s="170" t="str">
        <f t="shared" si="11"/>
        <v/>
      </c>
      <c r="M172" s="6"/>
      <c r="N172" s="6"/>
      <c r="O172" s="6"/>
      <c r="P172" s="6"/>
      <c r="Q172" s="6"/>
      <c r="R172" s="6"/>
      <c r="S172" s="6"/>
      <c r="T172" s="6"/>
      <c r="U172" s="6"/>
      <c r="V172" s="6"/>
      <c r="W172" s="6"/>
      <c r="X172" s="6"/>
      <c r="Y172" s="6"/>
      <c r="Z172" s="6"/>
    </row>
    <row r="173" spans="1:26" ht="18" customHeight="1" x14ac:dyDescent="0.3">
      <c r="A173" s="152"/>
      <c r="B173" s="127" t="str">
        <f>IF($A173="","",IFERROR(INDEX('12 P6 activities'!$B$7:$B$206,MATCH($A173,'12 P6 activities'!$A$7:$A$206,0)),"ID not in P6 list"))</f>
        <v/>
      </c>
      <c r="C173" s="144" t="str">
        <f>IF(A173="","",IFERROR(INDEX('12 P6 activities'!$C$7:$C$206,MATCH(A173,'12 P6 activities'!$A$7:$A$206,0)),"⚠ not in P6 list"))</f>
        <v/>
      </c>
      <c r="D173" s="164" t="str">
        <f>IF($A173="","",IFERROR(INDEX('12 P6 activities'!$E$7:$E$206,MATCH($A173,'12 P6 activities'!$A$7:$A$206,0)),""))</f>
        <v/>
      </c>
      <c r="E173" s="154"/>
      <c r="F173" s="165"/>
      <c r="G173" s="166" t="str">
        <f t="shared" si="8"/>
        <v/>
      </c>
      <c r="H173" s="167" t="str">
        <f>IF($A173="","",SUMIFS('05 Work done log'!$F$7:$F$506,'05 Work done log'!$B$7:$B$506,$A173))</f>
        <v/>
      </c>
      <c r="I173" s="168" t="str">
        <f>IF($A173="","",SUMIFS('04 Resource log'!$J$7:$J$506,'04 Resource log'!$B$7:$B$506,$A173,'04 Resource log'!$E$7:$E$506,"Labour"))</f>
        <v/>
      </c>
      <c r="J173" s="168" t="str">
        <f t="shared" si="9"/>
        <v/>
      </c>
      <c r="K173" s="169" t="str">
        <f t="shared" si="10"/>
        <v/>
      </c>
      <c r="L173" s="170" t="str">
        <f t="shared" si="11"/>
        <v/>
      </c>
      <c r="M173" s="6"/>
      <c r="N173" s="6"/>
      <c r="O173" s="6"/>
      <c r="P173" s="6"/>
      <c r="Q173" s="6"/>
      <c r="R173" s="6"/>
      <c r="S173" s="6"/>
      <c r="T173" s="6"/>
      <c r="U173" s="6"/>
      <c r="V173" s="6"/>
      <c r="W173" s="6"/>
      <c r="X173" s="6"/>
      <c r="Y173" s="6"/>
      <c r="Z173" s="6"/>
    </row>
    <row r="174" spans="1:26" ht="18" customHeight="1" x14ac:dyDescent="0.3">
      <c r="A174" s="152"/>
      <c r="B174" s="127" t="str">
        <f>IF($A174="","",IFERROR(INDEX('12 P6 activities'!$B$7:$B$206,MATCH($A174,'12 P6 activities'!$A$7:$A$206,0)),"ID not in P6 list"))</f>
        <v/>
      </c>
      <c r="C174" s="144" t="str">
        <f>IF(A174="","",IFERROR(INDEX('12 P6 activities'!$C$7:$C$206,MATCH(A174,'12 P6 activities'!$A$7:$A$206,0)),"⚠ not in P6 list"))</f>
        <v/>
      </c>
      <c r="D174" s="164" t="str">
        <f>IF($A174="","",IFERROR(INDEX('12 P6 activities'!$E$7:$E$206,MATCH($A174,'12 P6 activities'!$A$7:$A$206,0)),""))</f>
        <v/>
      </c>
      <c r="E174" s="154"/>
      <c r="F174" s="165"/>
      <c r="G174" s="166" t="str">
        <f t="shared" si="8"/>
        <v/>
      </c>
      <c r="H174" s="167" t="str">
        <f>IF($A174="","",SUMIFS('05 Work done log'!$F$7:$F$506,'05 Work done log'!$B$7:$B$506,$A174))</f>
        <v/>
      </c>
      <c r="I174" s="168" t="str">
        <f>IF($A174="","",SUMIFS('04 Resource log'!$J$7:$J$506,'04 Resource log'!$B$7:$B$506,$A174,'04 Resource log'!$E$7:$E$506,"Labour"))</f>
        <v/>
      </c>
      <c r="J174" s="168" t="str">
        <f t="shared" si="9"/>
        <v/>
      </c>
      <c r="K174" s="169" t="str">
        <f t="shared" si="10"/>
        <v/>
      </c>
      <c r="L174" s="170" t="str">
        <f t="shared" si="11"/>
        <v/>
      </c>
      <c r="M174" s="6"/>
      <c r="N174" s="6"/>
      <c r="O174" s="6"/>
      <c r="P174" s="6"/>
      <c r="Q174" s="6"/>
      <c r="R174" s="6"/>
      <c r="S174" s="6"/>
      <c r="T174" s="6"/>
      <c r="U174" s="6"/>
      <c r="V174" s="6"/>
      <c r="W174" s="6"/>
      <c r="X174" s="6"/>
      <c r="Y174" s="6"/>
      <c r="Z174" s="6"/>
    </row>
    <row r="175" spans="1:26" ht="18" customHeight="1" x14ac:dyDescent="0.3">
      <c r="A175" s="152"/>
      <c r="B175" s="127" t="str">
        <f>IF($A175="","",IFERROR(INDEX('12 P6 activities'!$B$7:$B$206,MATCH($A175,'12 P6 activities'!$A$7:$A$206,0)),"ID not in P6 list"))</f>
        <v/>
      </c>
      <c r="C175" s="144" t="str">
        <f>IF(A175="","",IFERROR(INDEX('12 P6 activities'!$C$7:$C$206,MATCH(A175,'12 P6 activities'!$A$7:$A$206,0)),"⚠ not in P6 list"))</f>
        <v/>
      </c>
      <c r="D175" s="164" t="str">
        <f>IF($A175="","",IFERROR(INDEX('12 P6 activities'!$E$7:$E$206,MATCH($A175,'12 P6 activities'!$A$7:$A$206,0)),""))</f>
        <v/>
      </c>
      <c r="E175" s="154"/>
      <c r="F175" s="165"/>
      <c r="G175" s="166" t="str">
        <f t="shared" si="8"/>
        <v/>
      </c>
      <c r="H175" s="167" t="str">
        <f>IF($A175="","",SUMIFS('05 Work done log'!$F$7:$F$506,'05 Work done log'!$B$7:$B$506,$A175))</f>
        <v/>
      </c>
      <c r="I175" s="168" t="str">
        <f>IF($A175="","",SUMIFS('04 Resource log'!$J$7:$J$506,'04 Resource log'!$B$7:$B$506,$A175,'04 Resource log'!$E$7:$E$506,"Labour"))</f>
        <v/>
      </c>
      <c r="J175" s="168" t="str">
        <f t="shared" si="9"/>
        <v/>
      </c>
      <c r="K175" s="169" t="str">
        <f t="shared" si="10"/>
        <v/>
      </c>
      <c r="L175" s="170" t="str">
        <f t="shared" si="11"/>
        <v/>
      </c>
      <c r="M175" s="6"/>
      <c r="N175" s="6"/>
      <c r="O175" s="6"/>
      <c r="P175" s="6"/>
      <c r="Q175" s="6"/>
      <c r="R175" s="6"/>
      <c r="S175" s="6"/>
      <c r="T175" s="6"/>
      <c r="U175" s="6"/>
      <c r="V175" s="6"/>
      <c r="W175" s="6"/>
      <c r="X175" s="6"/>
      <c r="Y175" s="6"/>
      <c r="Z175" s="6"/>
    </row>
    <row r="176" spans="1:26" ht="18" customHeight="1" x14ac:dyDescent="0.3">
      <c r="A176" s="152"/>
      <c r="B176" s="127" t="str">
        <f>IF($A176="","",IFERROR(INDEX('12 P6 activities'!$B$7:$B$206,MATCH($A176,'12 P6 activities'!$A$7:$A$206,0)),"ID not in P6 list"))</f>
        <v/>
      </c>
      <c r="C176" s="144" t="str">
        <f>IF(A176="","",IFERROR(INDEX('12 P6 activities'!$C$7:$C$206,MATCH(A176,'12 P6 activities'!$A$7:$A$206,0)),"⚠ not in P6 list"))</f>
        <v/>
      </c>
      <c r="D176" s="164" t="str">
        <f>IF($A176="","",IFERROR(INDEX('12 P6 activities'!$E$7:$E$206,MATCH($A176,'12 P6 activities'!$A$7:$A$206,0)),""))</f>
        <v/>
      </c>
      <c r="E176" s="154"/>
      <c r="F176" s="165"/>
      <c r="G176" s="166" t="str">
        <f t="shared" si="8"/>
        <v/>
      </c>
      <c r="H176" s="167" t="str">
        <f>IF($A176="","",SUMIFS('05 Work done log'!$F$7:$F$506,'05 Work done log'!$B$7:$B$506,$A176))</f>
        <v/>
      </c>
      <c r="I176" s="168" t="str">
        <f>IF($A176="","",SUMIFS('04 Resource log'!$J$7:$J$506,'04 Resource log'!$B$7:$B$506,$A176,'04 Resource log'!$E$7:$E$506,"Labour"))</f>
        <v/>
      </c>
      <c r="J176" s="168" t="str">
        <f t="shared" si="9"/>
        <v/>
      </c>
      <c r="K176" s="169" t="str">
        <f t="shared" si="10"/>
        <v/>
      </c>
      <c r="L176" s="170" t="str">
        <f t="shared" si="11"/>
        <v/>
      </c>
      <c r="M176" s="6"/>
      <c r="N176" s="6"/>
      <c r="O176" s="6"/>
      <c r="P176" s="6"/>
      <c r="Q176" s="6"/>
      <c r="R176" s="6"/>
      <c r="S176" s="6"/>
      <c r="T176" s="6"/>
      <c r="U176" s="6"/>
      <c r="V176" s="6"/>
      <c r="W176" s="6"/>
      <c r="X176" s="6"/>
      <c r="Y176" s="6"/>
      <c r="Z176" s="6"/>
    </row>
    <row r="177" spans="1:26" ht="18" customHeight="1" x14ac:dyDescent="0.3">
      <c r="A177" s="152"/>
      <c r="B177" s="127" t="str">
        <f>IF($A177="","",IFERROR(INDEX('12 P6 activities'!$B$7:$B$206,MATCH($A177,'12 P6 activities'!$A$7:$A$206,0)),"ID not in P6 list"))</f>
        <v/>
      </c>
      <c r="C177" s="144" t="str">
        <f>IF(A177="","",IFERROR(INDEX('12 P6 activities'!$C$7:$C$206,MATCH(A177,'12 P6 activities'!$A$7:$A$206,0)),"⚠ not in P6 list"))</f>
        <v/>
      </c>
      <c r="D177" s="164" t="str">
        <f>IF($A177="","",IFERROR(INDEX('12 P6 activities'!$E$7:$E$206,MATCH($A177,'12 P6 activities'!$A$7:$A$206,0)),""))</f>
        <v/>
      </c>
      <c r="E177" s="154"/>
      <c r="F177" s="165"/>
      <c r="G177" s="166" t="str">
        <f t="shared" si="8"/>
        <v/>
      </c>
      <c r="H177" s="167" t="str">
        <f>IF($A177="","",SUMIFS('05 Work done log'!$F$7:$F$506,'05 Work done log'!$B$7:$B$506,$A177))</f>
        <v/>
      </c>
      <c r="I177" s="168" t="str">
        <f>IF($A177="","",SUMIFS('04 Resource log'!$J$7:$J$506,'04 Resource log'!$B$7:$B$506,$A177,'04 Resource log'!$E$7:$E$506,"Labour"))</f>
        <v/>
      </c>
      <c r="J177" s="168" t="str">
        <f t="shared" si="9"/>
        <v/>
      </c>
      <c r="K177" s="169" t="str">
        <f t="shared" si="10"/>
        <v/>
      </c>
      <c r="L177" s="170" t="str">
        <f t="shared" si="11"/>
        <v/>
      </c>
      <c r="M177" s="6"/>
      <c r="N177" s="6"/>
      <c r="O177" s="6"/>
      <c r="P177" s="6"/>
      <c r="Q177" s="6"/>
      <c r="R177" s="6"/>
      <c r="S177" s="6"/>
      <c r="T177" s="6"/>
      <c r="U177" s="6"/>
      <c r="V177" s="6"/>
      <c r="W177" s="6"/>
      <c r="X177" s="6"/>
      <c r="Y177" s="6"/>
      <c r="Z177" s="6"/>
    </row>
    <row r="178" spans="1:26" ht="18" customHeight="1" x14ac:dyDescent="0.3">
      <c r="A178" s="152"/>
      <c r="B178" s="127" t="str">
        <f>IF($A178="","",IFERROR(INDEX('12 P6 activities'!$B$7:$B$206,MATCH($A178,'12 P6 activities'!$A$7:$A$206,0)),"ID not in P6 list"))</f>
        <v/>
      </c>
      <c r="C178" s="144" t="str">
        <f>IF(A178="","",IFERROR(INDEX('12 P6 activities'!$C$7:$C$206,MATCH(A178,'12 P6 activities'!$A$7:$A$206,0)),"⚠ not in P6 list"))</f>
        <v/>
      </c>
      <c r="D178" s="164" t="str">
        <f>IF($A178="","",IFERROR(INDEX('12 P6 activities'!$E$7:$E$206,MATCH($A178,'12 P6 activities'!$A$7:$A$206,0)),""))</f>
        <v/>
      </c>
      <c r="E178" s="154"/>
      <c r="F178" s="165"/>
      <c r="G178" s="166" t="str">
        <f t="shared" si="8"/>
        <v/>
      </c>
      <c r="H178" s="167" t="str">
        <f>IF($A178="","",SUMIFS('05 Work done log'!$F$7:$F$506,'05 Work done log'!$B$7:$B$506,$A178))</f>
        <v/>
      </c>
      <c r="I178" s="168" t="str">
        <f>IF($A178="","",SUMIFS('04 Resource log'!$J$7:$J$506,'04 Resource log'!$B$7:$B$506,$A178,'04 Resource log'!$E$7:$E$506,"Labour"))</f>
        <v/>
      </c>
      <c r="J178" s="168" t="str">
        <f t="shared" si="9"/>
        <v/>
      </c>
      <c r="K178" s="169" t="str">
        <f t="shared" si="10"/>
        <v/>
      </c>
      <c r="L178" s="170" t="str">
        <f t="shared" si="11"/>
        <v/>
      </c>
      <c r="M178" s="6"/>
      <c r="N178" s="6"/>
      <c r="O178" s="6"/>
      <c r="P178" s="6"/>
      <c r="Q178" s="6"/>
      <c r="R178" s="6"/>
      <c r="S178" s="6"/>
      <c r="T178" s="6"/>
      <c r="U178" s="6"/>
      <c r="V178" s="6"/>
      <c r="W178" s="6"/>
      <c r="X178" s="6"/>
      <c r="Y178" s="6"/>
      <c r="Z178" s="6"/>
    </row>
    <row r="179" spans="1:26" ht="18" customHeight="1" x14ac:dyDescent="0.3">
      <c r="A179" s="152"/>
      <c r="B179" s="127" t="str">
        <f>IF($A179="","",IFERROR(INDEX('12 P6 activities'!$B$7:$B$206,MATCH($A179,'12 P6 activities'!$A$7:$A$206,0)),"ID not in P6 list"))</f>
        <v/>
      </c>
      <c r="C179" s="144" t="str">
        <f>IF(A179="","",IFERROR(INDEX('12 P6 activities'!$C$7:$C$206,MATCH(A179,'12 P6 activities'!$A$7:$A$206,0)),"⚠ not in P6 list"))</f>
        <v/>
      </c>
      <c r="D179" s="164" t="str">
        <f>IF($A179="","",IFERROR(INDEX('12 P6 activities'!$E$7:$E$206,MATCH($A179,'12 P6 activities'!$A$7:$A$206,0)),""))</f>
        <v/>
      </c>
      <c r="E179" s="154"/>
      <c r="F179" s="165"/>
      <c r="G179" s="166" t="str">
        <f t="shared" si="8"/>
        <v/>
      </c>
      <c r="H179" s="167" t="str">
        <f>IF($A179="","",SUMIFS('05 Work done log'!$F$7:$F$506,'05 Work done log'!$B$7:$B$506,$A179))</f>
        <v/>
      </c>
      <c r="I179" s="168" t="str">
        <f>IF($A179="","",SUMIFS('04 Resource log'!$J$7:$J$506,'04 Resource log'!$B$7:$B$506,$A179,'04 Resource log'!$E$7:$E$506,"Labour"))</f>
        <v/>
      </c>
      <c r="J179" s="168" t="str">
        <f t="shared" si="9"/>
        <v/>
      </c>
      <c r="K179" s="169" t="str">
        <f t="shared" si="10"/>
        <v/>
      </c>
      <c r="L179" s="170" t="str">
        <f t="shared" si="11"/>
        <v/>
      </c>
      <c r="M179" s="6"/>
      <c r="N179" s="6"/>
      <c r="O179" s="6"/>
      <c r="P179" s="6"/>
      <c r="Q179" s="6"/>
      <c r="R179" s="6"/>
      <c r="S179" s="6"/>
      <c r="T179" s="6"/>
      <c r="U179" s="6"/>
      <c r="V179" s="6"/>
      <c r="W179" s="6"/>
      <c r="X179" s="6"/>
      <c r="Y179" s="6"/>
      <c r="Z179" s="6"/>
    </row>
    <row r="180" spans="1:26" ht="18" customHeight="1" x14ac:dyDescent="0.3">
      <c r="A180" s="152"/>
      <c r="B180" s="127" t="str">
        <f>IF($A180="","",IFERROR(INDEX('12 P6 activities'!$B$7:$B$206,MATCH($A180,'12 P6 activities'!$A$7:$A$206,0)),"ID not in P6 list"))</f>
        <v/>
      </c>
      <c r="C180" s="144" t="str">
        <f>IF(A180="","",IFERROR(INDEX('12 P6 activities'!$C$7:$C$206,MATCH(A180,'12 P6 activities'!$A$7:$A$206,0)),"⚠ not in P6 list"))</f>
        <v/>
      </c>
      <c r="D180" s="164" t="str">
        <f>IF($A180="","",IFERROR(INDEX('12 P6 activities'!$E$7:$E$206,MATCH($A180,'12 P6 activities'!$A$7:$A$206,0)),""))</f>
        <v/>
      </c>
      <c r="E180" s="154"/>
      <c r="F180" s="165"/>
      <c r="G180" s="166" t="str">
        <f t="shared" si="8"/>
        <v/>
      </c>
      <c r="H180" s="167" t="str">
        <f>IF($A180="","",SUMIFS('05 Work done log'!$F$7:$F$506,'05 Work done log'!$B$7:$B$506,$A180))</f>
        <v/>
      </c>
      <c r="I180" s="168" t="str">
        <f>IF($A180="","",SUMIFS('04 Resource log'!$J$7:$J$506,'04 Resource log'!$B$7:$B$506,$A180,'04 Resource log'!$E$7:$E$506,"Labour"))</f>
        <v/>
      </c>
      <c r="J180" s="168" t="str">
        <f t="shared" si="9"/>
        <v/>
      </c>
      <c r="K180" s="169" t="str">
        <f t="shared" si="10"/>
        <v/>
      </c>
      <c r="L180" s="170" t="str">
        <f t="shared" si="11"/>
        <v/>
      </c>
      <c r="M180" s="6"/>
      <c r="N180" s="6"/>
      <c r="O180" s="6"/>
      <c r="P180" s="6"/>
      <c r="Q180" s="6"/>
      <c r="R180" s="6"/>
      <c r="S180" s="6"/>
      <c r="T180" s="6"/>
      <c r="U180" s="6"/>
      <c r="V180" s="6"/>
      <c r="W180" s="6"/>
      <c r="X180" s="6"/>
      <c r="Y180" s="6"/>
      <c r="Z180" s="6"/>
    </row>
    <row r="181" spans="1:26" ht="18" customHeight="1" x14ac:dyDescent="0.3">
      <c r="A181" s="152"/>
      <c r="B181" s="127" t="str">
        <f>IF($A181="","",IFERROR(INDEX('12 P6 activities'!$B$7:$B$206,MATCH($A181,'12 P6 activities'!$A$7:$A$206,0)),"ID not in P6 list"))</f>
        <v/>
      </c>
      <c r="C181" s="144" t="str">
        <f>IF(A181="","",IFERROR(INDEX('12 P6 activities'!$C$7:$C$206,MATCH(A181,'12 P6 activities'!$A$7:$A$206,0)),"⚠ not in P6 list"))</f>
        <v/>
      </c>
      <c r="D181" s="164" t="str">
        <f>IF($A181="","",IFERROR(INDEX('12 P6 activities'!$E$7:$E$206,MATCH($A181,'12 P6 activities'!$A$7:$A$206,0)),""))</f>
        <v/>
      </c>
      <c r="E181" s="154"/>
      <c r="F181" s="165"/>
      <c r="G181" s="166" t="str">
        <f t="shared" si="8"/>
        <v/>
      </c>
      <c r="H181" s="167" t="str">
        <f>IF($A181="","",SUMIFS('05 Work done log'!$F$7:$F$506,'05 Work done log'!$B$7:$B$506,$A181))</f>
        <v/>
      </c>
      <c r="I181" s="168" t="str">
        <f>IF($A181="","",SUMIFS('04 Resource log'!$J$7:$J$506,'04 Resource log'!$B$7:$B$506,$A181,'04 Resource log'!$E$7:$E$506,"Labour"))</f>
        <v/>
      </c>
      <c r="J181" s="168" t="str">
        <f t="shared" si="9"/>
        <v/>
      </c>
      <c r="K181" s="169" t="str">
        <f t="shared" si="10"/>
        <v/>
      </c>
      <c r="L181" s="170" t="str">
        <f t="shared" si="11"/>
        <v/>
      </c>
      <c r="M181" s="6"/>
      <c r="N181" s="6"/>
      <c r="O181" s="6"/>
      <c r="P181" s="6"/>
      <c r="Q181" s="6"/>
      <c r="R181" s="6"/>
      <c r="S181" s="6"/>
      <c r="T181" s="6"/>
      <c r="U181" s="6"/>
      <c r="V181" s="6"/>
      <c r="W181" s="6"/>
      <c r="X181" s="6"/>
      <c r="Y181" s="6"/>
      <c r="Z181" s="6"/>
    </row>
    <row r="182" spans="1:26" ht="18" customHeight="1" x14ac:dyDescent="0.3">
      <c r="A182" s="152"/>
      <c r="B182" s="127" t="str">
        <f>IF($A182="","",IFERROR(INDEX('12 P6 activities'!$B$7:$B$206,MATCH($A182,'12 P6 activities'!$A$7:$A$206,0)),"ID not in P6 list"))</f>
        <v/>
      </c>
      <c r="C182" s="144" t="str">
        <f>IF(A182="","",IFERROR(INDEX('12 P6 activities'!$C$7:$C$206,MATCH(A182,'12 P6 activities'!$A$7:$A$206,0)),"⚠ not in P6 list"))</f>
        <v/>
      </c>
      <c r="D182" s="164" t="str">
        <f>IF($A182="","",IFERROR(INDEX('12 P6 activities'!$E$7:$E$206,MATCH($A182,'12 P6 activities'!$A$7:$A$206,0)),""))</f>
        <v/>
      </c>
      <c r="E182" s="154"/>
      <c r="F182" s="165"/>
      <c r="G182" s="166" t="str">
        <f t="shared" si="8"/>
        <v/>
      </c>
      <c r="H182" s="167" t="str">
        <f>IF($A182="","",SUMIFS('05 Work done log'!$F$7:$F$506,'05 Work done log'!$B$7:$B$506,$A182))</f>
        <v/>
      </c>
      <c r="I182" s="168" t="str">
        <f>IF($A182="","",SUMIFS('04 Resource log'!$J$7:$J$506,'04 Resource log'!$B$7:$B$506,$A182,'04 Resource log'!$E$7:$E$506,"Labour"))</f>
        <v/>
      </c>
      <c r="J182" s="168" t="str">
        <f t="shared" si="9"/>
        <v/>
      </c>
      <c r="K182" s="169" t="str">
        <f t="shared" si="10"/>
        <v/>
      </c>
      <c r="L182" s="170" t="str">
        <f t="shared" si="11"/>
        <v/>
      </c>
      <c r="M182" s="6"/>
      <c r="N182" s="6"/>
      <c r="O182" s="6"/>
      <c r="P182" s="6"/>
      <c r="Q182" s="6"/>
      <c r="R182" s="6"/>
      <c r="S182" s="6"/>
      <c r="T182" s="6"/>
      <c r="U182" s="6"/>
      <c r="V182" s="6"/>
      <c r="W182" s="6"/>
      <c r="X182" s="6"/>
      <c r="Y182" s="6"/>
      <c r="Z182" s="6"/>
    </row>
    <row r="183" spans="1:26" ht="18" customHeight="1" x14ac:dyDescent="0.3">
      <c r="A183" s="152"/>
      <c r="B183" s="127" t="str">
        <f>IF($A183="","",IFERROR(INDEX('12 P6 activities'!$B$7:$B$206,MATCH($A183,'12 P6 activities'!$A$7:$A$206,0)),"ID not in P6 list"))</f>
        <v/>
      </c>
      <c r="C183" s="144" t="str">
        <f>IF(A183="","",IFERROR(INDEX('12 P6 activities'!$C$7:$C$206,MATCH(A183,'12 P6 activities'!$A$7:$A$206,0)),"⚠ not in P6 list"))</f>
        <v/>
      </c>
      <c r="D183" s="164" t="str">
        <f>IF($A183="","",IFERROR(INDEX('12 P6 activities'!$E$7:$E$206,MATCH($A183,'12 P6 activities'!$A$7:$A$206,0)),""))</f>
        <v/>
      </c>
      <c r="E183" s="154"/>
      <c r="F183" s="165"/>
      <c r="G183" s="166" t="str">
        <f t="shared" si="8"/>
        <v/>
      </c>
      <c r="H183" s="167" t="str">
        <f>IF($A183="","",SUMIFS('05 Work done log'!$F$7:$F$506,'05 Work done log'!$B$7:$B$506,$A183))</f>
        <v/>
      </c>
      <c r="I183" s="168" t="str">
        <f>IF($A183="","",SUMIFS('04 Resource log'!$J$7:$J$506,'04 Resource log'!$B$7:$B$506,$A183,'04 Resource log'!$E$7:$E$506,"Labour"))</f>
        <v/>
      </c>
      <c r="J183" s="168" t="str">
        <f t="shared" si="9"/>
        <v/>
      </c>
      <c r="K183" s="169" t="str">
        <f t="shared" si="10"/>
        <v/>
      </c>
      <c r="L183" s="170" t="str">
        <f t="shared" si="11"/>
        <v/>
      </c>
      <c r="M183" s="6"/>
      <c r="N183" s="6"/>
      <c r="O183" s="6"/>
      <c r="P183" s="6"/>
      <c r="Q183" s="6"/>
      <c r="R183" s="6"/>
      <c r="S183" s="6"/>
      <c r="T183" s="6"/>
      <c r="U183" s="6"/>
      <c r="V183" s="6"/>
      <c r="W183" s="6"/>
      <c r="X183" s="6"/>
      <c r="Y183" s="6"/>
      <c r="Z183" s="6"/>
    </row>
    <row r="184" spans="1:26" ht="18" customHeight="1" x14ac:dyDescent="0.3">
      <c r="A184" s="152"/>
      <c r="B184" s="127" t="str">
        <f>IF($A184="","",IFERROR(INDEX('12 P6 activities'!$B$7:$B$206,MATCH($A184,'12 P6 activities'!$A$7:$A$206,0)),"ID not in P6 list"))</f>
        <v/>
      </c>
      <c r="C184" s="144" t="str">
        <f>IF(A184="","",IFERROR(INDEX('12 P6 activities'!$C$7:$C$206,MATCH(A184,'12 P6 activities'!$A$7:$A$206,0)),"⚠ not in P6 list"))</f>
        <v/>
      </c>
      <c r="D184" s="164" t="str">
        <f>IF($A184="","",IFERROR(INDEX('12 P6 activities'!$E$7:$E$206,MATCH($A184,'12 P6 activities'!$A$7:$A$206,0)),""))</f>
        <v/>
      </c>
      <c r="E184" s="154"/>
      <c r="F184" s="165"/>
      <c r="G184" s="166" t="str">
        <f t="shared" si="8"/>
        <v/>
      </c>
      <c r="H184" s="167" t="str">
        <f>IF($A184="","",SUMIFS('05 Work done log'!$F$7:$F$506,'05 Work done log'!$B$7:$B$506,$A184))</f>
        <v/>
      </c>
      <c r="I184" s="168" t="str">
        <f>IF($A184="","",SUMIFS('04 Resource log'!$J$7:$J$506,'04 Resource log'!$B$7:$B$506,$A184,'04 Resource log'!$E$7:$E$506,"Labour"))</f>
        <v/>
      </c>
      <c r="J184" s="168" t="str">
        <f t="shared" si="9"/>
        <v/>
      </c>
      <c r="K184" s="169" t="str">
        <f t="shared" si="10"/>
        <v/>
      </c>
      <c r="L184" s="170" t="str">
        <f t="shared" si="11"/>
        <v/>
      </c>
      <c r="M184" s="6"/>
      <c r="N184" s="6"/>
      <c r="O184" s="6"/>
      <c r="P184" s="6"/>
      <c r="Q184" s="6"/>
      <c r="R184" s="6"/>
      <c r="S184" s="6"/>
      <c r="T184" s="6"/>
      <c r="U184" s="6"/>
      <c r="V184" s="6"/>
      <c r="W184" s="6"/>
      <c r="X184" s="6"/>
      <c r="Y184" s="6"/>
      <c r="Z184" s="6"/>
    </row>
    <row r="185" spans="1:26" ht="18" customHeight="1" x14ac:dyDescent="0.3">
      <c r="A185" s="152"/>
      <c r="B185" s="127" t="str">
        <f>IF($A185="","",IFERROR(INDEX('12 P6 activities'!$B$7:$B$206,MATCH($A185,'12 P6 activities'!$A$7:$A$206,0)),"ID not in P6 list"))</f>
        <v/>
      </c>
      <c r="C185" s="144" t="str">
        <f>IF(A185="","",IFERROR(INDEX('12 P6 activities'!$C$7:$C$206,MATCH(A185,'12 P6 activities'!$A$7:$A$206,0)),"⚠ not in P6 list"))</f>
        <v/>
      </c>
      <c r="D185" s="164" t="str">
        <f>IF($A185="","",IFERROR(INDEX('12 P6 activities'!$E$7:$E$206,MATCH($A185,'12 P6 activities'!$A$7:$A$206,0)),""))</f>
        <v/>
      </c>
      <c r="E185" s="154"/>
      <c r="F185" s="165"/>
      <c r="G185" s="166" t="str">
        <f t="shared" si="8"/>
        <v/>
      </c>
      <c r="H185" s="167" t="str">
        <f>IF($A185="","",SUMIFS('05 Work done log'!$F$7:$F$506,'05 Work done log'!$B$7:$B$506,$A185))</f>
        <v/>
      </c>
      <c r="I185" s="168" t="str">
        <f>IF($A185="","",SUMIFS('04 Resource log'!$J$7:$J$506,'04 Resource log'!$B$7:$B$506,$A185,'04 Resource log'!$E$7:$E$506,"Labour"))</f>
        <v/>
      </c>
      <c r="J185" s="168" t="str">
        <f t="shared" si="9"/>
        <v/>
      </c>
      <c r="K185" s="169" t="str">
        <f t="shared" si="10"/>
        <v/>
      </c>
      <c r="L185" s="170" t="str">
        <f t="shared" si="11"/>
        <v/>
      </c>
      <c r="M185" s="6"/>
      <c r="N185" s="6"/>
      <c r="O185" s="6"/>
      <c r="P185" s="6"/>
      <c r="Q185" s="6"/>
      <c r="R185" s="6"/>
      <c r="S185" s="6"/>
      <c r="T185" s="6"/>
      <c r="U185" s="6"/>
      <c r="V185" s="6"/>
      <c r="W185" s="6"/>
      <c r="X185" s="6"/>
      <c r="Y185" s="6"/>
      <c r="Z185" s="6"/>
    </row>
    <row r="186" spans="1:26" ht="18" customHeight="1" x14ac:dyDescent="0.3">
      <c r="A186" s="152"/>
      <c r="B186" s="127" t="str">
        <f>IF($A186="","",IFERROR(INDEX('12 P6 activities'!$B$7:$B$206,MATCH($A186,'12 P6 activities'!$A$7:$A$206,0)),"ID not in P6 list"))</f>
        <v/>
      </c>
      <c r="C186" s="144" t="str">
        <f>IF(A186="","",IFERROR(INDEX('12 P6 activities'!$C$7:$C$206,MATCH(A186,'12 P6 activities'!$A$7:$A$206,0)),"⚠ not in P6 list"))</f>
        <v/>
      </c>
      <c r="D186" s="164" t="str">
        <f>IF($A186="","",IFERROR(INDEX('12 P6 activities'!$E$7:$E$206,MATCH($A186,'12 P6 activities'!$A$7:$A$206,0)),""))</f>
        <v/>
      </c>
      <c r="E186" s="154"/>
      <c r="F186" s="165"/>
      <c r="G186" s="166" t="str">
        <f t="shared" si="8"/>
        <v/>
      </c>
      <c r="H186" s="167" t="str">
        <f>IF($A186="","",SUMIFS('05 Work done log'!$F$7:$F$506,'05 Work done log'!$B$7:$B$506,$A186))</f>
        <v/>
      </c>
      <c r="I186" s="168" t="str">
        <f>IF($A186="","",SUMIFS('04 Resource log'!$J$7:$J$506,'04 Resource log'!$B$7:$B$506,$A186,'04 Resource log'!$E$7:$E$506,"Labour"))</f>
        <v/>
      </c>
      <c r="J186" s="168" t="str">
        <f t="shared" si="9"/>
        <v/>
      </c>
      <c r="K186" s="169" t="str">
        <f t="shared" si="10"/>
        <v/>
      </c>
      <c r="L186" s="170" t="str">
        <f t="shared" si="11"/>
        <v/>
      </c>
      <c r="M186" s="6"/>
      <c r="N186" s="6"/>
      <c r="O186" s="6"/>
      <c r="P186" s="6"/>
      <c r="Q186" s="6"/>
      <c r="R186" s="6"/>
      <c r="S186" s="6"/>
      <c r="T186" s="6"/>
      <c r="U186" s="6"/>
      <c r="V186" s="6"/>
      <c r="W186" s="6"/>
      <c r="X186" s="6"/>
      <c r="Y186" s="6"/>
      <c r="Z186" s="6"/>
    </row>
    <row r="187" spans="1:26" ht="18" customHeight="1" x14ac:dyDescent="0.3">
      <c r="A187" s="152"/>
      <c r="B187" s="127" t="str">
        <f>IF($A187="","",IFERROR(INDEX('12 P6 activities'!$B$7:$B$206,MATCH($A187,'12 P6 activities'!$A$7:$A$206,0)),"ID not in P6 list"))</f>
        <v/>
      </c>
      <c r="C187" s="144" t="str">
        <f>IF(A187="","",IFERROR(INDEX('12 P6 activities'!$C$7:$C$206,MATCH(A187,'12 P6 activities'!$A$7:$A$206,0)),"⚠ not in P6 list"))</f>
        <v/>
      </c>
      <c r="D187" s="164" t="str">
        <f>IF($A187="","",IFERROR(INDEX('12 P6 activities'!$E$7:$E$206,MATCH($A187,'12 P6 activities'!$A$7:$A$206,0)),""))</f>
        <v/>
      </c>
      <c r="E187" s="154"/>
      <c r="F187" s="165"/>
      <c r="G187" s="166" t="str">
        <f t="shared" si="8"/>
        <v/>
      </c>
      <c r="H187" s="167" t="str">
        <f>IF($A187="","",SUMIFS('05 Work done log'!$F$7:$F$506,'05 Work done log'!$B$7:$B$506,$A187))</f>
        <v/>
      </c>
      <c r="I187" s="168" t="str">
        <f>IF($A187="","",SUMIFS('04 Resource log'!$J$7:$J$506,'04 Resource log'!$B$7:$B$506,$A187,'04 Resource log'!$E$7:$E$506,"Labour"))</f>
        <v/>
      </c>
      <c r="J187" s="168" t="str">
        <f t="shared" si="9"/>
        <v/>
      </c>
      <c r="K187" s="169" t="str">
        <f t="shared" si="10"/>
        <v/>
      </c>
      <c r="L187" s="170" t="str">
        <f t="shared" si="11"/>
        <v/>
      </c>
      <c r="M187" s="6"/>
      <c r="N187" s="6"/>
      <c r="O187" s="6"/>
      <c r="P187" s="6"/>
      <c r="Q187" s="6"/>
      <c r="R187" s="6"/>
      <c r="S187" s="6"/>
      <c r="T187" s="6"/>
      <c r="U187" s="6"/>
      <c r="V187" s="6"/>
      <c r="W187" s="6"/>
      <c r="X187" s="6"/>
      <c r="Y187" s="6"/>
      <c r="Z187" s="6"/>
    </row>
    <row r="188" spans="1:26" ht="18" customHeight="1" x14ac:dyDescent="0.3">
      <c r="A188" s="152"/>
      <c r="B188" s="127" t="str">
        <f>IF($A188="","",IFERROR(INDEX('12 P6 activities'!$B$7:$B$206,MATCH($A188,'12 P6 activities'!$A$7:$A$206,0)),"ID not in P6 list"))</f>
        <v/>
      </c>
      <c r="C188" s="144" t="str">
        <f>IF(A188="","",IFERROR(INDEX('12 P6 activities'!$C$7:$C$206,MATCH(A188,'12 P6 activities'!$A$7:$A$206,0)),"⚠ not in P6 list"))</f>
        <v/>
      </c>
      <c r="D188" s="164" t="str">
        <f>IF($A188="","",IFERROR(INDEX('12 P6 activities'!$E$7:$E$206,MATCH($A188,'12 P6 activities'!$A$7:$A$206,0)),""))</f>
        <v/>
      </c>
      <c r="E188" s="154"/>
      <c r="F188" s="165"/>
      <c r="G188" s="166" t="str">
        <f t="shared" si="8"/>
        <v/>
      </c>
      <c r="H188" s="167" t="str">
        <f>IF($A188="","",SUMIFS('05 Work done log'!$F$7:$F$506,'05 Work done log'!$B$7:$B$506,$A188))</f>
        <v/>
      </c>
      <c r="I188" s="168" t="str">
        <f>IF($A188="","",SUMIFS('04 Resource log'!$J$7:$J$506,'04 Resource log'!$B$7:$B$506,$A188,'04 Resource log'!$E$7:$E$506,"Labour"))</f>
        <v/>
      </c>
      <c r="J188" s="168" t="str">
        <f t="shared" si="9"/>
        <v/>
      </c>
      <c r="K188" s="169" t="str">
        <f t="shared" si="10"/>
        <v/>
      </c>
      <c r="L188" s="170" t="str">
        <f t="shared" si="11"/>
        <v/>
      </c>
      <c r="M188" s="6"/>
      <c r="N188" s="6"/>
      <c r="O188" s="6"/>
      <c r="P188" s="6"/>
      <c r="Q188" s="6"/>
      <c r="R188" s="6"/>
      <c r="S188" s="6"/>
      <c r="T188" s="6"/>
      <c r="U188" s="6"/>
      <c r="V188" s="6"/>
      <c r="W188" s="6"/>
      <c r="X188" s="6"/>
      <c r="Y188" s="6"/>
      <c r="Z188" s="6"/>
    </row>
    <row r="189" spans="1:26" ht="18" customHeight="1" x14ac:dyDescent="0.3">
      <c r="A189" s="152"/>
      <c r="B189" s="127" t="str">
        <f>IF($A189="","",IFERROR(INDEX('12 P6 activities'!$B$7:$B$206,MATCH($A189,'12 P6 activities'!$A$7:$A$206,0)),"ID not in P6 list"))</f>
        <v/>
      </c>
      <c r="C189" s="144" t="str">
        <f>IF(A189="","",IFERROR(INDEX('12 P6 activities'!$C$7:$C$206,MATCH(A189,'12 P6 activities'!$A$7:$A$206,0)),"⚠ not in P6 list"))</f>
        <v/>
      </c>
      <c r="D189" s="164" t="str">
        <f>IF($A189="","",IFERROR(INDEX('12 P6 activities'!$E$7:$E$206,MATCH($A189,'12 P6 activities'!$A$7:$A$206,0)),""))</f>
        <v/>
      </c>
      <c r="E189" s="154"/>
      <c r="F189" s="165"/>
      <c r="G189" s="166" t="str">
        <f t="shared" si="8"/>
        <v/>
      </c>
      <c r="H189" s="167" t="str">
        <f>IF($A189="","",SUMIFS('05 Work done log'!$F$7:$F$506,'05 Work done log'!$B$7:$B$506,$A189))</f>
        <v/>
      </c>
      <c r="I189" s="168" t="str">
        <f>IF($A189="","",SUMIFS('04 Resource log'!$J$7:$J$506,'04 Resource log'!$B$7:$B$506,$A189,'04 Resource log'!$E$7:$E$506,"Labour"))</f>
        <v/>
      </c>
      <c r="J189" s="168" t="str">
        <f t="shared" si="9"/>
        <v/>
      </c>
      <c r="K189" s="169" t="str">
        <f t="shared" si="10"/>
        <v/>
      </c>
      <c r="L189" s="170" t="str">
        <f t="shared" si="11"/>
        <v/>
      </c>
      <c r="M189" s="6"/>
      <c r="N189" s="6"/>
      <c r="O189" s="6"/>
      <c r="P189" s="6"/>
      <c r="Q189" s="6"/>
      <c r="R189" s="6"/>
      <c r="S189" s="6"/>
      <c r="T189" s="6"/>
      <c r="U189" s="6"/>
      <c r="V189" s="6"/>
      <c r="W189" s="6"/>
      <c r="X189" s="6"/>
      <c r="Y189" s="6"/>
      <c r="Z189" s="6"/>
    </row>
    <row r="190" spans="1:26" ht="18" customHeight="1" x14ac:dyDescent="0.3">
      <c r="A190" s="152"/>
      <c r="B190" s="127" t="str">
        <f>IF($A190="","",IFERROR(INDEX('12 P6 activities'!$B$7:$B$206,MATCH($A190,'12 P6 activities'!$A$7:$A$206,0)),"ID not in P6 list"))</f>
        <v/>
      </c>
      <c r="C190" s="144" t="str">
        <f>IF(A190="","",IFERROR(INDEX('12 P6 activities'!$C$7:$C$206,MATCH(A190,'12 P6 activities'!$A$7:$A$206,0)),"⚠ not in P6 list"))</f>
        <v/>
      </c>
      <c r="D190" s="164" t="str">
        <f>IF($A190="","",IFERROR(INDEX('12 P6 activities'!$E$7:$E$206,MATCH($A190,'12 P6 activities'!$A$7:$A$206,0)),""))</f>
        <v/>
      </c>
      <c r="E190" s="154"/>
      <c r="F190" s="165"/>
      <c r="G190" s="166" t="str">
        <f t="shared" si="8"/>
        <v/>
      </c>
      <c r="H190" s="167" t="str">
        <f>IF($A190="","",SUMIFS('05 Work done log'!$F$7:$F$506,'05 Work done log'!$B$7:$B$506,$A190))</f>
        <v/>
      </c>
      <c r="I190" s="168" t="str">
        <f>IF($A190="","",SUMIFS('04 Resource log'!$J$7:$J$506,'04 Resource log'!$B$7:$B$506,$A190,'04 Resource log'!$E$7:$E$506,"Labour"))</f>
        <v/>
      </c>
      <c r="J190" s="168" t="str">
        <f t="shared" si="9"/>
        <v/>
      </c>
      <c r="K190" s="169" t="str">
        <f t="shared" si="10"/>
        <v/>
      </c>
      <c r="L190" s="170" t="str">
        <f t="shared" si="11"/>
        <v/>
      </c>
      <c r="M190" s="6"/>
      <c r="N190" s="6"/>
      <c r="O190" s="6"/>
      <c r="P190" s="6"/>
      <c r="Q190" s="6"/>
      <c r="R190" s="6"/>
      <c r="S190" s="6"/>
      <c r="T190" s="6"/>
      <c r="U190" s="6"/>
      <c r="V190" s="6"/>
      <c r="W190" s="6"/>
      <c r="X190" s="6"/>
      <c r="Y190" s="6"/>
      <c r="Z190" s="6"/>
    </row>
    <row r="191" spans="1:26" ht="18" customHeight="1" x14ac:dyDescent="0.3">
      <c r="A191" s="152"/>
      <c r="B191" s="127" t="str">
        <f>IF($A191="","",IFERROR(INDEX('12 P6 activities'!$B$7:$B$206,MATCH($A191,'12 P6 activities'!$A$7:$A$206,0)),"ID not in P6 list"))</f>
        <v/>
      </c>
      <c r="C191" s="144" t="str">
        <f>IF(A191="","",IFERROR(INDEX('12 P6 activities'!$C$7:$C$206,MATCH(A191,'12 P6 activities'!$A$7:$A$206,0)),"⚠ not in P6 list"))</f>
        <v/>
      </c>
      <c r="D191" s="164" t="str">
        <f>IF($A191="","",IFERROR(INDEX('12 P6 activities'!$E$7:$E$206,MATCH($A191,'12 P6 activities'!$A$7:$A$206,0)),""))</f>
        <v/>
      </c>
      <c r="E191" s="154"/>
      <c r="F191" s="165"/>
      <c r="G191" s="166" t="str">
        <f t="shared" si="8"/>
        <v/>
      </c>
      <c r="H191" s="167" t="str">
        <f>IF($A191="","",SUMIFS('05 Work done log'!$F$7:$F$506,'05 Work done log'!$B$7:$B$506,$A191))</f>
        <v/>
      </c>
      <c r="I191" s="168" t="str">
        <f>IF($A191="","",SUMIFS('04 Resource log'!$J$7:$J$506,'04 Resource log'!$B$7:$B$506,$A191,'04 Resource log'!$E$7:$E$506,"Labour"))</f>
        <v/>
      </c>
      <c r="J191" s="168" t="str">
        <f t="shared" si="9"/>
        <v/>
      </c>
      <c r="K191" s="169" t="str">
        <f t="shared" si="10"/>
        <v/>
      </c>
      <c r="L191" s="170" t="str">
        <f t="shared" si="11"/>
        <v/>
      </c>
      <c r="M191" s="6"/>
      <c r="N191" s="6"/>
      <c r="O191" s="6"/>
      <c r="P191" s="6"/>
      <c r="Q191" s="6"/>
      <c r="R191" s="6"/>
      <c r="S191" s="6"/>
      <c r="T191" s="6"/>
      <c r="U191" s="6"/>
      <c r="V191" s="6"/>
      <c r="W191" s="6"/>
      <c r="X191" s="6"/>
      <c r="Y191" s="6"/>
      <c r="Z191" s="6"/>
    </row>
    <row r="192" spans="1:26" ht="18" customHeight="1" x14ac:dyDescent="0.3">
      <c r="A192" s="152"/>
      <c r="B192" s="127" t="str">
        <f>IF($A192="","",IFERROR(INDEX('12 P6 activities'!$B$7:$B$206,MATCH($A192,'12 P6 activities'!$A$7:$A$206,0)),"ID not in P6 list"))</f>
        <v/>
      </c>
      <c r="C192" s="144" t="str">
        <f>IF(A192="","",IFERROR(INDEX('12 P6 activities'!$C$7:$C$206,MATCH(A192,'12 P6 activities'!$A$7:$A$206,0)),"⚠ not in P6 list"))</f>
        <v/>
      </c>
      <c r="D192" s="164" t="str">
        <f>IF($A192="","",IFERROR(INDEX('12 P6 activities'!$E$7:$E$206,MATCH($A192,'12 P6 activities'!$A$7:$A$206,0)),""))</f>
        <v/>
      </c>
      <c r="E192" s="154"/>
      <c r="F192" s="165"/>
      <c r="G192" s="166" t="str">
        <f t="shared" si="8"/>
        <v/>
      </c>
      <c r="H192" s="167" t="str">
        <f>IF($A192="","",SUMIFS('05 Work done log'!$F$7:$F$506,'05 Work done log'!$B$7:$B$506,$A192))</f>
        <v/>
      </c>
      <c r="I192" s="168" t="str">
        <f>IF($A192="","",SUMIFS('04 Resource log'!$J$7:$J$506,'04 Resource log'!$B$7:$B$506,$A192,'04 Resource log'!$E$7:$E$506,"Labour"))</f>
        <v/>
      </c>
      <c r="J192" s="168" t="str">
        <f t="shared" si="9"/>
        <v/>
      </c>
      <c r="K192" s="169" t="str">
        <f t="shared" si="10"/>
        <v/>
      </c>
      <c r="L192" s="170" t="str">
        <f t="shared" si="11"/>
        <v/>
      </c>
      <c r="M192" s="6"/>
      <c r="N192" s="6"/>
      <c r="O192" s="6"/>
      <c r="P192" s="6"/>
      <c r="Q192" s="6"/>
      <c r="R192" s="6"/>
      <c r="S192" s="6"/>
      <c r="T192" s="6"/>
      <c r="U192" s="6"/>
      <c r="V192" s="6"/>
      <c r="W192" s="6"/>
      <c r="X192" s="6"/>
      <c r="Y192" s="6"/>
      <c r="Z192" s="6"/>
    </row>
    <row r="193" spans="1:26" ht="18" customHeight="1" x14ac:dyDescent="0.3">
      <c r="A193" s="152"/>
      <c r="B193" s="127" t="str">
        <f>IF($A193="","",IFERROR(INDEX('12 P6 activities'!$B$7:$B$206,MATCH($A193,'12 P6 activities'!$A$7:$A$206,0)),"ID not in P6 list"))</f>
        <v/>
      </c>
      <c r="C193" s="144" t="str">
        <f>IF(A193="","",IFERROR(INDEX('12 P6 activities'!$C$7:$C$206,MATCH(A193,'12 P6 activities'!$A$7:$A$206,0)),"⚠ not in P6 list"))</f>
        <v/>
      </c>
      <c r="D193" s="164" t="str">
        <f>IF($A193="","",IFERROR(INDEX('12 P6 activities'!$E$7:$E$206,MATCH($A193,'12 P6 activities'!$A$7:$A$206,0)),""))</f>
        <v/>
      </c>
      <c r="E193" s="154"/>
      <c r="F193" s="165"/>
      <c r="G193" s="166" t="str">
        <f t="shared" si="8"/>
        <v/>
      </c>
      <c r="H193" s="167" t="str">
        <f>IF($A193="","",SUMIFS('05 Work done log'!$F$7:$F$506,'05 Work done log'!$B$7:$B$506,$A193))</f>
        <v/>
      </c>
      <c r="I193" s="168" t="str">
        <f>IF($A193="","",SUMIFS('04 Resource log'!$J$7:$J$506,'04 Resource log'!$B$7:$B$506,$A193,'04 Resource log'!$E$7:$E$506,"Labour"))</f>
        <v/>
      </c>
      <c r="J193" s="168" t="str">
        <f t="shared" si="9"/>
        <v/>
      </c>
      <c r="K193" s="169" t="str">
        <f t="shared" si="10"/>
        <v/>
      </c>
      <c r="L193" s="170" t="str">
        <f t="shared" si="11"/>
        <v/>
      </c>
      <c r="M193" s="6"/>
      <c r="N193" s="6"/>
      <c r="O193" s="6"/>
      <c r="P193" s="6"/>
      <c r="Q193" s="6"/>
      <c r="R193" s="6"/>
      <c r="S193" s="6"/>
      <c r="T193" s="6"/>
      <c r="U193" s="6"/>
      <c r="V193" s="6"/>
      <c r="W193" s="6"/>
      <c r="X193" s="6"/>
      <c r="Y193" s="6"/>
      <c r="Z193" s="6"/>
    </row>
    <row r="194" spans="1:26" ht="18" customHeight="1" x14ac:dyDescent="0.3">
      <c r="A194" s="152"/>
      <c r="B194" s="127" t="str">
        <f>IF($A194="","",IFERROR(INDEX('12 P6 activities'!$B$7:$B$206,MATCH($A194,'12 P6 activities'!$A$7:$A$206,0)),"ID not in P6 list"))</f>
        <v/>
      </c>
      <c r="C194" s="144" t="str">
        <f>IF(A194="","",IFERROR(INDEX('12 P6 activities'!$C$7:$C$206,MATCH(A194,'12 P6 activities'!$A$7:$A$206,0)),"⚠ not in P6 list"))</f>
        <v/>
      </c>
      <c r="D194" s="164" t="str">
        <f>IF($A194="","",IFERROR(INDEX('12 P6 activities'!$E$7:$E$206,MATCH($A194,'12 P6 activities'!$A$7:$A$206,0)),""))</f>
        <v/>
      </c>
      <c r="E194" s="154"/>
      <c r="F194" s="165"/>
      <c r="G194" s="166" t="str">
        <f t="shared" si="8"/>
        <v/>
      </c>
      <c r="H194" s="167" t="str">
        <f>IF($A194="","",SUMIFS('05 Work done log'!$F$7:$F$506,'05 Work done log'!$B$7:$B$506,$A194))</f>
        <v/>
      </c>
      <c r="I194" s="168" t="str">
        <f>IF($A194="","",SUMIFS('04 Resource log'!$J$7:$J$506,'04 Resource log'!$B$7:$B$506,$A194,'04 Resource log'!$E$7:$E$506,"Labour"))</f>
        <v/>
      </c>
      <c r="J194" s="168" t="str">
        <f t="shared" si="9"/>
        <v/>
      </c>
      <c r="K194" s="169" t="str">
        <f t="shared" si="10"/>
        <v/>
      </c>
      <c r="L194" s="170" t="str">
        <f t="shared" si="11"/>
        <v/>
      </c>
      <c r="M194" s="6"/>
      <c r="N194" s="6"/>
      <c r="O194" s="6"/>
      <c r="P194" s="6"/>
      <c r="Q194" s="6"/>
      <c r="R194" s="6"/>
      <c r="S194" s="6"/>
      <c r="T194" s="6"/>
      <c r="U194" s="6"/>
      <c r="V194" s="6"/>
      <c r="W194" s="6"/>
      <c r="X194" s="6"/>
      <c r="Y194" s="6"/>
      <c r="Z194" s="6"/>
    </row>
    <row r="195" spans="1:26" ht="18" customHeight="1" x14ac:dyDescent="0.3">
      <c r="A195" s="152"/>
      <c r="B195" s="127" t="str">
        <f>IF($A195="","",IFERROR(INDEX('12 P6 activities'!$B$7:$B$206,MATCH($A195,'12 P6 activities'!$A$7:$A$206,0)),"ID not in P6 list"))</f>
        <v/>
      </c>
      <c r="C195" s="144" t="str">
        <f>IF(A195="","",IFERROR(INDEX('12 P6 activities'!$C$7:$C$206,MATCH(A195,'12 P6 activities'!$A$7:$A$206,0)),"⚠ not in P6 list"))</f>
        <v/>
      </c>
      <c r="D195" s="164" t="str">
        <f>IF($A195="","",IFERROR(INDEX('12 P6 activities'!$E$7:$E$206,MATCH($A195,'12 P6 activities'!$A$7:$A$206,0)),""))</f>
        <v/>
      </c>
      <c r="E195" s="154"/>
      <c r="F195" s="165"/>
      <c r="G195" s="166" t="str">
        <f t="shared" si="8"/>
        <v/>
      </c>
      <c r="H195" s="167" t="str">
        <f>IF($A195="","",SUMIFS('05 Work done log'!$F$7:$F$506,'05 Work done log'!$B$7:$B$506,$A195))</f>
        <v/>
      </c>
      <c r="I195" s="168" t="str">
        <f>IF($A195="","",SUMIFS('04 Resource log'!$J$7:$J$506,'04 Resource log'!$B$7:$B$506,$A195,'04 Resource log'!$E$7:$E$506,"Labour"))</f>
        <v/>
      </c>
      <c r="J195" s="168" t="str">
        <f t="shared" si="9"/>
        <v/>
      </c>
      <c r="K195" s="169" t="str">
        <f t="shared" si="10"/>
        <v/>
      </c>
      <c r="L195" s="170" t="str">
        <f t="shared" si="11"/>
        <v/>
      </c>
      <c r="M195" s="6"/>
      <c r="N195" s="6"/>
      <c r="O195" s="6"/>
      <c r="P195" s="6"/>
      <c r="Q195" s="6"/>
      <c r="R195" s="6"/>
      <c r="S195" s="6"/>
      <c r="T195" s="6"/>
      <c r="U195" s="6"/>
      <c r="V195" s="6"/>
      <c r="W195" s="6"/>
      <c r="X195" s="6"/>
      <c r="Y195" s="6"/>
      <c r="Z195" s="6"/>
    </row>
    <row r="196" spans="1:26" ht="18" customHeight="1" x14ac:dyDescent="0.3">
      <c r="A196" s="152"/>
      <c r="B196" s="127" t="str">
        <f>IF($A196="","",IFERROR(INDEX('12 P6 activities'!$B$7:$B$206,MATCH($A196,'12 P6 activities'!$A$7:$A$206,0)),"ID not in P6 list"))</f>
        <v/>
      </c>
      <c r="C196" s="144" t="str">
        <f>IF(A196="","",IFERROR(INDEX('12 P6 activities'!$C$7:$C$206,MATCH(A196,'12 P6 activities'!$A$7:$A$206,0)),"⚠ not in P6 list"))</f>
        <v/>
      </c>
      <c r="D196" s="164" t="str">
        <f>IF($A196="","",IFERROR(INDEX('12 P6 activities'!$E$7:$E$206,MATCH($A196,'12 P6 activities'!$A$7:$A$206,0)),""))</f>
        <v/>
      </c>
      <c r="E196" s="154"/>
      <c r="F196" s="165"/>
      <c r="G196" s="166" t="str">
        <f t="shared" si="8"/>
        <v/>
      </c>
      <c r="H196" s="167" t="str">
        <f>IF($A196="","",SUMIFS('05 Work done log'!$F$7:$F$506,'05 Work done log'!$B$7:$B$506,$A196))</f>
        <v/>
      </c>
      <c r="I196" s="168" t="str">
        <f>IF($A196="","",SUMIFS('04 Resource log'!$J$7:$J$506,'04 Resource log'!$B$7:$B$506,$A196,'04 Resource log'!$E$7:$E$506,"Labour"))</f>
        <v/>
      </c>
      <c r="J196" s="168" t="str">
        <f t="shared" si="9"/>
        <v/>
      </c>
      <c r="K196" s="169" t="str">
        <f t="shared" si="10"/>
        <v/>
      </c>
      <c r="L196" s="170" t="str">
        <f t="shared" si="11"/>
        <v/>
      </c>
      <c r="M196" s="6"/>
      <c r="N196" s="6"/>
      <c r="O196" s="6"/>
      <c r="P196" s="6"/>
      <c r="Q196" s="6"/>
      <c r="R196" s="6"/>
      <c r="S196" s="6"/>
      <c r="T196" s="6"/>
      <c r="U196" s="6"/>
      <c r="V196" s="6"/>
      <c r="W196" s="6"/>
      <c r="X196" s="6"/>
      <c r="Y196" s="6"/>
      <c r="Z196" s="6"/>
    </row>
    <row r="197" spans="1:26" ht="18" customHeight="1" x14ac:dyDescent="0.3">
      <c r="A197" s="152"/>
      <c r="B197" s="127" t="str">
        <f>IF($A197="","",IFERROR(INDEX('12 P6 activities'!$B$7:$B$206,MATCH($A197,'12 P6 activities'!$A$7:$A$206,0)),"ID not in P6 list"))</f>
        <v/>
      </c>
      <c r="C197" s="144" t="str">
        <f>IF(A197="","",IFERROR(INDEX('12 P6 activities'!$C$7:$C$206,MATCH(A197,'12 P6 activities'!$A$7:$A$206,0)),"⚠ not in P6 list"))</f>
        <v/>
      </c>
      <c r="D197" s="164" t="str">
        <f>IF($A197="","",IFERROR(INDEX('12 P6 activities'!$E$7:$E$206,MATCH($A197,'12 P6 activities'!$A$7:$A$206,0)),""))</f>
        <v/>
      </c>
      <c r="E197" s="154"/>
      <c r="F197" s="165"/>
      <c r="G197" s="166" t="str">
        <f t="shared" si="8"/>
        <v/>
      </c>
      <c r="H197" s="167" t="str">
        <f>IF($A197="","",SUMIFS('05 Work done log'!$F$7:$F$506,'05 Work done log'!$B$7:$B$506,$A197))</f>
        <v/>
      </c>
      <c r="I197" s="168" t="str">
        <f>IF($A197="","",SUMIFS('04 Resource log'!$J$7:$J$506,'04 Resource log'!$B$7:$B$506,$A197,'04 Resource log'!$E$7:$E$506,"Labour"))</f>
        <v/>
      </c>
      <c r="J197" s="168" t="str">
        <f t="shared" si="9"/>
        <v/>
      </c>
      <c r="K197" s="169" t="str">
        <f t="shared" si="10"/>
        <v/>
      </c>
      <c r="L197" s="170" t="str">
        <f t="shared" si="11"/>
        <v/>
      </c>
      <c r="M197" s="6"/>
      <c r="N197" s="6"/>
      <c r="O197" s="6"/>
      <c r="P197" s="6"/>
      <c r="Q197" s="6"/>
      <c r="R197" s="6"/>
      <c r="S197" s="6"/>
      <c r="T197" s="6"/>
      <c r="U197" s="6"/>
      <c r="V197" s="6"/>
      <c r="W197" s="6"/>
      <c r="X197" s="6"/>
      <c r="Y197" s="6"/>
      <c r="Z197" s="6"/>
    </row>
    <row r="198" spans="1:26" ht="18" customHeight="1" x14ac:dyDescent="0.3">
      <c r="A198" s="152"/>
      <c r="B198" s="127" t="str">
        <f>IF($A198="","",IFERROR(INDEX('12 P6 activities'!$B$7:$B$206,MATCH($A198,'12 P6 activities'!$A$7:$A$206,0)),"ID not in P6 list"))</f>
        <v/>
      </c>
      <c r="C198" s="144" t="str">
        <f>IF(A198="","",IFERROR(INDEX('12 P6 activities'!$C$7:$C$206,MATCH(A198,'12 P6 activities'!$A$7:$A$206,0)),"⚠ not in P6 list"))</f>
        <v/>
      </c>
      <c r="D198" s="164" t="str">
        <f>IF($A198="","",IFERROR(INDEX('12 P6 activities'!$E$7:$E$206,MATCH($A198,'12 P6 activities'!$A$7:$A$206,0)),""))</f>
        <v/>
      </c>
      <c r="E198" s="154"/>
      <c r="F198" s="165"/>
      <c r="G198" s="166" t="str">
        <f t="shared" si="8"/>
        <v/>
      </c>
      <c r="H198" s="167" t="str">
        <f>IF($A198="","",SUMIFS('05 Work done log'!$F$7:$F$506,'05 Work done log'!$B$7:$B$506,$A198))</f>
        <v/>
      </c>
      <c r="I198" s="168" t="str">
        <f>IF($A198="","",SUMIFS('04 Resource log'!$J$7:$J$506,'04 Resource log'!$B$7:$B$506,$A198,'04 Resource log'!$E$7:$E$506,"Labour"))</f>
        <v/>
      </c>
      <c r="J198" s="168" t="str">
        <f t="shared" si="9"/>
        <v/>
      </c>
      <c r="K198" s="169" t="str">
        <f t="shared" si="10"/>
        <v/>
      </c>
      <c r="L198" s="170" t="str">
        <f t="shared" si="11"/>
        <v/>
      </c>
      <c r="M198" s="6"/>
      <c r="N198" s="6"/>
      <c r="O198" s="6"/>
      <c r="P198" s="6"/>
      <c r="Q198" s="6"/>
      <c r="R198" s="6"/>
      <c r="S198" s="6"/>
      <c r="T198" s="6"/>
      <c r="U198" s="6"/>
      <c r="V198" s="6"/>
      <c r="W198" s="6"/>
      <c r="X198" s="6"/>
      <c r="Y198" s="6"/>
      <c r="Z198" s="6"/>
    </row>
    <row r="199" spans="1:26" ht="18" customHeight="1" x14ac:dyDescent="0.3">
      <c r="A199" s="152"/>
      <c r="B199" s="127" t="str">
        <f>IF($A199="","",IFERROR(INDEX('12 P6 activities'!$B$7:$B$206,MATCH($A199,'12 P6 activities'!$A$7:$A$206,0)),"ID not in P6 list"))</f>
        <v/>
      </c>
      <c r="C199" s="144" t="str">
        <f>IF(A199="","",IFERROR(INDEX('12 P6 activities'!$C$7:$C$206,MATCH(A199,'12 P6 activities'!$A$7:$A$206,0)),"⚠ not in P6 list"))</f>
        <v/>
      </c>
      <c r="D199" s="164" t="str">
        <f>IF($A199="","",IFERROR(INDEX('12 P6 activities'!$E$7:$E$206,MATCH($A199,'12 P6 activities'!$A$7:$A$206,0)),""))</f>
        <v/>
      </c>
      <c r="E199" s="154"/>
      <c r="F199" s="165"/>
      <c r="G199" s="166" t="str">
        <f t="shared" si="8"/>
        <v/>
      </c>
      <c r="H199" s="167" t="str">
        <f>IF($A199="","",SUMIFS('05 Work done log'!$F$7:$F$506,'05 Work done log'!$B$7:$B$506,$A199))</f>
        <v/>
      </c>
      <c r="I199" s="168" t="str">
        <f>IF($A199="","",SUMIFS('04 Resource log'!$J$7:$J$506,'04 Resource log'!$B$7:$B$506,$A199,'04 Resource log'!$E$7:$E$506,"Labour"))</f>
        <v/>
      </c>
      <c r="J199" s="168" t="str">
        <f t="shared" si="9"/>
        <v/>
      </c>
      <c r="K199" s="169" t="str">
        <f t="shared" si="10"/>
        <v/>
      </c>
      <c r="L199" s="170" t="str">
        <f t="shared" si="11"/>
        <v/>
      </c>
      <c r="M199" s="6"/>
      <c r="N199" s="6"/>
      <c r="O199" s="6"/>
      <c r="P199" s="6"/>
      <c r="Q199" s="6"/>
      <c r="R199" s="6"/>
      <c r="S199" s="6"/>
      <c r="T199" s="6"/>
      <c r="U199" s="6"/>
      <c r="V199" s="6"/>
      <c r="W199" s="6"/>
      <c r="X199" s="6"/>
      <c r="Y199" s="6"/>
      <c r="Z199" s="6"/>
    </row>
    <row r="200" spans="1:26" ht="18" customHeight="1" x14ac:dyDescent="0.3">
      <c r="A200" s="152"/>
      <c r="B200" s="127" t="str">
        <f>IF($A200="","",IFERROR(INDEX('12 P6 activities'!$B$7:$B$206,MATCH($A200,'12 P6 activities'!$A$7:$A$206,0)),"ID not in P6 list"))</f>
        <v/>
      </c>
      <c r="C200" s="144" t="str">
        <f>IF(A200="","",IFERROR(INDEX('12 P6 activities'!$C$7:$C$206,MATCH(A200,'12 P6 activities'!$A$7:$A$206,0)),"⚠ not in P6 list"))</f>
        <v/>
      </c>
      <c r="D200" s="164" t="str">
        <f>IF($A200="","",IFERROR(INDEX('12 P6 activities'!$E$7:$E$206,MATCH($A200,'12 P6 activities'!$A$7:$A$206,0)),""))</f>
        <v/>
      </c>
      <c r="E200" s="154"/>
      <c r="F200" s="165"/>
      <c r="G200" s="166" t="str">
        <f t="shared" ref="G200:G206" si="12">IF(OR($E200="",$F200=""),"",IF($E200=0,"",$F200/$E200))</f>
        <v/>
      </c>
      <c r="H200" s="167" t="str">
        <f>IF($A200="","",SUMIFS('05 Work done log'!$F$7:$F$506,'05 Work done log'!$B$7:$B$506,$A200))</f>
        <v/>
      </c>
      <c r="I200" s="168" t="str">
        <f>IF($A200="","",SUMIFS('04 Resource log'!$J$7:$J$506,'04 Resource log'!$B$7:$B$506,$A200,'04 Resource log'!$E$7:$E$506,"Labour"))</f>
        <v/>
      </c>
      <c r="J200" s="168" t="str">
        <f t="shared" ref="J200:J206" si="13">IF(OR($A200="",$G200=""),"",$H200*$G200)</f>
        <v/>
      </c>
      <c r="K200" s="169" t="str">
        <f t="shared" ref="K200:K206" si="14">IF(OR($A200="",N($E200)=0),"",$H200/$E200)</f>
        <v/>
      </c>
      <c r="L200" s="170" t="str">
        <f t="shared" ref="L200:L206" si="15">IF(OR($A200="",N($I200)=0),"",$J200/$I200)</f>
        <v/>
      </c>
      <c r="M200" s="6"/>
      <c r="N200" s="6"/>
      <c r="O200" s="6"/>
      <c r="P200" s="6"/>
      <c r="Q200" s="6"/>
      <c r="R200" s="6"/>
      <c r="S200" s="6"/>
      <c r="T200" s="6"/>
      <c r="U200" s="6"/>
      <c r="V200" s="6"/>
      <c r="W200" s="6"/>
      <c r="X200" s="6"/>
      <c r="Y200" s="6"/>
      <c r="Z200" s="6"/>
    </row>
    <row r="201" spans="1:26" ht="18" customHeight="1" x14ac:dyDescent="0.3">
      <c r="A201" s="152"/>
      <c r="B201" s="127" t="str">
        <f>IF($A201="","",IFERROR(INDEX('12 P6 activities'!$B$7:$B$206,MATCH($A201,'12 P6 activities'!$A$7:$A$206,0)),"ID not in P6 list"))</f>
        <v/>
      </c>
      <c r="C201" s="144" t="str">
        <f>IF(A201="","",IFERROR(INDEX('12 P6 activities'!$C$7:$C$206,MATCH(A201,'12 P6 activities'!$A$7:$A$206,0)),"⚠ not in P6 list"))</f>
        <v/>
      </c>
      <c r="D201" s="164" t="str">
        <f>IF($A201="","",IFERROR(INDEX('12 P6 activities'!$E$7:$E$206,MATCH($A201,'12 P6 activities'!$A$7:$A$206,0)),""))</f>
        <v/>
      </c>
      <c r="E201" s="154"/>
      <c r="F201" s="165"/>
      <c r="G201" s="166" t="str">
        <f t="shared" si="12"/>
        <v/>
      </c>
      <c r="H201" s="167" t="str">
        <f>IF($A201="","",SUMIFS('05 Work done log'!$F$7:$F$506,'05 Work done log'!$B$7:$B$506,$A201))</f>
        <v/>
      </c>
      <c r="I201" s="168" t="str">
        <f>IF($A201="","",SUMIFS('04 Resource log'!$J$7:$J$506,'04 Resource log'!$B$7:$B$506,$A201,'04 Resource log'!$E$7:$E$506,"Labour"))</f>
        <v/>
      </c>
      <c r="J201" s="168" t="str">
        <f t="shared" si="13"/>
        <v/>
      </c>
      <c r="K201" s="169" t="str">
        <f t="shared" si="14"/>
        <v/>
      </c>
      <c r="L201" s="170" t="str">
        <f t="shared" si="15"/>
        <v/>
      </c>
      <c r="M201" s="6"/>
      <c r="N201" s="6"/>
      <c r="O201" s="6"/>
      <c r="P201" s="6"/>
      <c r="Q201" s="6"/>
      <c r="R201" s="6"/>
      <c r="S201" s="6"/>
      <c r="T201" s="6"/>
      <c r="U201" s="6"/>
      <c r="V201" s="6"/>
      <c r="W201" s="6"/>
      <c r="X201" s="6"/>
      <c r="Y201" s="6"/>
      <c r="Z201" s="6"/>
    </row>
    <row r="202" spans="1:26" ht="18" customHeight="1" x14ac:dyDescent="0.3">
      <c r="A202" s="152"/>
      <c r="B202" s="127" t="str">
        <f>IF($A202="","",IFERROR(INDEX('12 P6 activities'!$B$7:$B$206,MATCH($A202,'12 P6 activities'!$A$7:$A$206,0)),"ID not in P6 list"))</f>
        <v/>
      </c>
      <c r="C202" s="144" t="str">
        <f>IF(A202="","",IFERROR(INDEX('12 P6 activities'!$C$7:$C$206,MATCH(A202,'12 P6 activities'!$A$7:$A$206,0)),"⚠ not in P6 list"))</f>
        <v/>
      </c>
      <c r="D202" s="164" t="str">
        <f>IF($A202="","",IFERROR(INDEX('12 P6 activities'!$E$7:$E$206,MATCH($A202,'12 P6 activities'!$A$7:$A$206,0)),""))</f>
        <v/>
      </c>
      <c r="E202" s="154"/>
      <c r="F202" s="165"/>
      <c r="G202" s="166" t="str">
        <f t="shared" si="12"/>
        <v/>
      </c>
      <c r="H202" s="167" t="str">
        <f>IF($A202="","",SUMIFS('05 Work done log'!$F$7:$F$506,'05 Work done log'!$B$7:$B$506,$A202))</f>
        <v/>
      </c>
      <c r="I202" s="168" t="str">
        <f>IF($A202="","",SUMIFS('04 Resource log'!$J$7:$J$506,'04 Resource log'!$B$7:$B$506,$A202,'04 Resource log'!$E$7:$E$506,"Labour"))</f>
        <v/>
      </c>
      <c r="J202" s="168" t="str">
        <f t="shared" si="13"/>
        <v/>
      </c>
      <c r="K202" s="169" t="str">
        <f t="shared" si="14"/>
        <v/>
      </c>
      <c r="L202" s="170" t="str">
        <f t="shared" si="15"/>
        <v/>
      </c>
      <c r="M202" s="6"/>
      <c r="N202" s="6"/>
      <c r="O202" s="6"/>
      <c r="P202" s="6"/>
      <c r="Q202" s="6"/>
      <c r="R202" s="6"/>
      <c r="S202" s="6"/>
      <c r="T202" s="6"/>
      <c r="U202" s="6"/>
      <c r="V202" s="6"/>
      <c r="W202" s="6"/>
      <c r="X202" s="6"/>
      <c r="Y202" s="6"/>
      <c r="Z202" s="6"/>
    </row>
    <row r="203" spans="1:26" ht="18" customHeight="1" x14ac:dyDescent="0.3">
      <c r="A203" s="152"/>
      <c r="B203" s="127" t="str">
        <f>IF($A203="","",IFERROR(INDEX('12 P6 activities'!$B$7:$B$206,MATCH($A203,'12 P6 activities'!$A$7:$A$206,0)),"ID not in P6 list"))</f>
        <v/>
      </c>
      <c r="C203" s="144" t="str">
        <f>IF(A203="","",IFERROR(INDEX('12 P6 activities'!$C$7:$C$206,MATCH(A203,'12 P6 activities'!$A$7:$A$206,0)),"⚠ not in P6 list"))</f>
        <v/>
      </c>
      <c r="D203" s="164" t="str">
        <f>IF($A203="","",IFERROR(INDEX('12 P6 activities'!$E$7:$E$206,MATCH($A203,'12 P6 activities'!$A$7:$A$206,0)),""))</f>
        <v/>
      </c>
      <c r="E203" s="154"/>
      <c r="F203" s="165"/>
      <c r="G203" s="166" t="str">
        <f t="shared" si="12"/>
        <v/>
      </c>
      <c r="H203" s="167" t="str">
        <f>IF($A203="","",SUMIFS('05 Work done log'!$F$7:$F$506,'05 Work done log'!$B$7:$B$506,$A203))</f>
        <v/>
      </c>
      <c r="I203" s="168" t="str">
        <f>IF($A203="","",SUMIFS('04 Resource log'!$J$7:$J$506,'04 Resource log'!$B$7:$B$506,$A203,'04 Resource log'!$E$7:$E$506,"Labour"))</f>
        <v/>
      </c>
      <c r="J203" s="168" t="str">
        <f t="shared" si="13"/>
        <v/>
      </c>
      <c r="K203" s="169" t="str">
        <f t="shared" si="14"/>
        <v/>
      </c>
      <c r="L203" s="170" t="str">
        <f t="shared" si="15"/>
        <v/>
      </c>
      <c r="M203" s="6"/>
      <c r="N203" s="6"/>
      <c r="O203" s="6"/>
      <c r="P203" s="6"/>
      <c r="Q203" s="6"/>
      <c r="R203" s="6"/>
      <c r="S203" s="6"/>
      <c r="T203" s="6"/>
      <c r="U203" s="6"/>
      <c r="V203" s="6"/>
      <c r="W203" s="6"/>
      <c r="X203" s="6"/>
      <c r="Y203" s="6"/>
      <c r="Z203" s="6"/>
    </row>
    <row r="204" spans="1:26" ht="18" customHeight="1" x14ac:dyDescent="0.3">
      <c r="A204" s="152"/>
      <c r="B204" s="127" t="str">
        <f>IF($A204="","",IFERROR(INDEX('12 P6 activities'!$B$7:$B$206,MATCH($A204,'12 P6 activities'!$A$7:$A$206,0)),"ID not in P6 list"))</f>
        <v/>
      </c>
      <c r="C204" s="144" t="str">
        <f>IF(A204="","",IFERROR(INDEX('12 P6 activities'!$C$7:$C$206,MATCH(A204,'12 P6 activities'!$A$7:$A$206,0)),"⚠ not in P6 list"))</f>
        <v/>
      </c>
      <c r="D204" s="164" t="str">
        <f>IF($A204="","",IFERROR(INDEX('12 P6 activities'!$E$7:$E$206,MATCH($A204,'12 P6 activities'!$A$7:$A$206,0)),""))</f>
        <v/>
      </c>
      <c r="E204" s="154"/>
      <c r="F204" s="165"/>
      <c r="G204" s="166" t="str">
        <f t="shared" si="12"/>
        <v/>
      </c>
      <c r="H204" s="167" t="str">
        <f>IF($A204="","",SUMIFS('05 Work done log'!$F$7:$F$506,'05 Work done log'!$B$7:$B$506,$A204))</f>
        <v/>
      </c>
      <c r="I204" s="168" t="str">
        <f>IF($A204="","",SUMIFS('04 Resource log'!$J$7:$J$506,'04 Resource log'!$B$7:$B$506,$A204,'04 Resource log'!$E$7:$E$506,"Labour"))</f>
        <v/>
      </c>
      <c r="J204" s="168" t="str">
        <f t="shared" si="13"/>
        <v/>
      </c>
      <c r="K204" s="169" t="str">
        <f t="shared" si="14"/>
        <v/>
      </c>
      <c r="L204" s="170" t="str">
        <f t="shared" si="15"/>
        <v/>
      </c>
      <c r="M204" s="6"/>
      <c r="N204" s="6"/>
      <c r="O204" s="6"/>
      <c r="P204" s="6"/>
      <c r="Q204" s="6"/>
      <c r="R204" s="6"/>
      <c r="S204" s="6"/>
      <c r="T204" s="6"/>
      <c r="U204" s="6"/>
      <c r="V204" s="6"/>
      <c r="W204" s="6"/>
      <c r="X204" s="6"/>
      <c r="Y204" s="6"/>
      <c r="Z204" s="6"/>
    </row>
    <row r="205" spans="1:26" ht="18" customHeight="1" x14ac:dyDescent="0.3">
      <c r="A205" s="152"/>
      <c r="B205" s="127" t="str">
        <f>IF($A205="","",IFERROR(INDEX('12 P6 activities'!$B$7:$B$206,MATCH($A205,'12 P6 activities'!$A$7:$A$206,0)),"ID not in P6 list"))</f>
        <v/>
      </c>
      <c r="C205" s="144" t="str">
        <f>IF(A205="","",IFERROR(INDEX('12 P6 activities'!$C$7:$C$206,MATCH(A205,'12 P6 activities'!$A$7:$A$206,0)),"⚠ not in P6 list"))</f>
        <v/>
      </c>
      <c r="D205" s="164" t="str">
        <f>IF($A205="","",IFERROR(INDEX('12 P6 activities'!$E$7:$E$206,MATCH($A205,'12 P6 activities'!$A$7:$A$206,0)),""))</f>
        <v/>
      </c>
      <c r="E205" s="154"/>
      <c r="F205" s="165"/>
      <c r="G205" s="166" t="str">
        <f t="shared" si="12"/>
        <v/>
      </c>
      <c r="H205" s="167" t="str">
        <f>IF($A205="","",SUMIFS('05 Work done log'!$F$7:$F$506,'05 Work done log'!$B$7:$B$506,$A205))</f>
        <v/>
      </c>
      <c r="I205" s="168" t="str">
        <f>IF($A205="","",SUMIFS('04 Resource log'!$J$7:$J$506,'04 Resource log'!$B$7:$B$506,$A205,'04 Resource log'!$E$7:$E$506,"Labour"))</f>
        <v/>
      </c>
      <c r="J205" s="168" t="str">
        <f t="shared" si="13"/>
        <v/>
      </c>
      <c r="K205" s="169" t="str">
        <f t="shared" si="14"/>
        <v/>
      </c>
      <c r="L205" s="170" t="str">
        <f t="shared" si="15"/>
        <v/>
      </c>
      <c r="M205" s="6"/>
      <c r="N205" s="6"/>
      <c r="O205" s="6"/>
      <c r="P205" s="6"/>
      <c r="Q205" s="6"/>
      <c r="R205" s="6"/>
      <c r="S205" s="6"/>
      <c r="T205" s="6"/>
      <c r="U205" s="6"/>
      <c r="V205" s="6"/>
      <c r="W205" s="6"/>
      <c r="X205" s="6"/>
      <c r="Y205" s="6"/>
      <c r="Z205" s="6"/>
    </row>
    <row r="206" spans="1:26" ht="18" customHeight="1" x14ac:dyDescent="0.3">
      <c r="A206" s="152"/>
      <c r="B206" s="127" t="str">
        <f>IF($A206="","",IFERROR(INDEX('12 P6 activities'!$B$7:$B$206,MATCH($A206,'12 P6 activities'!$A$7:$A$206,0)),"ID not in P6 list"))</f>
        <v/>
      </c>
      <c r="C206" s="144" t="str">
        <f>IF(A206="","",IFERROR(INDEX('12 P6 activities'!$C$7:$C$206,MATCH(A206,'12 P6 activities'!$A$7:$A$206,0)),"⚠ not in P6 list"))</f>
        <v/>
      </c>
      <c r="D206" s="164" t="str">
        <f>IF($A206="","",IFERROR(INDEX('12 P6 activities'!$E$7:$E$206,MATCH($A206,'12 P6 activities'!$A$7:$A$206,0)),""))</f>
        <v/>
      </c>
      <c r="E206" s="154"/>
      <c r="F206" s="165"/>
      <c r="G206" s="166" t="str">
        <f t="shared" si="12"/>
        <v/>
      </c>
      <c r="H206" s="167" t="str">
        <f>IF($A206="","",SUMIFS('05 Work done log'!$F$7:$F$506,'05 Work done log'!$B$7:$B$506,$A206))</f>
        <v/>
      </c>
      <c r="I206" s="168" t="str">
        <f>IF($A206="","",SUMIFS('04 Resource log'!$J$7:$J$506,'04 Resource log'!$B$7:$B$506,$A206,'04 Resource log'!$E$7:$E$506,"Labour"))</f>
        <v/>
      </c>
      <c r="J206" s="168" t="str">
        <f t="shared" si="13"/>
        <v/>
      </c>
      <c r="K206" s="169" t="str">
        <f t="shared" si="14"/>
        <v/>
      </c>
      <c r="L206" s="170" t="str">
        <f t="shared" si="15"/>
        <v/>
      </c>
      <c r="M206" s="6"/>
      <c r="N206" s="6"/>
      <c r="O206" s="6"/>
      <c r="P206" s="6"/>
      <c r="Q206" s="6"/>
      <c r="R206" s="6"/>
      <c r="S206" s="6"/>
      <c r="T206" s="6"/>
      <c r="U206" s="6"/>
      <c r="V206" s="6"/>
      <c r="W206" s="6"/>
      <c r="X206" s="6"/>
      <c r="Y206" s="6"/>
      <c r="Z206" s="6"/>
    </row>
    <row r="207" spans="1:26" ht="18" customHeight="1" x14ac:dyDescent="0.3">
      <c r="A207" s="142"/>
      <c r="B207" s="143"/>
      <c r="C207" s="144" t="str">
        <f>IF(A207="","",IFERROR(INDEX('12 P6 activities'!$C$7:$C$206,MATCH(A207,'12 P6 activities'!$A$7:$A$206,0)),"⚠ not in P6 list"))</f>
        <v/>
      </c>
      <c r="D207" s="145"/>
      <c r="E207" s="143"/>
      <c r="F207" s="147"/>
      <c r="G207" s="148"/>
      <c r="H207" s="149"/>
      <c r="I207" s="150"/>
      <c r="J207" s="150"/>
      <c r="K207" s="150"/>
      <c r="L207" s="150"/>
      <c r="M207" s="6"/>
      <c r="N207" s="6"/>
      <c r="O207" s="6"/>
      <c r="P207" s="6"/>
      <c r="Q207" s="6"/>
      <c r="R207" s="6"/>
      <c r="S207" s="6"/>
      <c r="T207" s="6"/>
      <c r="U207" s="6"/>
      <c r="V207" s="6"/>
      <c r="W207" s="6"/>
      <c r="X207" s="6"/>
      <c r="Y207" s="6"/>
      <c r="Z207" s="6"/>
    </row>
    <row r="208" spans="1:26" ht="18" customHeight="1" x14ac:dyDescent="0.3">
      <c r="A208" s="142"/>
      <c r="B208" s="143"/>
      <c r="C208" s="144" t="str">
        <f>IF(A208="","",IFERROR(INDEX('12 P6 activities'!$C$7:$C$206,MATCH(A208,'12 P6 activities'!$A$7:$A$206,0)),"⚠ not in P6 list"))</f>
        <v/>
      </c>
      <c r="D208" s="145"/>
      <c r="E208" s="143"/>
      <c r="F208" s="147"/>
      <c r="G208" s="148"/>
      <c r="H208" s="149"/>
      <c r="I208" s="150"/>
      <c r="J208" s="150"/>
      <c r="K208" s="150"/>
      <c r="L208" s="150"/>
      <c r="M208" s="6"/>
      <c r="N208" s="6"/>
      <c r="O208" s="6"/>
      <c r="P208" s="6"/>
      <c r="Q208" s="6"/>
      <c r="R208" s="6"/>
      <c r="S208" s="6"/>
      <c r="T208" s="6"/>
      <c r="U208" s="6"/>
      <c r="V208" s="6"/>
      <c r="W208" s="6"/>
      <c r="X208" s="6"/>
      <c r="Y208" s="6"/>
      <c r="Z208" s="6"/>
    </row>
    <row r="209" spans="1:26" ht="18" customHeight="1" x14ac:dyDescent="0.3">
      <c r="A209" s="142"/>
      <c r="B209" s="143"/>
      <c r="C209" s="144" t="str">
        <f>IF(A209="","",IFERROR(INDEX('12 P6 activities'!$C$7:$C$206,MATCH(A209,'12 P6 activities'!$A$7:$A$206,0)),"⚠ not in P6 list"))</f>
        <v/>
      </c>
      <c r="D209" s="145"/>
      <c r="E209" s="143"/>
      <c r="F209" s="147"/>
      <c r="G209" s="148"/>
      <c r="H209" s="149"/>
      <c r="I209" s="150"/>
      <c r="J209" s="150"/>
      <c r="K209" s="150"/>
      <c r="L209" s="150"/>
      <c r="M209" s="6"/>
      <c r="N209" s="6"/>
      <c r="O209" s="6"/>
      <c r="P209" s="6"/>
      <c r="Q209" s="6"/>
      <c r="R209" s="6"/>
      <c r="S209" s="6"/>
      <c r="T209" s="6"/>
      <c r="U209" s="6"/>
      <c r="V209" s="6"/>
      <c r="W209" s="6"/>
      <c r="X209" s="6"/>
      <c r="Y209" s="6"/>
      <c r="Z209" s="6"/>
    </row>
    <row r="210" spans="1:26" ht="18" customHeight="1" x14ac:dyDescent="0.3">
      <c r="A210" s="142"/>
      <c r="B210" s="143"/>
      <c r="C210" s="144" t="str">
        <f>IF(A210="","",IFERROR(INDEX('12 P6 activities'!$C$7:$C$206,MATCH(A210,'12 P6 activities'!$A$7:$A$206,0)),"⚠ not in P6 list"))</f>
        <v/>
      </c>
      <c r="D210" s="145"/>
      <c r="E210" s="143"/>
      <c r="F210" s="147"/>
      <c r="G210" s="148"/>
      <c r="H210" s="149"/>
      <c r="I210" s="150"/>
      <c r="J210" s="150"/>
      <c r="K210" s="150"/>
      <c r="L210" s="150"/>
      <c r="M210" s="6"/>
      <c r="N210" s="6"/>
      <c r="O210" s="6"/>
      <c r="P210" s="6"/>
      <c r="Q210" s="6"/>
      <c r="R210" s="6"/>
      <c r="S210" s="6"/>
      <c r="T210" s="6"/>
      <c r="U210" s="6"/>
      <c r="V210" s="6"/>
      <c r="W210" s="6"/>
      <c r="X210" s="6"/>
      <c r="Y210" s="6"/>
      <c r="Z210" s="6"/>
    </row>
    <row r="211" spans="1:26" ht="18" customHeight="1" x14ac:dyDescent="0.3">
      <c r="A211" s="142"/>
      <c r="B211" s="143"/>
      <c r="C211" s="144" t="str">
        <f>IF(A211="","",IFERROR(INDEX('12 P6 activities'!$C$7:$C$206,MATCH(A211,'12 P6 activities'!$A$7:$A$206,0)),"⚠ not in P6 list"))</f>
        <v/>
      </c>
      <c r="D211" s="145"/>
      <c r="E211" s="143"/>
      <c r="F211" s="147"/>
      <c r="G211" s="148"/>
      <c r="H211" s="149"/>
      <c r="I211" s="150"/>
      <c r="J211" s="150"/>
      <c r="K211" s="150"/>
      <c r="L211" s="150"/>
      <c r="M211" s="6"/>
      <c r="N211" s="6"/>
      <c r="O211" s="6"/>
      <c r="P211" s="6"/>
      <c r="Q211" s="6"/>
      <c r="R211" s="6"/>
      <c r="S211" s="6"/>
      <c r="T211" s="6"/>
      <c r="U211" s="6"/>
      <c r="V211" s="6"/>
      <c r="W211" s="6"/>
      <c r="X211" s="6"/>
      <c r="Y211" s="6"/>
      <c r="Z211" s="6"/>
    </row>
    <row r="212" spans="1:26" ht="18" customHeight="1" x14ac:dyDescent="0.3">
      <c r="A212" s="142"/>
      <c r="B212" s="143"/>
      <c r="C212" s="144" t="str">
        <f>IF(A212="","",IFERROR(INDEX('12 P6 activities'!$C$7:$C$206,MATCH(A212,'12 P6 activities'!$A$7:$A$206,0)),"⚠ not in P6 list"))</f>
        <v/>
      </c>
      <c r="D212" s="145"/>
      <c r="E212" s="143"/>
      <c r="F212" s="147"/>
      <c r="G212" s="148"/>
      <c r="H212" s="149"/>
      <c r="I212" s="150"/>
      <c r="J212" s="150"/>
      <c r="K212" s="150"/>
      <c r="L212" s="150"/>
      <c r="M212" s="6"/>
      <c r="N212" s="6"/>
      <c r="O212" s="6"/>
      <c r="P212" s="6"/>
      <c r="Q212" s="6"/>
      <c r="R212" s="6"/>
      <c r="S212" s="6"/>
      <c r="T212" s="6"/>
      <c r="U212" s="6"/>
      <c r="V212" s="6"/>
      <c r="W212" s="6"/>
      <c r="X212" s="6"/>
      <c r="Y212" s="6"/>
      <c r="Z212" s="6"/>
    </row>
    <row r="213" spans="1:26" ht="18" customHeight="1" x14ac:dyDescent="0.3">
      <c r="A213" s="142"/>
      <c r="B213" s="143"/>
      <c r="C213" s="144" t="str">
        <f>IF(A213="","",IFERROR(INDEX('12 P6 activities'!$C$7:$C$206,MATCH(A213,'12 P6 activities'!$A$7:$A$206,0)),"⚠ not in P6 list"))</f>
        <v/>
      </c>
      <c r="D213" s="145"/>
      <c r="E213" s="143"/>
      <c r="F213" s="147"/>
      <c r="G213" s="148"/>
      <c r="H213" s="149"/>
      <c r="I213" s="150"/>
      <c r="J213" s="150"/>
      <c r="K213" s="150"/>
      <c r="L213" s="150"/>
      <c r="M213" s="6"/>
      <c r="N213" s="6"/>
      <c r="O213" s="6"/>
      <c r="P213" s="6"/>
      <c r="Q213" s="6"/>
      <c r="R213" s="6"/>
      <c r="S213" s="6"/>
      <c r="T213" s="6"/>
      <c r="U213" s="6"/>
      <c r="V213" s="6"/>
      <c r="W213" s="6"/>
      <c r="X213" s="6"/>
      <c r="Y213" s="6"/>
      <c r="Z213" s="6"/>
    </row>
    <row r="214" spans="1:26" ht="18" customHeight="1" x14ac:dyDescent="0.3">
      <c r="A214" s="142"/>
      <c r="B214" s="143"/>
      <c r="C214" s="144" t="str">
        <f>IF(A214="","",IFERROR(INDEX('12 P6 activities'!$C$7:$C$206,MATCH(A214,'12 P6 activities'!$A$7:$A$206,0)),"⚠ not in P6 list"))</f>
        <v/>
      </c>
      <c r="D214" s="145"/>
      <c r="E214" s="143"/>
      <c r="F214" s="147"/>
      <c r="G214" s="148"/>
      <c r="H214" s="149"/>
      <c r="I214" s="150"/>
      <c r="J214" s="150"/>
      <c r="K214" s="150"/>
      <c r="L214" s="150"/>
      <c r="M214" s="6"/>
      <c r="N214" s="6"/>
      <c r="O214" s="6"/>
      <c r="P214" s="6"/>
      <c r="Q214" s="6"/>
      <c r="R214" s="6"/>
      <c r="S214" s="6"/>
      <c r="T214" s="6"/>
      <c r="U214" s="6"/>
      <c r="V214" s="6"/>
      <c r="W214" s="6"/>
      <c r="X214" s="6"/>
      <c r="Y214" s="6"/>
      <c r="Z214" s="6"/>
    </row>
    <row r="215" spans="1:26" ht="18" customHeight="1" x14ac:dyDescent="0.3">
      <c r="A215" s="142"/>
      <c r="B215" s="143"/>
      <c r="C215" s="144" t="str">
        <f>IF(A215="","",IFERROR(INDEX('12 P6 activities'!$C$7:$C$206,MATCH(A215,'12 P6 activities'!$A$7:$A$206,0)),"⚠ not in P6 list"))</f>
        <v/>
      </c>
      <c r="D215" s="145"/>
      <c r="E215" s="143"/>
      <c r="F215" s="147"/>
      <c r="G215" s="148"/>
      <c r="H215" s="149"/>
      <c r="I215" s="150"/>
      <c r="J215" s="150"/>
      <c r="K215" s="150"/>
      <c r="L215" s="150"/>
      <c r="M215" s="6"/>
      <c r="N215" s="6"/>
      <c r="O215" s="6"/>
      <c r="P215" s="6"/>
      <c r="Q215" s="6"/>
      <c r="R215" s="6"/>
      <c r="S215" s="6"/>
      <c r="T215" s="6"/>
      <c r="U215" s="6"/>
      <c r="V215" s="6"/>
      <c r="W215" s="6"/>
      <c r="X215" s="6"/>
      <c r="Y215" s="6"/>
      <c r="Z215" s="6"/>
    </row>
    <row r="216" spans="1:26" ht="18" customHeight="1" x14ac:dyDescent="0.3">
      <c r="A216" s="142"/>
      <c r="B216" s="143"/>
      <c r="C216" s="144" t="str">
        <f>IF(A216="","",IFERROR(INDEX('12 P6 activities'!$C$7:$C$206,MATCH(A216,'12 P6 activities'!$A$7:$A$206,0)),"⚠ not in P6 list"))</f>
        <v/>
      </c>
      <c r="D216" s="145"/>
      <c r="E216" s="143"/>
      <c r="F216" s="147"/>
      <c r="G216" s="148"/>
      <c r="H216" s="149"/>
      <c r="I216" s="150"/>
      <c r="J216" s="150"/>
      <c r="K216" s="150"/>
      <c r="L216" s="150"/>
      <c r="M216" s="6"/>
      <c r="N216" s="6"/>
      <c r="O216" s="6"/>
      <c r="P216" s="6"/>
      <c r="Q216" s="6"/>
      <c r="R216" s="6"/>
      <c r="S216" s="6"/>
      <c r="T216" s="6"/>
      <c r="U216" s="6"/>
      <c r="V216" s="6"/>
      <c r="W216" s="6"/>
      <c r="X216" s="6"/>
      <c r="Y216" s="6"/>
      <c r="Z216" s="6"/>
    </row>
    <row r="217" spans="1:26" ht="18" customHeight="1" x14ac:dyDescent="0.3">
      <c r="A217" s="142"/>
      <c r="B217" s="143"/>
      <c r="C217" s="144" t="str">
        <f>IF(A217="","",IFERROR(INDEX('12 P6 activities'!$C$7:$C$206,MATCH(A217,'12 P6 activities'!$A$7:$A$206,0)),"⚠ not in P6 list"))</f>
        <v/>
      </c>
      <c r="D217" s="145"/>
      <c r="E217" s="143"/>
      <c r="F217" s="147"/>
      <c r="G217" s="148"/>
      <c r="H217" s="149"/>
      <c r="I217" s="150"/>
      <c r="J217" s="150"/>
      <c r="K217" s="150"/>
      <c r="L217" s="150"/>
      <c r="M217" s="6"/>
      <c r="N217" s="6"/>
      <c r="O217" s="6"/>
      <c r="P217" s="6"/>
      <c r="Q217" s="6"/>
      <c r="R217" s="6"/>
      <c r="S217" s="6"/>
      <c r="T217" s="6"/>
      <c r="U217" s="6"/>
      <c r="V217" s="6"/>
      <c r="W217" s="6"/>
      <c r="X217" s="6"/>
      <c r="Y217" s="6"/>
      <c r="Z217" s="6"/>
    </row>
    <row r="218" spans="1:26" ht="18" customHeight="1" x14ac:dyDescent="0.3">
      <c r="A218" s="142"/>
      <c r="B218" s="143"/>
      <c r="C218" s="144" t="str">
        <f>IF(A218="","",IFERROR(INDEX('12 P6 activities'!$C$7:$C$206,MATCH(A218,'12 P6 activities'!$A$7:$A$206,0)),"⚠ not in P6 list"))</f>
        <v/>
      </c>
      <c r="D218" s="145"/>
      <c r="E218" s="143"/>
      <c r="F218" s="147"/>
      <c r="G218" s="148"/>
      <c r="H218" s="149"/>
      <c r="I218" s="150"/>
      <c r="J218" s="150"/>
      <c r="K218" s="150"/>
      <c r="L218" s="150"/>
      <c r="M218" s="6"/>
      <c r="N218" s="6"/>
      <c r="O218" s="6"/>
      <c r="P218" s="6"/>
      <c r="Q218" s="6"/>
      <c r="R218" s="6"/>
      <c r="S218" s="6"/>
      <c r="T218" s="6"/>
      <c r="U218" s="6"/>
      <c r="V218" s="6"/>
      <c r="W218" s="6"/>
      <c r="X218" s="6"/>
      <c r="Y218" s="6"/>
      <c r="Z218" s="6"/>
    </row>
    <row r="219" spans="1:26" ht="18" customHeight="1" x14ac:dyDescent="0.3">
      <c r="A219" s="142"/>
      <c r="B219" s="143"/>
      <c r="C219" s="144" t="str">
        <f>IF(A219="","",IFERROR(INDEX('12 P6 activities'!$C$7:$C$206,MATCH(A219,'12 P6 activities'!$A$7:$A$206,0)),"⚠ not in P6 list"))</f>
        <v/>
      </c>
      <c r="D219" s="145"/>
      <c r="E219" s="143"/>
      <c r="F219" s="147"/>
      <c r="G219" s="148"/>
      <c r="H219" s="149"/>
      <c r="I219" s="150"/>
      <c r="J219" s="150"/>
      <c r="K219" s="150"/>
      <c r="L219" s="150"/>
      <c r="M219" s="6"/>
      <c r="N219" s="6"/>
      <c r="O219" s="6"/>
      <c r="P219" s="6"/>
      <c r="Q219" s="6"/>
      <c r="R219" s="6"/>
      <c r="S219" s="6"/>
      <c r="T219" s="6"/>
      <c r="U219" s="6"/>
      <c r="V219" s="6"/>
      <c r="W219" s="6"/>
      <c r="X219" s="6"/>
      <c r="Y219" s="6"/>
      <c r="Z219" s="6"/>
    </row>
    <row r="220" spans="1:26" ht="18" customHeight="1" x14ac:dyDescent="0.3">
      <c r="A220" s="142"/>
      <c r="B220" s="143"/>
      <c r="C220" s="144" t="str">
        <f>IF(A220="","",IFERROR(INDEX('12 P6 activities'!$C$7:$C$206,MATCH(A220,'12 P6 activities'!$A$7:$A$206,0)),"⚠ not in P6 list"))</f>
        <v/>
      </c>
      <c r="D220" s="145"/>
      <c r="E220" s="143"/>
      <c r="F220" s="147"/>
      <c r="G220" s="148"/>
      <c r="H220" s="149"/>
      <c r="I220" s="150"/>
      <c r="J220" s="150"/>
      <c r="K220" s="150"/>
      <c r="L220" s="150"/>
      <c r="M220" s="6"/>
      <c r="N220" s="6"/>
      <c r="O220" s="6"/>
      <c r="P220" s="6"/>
      <c r="Q220" s="6"/>
      <c r="R220" s="6"/>
      <c r="S220" s="6"/>
      <c r="T220" s="6"/>
      <c r="U220" s="6"/>
      <c r="V220" s="6"/>
      <c r="W220" s="6"/>
      <c r="X220" s="6"/>
      <c r="Y220" s="6"/>
      <c r="Z220" s="6"/>
    </row>
    <row r="221" spans="1:26" ht="18" customHeight="1" x14ac:dyDescent="0.3">
      <c r="A221" s="142"/>
      <c r="B221" s="143"/>
      <c r="C221" s="144" t="str">
        <f>IF(A221="","",IFERROR(INDEX('12 P6 activities'!$C$7:$C$206,MATCH(A221,'12 P6 activities'!$A$7:$A$206,0)),"⚠ not in P6 list"))</f>
        <v/>
      </c>
      <c r="D221" s="145"/>
      <c r="E221" s="143"/>
      <c r="F221" s="147"/>
      <c r="G221" s="148"/>
      <c r="H221" s="149"/>
      <c r="I221" s="150"/>
      <c r="J221" s="150"/>
      <c r="K221" s="150"/>
      <c r="L221" s="150"/>
      <c r="M221" s="6"/>
      <c r="N221" s="6"/>
      <c r="O221" s="6"/>
      <c r="P221" s="6"/>
      <c r="Q221" s="6"/>
      <c r="R221" s="6"/>
      <c r="S221" s="6"/>
      <c r="T221" s="6"/>
      <c r="U221" s="6"/>
      <c r="V221" s="6"/>
      <c r="W221" s="6"/>
      <c r="X221" s="6"/>
      <c r="Y221" s="6"/>
      <c r="Z221" s="6"/>
    </row>
    <row r="222" spans="1:26" ht="18" customHeight="1" x14ac:dyDescent="0.3">
      <c r="A222" s="142"/>
      <c r="B222" s="143"/>
      <c r="C222" s="144" t="str">
        <f>IF(A222="","",IFERROR(INDEX('12 P6 activities'!$C$7:$C$206,MATCH(A222,'12 P6 activities'!$A$7:$A$206,0)),"⚠ not in P6 list"))</f>
        <v/>
      </c>
      <c r="D222" s="145"/>
      <c r="E222" s="143"/>
      <c r="F222" s="147"/>
      <c r="G222" s="148"/>
      <c r="H222" s="149"/>
      <c r="I222" s="150"/>
      <c r="J222" s="150"/>
      <c r="K222" s="150"/>
      <c r="L222" s="150"/>
      <c r="M222" s="6"/>
      <c r="N222" s="6"/>
      <c r="O222" s="6"/>
      <c r="P222" s="6"/>
      <c r="Q222" s="6"/>
      <c r="R222" s="6"/>
      <c r="S222" s="6"/>
      <c r="T222" s="6"/>
      <c r="U222" s="6"/>
      <c r="V222" s="6"/>
      <c r="W222" s="6"/>
      <c r="X222" s="6"/>
      <c r="Y222" s="6"/>
      <c r="Z222" s="6"/>
    </row>
    <row r="223" spans="1:26" ht="18" customHeight="1" x14ac:dyDescent="0.3">
      <c r="A223" s="142"/>
      <c r="B223" s="143"/>
      <c r="C223" s="144" t="str">
        <f>IF(A223="","",IFERROR(INDEX('12 P6 activities'!$C$7:$C$206,MATCH(A223,'12 P6 activities'!$A$7:$A$206,0)),"⚠ not in P6 list"))</f>
        <v/>
      </c>
      <c r="D223" s="145"/>
      <c r="E223" s="143"/>
      <c r="F223" s="147"/>
      <c r="G223" s="148"/>
      <c r="H223" s="149"/>
      <c r="I223" s="150"/>
      <c r="J223" s="150"/>
      <c r="K223" s="150"/>
      <c r="L223" s="150"/>
      <c r="M223" s="6"/>
      <c r="N223" s="6"/>
      <c r="O223" s="6"/>
      <c r="P223" s="6"/>
      <c r="Q223" s="6"/>
      <c r="R223" s="6"/>
      <c r="S223" s="6"/>
      <c r="T223" s="6"/>
      <c r="U223" s="6"/>
      <c r="V223" s="6"/>
      <c r="W223" s="6"/>
      <c r="X223" s="6"/>
      <c r="Y223" s="6"/>
      <c r="Z223" s="6"/>
    </row>
    <row r="224" spans="1:26" ht="18" customHeight="1" x14ac:dyDescent="0.3">
      <c r="A224" s="142"/>
      <c r="B224" s="143"/>
      <c r="C224" s="144" t="str">
        <f>IF(A224="","",IFERROR(INDEX('12 P6 activities'!$C$7:$C$206,MATCH(A224,'12 P6 activities'!$A$7:$A$206,0)),"⚠ not in P6 list"))</f>
        <v/>
      </c>
      <c r="D224" s="145"/>
      <c r="E224" s="143"/>
      <c r="F224" s="147"/>
      <c r="G224" s="148"/>
      <c r="H224" s="149"/>
      <c r="I224" s="150"/>
      <c r="J224" s="150"/>
      <c r="K224" s="150"/>
      <c r="L224" s="150"/>
      <c r="M224" s="6"/>
      <c r="N224" s="6"/>
      <c r="O224" s="6"/>
      <c r="P224" s="6"/>
      <c r="Q224" s="6"/>
      <c r="R224" s="6"/>
      <c r="S224" s="6"/>
      <c r="T224" s="6"/>
      <c r="U224" s="6"/>
      <c r="V224" s="6"/>
      <c r="W224" s="6"/>
      <c r="X224" s="6"/>
      <c r="Y224" s="6"/>
      <c r="Z224" s="6"/>
    </row>
    <row r="225" spans="1:26" ht="18" customHeight="1" x14ac:dyDescent="0.3">
      <c r="A225" s="142"/>
      <c r="B225" s="143"/>
      <c r="C225" s="144" t="str">
        <f>IF(A225="","",IFERROR(INDEX('12 P6 activities'!$C$7:$C$206,MATCH(A225,'12 P6 activities'!$A$7:$A$206,0)),"⚠ not in P6 list"))</f>
        <v/>
      </c>
      <c r="D225" s="145"/>
      <c r="E225" s="143"/>
      <c r="F225" s="147"/>
      <c r="G225" s="148"/>
      <c r="H225" s="149"/>
      <c r="I225" s="150"/>
      <c r="J225" s="150"/>
      <c r="K225" s="150"/>
      <c r="L225" s="150"/>
      <c r="M225" s="6"/>
      <c r="N225" s="6"/>
      <c r="O225" s="6"/>
      <c r="P225" s="6"/>
      <c r="Q225" s="6"/>
      <c r="R225" s="6"/>
      <c r="S225" s="6"/>
      <c r="T225" s="6"/>
      <c r="U225" s="6"/>
      <c r="V225" s="6"/>
      <c r="W225" s="6"/>
      <c r="X225" s="6"/>
      <c r="Y225" s="6"/>
      <c r="Z225" s="6"/>
    </row>
    <row r="226" spans="1:26" ht="18" customHeight="1" x14ac:dyDescent="0.3">
      <c r="A226" s="142"/>
      <c r="B226" s="143"/>
      <c r="C226" s="144" t="str">
        <f>IF(A226="","",IFERROR(INDEX('12 P6 activities'!$C$7:$C$206,MATCH(A226,'12 P6 activities'!$A$7:$A$206,0)),"⚠ not in P6 list"))</f>
        <v/>
      </c>
      <c r="D226" s="145"/>
      <c r="E226" s="143"/>
      <c r="F226" s="147"/>
      <c r="G226" s="148"/>
      <c r="H226" s="149"/>
      <c r="I226" s="150"/>
      <c r="J226" s="150"/>
      <c r="K226" s="150"/>
      <c r="L226" s="150"/>
      <c r="M226" s="6"/>
      <c r="N226" s="6"/>
      <c r="O226" s="6"/>
      <c r="P226" s="6"/>
      <c r="Q226" s="6"/>
      <c r="R226" s="6"/>
      <c r="S226" s="6"/>
      <c r="T226" s="6"/>
      <c r="U226" s="6"/>
      <c r="V226" s="6"/>
      <c r="W226" s="6"/>
      <c r="X226" s="6"/>
      <c r="Y226" s="6"/>
      <c r="Z226" s="6"/>
    </row>
    <row r="227" spans="1:26" ht="18" customHeight="1" x14ac:dyDescent="0.3">
      <c r="A227" s="142"/>
      <c r="B227" s="143"/>
      <c r="C227" s="144" t="str">
        <f>IF(A227="","",IFERROR(INDEX('12 P6 activities'!$C$7:$C$206,MATCH(A227,'12 P6 activities'!$A$7:$A$206,0)),"⚠ not in P6 list"))</f>
        <v/>
      </c>
      <c r="D227" s="145"/>
      <c r="E227" s="143"/>
      <c r="F227" s="147"/>
      <c r="G227" s="148"/>
      <c r="H227" s="149"/>
      <c r="I227" s="150"/>
      <c r="J227" s="150"/>
      <c r="K227" s="150"/>
      <c r="L227" s="150"/>
      <c r="M227" s="6"/>
      <c r="N227" s="6"/>
      <c r="O227" s="6"/>
      <c r="P227" s="6"/>
      <c r="Q227" s="6"/>
      <c r="R227" s="6"/>
      <c r="S227" s="6"/>
      <c r="T227" s="6"/>
      <c r="U227" s="6"/>
      <c r="V227" s="6"/>
      <c r="W227" s="6"/>
      <c r="X227" s="6"/>
      <c r="Y227" s="6"/>
      <c r="Z227" s="6"/>
    </row>
    <row r="228" spans="1:26" ht="18" customHeight="1" x14ac:dyDescent="0.3">
      <c r="A228" s="142"/>
      <c r="B228" s="143"/>
      <c r="C228" s="144" t="str">
        <f>IF(A228="","",IFERROR(INDEX('12 P6 activities'!$C$7:$C$206,MATCH(A228,'12 P6 activities'!$A$7:$A$206,0)),"⚠ not in P6 list"))</f>
        <v/>
      </c>
      <c r="D228" s="145"/>
      <c r="E228" s="143"/>
      <c r="F228" s="147"/>
      <c r="G228" s="148"/>
      <c r="H228" s="149"/>
      <c r="I228" s="150"/>
      <c r="J228" s="150"/>
      <c r="K228" s="150"/>
      <c r="L228" s="150"/>
      <c r="M228" s="6"/>
      <c r="N228" s="6"/>
      <c r="O228" s="6"/>
      <c r="P228" s="6"/>
      <c r="Q228" s="6"/>
      <c r="R228" s="6"/>
      <c r="S228" s="6"/>
      <c r="T228" s="6"/>
      <c r="U228" s="6"/>
      <c r="V228" s="6"/>
      <c r="W228" s="6"/>
      <c r="X228" s="6"/>
      <c r="Y228" s="6"/>
      <c r="Z228" s="6"/>
    </row>
    <row r="229" spans="1:26" ht="18" customHeight="1" x14ac:dyDescent="0.3">
      <c r="A229" s="142"/>
      <c r="B229" s="143"/>
      <c r="C229" s="144" t="str">
        <f>IF(A229="","",IFERROR(INDEX('12 P6 activities'!$C$7:$C$206,MATCH(A229,'12 P6 activities'!$A$7:$A$206,0)),"⚠ not in P6 list"))</f>
        <v/>
      </c>
      <c r="D229" s="145"/>
      <c r="E229" s="143"/>
      <c r="F229" s="147"/>
      <c r="G229" s="148"/>
      <c r="H229" s="149"/>
      <c r="I229" s="150"/>
      <c r="J229" s="150"/>
      <c r="K229" s="150"/>
      <c r="L229" s="150"/>
      <c r="M229" s="6"/>
      <c r="N229" s="6"/>
      <c r="O229" s="6"/>
      <c r="P229" s="6"/>
      <c r="Q229" s="6"/>
      <c r="R229" s="6"/>
      <c r="S229" s="6"/>
      <c r="T229" s="6"/>
      <c r="U229" s="6"/>
      <c r="V229" s="6"/>
      <c r="W229" s="6"/>
      <c r="X229" s="6"/>
      <c r="Y229" s="6"/>
      <c r="Z229" s="6"/>
    </row>
    <row r="230" spans="1:26" ht="18" customHeight="1" x14ac:dyDescent="0.3">
      <c r="A230" s="142"/>
      <c r="B230" s="143"/>
      <c r="C230" s="144" t="str">
        <f>IF(A230="","",IFERROR(INDEX('12 P6 activities'!$C$7:$C$206,MATCH(A230,'12 P6 activities'!$A$7:$A$206,0)),"⚠ not in P6 list"))</f>
        <v/>
      </c>
      <c r="D230" s="145"/>
      <c r="E230" s="143"/>
      <c r="F230" s="147"/>
      <c r="G230" s="148"/>
      <c r="H230" s="149"/>
      <c r="I230" s="150"/>
      <c r="J230" s="150"/>
      <c r="K230" s="150"/>
      <c r="L230" s="150"/>
      <c r="M230" s="6"/>
      <c r="N230" s="6"/>
      <c r="O230" s="6"/>
      <c r="P230" s="6"/>
      <c r="Q230" s="6"/>
      <c r="R230" s="6"/>
      <c r="S230" s="6"/>
      <c r="T230" s="6"/>
      <c r="U230" s="6"/>
      <c r="V230" s="6"/>
      <c r="W230" s="6"/>
      <c r="X230" s="6"/>
      <c r="Y230" s="6"/>
      <c r="Z230" s="6"/>
    </row>
    <row r="231" spans="1:26" ht="18" customHeight="1" x14ac:dyDescent="0.3">
      <c r="A231" s="142"/>
      <c r="B231" s="143"/>
      <c r="C231" s="144" t="str">
        <f>IF(A231="","",IFERROR(INDEX('12 P6 activities'!$C$7:$C$206,MATCH(A231,'12 P6 activities'!$A$7:$A$206,0)),"⚠ not in P6 list"))</f>
        <v/>
      </c>
      <c r="D231" s="145"/>
      <c r="E231" s="143"/>
      <c r="F231" s="147"/>
      <c r="G231" s="148"/>
      <c r="H231" s="149"/>
      <c r="I231" s="150"/>
      <c r="J231" s="150"/>
      <c r="K231" s="150"/>
      <c r="L231" s="150"/>
      <c r="M231" s="6"/>
      <c r="N231" s="6"/>
      <c r="O231" s="6"/>
      <c r="P231" s="6"/>
      <c r="Q231" s="6"/>
      <c r="R231" s="6"/>
      <c r="S231" s="6"/>
      <c r="T231" s="6"/>
      <c r="U231" s="6"/>
      <c r="V231" s="6"/>
      <c r="W231" s="6"/>
      <c r="X231" s="6"/>
      <c r="Y231" s="6"/>
      <c r="Z231" s="6"/>
    </row>
    <row r="232" spans="1:26" ht="18" customHeight="1" x14ac:dyDescent="0.3">
      <c r="A232" s="142"/>
      <c r="B232" s="143"/>
      <c r="C232" s="144" t="str">
        <f>IF(A232="","",IFERROR(INDEX('12 P6 activities'!$C$7:$C$206,MATCH(A232,'12 P6 activities'!$A$7:$A$206,0)),"⚠ not in P6 list"))</f>
        <v/>
      </c>
      <c r="D232" s="145"/>
      <c r="E232" s="143"/>
      <c r="F232" s="147"/>
      <c r="G232" s="148"/>
      <c r="H232" s="149"/>
      <c r="I232" s="150"/>
      <c r="J232" s="150"/>
      <c r="K232" s="150"/>
      <c r="L232" s="150"/>
      <c r="M232" s="6"/>
      <c r="N232" s="6"/>
      <c r="O232" s="6"/>
      <c r="P232" s="6"/>
      <c r="Q232" s="6"/>
      <c r="R232" s="6"/>
      <c r="S232" s="6"/>
      <c r="T232" s="6"/>
      <c r="U232" s="6"/>
      <c r="V232" s="6"/>
      <c r="W232" s="6"/>
      <c r="X232" s="6"/>
      <c r="Y232" s="6"/>
      <c r="Z232" s="6"/>
    </row>
    <row r="233" spans="1:26" ht="18" customHeight="1" x14ac:dyDescent="0.3">
      <c r="A233" s="142"/>
      <c r="B233" s="143"/>
      <c r="C233" s="144" t="str">
        <f>IF(A233="","",IFERROR(INDEX('12 P6 activities'!$C$7:$C$206,MATCH(A233,'12 P6 activities'!$A$7:$A$206,0)),"⚠ not in P6 list"))</f>
        <v/>
      </c>
      <c r="D233" s="145"/>
      <c r="E233" s="143"/>
      <c r="F233" s="147"/>
      <c r="G233" s="148"/>
      <c r="H233" s="149"/>
      <c r="I233" s="150"/>
      <c r="J233" s="150"/>
      <c r="K233" s="150"/>
      <c r="L233" s="150"/>
      <c r="M233" s="6"/>
      <c r="N233" s="6"/>
      <c r="O233" s="6"/>
      <c r="P233" s="6"/>
      <c r="Q233" s="6"/>
      <c r="R233" s="6"/>
      <c r="S233" s="6"/>
      <c r="T233" s="6"/>
      <c r="U233" s="6"/>
      <c r="V233" s="6"/>
      <c r="W233" s="6"/>
      <c r="X233" s="6"/>
      <c r="Y233" s="6"/>
      <c r="Z233" s="6"/>
    </row>
    <row r="234" spans="1:26" ht="18" customHeight="1" x14ac:dyDescent="0.3">
      <c r="A234" s="142"/>
      <c r="B234" s="143"/>
      <c r="C234" s="144" t="str">
        <f>IF(A234="","",IFERROR(INDEX('12 P6 activities'!$C$7:$C$206,MATCH(A234,'12 P6 activities'!$A$7:$A$206,0)),"⚠ not in P6 list"))</f>
        <v/>
      </c>
      <c r="D234" s="145"/>
      <c r="E234" s="143"/>
      <c r="F234" s="147"/>
      <c r="G234" s="148"/>
      <c r="H234" s="149"/>
      <c r="I234" s="150"/>
      <c r="J234" s="150"/>
      <c r="K234" s="150"/>
      <c r="L234" s="150"/>
      <c r="M234" s="6"/>
      <c r="N234" s="6"/>
      <c r="O234" s="6"/>
      <c r="P234" s="6"/>
      <c r="Q234" s="6"/>
      <c r="R234" s="6"/>
      <c r="S234" s="6"/>
      <c r="T234" s="6"/>
      <c r="U234" s="6"/>
      <c r="V234" s="6"/>
      <c r="W234" s="6"/>
      <c r="X234" s="6"/>
      <c r="Y234" s="6"/>
      <c r="Z234" s="6"/>
    </row>
    <row r="235" spans="1:26" ht="18" customHeight="1" x14ac:dyDescent="0.3">
      <c r="A235" s="142"/>
      <c r="B235" s="143"/>
      <c r="C235" s="144" t="str">
        <f>IF(A235="","",IFERROR(INDEX('12 P6 activities'!$C$7:$C$206,MATCH(A235,'12 P6 activities'!$A$7:$A$206,0)),"⚠ not in P6 list"))</f>
        <v/>
      </c>
      <c r="D235" s="145"/>
      <c r="E235" s="143"/>
      <c r="F235" s="147"/>
      <c r="G235" s="148"/>
      <c r="H235" s="149"/>
      <c r="I235" s="150"/>
      <c r="J235" s="150"/>
      <c r="K235" s="150"/>
      <c r="L235" s="150"/>
      <c r="M235" s="6"/>
      <c r="N235" s="6"/>
      <c r="O235" s="6"/>
      <c r="P235" s="6"/>
      <c r="Q235" s="6"/>
      <c r="R235" s="6"/>
      <c r="S235" s="6"/>
      <c r="T235" s="6"/>
      <c r="U235" s="6"/>
      <c r="V235" s="6"/>
      <c r="W235" s="6"/>
      <c r="X235" s="6"/>
      <c r="Y235" s="6"/>
      <c r="Z235" s="6"/>
    </row>
    <row r="236" spans="1:26" ht="18" customHeight="1" x14ac:dyDescent="0.3">
      <c r="A236" s="142"/>
      <c r="B236" s="143"/>
      <c r="C236" s="144" t="str">
        <f>IF(A236="","",IFERROR(INDEX('12 P6 activities'!$C$7:$C$206,MATCH(A236,'12 P6 activities'!$A$7:$A$206,0)),"⚠ not in P6 list"))</f>
        <v/>
      </c>
      <c r="D236" s="145"/>
      <c r="E236" s="143"/>
      <c r="F236" s="147"/>
      <c r="G236" s="148"/>
      <c r="H236" s="149"/>
      <c r="I236" s="150"/>
      <c r="J236" s="150"/>
      <c r="K236" s="150"/>
      <c r="L236" s="150"/>
      <c r="M236" s="6"/>
      <c r="N236" s="6"/>
      <c r="O236" s="6"/>
      <c r="P236" s="6"/>
      <c r="Q236" s="6"/>
      <c r="R236" s="6"/>
      <c r="S236" s="6"/>
      <c r="T236" s="6"/>
      <c r="U236" s="6"/>
      <c r="V236" s="6"/>
      <c r="W236" s="6"/>
      <c r="X236" s="6"/>
      <c r="Y236" s="6"/>
      <c r="Z236" s="6"/>
    </row>
    <row r="237" spans="1:26" ht="18" customHeight="1" x14ac:dyDescent="0.3">
      <c r="A237" s="142"/>
      <c r="B237" s="143"/>
      <c r="C237" s="144" t="str">
        <f>IF(A237="","",IFERROR(INDEX('12 P6 activities'!$C$7:$C$206,MATCH(A237,'12 P6 activities'!$A$7:$A$206,0)),"⚠ not in P6 list"))</f>
        <v/>
      </c>
      <c r="D237" s="145"/>
      <c r="E237" s="143"/>
      <c r="F237" s="147"/>
      <c r="G237" s="148"/>
      <c r="H237" s="149"/>
      <c r="I237" s="150"/>
      <c r="J237" s="150"/>
      <c r="K237" s="150"/>
      <c r="L237" s="150"/>
      <c r="M237" s="6"/>
      <c r="N237" s="6"/>
      <c r="O237" s="6"/>
      <c r="P237" s="6"/>
      <c r="Q237" s="6"/>
      <c r="R237" s="6"/>
      <c r="S237" s="6"/>
      <c r="T237" s="6"/>
      <c r="U237" s="6"/>
      <c r="V237" s="6"/>
      <c r="W237" s="6"/>
      <c r="X237" s="6"/>
      <c r="Y237" s="6"/>
      <c r="Z237" s="6"/>
    </row>
    <row r="238" spans="1:26" ht="18" customHeight="1" x14ac:dyDescent="0.3">
      <c r="A238" s="142"/>
      <c r="B238" s="143"/>
      <c r="C238" s="144" t="str">
        <f>IF(A238="","",IFERROR(INDEX('12 P6 activities'!$C$7:$C$206,MATCH(A238,'12 P6 activities'!$A$7:$A$206,0)),"⚠ not in P6 list"))</f>
        <v/>
      </c>
      <c r="D238" s="145"/>
      <c r="E238" s="143"/>
      <c r="F238" s="147"/>
      <c r="G238" s="148"/>
      <c r="H238" s="149"/>
      <c r="I238" s="150"/>
      <c r="J238" s="150"/>
      <c r="K238" s="150"/>
      <c r="L238" s="150"/>
      <c r="M238" s="6"/>
      <c r="N238" s="6"/>
      <c r="O238" s="6"/>
      <c r="P238" s="6"/>
      <c r="Q238" s="6"/>
      <c r="R238" s="6"/>
      <c r="S238" s="6"/>
      <c r="T238" s="6"/>
      <c r="U238" s="6"/>
      <c r="V238" s="6"/>
      <c r="W238" s="6"/>
      <c r="X238" s="6"/>
      <c r="Y238" s="6"/>
      <c r="Z238" s="6"/>
    </row>
    <row r="239" spans="1:26" ht="18" customHeight="1" x14ac:dyDescent="0.3">
      <c r="A239" s="142"/>
      <c r="B239" s="143"/>
      <c r="C239" s="144" t="str">
        <f>IF(A239="","",IFERROR(INDEX('12 P6 activities'!$C$7:$C$206,MATCH(A239,'12 P6 activities'!$A$7:$A$206,0)),"⚠ not in P6 list"))</f>
        <v/>
      </c>
      <c r="D239" s="145"/>
      <c r="E239" s="143"/>
      <c r="F239" s="147"/>
      <c r="G239" s="148"/>
      <c r="H239" s="149"/>
      <c r="I239" s="150"/>
      <c r="J239" s="150"/>
      <c r="K239" s="150"/>
      <c r="L239" s="150"/>
      <c r="M239" s="6"/>
      <c r="N239" s="6"/>
      <c r="O239" s="6"/>
      <c r="P239" s="6"/>
      <c r="Q239" s="6"/>
      <c r="R239" s="6"/>
      <c r="S239" s="6"/>
      <c r="T239" s="6"/>
      <c r="U239" s="6"/>
      <c r="V239" s="6"/>
      <c r="W239" s="6"/>
      <c r="X239" s="6"/>
      <c r="Y239" s="6"/>
      <c r="Z239" s="6"/>
    </row>
    <row r="240" spans="1:26" ht="18" customHeight="1" x14ac:dyDescent="0.3">
      <c r="A240" s="142"/>
      <c r="B240" s="143"/>
      <c r="C240" s="144" t="str">
        <f>IF(A240="","",IFERROR(INDEX('12 P6 activities'!$C$7:$C$206,MATCH(A240,'12 P6 activities'!$A$7:$A$206,0)),"⚠ not in P6 list"))</f>
        <v/>
      </c>
      <c r="D240" s="145"/>
      <c r="E240" s="143"/>
      <c r="F240" s="147"/>
      <c r="G240" s="148"/>
      <c r="H240" s="149"/>
      <c r="I240" s="150"/>
      <c r="J240" s="150"/>
      <c r="K240" s="150"/>
      <c r="L240" s="150"/>
      <c r="M240" s="6"/>
      <c r="N240" s="6"/>
      <c r="O240" s="6"/>
      <c r="P240" s="6"/>
      <c r="Q240" s="6"/>
      <c r="R240" s="6"/>
      <c r="S240" s="6"/>
      <c r="T240" s="6"/>
      <c r="U240" s="6"/>
      <c r="V240" s="6"/>
      <c r="W240" s="6"/>
      <c r="X240" s="6"/>
      <c r="Y240" s="6"/>
      <c r="Z240" s="6"/>
    </row>
    <row r="241" spans="1:26" ht="18" customHeight="1" x14ac:dyDescent="0.3">
      <c r="A241" s="142"/>
      <c r="B241" s="143"/>
      <c r="C241" s="144" t="str">
        <f>IF(A241="","",IFERROR(INDEX('12 P6 activities'!$C$7:$C$206,MATCH(A241,'12 P6 activities'!$A$7:$A$206,0)),"⚠ not in P6 list"))</f>
        <v/>
      </c>
      <c r="D241" s="145"/>
      <c r="E241" s="143"/>
      <c r="F241" s="147"/>
      <c r="G241" s="148"/>
      <c r="H241" s="149"/>
      <c r="I241" s="150"/>
      <c r="J241" s="150"/>
      <c r="K241" s="150"/>
      <c r="L241" s="150"/>
      <c r="M241" s="6"/>
      <c r="N241" s="6"/>
      <c r="O241" s="6"/>
      <c r="P241" s="6"/>
      <c r="Q241" s="6"/>
      <c r="R241" s="6"/>
      <c r="S241" s="6"/>
      <c r="T241" s="6"/>
      <c r="U241" s="6"/>
      <c r="V241" s="6"/>
      <c r="W241" s="6"/>
      <c r="X241" s="6"/>
      <c r="Y241" s="6"/>
      <c r="Z241" s="6"/>
    </row>
    <row r="242" spans="1:26" ht="18" customHeight="1" x14ac:dyDescent="0.3">
      <c r="A242" s="142"/>
      <c r="B242" s="143"/>
      <c r="C242" s="144" t="str">
        <f>IF(A242="","",IFERROR(INDEX('12 P6 activities'!$C$7:$C$206,MATCH(A242,'12 P6 activities'!$A$7:$A$206,0)),"⚠ not in P6 list"))</f>
        <v/>
      </c>
      <c r="D242" s="145"/>
      <c r="E242" s="143"/>
      <c r="F242" s="147"/>
      <c r="G242" s="148"/>
      <c r="H242" s="149"/>
      <c r="I242" s="150"/>
      <c r="J242" s="150"/>
      <c r="K242" s="150"/>
      <c r="L242" s="150"/>
      <c r="M242" s="6"/>
      <c r="N242" s="6"/>
      <c r="O242" s="6"/>
      <c r="P242" s="6"/>
      <c r="Q242" s="6"/>
      <c r="R242" s="6"/>
      <c r="S242" s="6"/>
      <c r="T242" s="6"/>
      <c r="U242" s="6"/>
      <c r="V242" s="6"/>
      <c r="W242" s="6"/>
      <c r="X242" s="6"/>
      <c r="Y242" s="6"/>
      <c r="Z242" s="6"/>
    </row>
    <row r="243" spans="1:26" ht="18" customHeight="1" x14ac:dyDescent="0.3">
      <c r="A243" s="142"/>
      <c r="B243" s="143"/>
      <c r="C243" s="144" t="str">
        <f>IF(A243="","",IFERROR(INDEX('12 P6 activities'!$C$7:$C$206,MATCH(A243,'12 P6 activities'!$A$7:$A$206,0)),"⚠ not in P6 list"))</f>
        <v/>
      </c>
      <c r="D243" s="145"/>
      <c r="E243" s="143"/>
      <c r="F243" s="147"/>
      <c r="G243" s="148"/>
      <c r="H243" s="149"/>
      <c r="I243" s="150"/>
      <c r="J243" s="150"/>
      <c r="K243" s="150"/>
      <c r="L243" s="150"/>
      <c r="M243" s="6"/>
      <c r="N243" s="6"/>
      <c r="O243" s="6"/>
      <c r="P243" s="6"/>
      <c r="Q243" s="6"/>
      <c r="R243" s="6"/>
      <c r="S243" s="6"/>
      <c r="T243" s="6"/>
      <c r="U243" s="6"/>
      <c r="V243" s="6"/>
      <c r="W243" s="6"/>
      <c r="X243" s="6"/>
      <c r="Y243" s="6"/>
      <c r="Z243" s="6"/>
    </row>
    <row r="244" spans="1:26" ht="18" customHeight="1" x14ac:dyDescent="0.3">
      <c r="A244" s="142"/>
      <c r="B244" s="143"/>
      <c r="C244" s="144" t="str">
        <f>IF(A244="","",IFERROR(INDEX('12 P6 activities'!$C$7:$C$206,MATCH(A244,'12 P6 activities'!$A$7:$A$206,0)),"⚠ not in P6 list"))</f>
        <v/>
      </c>
      <c r="D244" s="145"/>
      <c r="E244" s="143"/>
      <c r="F244" s="147"/>
      <c r="G244" s="148"/>
      <c r="H244" s="149"/>
      <c r="I244" s="150"/>
      <c r="J244" s="150"/>
      <c r="K244" s="150"/>
      <c r="L244" s="150"/>
      <c r="M244" s="6"/>
      <c r="N244" s="6"/>
      <c r="O244" s="6"/>
      <c r="P244" s="6"/>
      <c r="Q244" s="6"/>
      <c r="R244" s="6"/>
      <c r="S244" s="6"/>
      <c r="T244" s="6"/>
      <c r="U244" s="6"/>
      <c r="V244" s="6"/>
      <c r="W244" s="6"/>
      <c r="X244" s="6"/>
      <c r="Y244" s="6"/>
      <c r="Z244" s="6"/>
    </row>
    <row r="245" spans="1:26" ht="18" customHeight="1" x14ac:dyDescent="0.3">
      <c r="A245" s="142"/>
      <c r="B245" s="143"/>
      <c r="C245" s="144" t="str">
        <f>IF(A245="","",IFERROR(INDEX('12 P6 activities'!$C$7:$C$206,MATCH(A245,'12 P6 activities'!$A$7:$A$206,0)),"⚠ not in P6 list"))</f>
        <v/>
      </c>
      <c r="D245" s="145"/>
      <c r="E245" s="143"/>
      <c r="F245" s="147"/>
      <c r="G245" s="148"/>
      <c r="H245" s="149"/>
      <c r="I245" s="150"/>
      <c r="J245" s="150"/>
      <c r="K245" s="150"/>
      <c r="L245" s="150"/>
      <c r="M245" s="6"/>
      <c r="N245" s="6"/>
      <c r="O245" s="6"/>
      <c r="P245" s="6"/>
      <c r="Q245" s="6"/>
      <c r="R245" s="6"/>
      <c r="S245" s="6"/>
      <c r="T245" s="6"/>
      <c r="U245" s="6"/>
      <c r="V245" s="6"/>
      <c r="W245" s="6"/>
      <c r="X245" s="6"/>
      <c r="Y245" s="6"/>
      <c r="Z245" s="6"/>
    </row>
    <row r="246" spans="1:26" ht="18" customHeight="1" x14ac:dyDescent="0.3">
      <c r="A246" s="142"/>
      <c r="B246" s="143"/>
      <c r="C246" s="144" t="str">
        <f>IF(A246="","",IFERROR(INDEX('12 P6 activities'!$C$7:$C$206,MATCH(A246,'12 P6 activities'!$A$7:$A$206,0)),"⚠ not in P6 list"))</f>
        <v/>
      </c>
      <c r="D246" s="145"/>
      <c r="E246" s="143"/>
      <c r="F246" s="147"/>
      <c r="G246" s="148"/>
      <c r="H246" s="149"/>
      <c r="I246" s="150"/>
      <c r="J246" s="150"/>
      <c r="K246" s="150"/>
      <c r="L246" s="150"/>
      <c r="M246" s="6"/>
      <c r="N246" s="6"/>
      <c r="O246" s="6"/>
      <c r="P246" s="6"/>
      <c r="Q246" s="6"/>
      <c r="R246" s="6"/>
      <c r="S246" s="6"/>
      <c r="T246" s="6"/>
      <c r="U246" s="6"/>
      <c r="V246" s="6"/>
      <c r="W246" s="6"/>
      <c r="X246" s="6"/>
      <c r="Y246" s="6"/>
      <c r="Z246" s="6"/>
    </row>
    <row r="247" spans="1:26" ht="18" customHeight="1" x14ac:dyDescent="0.3">
      <c r="A247" s="142"/>
      <c r="B247" s="143"/>
      <c r="C247" s="144" t="str">
        <f>IF(A247="","",IFERROR(INDEX('12 P6 activities'!$C$7:$C$206,MATCH(A247,'12 P6 activities'!$A$7:$A$206,0)),"⚠ not in P6 list"))</f>
        <v/>
      </c>
      <c r="D247" s="145"/>
      <c r="E247" s="143"/>
      <c r="F247" s="147"/>
      <c r="G247" s="148"/>
      <c r="H247" s="149"/>
      <c r="I247" s="150"/>
      <c r="J247" s="150"/>
      <c r="K247" s="150"/>
      <c r="L247" s="150"/>
      <c r="M247" s="6"/>
      <c r="N247" s="6"/>
      <c r="O247" s="6"/>
      <c r="P247" s="6"/>
      <c r="Q247" s="6"/>
      <c r="R247" s="6"/>
      <c r="S247" s="6"/>
      <c r="T247" s="6"/>
      <c r="U247" s="6"/>
      <c r="V247" s="6"/>
      <c r="W247" s="6"/>
      <c r="X247" s="6"/>
      <c r="Y247" s="6"/>
      <c r="Z247" s="6"/>
    </row>
    <row r="248" spans="1:26" ht="18" customHeight="1" x14ac:dyDescent="0.3">
      <c r="A248" s="142"/>
      <c r="B248" s="143"/>
      <c r="C248" s="144" t="str">
        <f>IF(A248="","",IFERROR(INDEX('12 P6 activities'!$C$7:$C$206,MATCH(A248,'12 P6 activities'!$A$7:$A$206,0)),"⚠ not in P6 list"))</f>
        <v/>
      </c>
      <c r="D248" s="145"/>
      <c r="E248" s="143"/>
      <c r="F248" s="147"/>
      <c r="G248" s="148"/>
      <c r="H248" s="149"/>
      <c r="I248" s="150"/>
      <c r="J248" s="150"/>
      <c r="K248" s="150"/>
      <c r="L248" s="150"/>
      <c r="M248" s="6"/>
      <c r="N248" s="6"/>
      <c r="O248" s="6"/>
      <c r="P248" s="6"/>
      <c r="Q248" s="6"/>
      <c r="R248" s="6"/>
      <c r="S248" s="6"/>
      <c r="T248" s="6"/>
      <c r="U248" s="6"/>
      <c r="V248" s="6"/>
      <c r="W248" s="6"/>
      <c r="X248" s="6"/>
      <c r="Y248" s="6"/>
      <c r="Z248" s="6"/>
    </row>
    <row r="249" spans="1:26" ht="18" customHeight="1" x14ac:dyDescent="0.3">
      <c r="A249" s="142"/>
      <c r="B249" s="143"/>
      <c r="C249" s="144" t="str">
        <f>IF(A249="","",IFERROR(INDEX('12 P6 activities'!$C$7:$C$206,MATCH(A249,'12 P6 activities'!$A$7:$A$206,0)),"⚠ not in P6 list"))</f>
        <v/>
      </c>
      <c r="D249" s="145"/>
      <c r="E249" s="143"/>
      <c r="F249" s="147"/>
      <c r="G249" s="148"/>
      <c r="H249" s="149"/>
      <c r="I249" s="150"/>
      <c r="J249" s="150"/>
      <c r="K249" s="150"/>
      <c r="L249" s="150"/>
      <c r="M249" s="6"/>
      <c r="N249" s="6"/>
      <c r="O249" s="6"/>
      <c r="P249" s="6"/>
      <c r="Q249" s="6"/>
      <c r="R249" s="6"/>
      <c r="S249" s="6"/>
      <c r="T249" s="6"/>
      <c r="U249" s="6"/>
      <c r="V249" s="6"/>
      <c r="W249" s="6"/>
      <c r="X249" s="6"/>
      <c r="Y249" s="6"/>
      <c r="Z249" s="6"/>
    </row>
    <row r="250" spans="1:26" ht="18" customHeight="1" x14ac:dyDescent="0.3">
      <c r="A250" s="142"/>
      <c r="B250" s="143"/>
      <c r="C250" s="144" t="str">
        <f>IF(A250="","",IFERROR(INDEX('12 P6 activities'!$C$7:$C$206,MATCH(A250,'12 P6 activities'!$A$7:$A$206,0)),"⚠ not in P6 list"))</f>
        <v/>
      </c>
      <c r="D250" s="145"/>
      <c r="E250" s="143"/>
      <c r="F250" s="147"/>
      <c r="G250" s="148"/>
      <c r="H250" s="149"/>
      <c r="I250" s="150"/>
      <c r="J250" s="150"/>
      <c r="K250" s="150"/>
      <c r="L250" s="150"/>
      <c r="M250" s="6"/>
      <c r="N250" s="6"/>
      <c r="O250" s="6"/>
      <c r="P250" s="6"/>
      <c r="Q250" s="6"/>
      <c r="R250" s="6"/>
      <c r="S250" s="6"/>
      <c r="T250" s="6"/>
      <c r="U250" s="6"/>
      <c r="V250" s="6"/>
      <c r="W250" s="6"/>
      <c r="X250" s="6"/>
      <c r="Y250" s="6"/>
      <c r="Z250" s="6"/>
    </row>
    <row r="251" spans="1:26" ht="18" customHeight="1" x14ac:dyDescent="0.3">
      <c r="A251" s="142"/>
      <c r="B251" s="143"/>
      <c r="C251" s="144" t="str">
        <f>IF(A251="","",IFERROR(INDEX('12 P6 activities'!$C$7:$C$206,MATCH(A251,'12 P6 activities'!$A$7:$A$206,0)),"⚠ not in P6 list"))</f>
        <v/>
      </c>
      <c r="D251" s="145"/>
      <c r="E251" s="143"/>
      <c r="F251" s="147"/>
      <c r="G251" s="148"/>
      <c r="H251" s="149"/>
      <c r="I251" s="150"/>
      <c r="J251" s="150"/>
      <c r="K251" s="150"/>
      <c r="L251" s="150"/>
      <c r="M251" s="6"/>
      <c r="N251" s="6"/>
      <c r="O251" s="6"/>
      <c r="P251" s="6"/>
      <c r="Q251" s="6"/>
      <c r="R251" s="6"/>
      <c r="S251" s="6"/>
      <c r="T251" s="6"/>
      <c r="U251" s="6"/>
      <c r="V251" s="6"/>
      <c r="W251" s="6"/>
      <c r="X251" s="6"/>
      <c r="Y251" s="6"/>
      <c r="Z251" s="6"/>
    </row>
    <row r="252" spans="1:26" ht="18" customHeight="1" x14ac:dyDescent="0.3">
      <c r="A252" s="142"/>
      <c r="B252" s="143"/>
      <c r="C252" s="144" t="str">
        <f>IF(A252="","",IFERROR(INDEX('12 P6 activities'!$C$7:$C$206,MATCH(A252,'12 P6 activities'!$A$7:$A$206,0)),"⚠ not in P6 list"))</f>
        <v/>
      </c>
      <c r="D252" s="145"/>
      <c r="E252" s="143"/>
      <c r="F252" s="147"/>
      <c r="G252" s="148"/>
      <c r="H252" s="149"/>
      <c r="I252" s="150"/>
      <c r="J252" s="150"/>
      <c r="K252" s="150"/>
      <c r="L252" s="150"/>
      <c r="M252" s="6"/>
      <c r="N252" s="6"/>
      <c r="O252" s="6"/>
      <c r="P252" s="6"/>
      <c r="Q252" s="6"/>
      <c r="R252" s="6"/>
      <c r="S252" s="6"/>
      <c r="T252" s="6"/>
      <c r="U252" s="6"/>
      <c r="V252" s="6"/>
      <c r="W252" s="6"/>
      <c r="X252" s="6"/>
      <c r="Y252" s="6"/>
      <c r="Z252" s="6"/>
    </row>
    <row r="253" spans="1:26" ht="18" customHeight="1" x14ac:dyDescent="0.3">
      <c r="A253" s="142"/>
      <c r="B253" s="143"/>
      <c r="C253" s="144" t="str">
        <f>IF(A253="","",IFERROR(INDEX('12 P6 activities'!$C$7:$C$206,MATCH(A253,'12 P6 activities'!$A$7:$A$206,0)),"⚠ not in P6 list"))</f>
        <v/>
      </c>
      <c r="D253" s="145"/>
      <c r="E253" s="143"/>
      <c r="F253" s="147"/>
      <c r="G253" s="148"/>
      <c r="H253" s="149"/>
      <c r="I253" s="150"/>
      <c r="J253" s="150"/>
      <c r="K253" s="150"/>
      <c r="L253" s="150"/>
      <c r="M253" s="6"/>
      <c r="N253" s="6"/>
      <c r="O253" s="6"/>
      <c r="P253" s="6"/>
      <c r="Q253" s="6"/>
      <c r="R253" s="6"/>
      <c r="S253" s="6"/>
      <c r="T253" s="6"/>
      <c r="U253" s="6"/>
      <c r="V253" s="6"/>
      <c r="W253" s="6"/>
      <c r="X253" s="6"/>
      <c r="Y253" s="6"/>
      <c r="Z253" s="6"/>
    </row>
    <row r="254" spans="1:26" ht="18" customHeight="1" x14ac:dyDescent="0.3">
      <c r="A254" s="142"/>
      <c r="B254" s="143"/>
      <c r="C254" s="144" t="str">
        <f>IF(A254="","",IFERROR(INDEX('12 P6 activities'!$C$7:$C$206,MATCH(A254,'12 P6 activities'!$A$7:$A$206,0)),"⚠ not in P6 list"))</f>
        <v/>
      </c>
      <c r="D254" s="145"/>
      <c r="E254" s="143"/>
      <c r="F254" s="147"/>
      <c r="G254" s="148"/>
      <c r="H254" s="149"/>
      <c r="I254" s="150"/>
      <c r="J254" s="150"/>
      <c r="K254" s="150"/>
      <c r="L254" s="150"/>
      <c r="M254" s="6"/>
      <c r="N254" s="6"/>
      <c r="O254" s="6"/>
      <c r="P254" s="6"/>
      <c r="Q254" s="6"/>
      <c r="R254" s="6"/>
      <c r="S254" s="6"/>
      <c r="T254" s="6"/>
      <c r="U254" s="6"/>
      <c r="V254" s="6"/>
      <c r="W254" s="6"/>
      <c r="X254" s="6"/>
      <c r="Y254" s="6"/>
      <c r="Z254" s="6"/>
    </row>
    <row r="255" spans="1:26" ht="18" customHeight="1" x14ac:dyDescent="0.3">
      <c r="A255" s="142"/>
      <c r="B255" s="143"/>
      <c r="C255" s="144" t="str">
        <f>IF(A255="","",IFERROR(INDEX('12 P6 activities'!$C$7:$C$206,MATCH(A255,'12 P6 activities'!$A$7:$A$206,0)),"⚠ not in P6 list"))</f>
        <v/>
      </c>
      <c r="D255" s="145"/>
      <c r="E255" s="143"/>
      <c r="F255" s="147"/>
      <c r="G255" s="148"/>
      <c r="H255" s="149"/>
      <c r="I255" s="150"/>
      <c r="J255" s="150"/>
      <c r="K255" s="150"/>
      <c r="L255" s="150"/>
      <c r="M255" s="6"/>
      <c r="N255" s="6"/>
      <c r="O255" s="6"/>
      <c r="P255" s="6"/>
      <c r="Q255" s="6"/>
      <c r="R255" s="6"/>
      <c r="S255" s="6"/>
      <c r="T255" s="6"/>
      <c r="U255" s="6"/>
      <c r="V255" s="6"/>
      <c r="W255" s="6"/>
      <c r="X255" s="6"/>
      <c r="Y255" s="6"/>
      <c r="Z255" s="6"/>
    </row>
    <row r="256" spans="1:26" ht="18" customHeight="1" x14ac:dyDescent="0.3">
      <c r="A256" s="142"/>
      <c r="B256" s="143"/>
      <c r="C256" s="144" t="str">
        <f>IF(A256="","",IFERROR(INDEX('12 P6 activities'!$C$7:$C$206,MATCH(A256,'12 P6 activities'!$A$7:$A$206,0)),"⚠ not in P6 list"))</f>
        <v/>
      </c>
      <c r="D256" s="145"/>
      <c r="E256" s="143"/>
      <c r="F256" s="147"/>
      <c r="G256" s="148"/>
      <c r="H256" s="149"/>
      <c r="I256" s="150"/>
      <c r="J256" s="150"/>
      <c r="K256" s="150"/>
      <c r="L256" s="150"/>
      <c r="M256" s="6"/>
      <c r="N256" s="6"/>
      <c r="O256" s="6"/>
      <c r="P256" s="6"/>
      <c r="Q256" s="6"/>
      <c r="R256" s="6"/>
      <c r="S256" s="6"/>
      <c r="T256" s="6"/>
      <c r="U256" s="6"/>
      <c r="V256" s="6"/>
      <c r="W256" s="6"/>
      <c r="X256" s="6"/>
      <c r="Y256" s="6"/>
      <c r="Z256" s="6"/>
    </row>
    <row r="257" spans="1:26" ht="18" customHeight="1" x14ac:dyDescent="0.3">
      <c r="A257" s="142"/>
      <c r="B257" s="143"/>
      <c r="C257" s="144" t="str">
        <f>IF(A257="","",IFERROR(INDEX('12 P6 activities'!$C$7:$C$206,MATCH(A257,'12 P6 activities'!$A$7:$A$206,0)),"⚠ not in P6 list"))</f>
        <v/>
      </c>
      <c r="D257" s="145"/>
      <c r="E257" s="143"/>
      <c r="F257" s="147"/>
      <c r="G257" s="148"/>
      <c r="H257" s="149"/>
      <c r="I257" s="150"/>
      <c r="J257" s="150"/>
      <c r="K257" s="150"/>
      <c r="L257" s="150"/>
      <c r="M257" s="6"/>
      <c r="N257" s="6"/>
      <c r="O257" s="6"/>
      <c r="P257" s="6"/>
      <c r="Q257" s="6"/>
      <c r="R257" s="6"/>
      <c r="S257" s="6"/>
      <c r="T257" s="6"/>
      <c r="U257" s="6"/>
      <c r="V257" s="6"/>
      <c r="W257" s="6"/>
      <c r="X257" s="6"/>
      <c r="Y257" s="6"/>
      <c r="Z257" s="6"/>
    </row>
    <row r="258" spans="1:26" ht="18" customHeight="1" x14ac:dyDescent="0.3">
      <c r="A258" s="142"/>
      <c r="B258" s="143"/>
      <c r="C258" s="144" t="str">
        <f>IF(A258="","",IFERROR(INDEX('12 P6 activities'!$C$7:$C$206,MATCH(A258,'12 P6 activities'!$A$7:$A$206,0)),"⚠ not in P6 list"))</f>
        <v/>
      </c>
      <c r="D258" s="145"/>
      <c r="E258" s="143"/>
      <c r="F258" s="147"/>
      <c r="G258" s="148"/>
      <c r="H258" s="149"/>
      <c r="I258" s="150"/>
      <c r="J258" s="150"/>
      <c r="K258" s="150"/>
      <c r="L258" s="150"/>
      <c r="M258" s="6"/>
      <c r="N258" s="6"/>
      <c r="O258" s="6"/>
      <c r="P258" s="6"/>
      <c r="Q258" s="6"/>
      <c r="R258" s="6"/>
      <c r="S258" s="6"/>
      <c r="T258" s="6"/>
      <c r="U258" s="6"/>
      <c r="V258" s="6"/>
      <c r="W258" s="6"/>
      <c r="X258" s="6"/>
      <c r="Y258" s="6"/>
      <c r="Z258" s="6"/>
    </row>
    <row r="259" spans="1:26" ht="18" customHeight="1" x14ac:dyDescent="0.3">
      <c r="A259" s="142"/>
      <c r="B259" s="143"/>
      <c r="C259" s="144" t="str">
        <f>IF(A259="","",IFERROR(INDEX('12 P6 activities'!$C$7:$C$206,MATCH(A259,'12 P6 activities'!$A$7:$A$206,0)),"⚠ not in P6 list"))</f>
        <v/>
      </c>
      <c r="D259" s="145"/>
      <c r="E259" s="143"/>
      <c r="F259" s="147"/>
      <c r="G259" s="148"/>
      <c r="H259" s="149"/>
      <c r="I259" s="150"/>
      <c r="J259" s="150"/>
      <c r="K259" s="150"/>
      <c r="L259" s="150"/>
      <c r="M259" s="6"/>
      <c r="N259" s="6"/>
      <c r="O259" s="6"/>
      <c r="P259" s="6"/>
      <c r="Q259" s="6"/>
      <c r="R259" s="6"/>
      <c r="S259" s="6"/>
      <c r="T259" s="6"/>
      <c r="U259" s="6"/>
      <c r="V259" s="6"/>
      <c r="W259" s="6"/>
      <c r="X259" s="6"/>
      <c r="Y259" s="6"/>
      <c r="Z259" s="6"/>
    </row>
    <row r="260" spans="1:26" ht="18" customHeight="1" x14ac:dyDescent="0.3">
      <c r="A260" s="142"/>
      <c r="B260" s="143"/>
      <c r="C260" s="144" t="str">
        <f>IF(A260="","",IFERROR(INDEX('12 P6 activities'!$C$7:$C$206,MATCH(A260,'12 P6 activities'!$A$7:$A$206,0)),"⚠ not in P6 list"))</f>
        <v/>
      </c>
      <c r="D260" s="145"/>
      <c r="E260" s="143"/>
      <c r="F260" s="147"/>
      <c r="G260" s="148"/>
      <c r="H260" s="149"/>
      <c r="I260" s="150"/>
      <c r="J260" s="150"/>
      <c r="K260" s="150"/>
      <c r="L260" s="150"/>
      <c r="M260" s="6"/>
      <c r="N260" s="6"/>
      <c r="O260" s="6"/>
      <c r="P260" s="6"/>
      <c r="Q260" s="6"/>
      <c r="R260" s="6"/>
      <c r="S260" s="6"/>
      <c r="T260" s="6"/>
      <c r="U260" s="6"/>
      <c r="V260" s="6"/>
      <c r="W260" s="6"/>
      <c r="X260" s="6"/>
      <c r="Y260" s="6"/>
      <c r="Z260" s="6"/>
    </row>
    <row r="261" spans="1:26" ht="18" customHeight="1" x14ac:dyDescent="0.3">
      <c r="A261" s="142"/>
      <c r="B261" s="143"/>
      <c r="C261" s="144" t="str">
        <f>IF(A261="","",IFERROR(INDEX('12 P6 activities'!$C$7:$C$206,MATCH(A261,'12 P6 activities'!$A$7:$A$206,0)),"⚠ not in P6 list"))</f>
        <v/>
      </c>
      <c r="D261" s="145"/>
      <c r="E261" s="143"/>
      <c r="F261" s="147"/>
      <c r="G261" s="148"/>
      <c r="H261" s="149"/>
      <c r="I261" s="150"/>
      <c r="J261" s="150"/>
      <c r="K261" s="150"/>
      <c r="L261" s="150"/>
      <c r="M261" s="6"/>
      <c r="N261" s="6"/>
      <c r="O261" s="6"/>
      <c r="P261" s="6"/>
      <c r="Q261" s="6"/>
      <c r="R261" s="6"/>
      <c r="S261" s="6"/>
      <c r="T261" s="6"/>
      <c r="U261" s="6"/>
      <c r="V261" s="6"/>
      <c r="W261" s="6"/>
      <c r="X261" s="6"/>
      <c r="Y261" s="6"/>
      <c r="Z261" s="6"/>
    </row>
    <row r="262" spans="1:26" ht="18" customHeight="1" x14ac:dyDescent="0.3">
      <c r="A262" s="142"/>
      <c r="B262" s="143"/>
      <c r="C262" s="144" t="str">
        <f>IF(A262="","",IFERROR(INDEX('12 P6 activities'!$C$7:$C$206,MATCH(A262,'12 P6 activities'!$A$7:$A$206,0)),"⚠ not in P6 list"))</f>
        <v/>
      </c>
      <c r="D262" s="145"/>
      <c r="E262" s="143"/>
      <c r="F262" s="147"/>
      <c r="G262" s="148"/>
      <c r="H262" s="149"/>
      <c r="I262" s="150"/>
      <c r="J262" s="150"/>
      <c r="K262" s="150"/>
      <c r="L262" s="150"/>
      <c r="M262" s="6"/>
      <c r="N262" s="6"/>
      <c r="O262" s="6"/>
      <c r="P262" s="6"/>
      <c r="Q262" s="6"/>
      <c r="R262" s="6"/>
      <c r="S262" s="6"/>
      <c r="T262" s="6"/>
      <c r="U262" s="6"/>
      <c r="V262" s="6"/>
      <c r="W262" s="6"/>
      <c r="X262" s="6"/>
      <c r="Y262" s="6"/>
      <c r="Z262" s="6"/>
    </row>
    <row r="263" spans="1:26" ht="18" customHeight="1" x14ac:dyDescent="0.3">
      <c r="A263" s="142"/>
      <c r="B263" s="143"/>
      <c r="C263" s="144" t="str">
        <f>IF(A263="","",IFERROR(INDEX('12 P6 activities'!$C$7:$C$206,MATCH(A263,'12 P6 activities'!$A$7:$A$206,0)),"⚠ not in P6 list"))</f>
        <v/>
      </c>
      <c r="D263" s="145"/>
      <c r="E263" s="143"/>
      <c r="F263" s="147"/>
      <c r="G263" s="148"/>
      <c r="H263" s="149"/>
      <c r="I263" s="150"/>
      <c r="J263" s="150"/>
      <c r="K263" s="150"/>
      <c r="L263" s="150"/>
      <c r="M263" s="6"/>
      <c r="N263" s="6"/>
      <c r="O263" s="6"/>
      <c r="P263" s="6"/>
      <c r="Q263" s="6"/>
      <c r="R263" s="6"/>
      <c r="S263" s="6"/>
      <c r="T263" s="6"/>
      <c r="U263" s="6"/>
      <c r="V263" s="6"/>
      <c r="W263" s="6"/>
      <c r="X263" s="6"/>
      <c r="Y263" s="6"/>
      <c r="Z263" s="6"/>
    </row>
    <row r="264" spans="1:26" ht="18" customHeight="1" x14ac:dyDescent="0.3">
      <c r="A264" s="142"/>
      <c r="B264" s="143"/>
      <c r="C264" s="144" t="str">
        <f>IF(A264="","",IFERROR(INDEX('12 P6 activities'!$C$7:$C$206,MATCH(A264,'12 P6 activities'!$A$7:$A$206,0)),"⚠ not in P6 list"))</f>
        <v/>
      </c>
      <c r="D264" s="145"/>
      <c r="E264" s="143"/>
      <c r="F264" s="147"/>
      <c r="G264" s="148"/>
      <c r="H264" s="149"/>
      <c r="I264" s="150"/>
      <c r="J264" s="150"/>
      <c r="K264" s="150"/>
      <c r="L264" s="150"/>
      <c r="M264" s="6"/>
      <c r="N264" s="6"/>
      <c r="O264" s="6"/>
      <c r="P264" s="6"/>
      <c r="Q264" s="6"/>
      <c r="R264" s="6"/>
      <c r="S264" s="6"/>
      <c r="T264" s="6"/>
      <c r="U264" s="6"/>
      <c r="V264" s="6"/>
      <c r="W264" s="6"/>
      <c r="X264" s="6"/>
      <c r="Y264" s="6"/>
      <c r="Z264" s="6"/>
    </row>
    <row r="265" spans="1:26" ht="18" customHeight="1" x14ac:dyDescent="0.3">
      <c r="A265" s="142"/>
      <c r="B265" s="143"/>
      <c r="C265" s="144" t="str">
        <f>IF(A265="","",IFERROR(INDEX('12 P6 activities'!$C$7:$C$206,MATCH(A265,'12 P6 activities'!$A$7:$A$206,0)),"⚠ not in P6 list"))</f>
        <v/>
      </c>
      <c r="D265" s="145"/>
      <c r="E265" s="143"/>
      <c r="F265" s="147"/>
      <c r="G265" s="148"/>
      <c r="H265" s="149"/>
      <c r="I265" s="150"/>
      <c r="J265" s="150"/>
      <c r="K265" s="150"/>
      <c r="L265" s="150"/>
      <c r="M265" s="6"/>
      <c r="N265" s="6"/>
      <c r="O265" s="6"/>
      <c r="P265" s="6"/>
      <c r="Q265" s="6"/>
      <c r="R265" s="6"/>
      <c r="S265" s="6"/>
      <c r="T265" s="6"/>
      <c r="U265" s="6"/>
      <c r="V265" s="6"/>
      <c r="W265" s="6"/>
      <c r="X265" s="6"/>
      <c r="Y265" s="6"/>
      <c r="Z265" s="6"/>
    </row>
    <row r="266" spans="1:26" ht="18" customHeight="1" x14ac:dyDescent="0.3">
      <c r="A266" s="142"/>
      <c r="B266" s="143"/>
      <c r="C266" s="144" t="str">
        <f>IF(A266="","",IFERROR(INDEX('12 P6 activities'!$C$7:$C$206,MATCH(A266,'12 P6 activities'!$A$7:$A$206,0)),"⚠ not in P6 list"))</f>
        <v/>
      </c>
      <c r="D266" s="145"/>
      <c r="E266" s="143"/>
      <c r="F266" s="147"/>
      <c r="G266" s="148"/>
      <c r="H266" s="149"/>
      <c r="I266" s="150"/>
      <c r="J266" s="150"/>
      <c r="K266" s="150"/>
      <c r="L266" s="150"/>
      <c r="M266" s="6"/>
      <c r="N266" s="6"/>
      <c r="O266" s="6"/>
      <c r="P266" s="6"/>
      <c r="Q266" s="6"/>
      <c r="R266" s="6"/>
      <c r="S266" s="6"/>
      <c r="T266" s="6"/>
      <c r="U266" s="6"/>
      <c r="V266" s="6"/>
      <c r="W266" s="6"/>
      <c r="X266" s="6"/>
      <c r="Y266" s="6"/>
      <c r="Z266" s="6"/>
    </row>
    <row r="267" spans="1:26" ht="18" customHeight="1" x14ac:dyDescent="0.3">
      <c r="A267" s="142"/>
      <c r="B267" s="143"/>
      <c r="C267" s="144" t="str">
        <f>IF(A267="","",IFERROR(INDEX('12 P6 activities'!$C$7:$C$206,MATCH(A267,'12 P6 activities'!$A$7:$A$206,0)),"⚠ not in P6 list"))</f>
        <v/>
      </c>
      <c r="D267" s="145"/>
      <c r="E267" s="143"/>
      <c r="F267" s="147"/>
      <c r="G267" s="148"/>
      <c r="H267" s="149"/>
      <c r="I267" s="150"/>
      <c r="J267" s="150"/>
      <c r="K267" s="150"/>
      <c r="L267" s="150"/>
      <c r="M267" s="6"/>
      <c r="N267" s="6"/>
      <c r="O267" s="6"/>
      <c r="P267" s="6"/>
      <c r="Q267" s="6"/>
      <c r="R267" s="6"/>
      <c r="S267" s="6"/>
      <c r="T267" s="6"/>
      <c r="U267" s="6"/>
      <c r="V267" s="6"/>
      <c r="W267" s="6"/>
      <c r="X267" s="6"/>
      <c r="Y267" s="6"/>
      <c r="Z267" s="6"/>
    </row>
    <row r="268" spans="1:26" ht="18" customHeight="1" x14ac:dyDescent="0.3">
      <c r="A268" s="142"/>
      <c r="B268" s="143"/>
      <c r="C268" s="144" t="str">
        <f>IF(A268="","",IFERROR(INDEX('12 P6 activities'!$C$7:$C$206,MATCH(A268,'12 P6 activities'!$A$7:$A$206,0)),"⚠ not in P6 list"))</f>
        <v/>
      </c>
      <c r="D268" s="145"/>
      <c r="E268" s="143"/>
      <c r="F268" s="147"/>
      <c r="G268" s="148"/>
      <c r="H268" s="149"/>
      <c r="I268" s="150"/>
      <c r="J268" s="150"/>
      <c r="K268" s="150"/>
      <c r="L268" s="150"/>
      <c r="M268" s="6"/>
      <c r="N268" s="6"/>
      <c r="O268" s="6"/>
      <c r="P268" s="6"/>
      <c r="Q268" s="6"/>
      <c r="R268" s="6"/>
      <c r="S268" s="6"/>
      <c r="T268" s="6"/>
      <c r="U268" s="6"/>
      <c r="V268" s="6"/>
      <c r="W268" s="6"/>
      <c r="X268" s="6"/>
      <c r="Y268" s="6"/>
      <c r="Z268" s="6"/>
    </row>
    <row r="269" spans="1:26" ht="18" customHeight="1" x14ac:dyDescent="0.3">
      <c r="A269" s="142"/>
      <c r="B269" s="143"/>
      <c r="C269" s="144" t="str">
        <f>IF(A269="","",IFERROR(INDEX('12 P6 activities'!$C$7:$C$206,MATCH(A269,'12 P6 activities'!$A$7:$A$206,0)),"⚠ not in P6 list"))</f>
        <v/>
      </c>
      <c r="D269" s="145"/>
      <c r="E269" s="143"/>
      <c r="F269" s="147"/>
      <c r="G269" s="148"/>
      <c r="H269" s="149"/>
      <c r="I269" s="150"/>
      <c r="J269" s="150"/>
      <c r="K269" s="150"/>
      <c r="L269" s="150"/>
      <c r="M269" s="6"/>
      <c r="N269" s="6"/>
      <c r="O269" s="6"/>
      <c r="P269" s="6"/>
      <c r="Q269" s="6"/>
      <c r="R269" s="6"/>
      <c r="S269" s="6"/>
      <c r="T269" s="6"/>
      <c r="U269" s="6"/>
      <c r="V269" s="6"/>
      <c r="W269" s="6"/>
      <c r="X269" s="6"/>
      <c r="Y269" s="6"/>
      <c r="Z269" s="6"/>
    </row>
    <row r="270" spans="1:26" ht="18" customHeight="1" x14ac:dyDescent="0.3">
      <c r="A270" s="142"/>
      <c r="B270" s="143"/>
      <c r="C270" s="144" t="str">
        <f>IF(A270="","",IFERROR(INDEX('12 P6 activities'!$C$7:$C$206,MATCH(A270,'12 P6 activities'!$A$7:$A$206,0)),"⚠ not in P6 list"))</f>
        <v/>
      </c>
      <c r="D270" s="145"/>
      <c r="E270" s="143"/>
      <c r="F270" s="147"/>
      <c r="G270" s="148"/>
      <c r="H270" s="149"/>
      <c r="I270" s="150"/>
      <c r="J270" s="150"/>
      <c r="K270" s="150"/>
      <c r="L270" s="150"/>
      <c r="M270" s="6"/>
      <c r="N270" s="6"/>
      <c r="O270" s="6"/>
      <c r="P270" s="6"/>
      <c r="Q270" s="6"/>
      <c r="R270" s="6"/>
      <c r="S270" s="6"/>
      <c r="T270" s="6"/>
      <c r="U270" s="6"/>
      <c r="V270" s="6"/>
      <c r="W270" s="6"/>
      <c r="X270" s="6"/>
      <c r="Y270" s="6"/>
      <c r="Z270" s="6"/>
    </row>
    <row r="271" spans="1:26" ht="18" customHeight="1" x14ac:dyDescent="0.3">
      <c r="A271" s="142"/>
      <c r="B271" s="143"/>
      <c r="C271" s="144" t="str">
        <f>IF(A271="","",IFERROR(INDEX('12 P6 activities'!$C$7:$C$206,MATCH(A271,'12 P6 activities'!$A$7:$A$206,0)),"⚠ not in P6 list"))</f>
        <v/>
      </c>
      <c r="D271" s="145"/>
      <c r="E271" s="143"/>
      <c r="F271" s="147"/>
      <c r="G271" s="148"/>
      <c r="H271" s="149"/>
      <c r="I271" s="150"/>
      <c r="J271" s="150"/>
      <c r="K271" s="150"/>
      <c r="L271" s="150"/>
      <c r="M271" s="6"/>
      <c r="N271" s="6"/>
      <c r="O271" s="6"/>
      <c r="P271" s="6"/>
      <c r="Q271" s="6"/>
      <c r="R271" s="6"/>
      <c r="S271" s="6"/>
      <c r="T271" s="6"/>
      <c r="U271" s="6"/>
      <c r="V271" s="6"/>
      <c r="W271" s="6"/>
      <c r="X271" s="6"/>
      <c r="Y271" s="6"/>
      <c r="Z271" s="6"/>
    </row>
    <row r="272" spans="1:26" ht="18" customHeight="1" x14ac:dyDescent="0.3">
      <c r="A272" s="142"/>
      <c r="B272" s="143"/>
      <c r="C272" s="144" t="str">
        <f>IF(A272="","",IFERROR(INDEX('12 P6 activities'!$C$7:$C$206,MATCH(A272,'12 P6 activities'!$A$7:$A$206,0)),"⚠ not in P6 list"))</f>
        <v/>
      </c>
      <c r="D272" s="145"/>
      <c r="E272" s="143"/>
      <c r="F272" s="147"/>
      <c r="G272" s="148"/>
      <c r="H272" s="149"/>
      <c r="I272" s="150"/>
      <c r="J272" s="150"/>
      <c r="K272" s="150"/>
      <c r="L272" s="150"/>
      <c r="M272" s="6"/>
      <c r="N272" s="6"/>
      <c r="O272" s="6"/>
      <c r="P272" s="6"/>
      <c r="Q272" s="6"/>
      <c r="R272" s="6"/>
      <c r="S272" s="6"/>
      <c r="T272" s="6"/>
      <c r="U272" s="6"/>
      <c r="V272" s="6"/>
      <c r="W272" s="6"/>
      <c r="X272" s="6"/>
      <c r="Y272" s="6"/>
      <c r="Z272" s="6"/>
    </row>
    <row r="273" spans="1:26" ht="18" customHeight="1" x14ac:dyDescent="0.3">
      <c r="A273" s="142"/>
      <c r="B273" s="143"/>
      <c r="C273" s="144" t="str">
        <f>IF(A273="","",IFERROR(INDEX('12 P6 activities'!$C$7:$C$206,MATCH(A273,'12 P6 activities'!$A$7:$A$206,0)),"⚠ not in P6 list"))</f>
        <v/>
      </c>
      <c r="D273" s="145"/>
      <c r="E273" s="143"/>
      <c r="F273" s="147"/>
      <c r="G273" s="148"/>
      <c r="H273" s="149"/>
      <c r="I273" s="150"/>
      <c r="J273" s="150"/>
      <c r="K273" s="150"/>
      <c r="L273" s="150"/>
      <c r="M273" s="6"/>
      <c r="N273" s="6"/>
      <c r="O273" s="6"/>
      <c r="P273" s="6"/>
      <c r="Q273" s="6"/>
      <c r="R273" s="6"/>
      <c r="S273" s="6"/>
      <c r="T273" s="6"/>
      <c r="U273" s="6"/>
      <c r="V273" s="6"/>
      <c r="W273" s="6"/>
      <c r="X273" s="6"/>
      <c r="Y273" s="6"/>
      <c r="Z273" s="6"/>
    </row>
    <row r="274" spans="1:26" ht="18" customHeight="1" x14ac:dyDescent="0.3">
      <c r="A274" s="142"/>
      <c r="B274" s="143"/>
      <c r="C274" s="144" t="str">
        <f>IF(A274="","",IFERROR(INDEX('12 P6 activities'!$C$7:$C$206,MATCH(A274,'12 P6 activities'!$A$7:$A$206,0)),"⚠ not in P6 list"))</f>
        <v/>
      </c>
      <c r="D274" s="145"/>
      <c r="E274" s="143"/>
      <c r="F274" s="147"/>
      <c r="G274" s="148"/>
      <c r="H274" s="149"/>
      <c r="I274" s="150"/>
      <c r="J274" s="150"/>
      <c r="K274" s="150"/>
      <c r="L274" s="150"/>
      <c r="M274" s="6"/>
      <c r="N274" s="6"/>
      <c r="O274" s="6"/>
      <c r="P274" s="6"/>
      <c r="Q274" s="6"/>
      <c r="R274" s="6"/>
      <c r="S274" s="6"/>
      <c r="T274" s="6"/>
      <c r="U274" s="6"/>
      <c r="V274" s="6"/>
      <c r="W274" s="6"/>
      <c r="X274" s="6"/>
      <c r="Y274" s="6"/>
      <c r="Z274" s="6"/>
    </row>
    <row r="275" spans="1:26" ht="18" customHeight="1" x14ac:dyDescent="0.3">
      <c r="A275" s="142"/>
      <c r="B275" s="143"/>
      <c r="C275" s="144" t="str">
        <f>IF(A275="","",IFERROR(INDEX('12 P6 activities'!$C$7:$C$206,MATCH(A275,'12 P6 activities'!$A$7:$A$206,0)),"⚠ not in P6 list"))</f>
        <v/>
      </c>
      <c r="D275" s="145"/>
      <c r="E275" s="143"/>
      <c r="F275" s="147"/>
      <c r="G275" s="148"/>
      <c r="H275" s="149"/>
      <c r="I275" s="150"/>
      <c r="J275" s="150"/>
      <c r="K275" s="150"/>
      <c r="L275" s="150"/>
      <c r="M275" s="6"/>
      <c r="N275" s="6"/>
      <c r="O275" s="6"/>
      <c r="P275" s="6"/>
      <c r="Q275" s="6"/>
      <c r="R275" s="6"/>
      <c r="S275" s="6"/>
      <c r="T275" s="6"/>
      <c r="U275" s="6"/>
      <c r="V275" s="6"/>
      <c r="W275" s="6"/>
      <c r="X275" s="6"/>
      <c r="Y275" s="6"/>
      <c r="Z275" s="6"/>
    </row>
    <row r="276" spans="1:26" ht="18" customHeight="1" x14ac:dyDescent="0.3">
      <c r="A276" s="142"/>
      <c r="B276" s="143"/>
      <c r="C276" s="144" t="str">
        <f>IF(A276="","",IFERROR(INDEX('12 P6 activities'!$C$7:$C$206,MATCH(A276,'12 P6 activities'!$A$7:$A$206,0)),"⚠ not in P6 list"))</f>
        <v/>
      </c>
      <c r="D276" s="145"/>
      <c r="E276" s="143"/>
      <c r="F276" s="147"/>
      <c r="G276" s="148"/>
      <c r="H276" s="149"/>
      <c r="I276" s="150"/>
      <c r="J276" s="150"/>
      <c r="K276" s="150"/>
      <c r="L276" s="150"/>
      <c r="M276" s="6"/>
      <c r="N276" s="6"/>
      <c r="O276" s="6"/>
      <c r="P276" s="6"/>
      <c r="Q276" s="6"/>
      <c r="R276" s="6"/>
      <c r="S276" s="6"/>
      <c r="T276" s="6"/>
      <c r="U276" s="6"/>
      <c r="V276" s="6"/>
      <c r="W276" s="6"/>
      <c r="X276" s="6"/>
      <c r="Y276" s="6"/>
      <c r="Z276" s="6"/>
    </row>
    <row r="277" spans="1:26" ht="18" customHeight="1" x14ac:dyDescent="0.3">
      <c r="A277" s="142"/>
      <c r="B277" s="143"/>
      <c r="C277" s="144" t="str">
        <f>IF(A277="","",IFERROR(INDEX('12 P6 activities'!$C$7:$C$206,MATCH(A277,'12 P6 activities'!$A$7:$A$206,0)),"⚠ not in P6 list"))</f>
        <v/>
      </c>
      <c r="D277" s="145"/>
      <c r="E277" s="143"/>
      <c r="F277" s="147"/>
      <c r="G277" s="148"/>
      <c r="H277" s="149"/>
      <c r="I277" s="150"/>
      <c r="J277" s="150"/>
      <c r="K277" s="150"/>
      <c r="L277" s="150"/>
      <c r="M277" s="6"/>
      <c r="N277" s="6"/>
      <c r="O277" s="6"/>
      <c r="P277" s="6"/>
      <c r="Q277" s="6"/>
      <c r="R277" s="6"/>
      <c r="S277" s="6"/>
      <c r="T277" s="6"/>
      <c r="U277" s="6"/>
      <c r="V277" s="6"/>
      <c r="W277" s="6"/>
      <c r="X277" s="6"/>
      <c r="Y277" s="6"/>
      <c r="Z277" s="6"/>
    </row>
    <row r="278" spans="1:26" ht="18" customHeight="1" x14ac:dyDescent="0.3">
      <c r="A278" s="142"/>
      <c r="B278" s="143"/>
      <c r="C278" s="144" t="str">
        <f>IF(A278="","",IFERROR(INDEX('12 P6 activities'!$C$7:$C$206,MATCH(A278,'12 P6 activities'!$A$7:$A$206,0)),"⚠ not in P6 list"))</f>
        <v/>
      </c>
      <c r="D278" s="145"/>
      <c r="E278" s="143"/>
      <c r="F278" s="147"/>
      <c r="G278" s="148"/>
      <c r="H278" s="149"/>
      <c r="I278" s="150"/>
      <c r="J278" s="150"/>
      <c r="K278" s="150"/>
      <c r="L278" s="150"/>
      <c r="M278" s="6"/>
      <c r="N278" s="6"/>
      <c r="O278" s="6"/>
      <c r="P278" s="6"/>
      <c r="Q278" s="6"/>
      <c r="R278" s="6"/>
      <c r="S278" s="6"/>
      <c r="T278" s="6"/>
      <c r="U278" s="6"/>
      <c r="V278" s="6"/>
      <c r="W278" s="6"/>
      <c r="X278" s="6"/>
      <c r="Y278" s="6"/>
      <c r="Z278" s="6"/>
    </row>
    <row r="279" spans="1:26" ht="18" customHeight="1" x14ac:dyDescent="0.3">
      <c r="A279" s="142"/>
      <c r="B279" s="143"/>
      <c r="C279" s="144" t="str">
        <f>IF(A279="","",IFERROR(INDEX('12 P6 activities'!$C$7:$C$206,MATCH(A279,'12 P6 activities'!$A$7:$A$206,0)),"⚠ not in P6 list"))</f>
        <v/>
      </c>
      <c r="D279" s="145"/>
      <c r="E279" s="143"/>
      <c r="F279" s="147"/>
      <c r="G279" s="148"/>
      <c r="H279" s="149"/>
      <c r="I279" s="150"/>
      <c r="J279" s="150"/>
      <c r="K279" s="150"/>
      <c r="L279" s="150"/>
      <c r="M279" s="6"/>
      <c r="N279" s="6"/>
      <c r="O279" s="6"/>
      <c r="P279" s="6"/>
      <c r="Q279" s="6"/>
      <c r="R279" s="6"/>
      <c r="S279" s="6"/>
      <c r="T279" s="6"/>
      <c r="U279" s="6"/>
      <c r="V279" s="6"/>
      <c r="W279" s="6"/>
      <c r="X279" s="6"/>
      <c r="Y279" s="6"/>
      <c r="Z279" s="6"/>
    </row>
    <row r="280" spans="1:26" ht="18" customHeight="1" x14ac:dyDescent="0.3">
      <c r="A280" s="142"/>
      <c r="B280" s="143"/>
      <c r="C280" s="144" t="str">
        <f>IF(A280="","",IFERROR(INDEX('12 P6 activities'!$C$7:$C$206,MATCH(A280,'12 P6 activities'!$A$7:$A$206,0)),"⚠ not in P6 list"))</f>
        <v/>
      </c>
      <c r="D280" s="145"/>
      <c r="E280" s="143"/>
      <c r="F280" s="147"/>
      <c r="G280" s="148"/>
      <c r="H280" s="149"/>
      <c r="I280" s="150"/>
      <c r="J280" s="150"/>
      <c r="K280" s="150"/>
      <c r="L280" s="150"/>
      <c r="M280" s="6"/>
      <c r="N280" s="6"/>
      <c r="O280" s="6"/>
      <c r="P280" s="6"/>
      <c r="Q280" s="6"/>
      <c r="R280" s="6"/>
      <c r="S280" s="6"/>
      <c r="T280" s="6"/>
      <c r="U280" s="6"/>
      <c r="V280" s="6"/>
      <c r="W280" s="6"/>
      <c r="X280" s="6"/>
      <c r="Y280" s="6"/>
      <c r="Z280" s="6"/>
    </row>
    <row r="281" spans="1:26" ht="18" customHeight="1" x14ac:dyDescent="0.3">
      <c r="A281" s="142"/>
      <c r="B281" s="143"/>
      <c r="C281" s="144" t="str">
        <f>IF(A281="","",IFERROR(INDEX('12 P6 activities'!$C$7:$C$206,MATCH(A281,'12 P6 activities'!$A$7:$A$206,0)),"⚠ not in P6 list"))</f>
        <v/>
      </c>
      <c r="D281" s="145"/>
      <c r="E281" s="143"/>
      <c r="F281" s="147"/>
      <c r="G281" s="148"/>
      <c r="H281" s="149"/>
      <c r="I281" s="150"/>
      <c r="J281" s="150"/>
      <c r="K281" s="150"/>
      <c r="L281" s="150"/>
      <c r="M281" s="6"/>
      <c r="N281" s="6"/>
      <c r="O281" s="6"/>
      <c r="P281" s="6"/>
      <c r="Q281" s="6"/>
      <c r="R281" s="6"/>
      <c r="S281" s="6"/>
      <c r="T281" s="6"/>
      <c r="U281" s="6"/>
      <c r="V281" s="6"/>
      <c r="W281" s="6"/>
      <c r="X281" s="6"/>
      <c r="Y281" s="6"/>
      <c r="Z281" s="6"/>
    </row>
    <row r="282" spans="1:26" ht="18" customHeight="1" x14ac:dyDescent="0.3">
      <c r="A282" s="142"/>
      <c r="B282" s="143"/>
      <c r="C282" s="144" t="str">
        <f>IF(A282="","",IFERROR(INDEX('12 P6 activities'!$C$7:$C$206,MATCH(A282,'12 P6 activities'!$A$7:$A$206,0)),"⚠ not in P6 list"))</f>
        <v/>
      </c>
      <c r="D282" s="145"/>
      <c r="E282" s="143"/>
      <c r="F282" s="147"/>
      <c r="G282" s="148"/>
      <c r="H282" s="149"/>
      <c r="I282" s="150"/>
      <c r="J282" s="150"/>
      <c r="K282" s="150"/>
      <c r="L282" s="150"/>
      <c r="M282" s="6"/>
      <c r="N282" s="6"/>
      <c r="O282" s="6"/>
      <c r="P282" s="6"/>
      <c r="Q282" s="6"/>
      <c r="R282" s="6"/>
      <c r="S282" s="6"/>
      <c r="T282" s="6"/>
      <c r="U282" s="6"/>
      <c r="V282" s="6"/>
      <c r="W282" s="6"/>
      <c r="X282" s="6"/>
      <c r="Y282" s="6"/>
      <c r="Z282" s="6"/>
    </row>
    <row r="283" spans="1:26" ht="18" customHeight="1" x14ac:dyDescent="0.3">
      <c r="A283" s="142"/>
      <c r="B283" s="143"/>
      <c r="C283" s="144" t="str">
        <f>IF(A283="","",IFERROR(INDEX('12 P6 activities'!$C$7:$C$206,MATCH(A283,'12 P6 activities'!$A$7:$A$206,0)),"⚠ not in P6 list"))</f>
        <v/>
      </c>
      <c r="D283" s="145"/>
      <c r="E283" s="143"/>
      <c r="F283" s="147"/>
      <c r="G283" s="148"/>
      <c r="H283" s="149"/>
      <c r="I283" s="150"/>
      <c r="J283" s="150"/>
      <c r="K283" s="150"/>
      <c r="L283" s="150"/>
      <c r="M283" s="6"/>
      <c r="N283" s="6"/>
      <c r="O283" s="6"/>
      <c r="P283" s="6"/>
      <c r="Q283" s="6"/>
      <c r="R283" s="6"/>
      <c r="S283" s="6"/>
      <c r="T283" s="6"/>
      <c r="U283" s="6"/>
      <c r="V283" s="6"/>
      <c r="W283" s="6"/>
      <c r="X283" s="6"/>
      <c r="Y283" s="6"/>
      <c r="Z283" s="6"/>
    </row>
    <row r="284" spans="1:26" ht="18" customHeight="1" x14ac:dyDescent="0.3">
      <c r="A284" s="142"/>
      <c r="B284" s="143"/>
      <c r="C284" s="144" t="str">
        <f>IF(A284="","",IFERROR(INDEX('12 P6 activities'!$C$7:$C$206,MATCH(A284,'12 P6 activities'!$A$7:$A$206,0)),"⚠ not in P6 list"))</f>
        <v/>
      </c>
      <c r="D284" s="145"/>
      <c r="E284" s="143"/>
      <c r="F284" s="147"/>
      <c r="G284" s="148"/>
      <c r="H284" s="149"/>
      <c r="I284" s="150"/>
      <c r="J284" s="150"/>
      <c r="K284" s="150"/>
      <c r="L284" s="150"/>
      <c r="M284" s="6"/>
      <c r="N284" s="6"/>
      <c r="O284" s="6"/>
      <c r="P284" s="6"/>
      <c r="Q284" s="6"/>
      <c r="R284" s="6"/>
      <c r="S284" s="6"/>
      <c r="T284" s="6"/>
      <c r="U284" s="6"/>
      <c r="V284" s="6"/>
      <c r="W284" s="6"/>
      <c r="X284" s="6"/>
      <c r="Y284" s="6"/>
      <c r="Z284" s="6"/>
    </row>
    <row r="285" spans="1:26" ht="18" customHeight="1" x14ac:dyDescent="0.3">
      <c r="A285" s="142"/>
      <c r="B285" s="143"/>
      <c r="C285" s="144" t="str">
        <f>IF(A285="","",IFERROR(INDEX('12 P6 activities'!$C$7:$C$206,MATCH(A285,'12 P6 activities'!$A$7:$A$206,0)),"⚠ not in P6 list"))</f>
        <v/>
      </c>
      <c r="D285" s="145"/>
      <c r="E285" s="143"/>
      <c r="F285" s="147"/>
      <c r="G285" s="148"/>
      <c r="H285" s="149"/>
      <c r="I285" s="150"/>
      <c r="J285" s="150"/>
      <c r="K285" s="150"/>
      <c r="L285" s="150"/>
      <c r="M285" s="6"/>
      <c r="N285" s="6"/>
      <c r="O285" s="6"/>
      <c r="P285" s="6"/>
      <c r="Q285" s="6"/>
      <c r="R285" s="6"/>
      <c r="S285" s="6"/>
      <c r="T285" s="6"/>
      <c r="U285" s="6"/>
      <c r="V285" s="6"/>
      <c r="W285" s="6"/>
      <c r="X285" s="6"/>
      <c r="Y285" s="6"/>
      <c r="Z285" s="6"/>
    </row>
    <row r="286" spans="1:26" ht="18" customHeight="1" x14ac:dyDescent="0.3">
      <c r="A286" s="142"/>
      <c r="B286" s="143"/>
      <c r="C286" s="144" t="str">
        <f>IF(A286="","",IFERROR(INDEX('12 P6 activities'!$C$7:$C$206,MATCH(A286,'12 P6 activities'!$A$7:$A$206,0)),"⚠ not in P6 list"))</f>
        <v/>
      </c>
      <c r="D286" s="145"/>
      <c r="E286" s="143"/>
      <c r="F286" s="147"/>
      <c r="G286" s="148"/>
      <c r="H286" s="149"/>
      <c r="I286" s="150"/>
      <c r="J286" s="150"/>
      <c r="K286" s="150"/>
      <c r="L286" s="150"/>
      <c r="M286" s="6"/>
      <c r="N286" s="6"/>
      <c r="O286" s="6"/>
      <c r="P286" s="6"/>
      <c r="Q286" s="6"/>
      <c r="R286" s="6"/>
      <c r="S286" s="6"/>
      <c r="T286" s="6"/>
      <c r="U286" s="6"/>
      <c r="V286" s="6"/>
      <c r="W286" s="6"/>
      <c r="X286" s="6"/>
      <c r="Y286" s="6"/>
      <c r="Z286" s="6"/>
    </row>
    <row r="287" spans="1:26" ht="18" customHeight="1" x14ac:dyDescent="0.3">
      <c r="A287" s="142"/>
      <c r="B287" s="143"/>
      <c r="C287" s="144" t="str">
        <f>IF(A287="","",IFERROR(INDEX('12 P6 activities'!$C$7:$C$206,MATCH(A287,'12 P6 activities'!$A$7:$A$206,0)),"⚠ not in P6 list"))</f>
        <v/>
      </c>
      <c r="D287" s="145"/>
      <c r="E287" s="143"/>
      <c r="F287" s="147"/>
      <c r="G287" s="148"/>
      <c r="H287" s="149"/>
      <c r="I287" s="150"/>
      <c r="J287" s="150"/>
      <c r="K287" s="150"/>
      <c r="L287" s="150"/>
      <c r="M287" s="6"/>
      <c r="N287" s="6"/>
      <c r="O287" s="6"/>
      <c r="P287" s="6"/>
      <c r="Q287" s="6"/>
      <c r="R287" s="6"/>
      <c r="S287" s="6"/>
      <c r="T287" s="6"/>
      <c r="U287" s="6"/>
      <c r="V287" s="6"/>
      <c r="W287" s="6"/>
      <c r="X287" s="6"/>
      <c r="Y287" s="6"/>
      <c r="Z287" s="6"/>
    </row>
    <row r="288" spans="1:26" ht="18" customHeight="1" x14ac:dyDescent="0.3">
      <c r="A288" s="142"/>
      <c r="B288" s="143"/>
      <c r="C288" s="144" t="str">
        <f>IF(A288="","",IFERROR(INDEX('12 P6 activities'!$C$7:$C$206,MATCH(A288,'12 P6 activities'!$A$7:$A$206,0)),"⚠ not in P6 list"))</f>
        <v/>
      </c>
      <c r="D288" s="145"/>
      <c r="E288" s="143"/>
      <c r="F288" s="147"/>
      <c r="G288" s="148"/>
      <c r="H288" s="149"/>
      <c r="I288" s="150"/>
      <c r="J288" s="150"/>
      <c r="K288" s="150"/>
      <c r="L288" s="150"/>
      <c r="M288" s="6"/>
      <c r="N288" s="6"/>
      <c r="O288" s="6"/>
      <c r="P288" s="6"/>
      <c r="Q288" s="6"/>
      <c r="R288" s="6"/>
      <c r="S288" s="6"/>
      <c r="T288" s="6"/>
      <c r="U288" s="6"/>
      <c r="V288" s="6"/>
      <c r="W288" s="6"/>
      <c r="X288" s="6"/>
      <c r="Y288" s="6"/>
      <c r="Z288" s="6"/>
    </row>
    <row r="289" spans="1:26" ht="18" customHeight="1" x14ac:dyDescent="0.3">
      <c r="A289" s="142"/>
      <c r="B289" s="143"/>
      <c r="C289" s="144" t="str">
        <f>IF(A289="","",IFERROR(INDEX('12 P6 activities'!$C$7:$C$206,MATCH(A289,'12 P6 activities'!$A$7:$A$206,0)),"⚠ not in P6 list"))</f>
        <v/>
      </c>
      <c r="D289" s="145"/>
      <c r="E289" s="143"/>
      <c r="F289" s="147"/>
      <c r="G289" s="148"/>
      <c r="H289" s="149"/>
      <c r="I289" s="150"/>
      <c r="J289" s="150"/>
      <c r="K289" s="150"/>
      <c r="L289" s="150"/>
      <c r="M289" s="6"/>
      <c r="N289" s="6"/>
      <c r="O289" s="6"/>
      <c r="P289" s="6"/>
      <c r="Q289" s="6"/>
      <c r="R289" s="6"/>
      <c r="S289" s="6"/>
      <c r="T289" s="6"/>
      <c r="U289" s="6"/>
      <c r="V289" s="6"/>
      <c r="W289" s="6"/>
      <c r="X289" s="6"/>
      <c r="Y289" s="6"/>
      <c r="Z289" s="6"/>
    </row>
    <row r="290" spans="1:26" ht="18" customHeight="1" x14ac:dyDescent="0.3">
      <c r="A290" s="142"/>
      <c r="B290" s="143"/>
      <c r="C290" s="144" t="str">
        <f>IF(A290="","",IFERROR(INDEX('12 P6 activities'!$C$7:$C$206,MATCH(A290,'12 P6 activities'!$A$7:$A$206,0)),"⚠ not in P6 list"))</f>
        <v/>
      </c>
      <c r="D290" s="145"/>
      <c r="E290" s="143"/>
      <c r="F290" s="147"/>
      <c r="G290" s="148"/>
      <c r="H290" s="149"/>
      <c r="I290" s="150"/>
      <c r="J290" s="150"/>
      <c r="K290" s="150"/>
      <c r="L290" s="150"/>
      <c r="M290" s="6"/>
      <c r="N290" s="6"/>
      <c r="O290" s="6"/>
      <c r="P290" s="6"/>
      <c r="Q290" s="6"/>
      <c r="R290" s="6"/>
      <c r="S290" s="6"/>
      <c r="T290" s="6"/>
      <c r="U290" s="6"/>
      <c r="V290" s="6"/>
      <c r="W290" s="6"/>
      <c r="X290" s="6"/>
      <c r="Y290" s="6"/>
      <c r="Z290" s="6"/>
    </row>
    <row r="291" spans="1:26" ht="18" customHeight="1" x14ac:dyDescent="0.3">
      <c r="A291" s="142"/>
      <c r="B291" s="143"/>
      <c r="C291" s="144" t="str">
        <f>IF(A291="","",IFERROR(INDEX('12 P6 activities'!$C$7:$C$206,MATCH(A291,'12 P6 activities'!$A$7:$A$206,0)),"⚠ not in P6 list"))</f>
        <v/>
      </c>
      <c r="D291" s="145"/>
      <c r="E291" s="143"/>
      <c r="F291" s="147"/>
      <c r="G291" s="148"/>
      <c r="H291" s="149"/>
      <c r="I291" s="150"/>
      <c r="J291" s="150"/>
      <c r="K291" s="150"/>
      <c r="L291" s="150"/>
      <c r="M291" s="6"/>
      <c r="N291" s="6"/>
      <c r="O291" s="6"/>
      <c r="P291" s="6"/>
      <c r="Q291" s="6"/>
      <c r="R291" s="6"/>
      <c r="S291" s="6"/>
      <c r="T291" s="6"/>
      <c r="U291" s="6"/>
      <c r="V291" s="6"/>
      <c r="W291" s="6"/>
      <c r="X291" s="6"/>
      <c r="Y291" s="6"/>
      <c r="Z291" s="6"/>
    </row>
    <row r="292" spans="1:26" ht="18" customHeight="1" x14ac:dyDescent="0.3">
      <c r="A292" s="142"/>
      <c r="B292" s="143"/>
      <c r="C292" s="144" t="str">
        <f>IF(A292="","",IFERROR(INDEX('12 P6 activities'!$C$7:$C$206,MATCH(A292,'12 P6 activities'!$A$7:$A$206,0)),"⚠ not in P6 list"))</f>
        <v/>
      </c>
      <c r="D292" s="145"/>
      <c r="E292" s="143"/>
      <c r="F292" s="147"/>
      <c r="G292" s="148"/>
      <c r="H292" s="149"/>
      <c r="I292" s="150"/>
      <c r="J292" s="150"/>
      <c r="K292" s="150"/>
      <c r="L292" s="150"/>
      <c r="M292" s="6"/>
      <c r="N292" s="6"/>
      <c r="O292" s="6"/>
      <c r="P292" s="6"/>
      <c r="Q292" s="6"/>
      <c r="R292" s="6"/>
      <c r="S292" s="6"/>
      <c r="T292" s="6"/>
      <c r="U292" s="6"/>
      <c r="V292" s="6"/>
      <c r="W292" s="6"/>
      <c r="X292" s="6"/>
      <c r="Y292" s="6"/>
      <c r="Z292" s="6"/>
    </row>
    <row r="293" spans="1:26" ht="18" customHeight="1" x14ac:dyDescent="0.3">
      <c r="A293" s="142"/>
      <c r="B293" s="143"/>
      <c r="C293" s="144" t="str">
        <f>IF(A293="","",IFERROR(INDEX('12 P6 activities'!$C$7:$C$206,MATCH(A293,'12 P6 activities'!$A$7:$A$206,0)),"⚠ not in P6 list"))</f>
        <v/>
      </c>
      <c r="D293" s="145"/>
      <c r="E293" s="143"/>
      <c r="F293" s="147"/>
      <c r="G293" s="148"/>
      <c r="H293" s="149"/>
      <c r="I293" s="150"/>
      <c r="J293" s="150"/>
      <c r="K293" s="150"/>
      <c r="L293" s="150"/>
      <c r="M293" s="6"/>
      <c r="N293" s="6"/>
      <c r="O293" s="6"/>
      <c r="P293" s="6"/>
      <c r="Q293" s="6"/>
      <c r="R293" s="6"/>
      <c r="S293" s="6"/>
      <c r="T293" s="6"/>
      <c r="U293" s="6"/>
      <c r="V293" s="6"/>
      <c r="W293" s="6"/>
      <c r="X293" s="6"/>
      <c r="Y293" s="6"/>
      <c r="Z293" s="6"/>
    </row>
    <row r="294" spans="1:26" ht="18" customHeight="1" x14ac:dyDescent="0.3">
      <c r="A294" s="142"/>
      <c r="B294" s="143"/>
      <c r="C294" s="144" t="str">
        <f>IF(A294="","",IFERROR(INDEX('12 P6 activities'!$C$7:$C$206,MATCH(A294,'12 P6 activities'!$A$7:$A$206,0)),"⚠ not in P6 list"))</f>
        <v/>
      </c>
      <c r="D294" s="145"/>
      <c r="E294" s="143"/>
      <c r="F294" s="147"/>
      <c r="G294" s="148"/>
      <c r="H294" s="149"/>
      <c r="I294" s="150"/>
      <c r="J294" s="150"/>
      <c r="K294" s="150"/>
      <c r="L294" s="150"/>
      <c r="M294" s="6"/>
      <c r="N294" s="6"/>
      <c r="O294" s="6"/>
      <c r="P294" s="6"/>
      <c r="Q294" s="6"/>
      <c r="R294" s="6"/>
      <c r="S294" s="6"/>
      <c r="T294" s="6"/>
      <c r="U294" s="6"/>
      <c r="V294" s="6"/>
      <c r="W294" s="6"/>
      <c r="X294" s="6"/>
      <c r="Y294" s="6"/>
      <c r="Z294" s="6"/>
    </row>
    <row r="295" spans="1:26" ht="18" customHeight="1" x14ac:dyDescent="0.3">
      <c r="A295" s="142"/>
      <c r="B295" s="143"/>
      <c r="C295" s="144" t="str">
        <f>IF(A295="","",IFERROR(INDEX('12 P6 activities'!$C$7:$C$206,MATCH(A295,'12 P6 activities'!$A$7:$A$206,0)),"⚠ not in P6 list"))</f>
        <v/>
      </c>
      <c r="D295" s="145"/>
      <c r="E295" s="143"/>
      <c r="F295" s="147"/>
      <c r="G295" s="148"/>
      <c r="H295" s="149"/>
      <c r="I295" s="150"/>
      <c r="J295" s="150"/>
      <c r="K295" s="150"/>
      <c r="L295" s="150"/>
      <c r="M295" s="6"/>
      <c r="N295" s="6"/>
      <c r="O295" s="6"/>
      <c r="P295" s="6"/>
      <c r="Q295" s="6"/>
      <c r="R295" s="6"/>
      <c r="S295" s="6"/>
      <c r="T295" s="6"/>
      <c r="U295" s="6"/>
      <c r="V295" s="6"/>
      <c r="W295" s="6"/>
      <c r="X295" s="6"/>
      <c r="Y295" s="6"/>
      <c r="Z295" s="6"/>
    </row>
    <row r="296" spans="1:26" ht="18" customHeight="1" x14ac:dyDescent="0.3">
      <c r="A296" s="142"/>
      <c r="B296" s="143"/>
      <c r="C296" s="144" t="str">
        <f>IF(A296="","",IFERROR(INDEX('12 P6 activities'!$C$7:$C$206,MATCH(A296,'12 P6 activities'!$A$7:$A$206,0)),"⚠ not in P6 list"))</f>
        <v/>
      </c>
      <c r="D296" s="145"/>
      <c r="E296" s="143"/>
      <c r="F296" s="147"/>
      <c r="G296" s="148"/>
      <c r="H296" s="149"/>
      <c r="I296" s="150"/>
      <c r="J296" s="150"/>
      <c r="K296" s="150"/>
      <c r="L296" s="150"/>
      <c r="M296" s="6"/>
      <c r="N296" s="6"/>
      <c r="O296" s="6"/>
      <c r="P296" s="6"/>
      <c r="Q296" s="6"/>
      <c r="R296" s="6"/>
      <c r="S296" s="6"/>
      <c r="T296" s="6"/>
      <c r="U296" s="6"/>
      <c r="V296" s="6"/>
      <c r="W296" s="6"/>
      <c r="X296" s="6"/>
      <c r="Y296" s="6"/>
      <c r="Z296" s="6"/>
    </row>
    <row r="297" spans="1:26" ht="18" customHeight="1" x14ac:dyDescent="0.3">
      <c r="A297" s="142"/>
      <c r="B297" s="143"/>
      <c r="C297" s="144" t="str">
        <f>IF(A297="","",IFERROR(INDEX('12 P6 activities'!$C$7:$C$206,MATCH(A297,'12 P6 activities'!$A$7:$A$206,0)),"⚠ not in P6 list"))</f>
        <v/>
      </c>
      <c r="D297" s="145"/>
      <c r="E297" s="143"/>
      <c r="F297" s="147"/>
      <c r="G297" s="148"/>
      <c r="H297" s="149"/>
      <c r="I297" s="150"/>
      <c r="J297" s="150"/>
      <c r="K297" s="150"/>
      <c r="L297" s="150"/>
      <c r="M297" s="6"/>
      <c r="N297" s="6"/>
      <c r="O297" s="6"/>
      <c r="P297" s="6"/>
      <c r="Q297" s="6"/>
      <c r="R297" s="6"/>
      <c r="S297" s="6"/>
      <c r="T297" s="6"/>
      <c r="U297" s="6"/>
      <c r="V297" s="6"/>
      <c r="W297" s="6"/>
      <c r="X297" s="6"/>
      <c r="Y297" s="6"/>
      <c r="Z297" s="6"/>
    </row>
    <row r="298" spans="1:26" ht="18" customHeight="1" x14ac:dyDescent="0.3">
      <c r="A298" s="142"/>
      <c r="B298" s="143"/>
      <c r="C298" s="144" t="str">
        <f>IF(A298="","",IFERROR(INDEX('12 P6 activities'!$C$7:$C$206,MATCH(A298,'12 P6 activities'!$A$7:$A$206,0)),"⚠ not in P6 list"))</f>
        <v/>
      </c>
      <c r="D298" s="145"/>
      <c r="E298" s="143"/>
      <c r="F298" s="147"/>
      <c r="G298" s="148"/>
      <c r="H298" s="149"/>
      <c r="I298" s="150"/>
      <c r="J298" s="150"/>
      <c r="K298" s="150"/>
      <c r="L298" s="150"/>
      <c r="M298" s="6"/>
      <c r="N298" s="6"/>
      <c r="O298" s="6"/>
      <c r="P298" s="6"/>
      <c r="Q298" s="6"/>
      <c r="R298" s="6"/>
      <c r="S298" s="6"/>
      <c r="T298" s="6"/>
      <c r="U298" s="6"/>
      <c r="V298" s="6"/>
      <c r="W298" s="6"/>
      <c r="X298" s="6"/>
      <c r="Y298" s="6"/>
      <c r="Z298" s="6"/>
    </row>
    <row r="299" spans="1:26" ht="18" customHeight="1" x14ac:dyDescent="0.3">
      <c r="A299" s="142"/>
      <c r="B299" s="143"/>
      <c r="C299" s="144" t="str">
        <f>IF(A299="","",IFERROR(INDEX('12 P6 activities'!$C$7:$C$206,MATCH(A299,'12 P6 activities'!$A$7:$A$206,0)),"⚠ not in P6 list"))</f>
        <v/>
      </c>
      <c r="D299" s="145"/>
      <c r="E299" s="143"/>
      <c r="F299" s="147"/>
      <c r="G299" s="148"/>
      <c r="H299" s="149"/>
      <c r="I299" s="150"/>
      <c r="J299" s="150"/>
      <c r="K299" s="150"/>
      <c r="L299" s="150"/>
      <c r="M299" s="6"/>
      <c r="N299" s="6"/>
      <c r="O299" s="6"/>
      <c r="P299" s="6"/>
      <c r="Q299" s="6"/>
      <c r="R299" s="6"/>
      <c r="S299" s="6"/>
      <c r="T299" s="6"/>
      <c r="U299" s="6"/>
      <c r="V299" s="6"/>
      <c r="W299" s="6"/>
      <c r="X299" s="6"/>
      <c r="Y299" s="6"/>
      <c r="Z299" s="6"/>
    </row>
    <row r="300" spans="1:26" ht="18" customHeight="1" x14ac:dyDescent="0.3">
      <c r="A300" s="142"/>
      <c r="B300" s="143"/>
      <c r="C300" s="144" t="str">
        <f>IF(A300="","",IFERROR(INDEX('12 P6 activities'!$C$7:$C$206,MATCH(A300,'12 P6 activities'!$A$7:$A$206,0)),"⚠ not in P6 list"))</f>
        <v/>
      </c>
      <c r="D300" s="145"/>
      <c r="E300" s="143"/>
      <c r="F300" s="147"/>
      <c r="G300" s="148"/>
      <c r="H300" s="149"/>
      <c r="I300" s="150"/>
      <c r="J300" s="150"/>
      <c r="K300" s="150"/>
      <c r="L300" s="150"/>
      <c r="M300" s="6"/>
      <c r="N300" s="6"/>
      <c r="O300" s="6"/>
      <c r="P300" s="6"/>
      <c r="Q300" s="6"/>
      <c r="R300" s="6"/>
      <c r="S300" s="6"/>
      <c r="T300" s="6"/>
      <c r="U300" s="6"/>
      <c r="V300" s="6"/>
      <c r="W300" s="6"/>
      <c r="X300" s="6"/>
      <c r="Y300" s="6"/>
      <c r="Z300" s="6"/>
    </row>
    <row r="301" spans="1:26" ht="18" customHeight="1" x14ac:dyDescent="0.3">
      <c r="A301" s="142"/>
      <c r="B301" s="143"/>
      <c r="C301" s="144" t="str">
        <f>IF(A301="","",IFERROR(INDEX('12 P6 activities'!$C$7:$C$206,MATCH(A301,'12 P6 activities'!$A$7:$A$206,0)),"⚠ not in P6 list"))</f>
        <v/>
      </c>
      <c r="D301" s="145"/>
      <c r="E301" s="143"/>
      <c r="F301" s="147"/>
      <c r="G301" s="148"/>
      <c r="H301" s="149"/>
      <c r="I301" s="150"/>
      <c r="J301" s="150"/>
      <c r="K301" s="150"/>
      <c r="L301" s="150"/>
      <c r="M301" s="6"/>
      <c r="N301" s="6"/>
      <c r="O301" s="6"/>
      <c r="P301" s="6"/>
      <c r="Q301" s="6"/>
      <c r="R301" s="6"/>
      <c r="S301" s="6"/>
      <c r="T301" s="6"/>
      <c r="U301" s="6"/>
      <c r="V301" s="6"/>
      <c r="W301" s="6"/>
      <c r="X301" s="6"/>
      <c r="Y301" s="6"/>
      <c r="Z301" s="6"/>
    </row>
    <row r="302" spans="1:26" ht="18" customHeight="1" x14ac:dyDescent="0.3">
      <c r="A302" s="142"/>
      <c r="B302" s="143"/>
      <c r="C302" s="144" t="str">
        <f>IF(A302="","",IFERROR(INDEX('12 P6 activities'!$C$7:$C$206,MATCH(A302,'12 P6 activities'!$A$7:$A$206,0)),"⚠ not in P6 list"))</f>
        <v/>
      </c>
      <c r="D302" s="145"/>
      <c r="E302" s="143"/>
      <c r="F302" s="147"/>
      <c r="G302" s="148"/>
      <c r="H302" s="149"/>
      <c r="I302" s="150"/>
      <c r="J302" s="150"/>
      <c r="K302" s="150"/>
      <c r="L302" s="150"/>
      <c r="M302" s="6"/>
      <c r="N302" s="6"/>
      <c r="O302" s="6"/>
      <c r="P302" s="6"/>
      <c r="Q302" s="6"/>
      <c r="R302" s="6"/>
      <c r="S302" s="6"/>
      <c r="T302" s="6"/>
      <c r="U302" s="6"/>
      <c r="V302" s="6"/>
      <c r="W302" s="6"/>
      <c r="X302" s="6"/>
      <c r="Y302" s="6"/>
      <c r="Z302" s="6"/>
    </row>
    <row r="303" spans="1:26" ht="18" customHeight="1" x14ac:dyDescent="0.3">
      <c r="A303" s="142"/>
      <c r="B303" s="143"/>
      <c r="C303" s="144" t="str">
        <f>IF(A303="","",IFERROR(INDEX('12 P6 activities'!$C$7:$C$206,MATCH(A303,'12 P6 activities'!$A$7:$A$206,0)),"⚠ not in P6 list"))</f>
        <v/>
      </c>
      <c r="D303" s="145"/>
      <c r="E303" s="143"/>
      <c r="F303" s="147"/>
      <c r="G303" s="148"/>
      <c r="H303" s="149"/>
      <c r="I303" s="150"/>
      <c r="J303" s="150"/>
      <c r="K303" s="150"/>
      <c r="L303" s="150"/>
      <c r="M303" s="6"/>
      <c r="N303" s="6"/>
      <c r="O303" s="6"/>
      <c r="P303" s="6"/>
      <c r="Q303" s="6"/>
      <c r="R303" s="6"/>
      <c r="S303" s="6"/>
      <c r="T303" s="6"/>
      <c r="U303" s="6"/>
      <c r="V303" s="6"/>
      <c r="W303" s="6"/>
      <c r="X303" s="6"/>
      <c r="Y303" s="6"/>
      <c r="Z303" s="6"/>
    </row>
    <row r="304" spans="1:26" ht="18" customHeight="1" x14ac:dyDescent="0.3">
      <c r="A304" s="142"/>
      <c r="B304" s="143"/>
      <c r="C304" s="144" t="str">
        <f>IF(A304="","",IFERROR(INDEX('12 P6 activities'!$C$7:$C$206,MATCH(A304,'12 P6 activities'!$A$7:$A$206,0)),"⚠ not in P6 list"))</f>
        <v/>
      </c>
      <c r="D304" s="145"/>
      <c r="E304" s="143"/>
      <c r="F304" s="147"/>
      <c r="G304" s="148"/>
      <c r="H304" s="149"/>
      <c r="I304" s="150"/>
      <c r="J304" s="150"/>
      <c r="K304" s="150"/>
      <c r="L304" s="150"/>
      <c r="M304" s="6"/>
      <c r="N304" s="6"/>
      <c r="O304" s="6"/>
      <c r="P304" s="6"/>
      <c r="Q304" s="6"/>
      <c r="R304" s="6"/>
      <c r="S304" s="6"/>
      <c r="T304" s="6"/>
      <c r="U304" s="6"/>
      <c r="V304" s="6"/>
      <c r="W304" s="6"/>
      <c r="X304" s="6"/>
      <c r="Y304" s="6"/>
      <c r="Z304" s="6"/>
    </row>
    <row r="305" spans="1:26" ht="18" customHeight="1" x14ac:dyDescent="0.3">
      <c r="A305" s="142"/>
      <c r="B305" s="143"/>
      <c r="C305" s="144" t="str">
        <f>IF(A305="","",IFERROR(INDEX('12 P6 activities'!$C$7:$C$206,MATCH(A305,'12 P6 activities'!$A$7:$A$206,0)),"⚠ not in P6 list"))</f>
        <v/>
      </c>
      <c r="D305" s="145"/>
      <c r="E305" s="143"/>
      <c r="F305" s="147"/>
      <c r="G305" s="148"/>
      <c r="H305" s="149"/>
      <c r="I305" s="150"/>
      <c r="J305" s="150"/>
      <c r="K305" s="150"/>
      <c r="L305" s="150"/>
      <c r="M305" s="6"/>
      <c r="N305" s="6"/>
      <c r="O305" s="6"/>
      <c r="P305" s="6"/>
      <c r="Q305" s="6"/>
      <c r="R305" s="6"/>
      <c r="S305" s="6"/>
      <c r="T305" s="6"/>
      <c r="U305" s="6"/>
      <c r="V305" s="6"/>
      <c r="W305" s="6"/>
      <c r="X305" s="6"/>
      <c r="Y305" s="6"/>
      <c r="Z305" s="6"/>
    </row>
    <row r="306" spans="1:26" ht="18" customHeight="1" x14ac:dyDescent="0.3">
      <c r="A306" s="142"/>
      <c r="B306" s="143"/>
      <c r="C306" s="144" t="str">
        <f>IF(A306="","",IFERROR(INDEX('12 P6 activities'!$C$7:$C$206,MATCH(A306,'12 P6 activities'!$A$7:$A$206,0)),"⚠ not in P6 list"))</f>
        <v/>
      </c>
      <c r="D306" s="145"/>
      <c r="E306" s="143"/>
      <c r="F306" s="147"/>
      <c r="G306" s="148"/>
      <c r="H306" s="149"/>
      <c r="I306" s="150"/>
      <c r="J306" s="150"/>
      <c r="K306" s="150"/>
      <c r="L306" s="150"/>
      <c r="M306" s="6"/>
      <c r="N306" s="6"/>
      <c r="O306" s="6"/>
      <c r="P306" s="6"/>
      <c r="Q306" s="6"/>
      <c r="R306" s="6"/>
      <c r="S306" s="6"/>
      <c r="T306" s="6"/>
      <c r="U306" s="6"/>
      <c r="V306" s="6"/>
      <c r="W306" s="6"/>
      <c r="X306" s="6"/>
      <c r="Y306" s="6"/>
      <c r="Z306" s="6"/>
    </row>
    <row r="307" spans="1:26" ht="18" customHeight="1" x14ac:dyDescent="0.3">
      <c r="A307" s="142"/>
      <c r="B307" s="143"/>
      <c r="C307" s="144" t="str">
        <f>IF(A307="","",IFERROR(INDEX('12 P6 activities'!$C$7:$C$206,MATCH(A307,'12 P6 activities'!$A$7:$A$206,0)),"⚠ not in P6 list"))</f>
        <v/>
      </c>
      <c r="D307" s="145"/>
      <c r="E307" s="143"/>
      <c r="F307" s="147"/>
      <c r="G307" s="148"/>
      <c r="H307" s="149"/>
      <c r="I307" s="150"/>
      <c r="J307" s="150"/>
      <c r="K307" s="150"/>
      <c r="L307" s="150"/>
      <c r="M307" s="6"/>
      <c r="N307" s="6"/>
      <c r="O307" s="6"/>
      <c r="P307" s="6"/>
      <c r="Q307" s="6"/>
      <c r="R307" s="6"/>
      <c r="S307" s="6"/>
      <c r="T307" s="6"/>
      <c r="U307" s="6"/>
      <c r="V307" s="6"/>
      <c r="W307" s="6"/>
      <c r="X307" s="6"/>
      <c r="Y307" s="6"/>
      <c r="Z307" s="6"/>
    </row>
    <row r="308" spans="1:26" ht="18" customHeight="1" x14ac:dyDescent="0.3">
      <c r="A308" s="142"/>
      <c r="B308" s="143"/>
      <c r="C308" s="144" t="str">
        <f>IF(A308="","",IFERROR(INDEX('12 P6 activities'!$C$7:$C$206,MATCH(A308,'12 P6 activities'!$A$7:$A$206,0)),"⚠ not in P6 list"))</f>
        <v/>
      </c>
      <c r="D308" s="145"/>
      <c r="E308" s="143"/>
      <c r="F308" s="147"/>
      <c r="G308" s="148"/>
      <c r="H308" s="149"/>
      <c r="I308" s="150"/>
      <c r="J308" s="150"/>
      <c r="K308" s="150"/>
      <c r="L308" s="150"/>
      <c r="M308" s="6"/>
      <c r="N308" s="6"/>
      <c r="O308" s="6"/>
      <c r="P308" s="6"/>
      <c r="Q308" s="6"/>
      <c r="R308" s="6"/>
      <c r="S308" s="6"/>
      <c r="T308" s="6"/>
      <c r="U308" s="6"/>
      <c r="V308" s="6"/>
      <c r="W308" s="6"/>
      <c r="X308" s="6"/>
      <c r="Y308" s="6"/>
      <c r="Z308" s="6"/>
    </row>
    <row r="309" spans="1:26" ht="18" customHeight="1" x14ac:dyDescent="0.3">
      <c r="A309" s="142"/>
      <c r="B309" s="143"/>
      <c r="C309" s="144" t="str">
        <f>IF(A309="","",IFERROR(INDEX('12 P6 activities'!$C$7:$C$206,MATCH(A309,'12 P6 activities'!$A$7:$A$206,0)),"⚠ not in P6 list"))</f>
        <v/>
      </c>
      <c r="D309" s="145"/>
      <c r="E309" s="143"/>
      <c r="F309" s="147"/>
      <c r="G309" s="148"/>
      <c r="H309" s="149"/>
      <c r="I309" s="150"/>
      <c r="J309" s="150"/>
      <c r="K309" s="150"/>
      <c r="L309" s="150"/>
      <c r="M309" s="6"/>
      <c r="N309" s="6"/>
      <c r="O309" s="6"/>
      <c r="P309" s="6"/>
      <c r="Q309" s="6"/>
      <c r="R309" s="6"/>
      <c r="S309" s="6"/>
      <c r="T309" s="6"/>
      <c r="U309" s="6"/>
      <c r="V309" s="6"/>
      <c r="W309" s="6"/>
      <c r="X309" s="6"/>
      <c r="Y309" s="6"/>
      <c r="Z309" s="6"/>
    </row>
    <row r="310" spans="1:26" ht="18" customHeight="1" x14ac:dyDescent="0.3">
      <c r="A310" s="142"/>
      <c r="B310" s="143"/>
      <c r="C310" s="144" t="str">
        <f>IF(A310="","",IFERROR(INDEX('12 P6 activities'!$C$7:$C$206,MATCH(A310,'12 P6 activities'!$A$7:$A$206,0)),"⚠ not in P6 list"))</f>
        <v/>
      </c>
      <c r="D310" s="145"/>
      <c r="E310" s="143"/>
      <c r="F310" s="147"/>
      <c r="G310" s="148"/>
      <c r="H310" s="149"/>
      <c r="I310" s="150"/>
      <c r="J310" s="150"/>
      <c r="K310" s="150"/>
      <c r="L310" s="150"/>
      <c r="M310" s="6"/>
      <c r="N310" s="6"/>
      <c r="O310" s="6"/>
      <c r="P310" s="6"/>
      <c r="Q310" s="6"/>
      <c r="R310" s="6"/>
      <c r="S310" s="6"/>
      <c r="T310" s="6"/>
      <c r="U310" s="6"/>
      <c r="V310" s="6"/>
      <c r="W310" s="6"/>
      <c r="X310" s="6"/>
      <c r="Y310" s="6"/>
      <c r="Z310" s="6"/>
    </row>
    <row r="311" spans="1:26" ht="18" customHeight="1" x14ac:dyDescent="0.3">
      <c r="A311" s="142"/>
      <c r="B311" s="143"/>
      <c r="C311" s="144" t="str">
        <f>IF(A311="","",IFERROR(INDEX('12 P6 activities'!$C$7:$C$206,MATCH(A311,'12 P6 activities'!$A$7:$A$206,0)),"⚠ not in P6 list"))</f>
        <v/>
      </c>
      <c r="D311" s="145"/>
      <c r="E311" s="143"/>
      <c r="F311" s="147"/>
      <c r="G311" s="148"/>
      <c r="H311" s="149"/>
      <c r="I311" s="150"/>
      <c r="J311" s="150"/>
      <c r="K311" s="150"/>
      <c r="L311" s="150"/>
      <c r="M311" s="6"/>
      <c r="N311" s="6"/>
      <c r="O311" s="6"/>
      <c r="P311" s="6"/>
      <c r="Q311" s="6"/>
      <c r="R311" s="6"/>
      <c r="S311" s="6"/>
      <c r="T311" s="6"/>
      <c r="U311" s="6"/>
      <c r="V311" s="6"/>
      <c r="W311" s="6"/>
      <c r="X311" s="6"/>
      <c r="Y311" s="6"/>
      <c r="Z311" s="6"/>
    </row>
    <row r="312" spans="1:26" ht="18" customHeight="1" x14ac:dyDescent="0.3">
      <c r="A312" s="142"/>
      <c r="B312" s="143"/>
      <c r="C312" s="144" t="str">
        <f>IF(A312="","",IFERROR(INDEX('12 P6 activities'!$C$7:$C$206,MATCH(A312,'12 P6 activities'!$A$7:$A$206,0)),"⚠ not in P6 list"))</f>
        <v/>
      </c>
      <c r="D312" s="145"/>
      <c r="E312" s="143"/>
      <c r="F312" s="147"/>
      <c r="G312" s="148"/>
      <c r="H312" s="149"/>
      <c r="I312" s="150"/>
      <c r="J312" s="150"/>
      <c r="K312" s="150"/>
      <c r="L312" s="150"/>
      <c r="M312" s="6"/>
      <c r="N312" s="6"/>
      <c r="O312" s="6"/>
      <c r="P312" s="6"/>
      <c r="Q312" s="6"/>
      <c r="R312" s="6"/>
      <c r="S312" s="6"/>
      <c r="T312" s="6"/>
      <c r="U312" s="6"/>
      <c r="V312" s="6"/>
      <c r="W312" s="6"/>
      <c r="X312" s="6"/>
      <c r="Y312" s="6"/>
      <c r="Z312" s="6"/>
    </row>
    <row r="313" spans="1:26" ht="18" customHeight="1" x14ac:dyDescent="0.3">
      <c r="A313" s="142"/>
      <c r="B313" s="143"/>
      <c r="C313" s="144" t="str">
        <f>IF(A313="","",IFERROR(INDEX('12 P6 activities'!$C$7:$C$206,MATCH(A313,'12 P6 activities'!$A$7:$A$206,0)),"⚠ not in P6 list"))</f>
        <v/>
      </c>
      <c r="D313" s="145"/>
      <c r="E313" s="143"/>
      <c r="F313" s="147"/>
      <c r="G313" s="148"/>
      <c r="H313" s="149"/>
      <c r="I313" s="150"/>
      <c r="J313" s="150"/>
      <c r="K313" s="150"/>
      <c r="L313" s="150"/>
      <c r="M313" s="6"/>
      <c r="N313" s="6"/>
      <c r="O313" s="6"/>
      <c r="P313" s="6"/>
      <c r="Q313" s="6"/>
      <c r="R313" s="6"/>
      <c r="S313" s="6"/>
      <c r="T313" s="6"/>
      <c r="U313" s="6"/>
      <c r="V313" s="6"/>
      <c r="W313" s="6"/>
      <c r="X313" s="6"/>
      <c r="Y313" s="6"/>
      <c r="Z313" s="6"/>
    </row>
    <row r="314" spans="1:26" ht="18" customHeight="1" x14ac:dyDescent="0.3">
      <c r="A314" s="142"/>
      <c r="B314" s="143"/>
      <c r="C314" s="144" t="str">
        <f>IF(A314="","",IFERROR(INDEX('12 P6 activities'!$C$7:$C$206,MATCH(A314,'12 P6 activities'!$A$7:$A$206,0)),"⚠ not in P6 list"))</f>
        <v/>
      </c>
      <c r="D314" s="145"/>
      <c r="E314" s="143"/>
      <c r="F314" s="147"/>
      <c r="G314" s="148"/>
      <c r="H314" s="149"/>
      <c r="I314" s="150"/>
      <c r="J314" s="150"/>
      <c r="K314" s="150"/>
      <c r="L314" s="150"/>
      <c r="M314" s="6"/>
      <c r="N314" s="6"/>
      <c r="O314" s="6"/>
      <c r="P314" s="6"/>
      <c r="Q314" s="6"/>
      <c r="R314" s="6"/>
      <c r="S314" s="6"/>
      <c r="T314" s="6"/>
      <c r="U314" s="6"/>
      <c r="V314" s="6"/>
      <c r="W314" s="6"/>
      <c r="X314" s="6"/>
      <c r="Y314" s="6"/>
      <c r="Z314" s="6"/>
    </row>
    <row r="315" spans="1:26" ht="18" customHeight="1" x14ac:dyDescent="0.3">
      <c r="A315" s="142"/>
      <c r="B315" s="143"/>
      <c r="C315" s="144" t="str">
        <f>IF(A315="","",IFERROR(INDEX('12 P6 activities'!$C$7:$C$206,MATCH(A315,'12 P6 activities'!$A$7:$A$206,0)),"⚠ not in P6 list"))</f>
        <v/>
      </c>
      <c r="D315" s="145"/>
      <c r="E315" s="143"/>
      <c r="F315" s="147"/>
      <c r="G315" s="148"/>
      <c r="H315" s="149"/>
      <c r="I315" s="150"/>
      <c r="J315" s="150"/>
      <c r="K315" s="150"/>
      <c r="L315" s="150"/>
      <c r="M315" s="6"/>
      <c r="N315" s="6"/>
      <c r="O315" s="6"/>
      <c r="P315" s="6"/>
      <c r="Q315" s="6"/>
      <c r="R315" s="6"/>
      <c r="S315" s="6"/>
      <c r="T315" s="6"/>
      <c r="U315" s="6"/>
      <c r="V315" s="6"/>
      <c r="W315" s="6"/>
      <c r="X315" s="6"/>
      <c r="Y315" s="6"/>
      <c r="Z315" s="6"/>
    </row>
    <row r="316" spans="1:26" ht="18" customHeight="1" x14ac:dyDescent="0.3">
      <c r="A316" s="142"/>
      <c r="B316" s="143"/>
      <c r="C316" s="144" t="str">
        <f>IF(A316="","",IFERROR(INDEX('12 P6 activities'!$C$7:$C$206,MATCH(A316,'12 P6 activities'!$A$7:$A$206,0)),"⚠ not in P6 list"))</f>
        <v/>
      </c>
      <c r="D316" s="145"/>
      <c r="E316" s="143"/>
      <c r="F316" s="147"/>
      <c r="G316" s="148"/>
      <c r="H316" s="149"/>
      <c r="I316" s="150"/>
      <c r="J316" s="150"/>
      <c r="K316" s="150"/>
      <c r="L316" s="150"/>
      <c r="M316" s="6"/>
      <c r="N316" s="6"/>
      <c r="O316" s="6"/>
      <c r="P316" s="6"/>
      <c r="Q316" s="6"/>
      <c r="R316" s="6"/>
      <c r="S316" s="6"/>
      <c r="T316" s="6"/>
      <c r="U316" s="6"/>
      <c r="V316" s="6"/>
      <c r="W316" s="6"/>
      <c r="X316" s="6"/>
      <c r="Y316" s="6"/>
      <c r="Z316" s="6"/>
    </row>
    <row r="317" spans="1:26" ht="18" customHeight="1" x14ac:dyDescent="0.3">
      <c r="A317" s="142"/>
      <c r="B317" s="143"/>
      <c r="C317" s="144" t="str">
        <f>IF(A317="","",IFERROR(INDEX('12 P6 activities'!$C$7:$C$206,MATCH(A317,'12 P6 activities'!$A$7:$A$206,0)),"⚠ not in P6 list"))</f>
        <v/>
      </c>
      <c r="D317" s="145"/>
      <c r="E317" s="143"/>
      <c r="F317" s="147"/>
      <c r="G317" s="148"/>
      <c r="H317" s="149"/>
      <c r="I317" s="150"/>
      <c r="J317" s="150"/>
      <c r="K317" s="150"/>
      <c r="L317" s="150"/>
      <c r="M317" s="6"/>
      <c r="N317" s="6"/>
      <c r="O317" s="6"/>
      <c r="P317" s="6"/>
      <c r="Q317" s="6"/>
      <c r="R317" s="6"/>
      <c r="S317" s="6"/>
      <c r="T317" s="6"/>
      <c r="U317" s="6"/>
      <c r="V317" s="6"/>
      <c r="W317" s="6"/>
      <c r="X317" s="6"/>
      <c r="Y317" s="6"/>
      <c r="Z317" s="6"/>
    </row>
    <row r="318" spans="1:26" ht="18" customHeight="1" x14ac:dyDescent="0.3">
      <c r="A318" s="142"/>
      <c r="B318" s="143"/>
      <c r="C318" s="144" t="str">
        <f>IF(A318="","",IFERROR(INDEX('12 P6 activities'!$C$7:$C$206,MATCH(A318,'12 P6 activities'!$A$7:$A$206,0)),"⚠ not in P6 list"))</f>
        <v/>
      </c>
      <c r="D318" s="145"/>
      <c r="E318" s="143"/>
      <c r="F318" s="147"/>
      <c r="G318" s="148"/>
      <c r="H318" s="149"/>
      <c r="I318" s="150"/>
      <c r="J318" s="150"/>
      <c r="K318" s="150"/>
      <c r="L318" s="150"/>
      <c r="M318" s="6"/>
      <c r="N318" s="6"/>
      <c r="O318" s="6"/>
      <c r="P318" s="6"/>
      <c r="Q318" s="6"/>
      <c r="R318" s="6"/>
      <c r="S318" s="6"/>
      <c r="T318" s="6"/>
      <c r="U318" s="6"/>
      <c r="V318" s="6"/>
      <c r="W318" s="6"/>
      <c r="X318" s="6"/>
      <c r="Y318" s="6"/>
      <c r="Z318" s="6"/>
    </row>
    <row r="319" spans="1:26" ht="18" customHeight="1" x14ac:dyDescent="0.3">
      <c r="A319" s="142"/>
      <c r="B319" s="143"/>
      <c r="C319" s="144" t="str">
        <f>IF(A319="","",IFERROR(INDEX('12 P6 activities'!$C$7:$C$206,MATCH(A319,'12 P6 activities'!$A$7:$A$206,0)),"⚠ not in P6 list"))</f>
        <v/>
      </c>
      <c r="D319" s="145"/>
      <c r="E319" s="143"/>
      <c r="F319" s="147"/>
      <c r="G319" s="148"/>
      <c r="H319" s="149"/>
      <c r="I319" s="150"/>
      <c r="J319" s="150"/>
      <c r="K319" s="150"/>
      <c r="L319" s="150"/>
      <c r="M319" s="6"/>
      <c r="N319" s="6"/>
      <c r="O319" s="6"/>
      <c r="P319" s="6"/>
      <c r="Q319" s="6"/>
      <c r="R319" s="6"/>
      <c r="S319" s="6"/>
      <c r="T319" s="6"/>
      <c r="U319" s="6"/>
      <c r="V319" s="6"/>
      <c r="W319" s="6"/>
      <c r="X319" s="6"/>
      <c r="Y319" s="6"/>
      <c r="Z319" s="6"/>
    </row>
    <row r="320" spans="1:26" ht="18" customHeight="1" x14ac:dyDescent="0.3">
      <c r="A320" s="142"/>
      <c r="B320" s="143"/>
      <c r="C320" s="144" t="str">
        <f>IF(A320="","",IFERROR(INDEX('12 P6 activities'!$C$7:$C$206,MATCH(A320,'12 P6 activities'!$A$7:$A$206,0)),"⚠ not in P6 list"))</f>
        <v/>
      </c>
      <c r="D320" s="145"/>
      <c r="E320" s="143"/>
      <c r="F320" s="147"/>
      <c r="G320" s="148"/>
      <c r="H320" s="149"/>
      <c r="I320" s="150"/>
      <c r="J320" s="150"/>
      <c r="K320" s="150"/>
      <c r="L320" s="150"/>
      <c r="M320" s="6"/>
      <c r="N320" s="6"/>
      <c r="O320" s="6"/>
      <c r="P320" s="6"/>
      <c r="Q320" s="6"/>
      <c r="R320" s="6"/>
      <c r="S320" s="6"/>
      <c r="T320" s="6"/>
      <c r="U320" s="6"/>
      <c r="V320" s="6"/>
      <c r="W320" s="6"/>
      <c r="X320" s="6"/>
      <c r="Y320" s="6"/>
      <c r="Z320" s="6"/>
    </row>
    <row r="321" spans="1:26" ht="18" customHeight="1" x14ac:dyDescent="0.3">
      <c r="A321" s="142"/>
      <c r="B321" s="143"/>
      <c r="C321" s="144" t="str">
        <f>IF(A321="","",IFERROR(INDEX('12 P6 activities'!$C$7:$C$206,MATCH(A321,'12 P6 activities'!$A$7:$A$206,0)),"⚠ not in P6 list"))</f>
        <v/>
      </c>
      <c r="D321" s="145"/>
      <c r="E321" s="143"/>
      <c r="F321" s="147"/>
      <c r="G321" s="148"/>
      <c r="H321" s="149"/>
      <c r="I321" s="150"/>
      <c r="J321" s="150"/>
      <c r="K321" s="150"/>
      <c r="L321" s="150"/>
      <c r="M321" s="6"/>
      <c r="N321" s="6"/>
      <c r="O321" s="6"/>
      <c r="P321" s="6"/>
      <c r="Q321" s="6"/>
      <c r="R321" s="6"/>
      <c r="S321" s="6"/>
      <c r="T321" s="6"/>
      <c r="U321" s="6"/>
      <c r="V321" s="6"/>
      <c r="W321" s="6"/>
      <c r="X321" s="6"/>
      <c r="Y321" s="6"/>
      <c r="Z321" s="6"/>
    </row>
    <row r="322" spans="1:26" ht="18" customHeight="1" x14ac:dyDescent="0.3">
      <c r="A322" s="142"/>
      <c r="B322" s="143"/>
      <c r="C322" s="144" t="str">
        <f>IF(A322="","",IFERROR(INDEX('12 P6 activities'!$C$7:$C$206,MATCH(A322,'12 P6 activities'!$A$7:$A$206,0)),"⚠ not in P6 list"))</f>
        <v/>
      </c>
      <c r="D322" s="145"/>
      <c r="E322" s="143"/>
      <c r="F322" s="147"/>
      <c r="G322" s="148"/>
      <c r="H322" s="149"/>
      <c r="I322" s="150"/>
      <c r="J322" s="150"/>
      <c r="K322" s="150"/>
      <c r="L322" s="150"/>
      <c r="M322" s="6"/>
      <c r="N322" s="6"/>
      <c r="O322" s="6"/>
      <c r="P322" s="6"/>
      <c r="Q322" s="6"/>
      <c r="R322" s="6"/>
      <c r="S322" s="6"/>
      <c r="T322" s="6"/>
      <c r="U322" s="6"/>
      <c r="V322" s="6"/>
      <c r="W322" s="6"/>
      <c r="X322" s="6"/>
      <c r="Y322" s="6"/>
      <c r="Z322" s="6"/>
    </row>
    <row r="323" spans="1:26" ht="18" customHeight="1" x14ac:dyDescent="0.3">
      <c r="A323" s="142"/>
      <c r="B323" s="143"/>
      <c r="C323" s="144" t="str">
        <f>IF(A323="","",IFERROR(INDEX('12 P6 activities'!$C$7:$C$206,MATCH(A323,'12 P6 activities'!$A$7:$A$206,0)),"⚠ not in P6 list"))</f>
        <v/>
      </c>
      <c r="D323" s="145"/>
      <c r="E323" s="143"/>
      <c r="F323" s="147"/>
      <c r="G323" s="148"/>
      <c r="H323" s="149"/>
      <c r="I323" s="150"/>
      <c r="J323" s="150"/>
      <c r="K323" s="150"/>
      <c r="L323" s="150"/>
      <c r="M323" s="6"/>
      <c r="N323" s="6"/>
      <c r="O323" s="6"/>
      <c r="P323" s="6"/>
      <c r="Q323" s="6"/>
      <c r="R323" s="6"/>
      <c r="S323" s="6"/>
      <c r="T323" s="6"/>
      <c r="U323" s="6"/>
      <c r="V323" s="6"/>
      <c r="W323" s="6"/>
      <c r="X323" s="6"/>
      <c r="Y323" s="6"/>
      <c r="Z323" s="6"/>
    </row>
    <row r="324" spans="1:26" ht="18" customHeight="1" x14ac:dyDescent="0.3">
      <c r="A324" s="142"/>
      <c r="B324" s="143"/>
      <c r="C324" s="144" t="str">
        <f>IF(A324="","",IFERROR(INDEX('12 P6 activities'!$C$7:$C$206,MATCH(A324,'12 P6 activities'!$A$7:$A$206,0)),"⚠ not in P6 list"))</f>
        <v/>
      </c>
      <c r="D324" s="145"/>
      <c r="E324" s="143"/>
      <c r="F324" s="147"/>
      <c r="G324" s="148"/>
      <c r="H324" s="149"/>
      <c r="I324" s="150"/>
      <c r="J324" s="150"/>
      <c r="K324" s="150"/>
      <c r="L324" s="150"/>
      <c r="M324" s="6"/>
      <c r="N324" s="6"/>
      <c r="O324" s="6"/>
      <c r="P324" s="6"/>
      <c r="Q324" s="6"/>
      <c r="R324" s="6"/>
      <c r="S324" s="6"/>
      <c r="T324" s="6"/>
      <c r="U324" s="6"/>
      <c r="V324" s="6"/>
      <c r="W324" s="6"/>
      <c r="X324" s="6"/>
      <c r="Y324" s="6"/>
      <c r="Z324" s="6"/>
    </row>
    <row r="325" spans="1:26" ht="18" customHeight="1" x14ac:dyDescent="0.3">
      <c r="A325" s="142"/>
      <c r="B325" s="143"/>
      <c r="C325" s="144" t="str">
        <f>IF(A325="","",IFERROR(INDEX('12 P6 activities'!$C$7:$C$206,MATCH(A325,'12 P6 activities'!$A$7:$A$206,0)),"⚠ not in P6 list"))</f>
        <v/>
      </c>
      <c r="D325" s="145"/>
      <c r="E325" s="143"/>
      <c r="F325" s="147"/>
      <c r="G325" s="148"/>
      <c r="H325" s="149"/>
      <c r="I325" s="150"/>
      <c r="J325" s="150"/>
      <c r="K325" s="150"/>
      <c r="L325" s="150"/>
      <c r="M325" s="6"/>
      <c r="N325" s="6"/>
      <c r="O325" s="6"/>
      <c r="P325" s="6"/>
      <c r="Q325" s="6"/>
      <c r="R325" s="6"/>
      <c r="S325" s="6"/>
      <c r="T325" s="6"/>
      <c r="U325" s="6"/>
      <c r="V325" s="6"/>
      <c r="W325" s="6"/>
      <c r="X325" s="6"/>
      <c r="Y325" s="6"/>
      <c r="Z325" s="6"/>
    </row>
    <row r="326" spans="1:26" ht="18" customHeight="1" x14ac:dyDescent="0.3">
      <c r="A326" s="142"/>
      <c r="B326" s="143"/>
      <c r="C326" s="144" t="str">
        <f>IF(A326="","",IFERROR(INDEX('12 P6 activities'!$C$7:$C$206,MATCH(A326,'12 P6 activities'!$A$7:$A$206,0)),"⚠ not in P6 list"))</f>
        <v/>
      </c>
      <c r="D326" s="145"/>
      <c r="E326" s="143"/>
      <c r="F326" s="147"/>
      <c r="G326" s="148"/>
      <c r="H326" s="149"/>
      <c r="I326" s="150"/>
      <c r="J326" s="150"/>
      <c r="K326" s="150"/>
      <c r="L326" s="150"/>
      <c r="M326" s="6"/>
      <c r="N326" s="6"/>
      <c r="O326" s="6"/>
      <c r="P326" s="6"/>
      <c r="Q326" s="6"/>
      <c r="R326" s="6"/>
      <c r="S326" s="6"/>
      <c r="T326" s="6"/>
      <c r="U326" s="6"/>
      <c r="V326" s="6"/>
      <c r="W326" s="6"/>
      <c r="X326" s="6"/>
      <c r="Y326" s="6"/>
      <c r="Z326" s="6"/>
    </row>
    <row r="327" spans="1:26" ht="18" customHeight="1" x14ac:dyDescent="0.3">
      <c r="A327" s="142"/>
      <c r="B327" s="143"/>
      <c r="C327" s="144" t="str">
        <f>IF(A327="","",IFERROR(INDEX('12 P6 activities'!$C$7:$C$206,MATCH(A327,'12 P6 activities'!$A$7:$A$206,0)),"⚠ not in P6 list"))</f>
        <v/>
      </c>
      <c r="D327" s="145"/>
      <c r="E327" s="143"/>
      <c r="F327" s="147"/>
      <c r="G327" s="148"/>
      <c r="H327" s="149"/>
      <c r="I327" s="150"/>
      <c r="J327" s="150"/>
      <c r="K327" s="150"/>
      <c r="L327" s="150"/>
      <c r="M327" s="6"/>
      <c r="N327" s="6"/>
      <c r="O327" s="6"/>
      <c r="P327" s="6"/>
      <c r="Q327" s="6"/>
      <c r="R327" s="6"/>
      <c r="S327" s="6"/>
      <c r="T327" s="6"/>
      <c r="U327" s="6"/>
      <c r="V327" s="6"/>
      <c r="W327" s="6"/>
      <c r="X327" s="6"/>
      <c r="Y327" s="6"/>
      <c r="Z327" s="6"/>
    </row>
    <row r="328" spans="1:26" ht="18" customHeight="1" x14ac:dyDescent="0.3">
      <c r="A328" s="142"/>
      <c r="B328" s="143"/>
      <c r="C328" s="144" t="str">
        <f>IF(A328="","",IFERROR(INDEX('12 P6 activities'!$C$7:$C$206,MATCH(A328,'12 P6 activities'!$A$7:$A$206,0)),"⚠ not in P6 list"))</f>
        <v/>
      </c>
      <c r="D328" s="145"/>
      <c r="E328" s="143"/>
      <c r="F328" s="147"/>
      <c r="G328" s="148"/>
      <c r="H328" s="149"/>
      <c r="I328" s="150"/>
      <c r="J328" s="150"/>
      <c r="K328" s="150"/>
      <c r="L328" s="150"/>
      <c r="M328" s="6"/>
      <c r="N328" s="6"/>
      <c r="O328" s="6"/>
      <c r="P328" s="6"/>
      <c r="Q328" s="6"/>
      <c r="R328" s="6"/>
      <c r="S328" s="6"/>
      <c r="T328" s="6"/>
      <c r="U328" s="6"/>
      <c r="V328" s="6"/>
      <c r="W328" s="6"/>
      <c r="X328" s="6"/>
      <c r="Y328" s="6"/>
      <c r="Z328" s="6"/>
    </row>
    <row r="329" spans="1:26" ht="18" customHeight="1" x14ac:dyDescent="0.3">
      <c r="A329" s="142"/>
      <c r="B329" s="143"/>
      <c r="C329" s="144" t="str">
        <f>IF(A329="","",IFERROR(INDEX('12 P6 activities'!$C$7:$C$206,MATCH(A329,'12 P6 activities'!$A$7:$A$206,0)),"⚠ not in P6 list"))</f>
        <v/>
      </c>
      <c r="D329" s="145"/>
      <c r="E329" s="143"/>
      <c r="F329" s="147"/>
      <c r="G329" s="148"/>
      <c r="H329" s="149"/>
      <c r="I329" s="150"/>
      <c r="J329" s="150"/>
      <c r="K329" s="150"/>
      <c r="L329" s="150"/>
      <c r="M329" s="6"/>
      <c r="N329" s="6"/>
      <c r="O329" s="6"/>
      <c r="P329" s="6"/>
      <c r="Q329" s="6"/>
      <c r="R329" s="6"/>
      <c r="S329" s="6"/>
      <c r="T329" s="6"/>
      <c r="U329" s="6"/>
      <c r="V329" s="6"/>
      <c r="W329" s="6"/>
      <c r="X329" s="6"/>
      <c r="Y329" s="6"/>
      <c r="Z329" s="6"/>
    </row>
    <row r="330" spans="1:26" ht="18" customHeight="1" x14ac:dyDescent="0.3">
      <c r="A330" s="142"/>
      <c r="B330" s="143"/>
      <c r="C330" s="144" t="str">
        <f>IF(A330="","",IFERROR(INDEX('12 P6 activities'!$C$7:$C$206,MATCH(A330,'12 P6 activities'!$A$7:$A$206,0)),"⚠ not in P6 list"))</f>
        <v/>
      </c>
      <c r="D330" s="145"/>
      <c r="E330" s="143"/>
      <c r="F330" s="147"/>
      <c r="G330" s="148"/>
      <c r="H330" s="149"/>
      <c r="I330" s="150"/>
      <c r="J330" s="150"/>
      <c r="K330" s="150"/>
      <c r="L330" s="150"/>
      <c r="M330" s="6"/>
      <c r="N330" s="6"/>
      <c r="O330" s="6"/>
      <c r="P330" s="6"/>
      <c r="Q330" s="6"/>
      <c r="R330" s="6"/>
      <c r="S330" s="6"/>
      <c r="T330" s="6"/>
      <c r="U330" s="6"/>
      <c r="V330" s="6"/>
      <c r="W330" s="6"/>
      <c r="X330" s="6"/>
      <c r="Y330" s="6"/>
      <c r="Z330" s="6"/>
    </row>
    <row r="331" spans="1:26" ht="18" customHeight="1" x14ac:dyDescent="0.3">
      <c r="A331" s="142"/>
      <c r="B331" s="143"/>
      <c r="C331" s="144" t="str">
        <f>IF(A331="","",IFERROR(INDEX('12 P6 activities'!$C$7:$C$206,MATCH(A331,'12 P6 activities'!$A$7:$A$206,0)),"⚠ not in P6 list"))</f>
        <v/>
      </c>
      <c r="D331" s="145"/>
      <c r="E331" s="143"/>
      <c r="F331" s="147"/>
      <c r="G331" s="148"/>
      <c r="H331" s="149"/>
      <c r="I331" s="150"/>
      <c r="J331" s="150"/>
      <c r="K331" s="150"/>
      <c r="L331" s="150"/>
      <c r="M331" s="6"/>
      <c r="N331" s="6"/>
      <c r="O331" s="6"/>
      <c r="P331" s="6"/>
      <c r="Q331" s="6"/>
      <c r="R331" s="6"/>
      <c r="S331" s="6"/>
      <c r="T331" s="6"/>
      <c r="U331" s="6"/>
      <c r="V331" s="6"/>
      <c r="W331" s="6"/>
      <c r="X331" s="6"/>
      <c r="Y331" s="6"/>
      <c r="Z331" s="6"/>
    </row>
    <row r="332" spans="1:26" ht="18" customHeight="1" x14ac:dyDescent="0.3">
      <c r="A332" s="142"/>
      <c r="B332" s="143"/>
      <c r="C332" s="144" t="str">
        <f>IF(A332="","",IFERROR(INDEX('12 P6 activities'!$C$7:$C$206,MATCH(A332,'12 P6 activities'!$A$7:$A$206,0)),"⚠ not in P6 list"))</f>
        <v/>
      </c>
      <c r="D332" s="145"/>
      <c r="E332" s="143"/>
      <c r="F332" s="147"/>
      <c r="G332" s="148"/>
      <c r="H332" s="149"/>
      <c r="I332" s="150"/>
      <c r="J332" s="150"/>
      <c r="K332" s="150"/>
      <c r="L332" s="150"/>
      <c r="M332" s="6"/>
      <c r="N332" s="6"/>
      <c r="O332" s="6"/>
      <c r="P332" s="6"/>
      <c r="Q332" s="6"/>
      <c r="R332" s="6"/>
      <c r="S332" s="6"/>
      <c r="T332" s="6"/>
      <c r="U332" s="6"/>
      <c r="V332" s="6"/>
      <c r="W332" s="6"/>
      <c r="X332" s="6"/>
      <c r="Y332" s="6"/>
      <c r="Z332" s="6"/>
    </row>
    <row r="333" spans="1:26" ht="18" customHeight="1" x14ac:dyDescent="0.3">
      <c r="A333" s="142"/>
      <c r="B333" s="143"/>
      <c r="C333" s="144" t="str">
        <f>IF(A333="","",IFERROR(INDEX('12 P6 activities'!$C$7:$C$206,MATCH(A333,'12 P6 activities'!$A$7:$A$206,0)),"⚠ not in P6 list"))</f>
        <v/>
      </c>
      <c r="D333" s="145"/>
      <c r="E333" s="143"/>
      <c r="F333" s="147"/>
      <c r="G333" s="148"/>
      <c r="H333" s="149"/>
      <c r="I333" s="150"/>
      <c r="J333" s="150"/>
      <c r="K333" s="150"/>
      <c r="L333" s="150"/>
      <c r="M333" s="6"/>
      <c r="N333" s="6"/>
      <c r="O333" s="6"/>
      <c r="P333" s="6"/>
      <c r="Q333" s="6"/>
      <c r="R333" s="6"/>
      <c r="S333" s="6"/>
      <c r="T333" s="6"/>
      <c r="U333" s="6"/>
      <c r="V333" s="6"/>
      <c r="W333" s="6"/>
      <c r="X333" s="6"/>
      <c r="Y333" s="6"/>
      <c r="Z333" s="6"/>
    </row>
    <row r="334" spans="1:26" ht="18" customHeight="1" x14ac:dyDescent="0.3">
      <c r="A334" s="142"/>
      <c r="B334" s="143"/>
      <c r="C334" s="144" t="str">
        <f>IF(A334="","",IFERROR(INDEX('12 P6 activities'!$C$7:$C$206,MATCH(A334,'12 P6 activities'!$A$7:$A$206,0)),"⚠ not in P6 list"))</f>
        <v/>
      </c>
      <c r="D334" s="145"/>
      <c r="E334" s="143"/>
      <c r="F334" s="147"/>
      <c r="G334" s="148"/>
      <c r="H334" s="149"/>
      <c r="I334" s="150"/>
      <c r="J334" s="150"/>
      <c r="K334" s="150"/>
      <c r="L334" s="150"/>
      <c r="M334" s="6"/>
      <c r="N334" s="6"/>
      <c r="O334" s="6"/>
      <c r="P334" s="6"/>
      <c r="Q334" s="6"/>
      <c r="R334" s="6"/>
      <c r="S334" s="6"/>
      <c r="T334" s="6"/>
      <c r="U334" s="6"/>
      <c r="V334" s="6"/>
      <c r="W334" s="6"/>
      <c r="X334" s="6"/>
      <c r="Y334" s="6"/>
      <c r="Z334" s="6"/>
    </row>
    <row r="335" spans="1:26" ht="18" customHeight="1" x14ac:dyDescent="0.3">
      <c r="A335" s="142"/>
      <c r="B335" s="143"/>
      <c r="C335" s="144" t="str">
        <f>IF(A335="","",IFERROR(INDEX('12 P6 activities'!$C$7:$C$206,MATCH(A335,'12 P6 activities'!$A$7:$A$206,0)),"⚠ not in P6 list"))</f>
        <v/>
      </c>
      <c r="D335" s="145"/>
      <c r="E335" s="143"/>
      <c r="F335" s="147"/>
      <c r="G335" s="148"/>
      <c r="H335" s="149"/>
      <c r="I335" s="150"/>
      <c r="J335" s="150"/>
      <c r="K335" s="150"/>
      <c r="L335" s="150"/>
      <c r="M335" s="6"/>
      <c r="N335" s="6"/>
      <c r="O335" s="6"/>
      <c r="P335" s="6"/>
      <c r="Q335" s="6"/>
      <c r="R335" s="6"/>
      <c r="S335" s="6"/>
      <c r="T335" s="6"/>
      <c r="U335" s="6"/>
      <c r="V335" s="6"/>
      <c r="W335" s="6"/>
      <c r="X335" s="6"/>
      <c r="Y335" s="6"/>
      <c r="Z335" s="6"/>
    </row>
    <row r="336" spans="1:26" ht="18" customHeight="1" x14ac:dyDescent="0.3">
      <c r="A336" s="142"/>
      <c r="B336" s="143"/>
      <c r="C336" s="144" t="str">
        <f>IF(A336="","",IFERROR(INDEX('12 P6 activities'!$C$7:$C$206,MATCH(A336,'12 P6 activities'!$A$7:$A$206,0)),"⚠ not in P6 list"))</f>
        <v/>
      </c>
      <c r="D336" s="145"/>
      <c r="E336" s="143"/>
      <c r="F336" s="147"/>
      <c r="G336" s="148"/>
      <c r="H336" s="149"/>
      <c r="I336" s="150"/>
      <c r="J336" s="150"/>
      <c r="K336" s="150"/>
      <c r="L336" s="150"/>
      <c r="M336" s="6"/>
      <c r="N336" s="6"/>
      <c r="O336" s="6"/>
      <c r="P336" s="6"/>
      <c r="Q336" s="6"/>
      <c r="R336" s="6"/>
      <c r="S336" s="6"/>
      <c r="T336" s="6"/>
      <c r="U336" s="6"/>
      <c r="V336" s="6"/>
      <c r="W336" s="6"/>
      <c r="X336" s="6"/>
      <c r="Y336" s="6"/>
      <c r="Z336" s="6"/>
    </row>
    <row r="337" spans="1:26" ht="18" customHeight="1" x14ac:dyDescent="0.3">
      <c r="A337" s="142"/>
      <c r="B337" s="143"/>
      <c r="C337" s="144" t="str">
        <f>IF(A337="","",IFERROR(INDEX('12 P6 activities'!$C$7:$C$206,MATCH(A337,'12 P6 activities'!$A$7:$A$206,0)),"⚠ not in P6 list"))</f>
        <v/>
      </c>
      <c r="D337" s="145"/>
      <c r="E337" s="143"/>
      <c r="F337" s="147"/>
      <c r="G337" s="148"/>
      <c r="H337" s="149"/>
      <c r="I337" s="150"/>
      <c r="J337" s="150"/>
      <c r="K337" s="150"/>
      <c r="L337" s="150"/>
      <c r="M337" s="6"/>
      <c r="N337" s="6"/>
      <c r="O337" s="6"/>
      <c r="P337" s="6"/>
      <c r="Q337" s="6"/>
      <c r="R337" s="6"/>
      <c r="S337" s="6"/>
      <c r="T337" s="6"/>
      <c r="U337" s="6"/>
      <c r="V337" s="6"/>
      <c r="W337" s="6"/>
      <c r="X337" s="6"/>
      <c r="Y337" s="6"/>
      <c r="Z337" s="6"/>
    </row>
    <row r="338" spans="1:26" ht="18" customHeight="1" x14ac:dyDescent="0.3">
      <c r="A338" s="142"/>
      <c r="B338" s="143"/>
      <c r="C338" s="144" t="str">
        <f>IF(A338="","",IFERROR(INDEX('12 P6 activities'!$C$7:$C$206,MATCH(A338,'12 P6 activities'!$A$7:$A$206,0)),"⚠ not in P6 list"))</f>
        <v/>
      </c>
      <c r="D338" s="145"/>
      <c r="E338" s="143"/>
      <c r="F338" s="147"/>
      <c r="G338" s="148"/>
      <c r="H338" s="149"/>
      <c r="I338" s="150"/>
      <c r="J338" s="150"/>
      <c r="K338" s="150"/>
      <c r="L338" s="150"/>
      <c r="M338" s="6"/>
      <c r="N338" s="6"/>
      <c r="O338" s="6"/>
      <c r="P338" s="6"/>
      <c r="Q338" s="6"/>
      <c r="R338" s="6"/>
      <c r="S338" s="6"/>
      <c r="T338" s="6"/>
      <c r="U338" s="6"/>
      <c r="V338" s="6"/>
      <c r="W338" s="6"/>
      <c r="X338" s="6"/>
      <c r="Y338" s="6"/>
      <c r="Z338" s="6"/>
    </row>
    <row r="339" spans="1:26" ht="18" customHeight="1" x14ac:dyDescent="0.3">
      <c r="A339" s="142"/>
      <c r="B339" s="143"/>
      <c r="C339" s="144" t="str">
        <f>IF(A339="","",IFERROR(INDEX('12 P6 activities'!$C$7:$C$206,MATCH(A339,'12 P6 activities'!$A$7:$A$206,0)),"⚠ not in P6 list"))</f>
        <v/>
      </c>
      <c r="D339" s="145"/>
      <c r="E339" s="143"/>
      <c r="F339" s="147"/>
      <c r="G339" s="148"/>
      <c r="H339" s="149"/>
      <c r="I339" s="150"/>
      <c r="J339" s="150"/>
      <c r="K339" s="150"/>
      <c r="L339" s="150"/>
      <c r="M339" s="6"/>
      <c r="N339" s="6"/>
      <c r="O339" s="6"/>
      <c r="P339" s="6"/>
      <c r="Q339" s="6"/>
      <c r="R339" s="6"/>
      <c r="S339" s="6"/>
      <c r="T339" s="6"/>
      <c r="U339" s="6"/>
      <c r="V339" s="6"/>
      <c r="W339" s="6"/>
      <c r="X339" s="6"/>
      <c r="Y339" s="6"/>
      <c r="Z339" s="6"/>
    </row>
    <row r="340" spans="1:26" ht="18" customHeight="1" x14ac:dyDescent="0.3">
      <c r="A340" s="142"/>
      <c r="B340" s="143"/>
      <c r="C340" s="144" t="str">
        <f>IF(A340="","",IFERROR(INDEX('12 P6 activities'!$C$7:$C$206,MATCH(A340,'12 P6 activities'!$A$7:$A$206,0)),"⚠ not in P6 list"))</f>
        <v/>
      </c>
      <c r="D340" s="145"/>
      <c r="E340" s="143"/>
      <c r="F340" s="147"/>
      <c r="G340" s="148"/>
      <c r="H340" s="149"/>
      <c r="I340" s="150"/>
      <c r="J340" s="150"/>
      <c r="K340" s="150"/>
      <c r="L340" s="150"/>
      <c r="M340" s="6"/>
      <c r="N340" s="6"/>
      <c r="O340" s="6"/>
      <c r="P340" s="6"/>
      <c r="Q340" s="6"/>
      <c r="R340" s="6"/>
      <c r="S340" s="6"/>
      <c r="T340" s="6"/>
      <c r="U340" s="6"/>
      <c r="V340" s="6"/>
      <c r="W340" s="6"/>
      <c r="X340" s="6"/>
      <c r="Y340" s="6"/>
      <c r="Z340" s="6"/>
    </row>
    <row r="341" spans="1:26" ht="18" customHeight="1" x14ac:dyDescent="0.3">
      <c r="A341" s="142"/>
      <c r="B341" s="143"/>
      <c r="C341" s="144" t="str">
        <f>IF(A341="","",IFERROR(INDEX('12 P6 activities'!$C$7:$C$206,MATCH(A341,'12 P6 activities'!$A$7:$A$206,0)),"⚠ not in P6 list"))</f>
        <v/>
      </c>
      <c r="D341" s="145"/>
      <c r="E341" s="143"/>
      <c r="F341" s="147"/>
      <c r="G341" s="148"/>
      <c r="H341" s="149"/>
      <c r="I341" s="150"/>
      <c r="J341" s="150"/>
      <c r="K341" s="150"/>
      <c r="L341" s="150"/>
      <c r="M341" s="6"/>
      <c r="N341" s="6"/>
      <c r="O341" s="6"/>
      <c r="P341" s="6"/>
      <c r="Q341" s="6"/>
      <c r="R341" s="6"/>
      <c r="S341" s="6"/>
      <c r="T341" s="6"/>
      <c r="U341" s="6"/>
      <c r="V341" s="6"/>
      <c r="W341" s="6"/>
      <c r="X341" s="6"/>
      <c r="Y341" s="6"/>
      <c r="Z341" s="6"/>
    </row>
    <row r="342" spans="1:26" ht="18" customHeight="1" x14ac:dyDescent="0.3">
      <c r="A342" s="142"/>
      <c r="B342" s="143"/>
      <c r="C342" s="144" t="str">
        <f>IF(A342="","",IFERROR(INDEX('12 P6 activities'!$C$7:$C$206,MATCH(A342,'12 P6 activities'!$A$7:$A$206,0)),"⚠ not in P6 list"))</f>
        <v/>
      </c>
      <c r="D342" s="145"/>
      <c r="E342" s="143"/>
      <c r="F342" s="147"/>
      <c r="G342" s="148"/>
      <c r="H342" s="149"/>
      <c r="I342" s="150"/>
      <c r="J342" s="150"/>
      <c r="K342" s="150"/>
      <c r="L342" s="150"/>
      <c r="M342" s="6"/>
      <c r="N342" s="6"/>
      <c r="O342" s="6"/>
      <c r="P342" s="6"/>
      <c r="Q342" s="6"/>
      <c r="R342" s="6"/>
      <c r="S342" s="6"/>
      <c r="T342" s="6"/>
      <c r="U342" s="6"/>
      <c r="V342" s="6"/>
      <c r="W342" s="6"/>
      <c r="X342" s="6"/>
      <c r="Y342" s="6"/>
      <c r="Z342" s="6"/>
    </row>
    <row r="343" spans="1:26" ht="18" customHeight="1" x14ac:dyDescent="0.3">
      <c r="A343" s="142"/>
      <c r="B343" s="143"/>
      <c r="C343" s="144" t="str">
        <f>IF(A343="","",IFERROR(INDEX('12 P6 activities'!$C$7:$C$206,MATCH(A343,'12 P6 activities'!$A$7:$A$206,0)),"⚠ not in P6 list"))</f>
        <v/>
      </c>
      <c r="D343" s="145"/>
      <c r="E343" s="143"/>
      <c r="F343" s="147"/>
      <c r="G343" s="148"/>
      <c r="H343" s="149"/>
      <c r="I343" s="150"/>
      <c r="J343" s="150"/>
      <c r="K343" s="150"/>
      <c r="L343" s="150"/>
      <c r="M343" s="6"/>
      <c r="N343" s="6"/>
      <c r="O343" s="6"/>
      <c r="P343" s="6"/>
      <c r="Q343" s="6"/>
      <c r="R343" s="6"/>
      <c r="S343" s="6"/>
      <c r="T343" s="6"/>
      <c r="U343" s="6"/>
      <c r="V343" s="6"/>
      <c r="W343" s="6"/>
      <c r="X343" s="6"/>
      <c r="Y343" s="6"/>
      <c r="Z343" s="6"/>
    </row>
    <row r="344" spans="1:26" ht="18" customHeight="1" x14ac:dyDescent="0.3">
      <c r="A344" s="142"/>
      <c r="B344" s="143"/>
      <c r="C344" s="144" t="str">
        <f>IF(A344="","",IFERROR(INDEX('12 P6 activities'!$C$7:$C$206,MATCH(A344,'12 P6 activities'!$A$7:$A$206,0)),"⚠ not in P6 list"))</f>
        <v/>
      </c>
      <c r="D344" s="145"/>
      <c r="E344" s="143"/>
      <c r="F344" s="147"/>
      <c r="G344" s="148"/>
      <c r="H344" s="149"/>
      <c r="I344" s="150"/>
      <c r="J344" s="150"/>
      <c r="K344" s="150"/>
      <c r="L344" s="150"/>
      <c r="M344" s="6"/>
      <c r="N344" s="6"/>
      <c r="O344" s="6"/>
      <c r="P344" s="6"/>
      <c r="Q344" s="6"/>
      <c r="R344" s="6"/>
      <c r="S344" s="6"/>
      <c r="T344" s="6"/>
      <c r="U344" s="6"/>
      <c r="V344" s="6"/>
      <c r="W344" s="6"/>
      <c r="X344" s="6"/>
      <c r="Y344" s="6"/>
      <c r="Z344" s="6"/>
    </row>
    <row r="345" spans="1:26" ht="18" customHeight="1" x14ac:dyDescent="0.3">
      <c r="A345" s="142"/>
      <c r="B345" s="143"/>
      <c r="C345" s="144" t="str">
        <f>IF(A345="","",IFERROR(INDEX('12 P6 activities'!$C$7:$C$206,MATCH(A345,'12 P6 activities'!$A$7:$A$206,0)),"⚠ not in P6 list"))</f>
        <v/>
      </c>
      <c r="D345" s="145"/>
      <c r="E345" s="143"/>
      <c r="F345" s="147"/>
      <c r="G345" s="148"/>
      <c r="H345" s="149"/>
      <c r="I345" s="150"/>
      <c r="J345" s="150"/>
      <c r="K345" s="150"/>
      <c r="L345" s="150"/>
      <c r="M345" s="6"/>
      <c r="N345" s="6"/>
      <c r="O345" s="6"/>
      <c r="P345" s="6"/>
      <c r="Q345" s="6"/>
      <c r="R345" s="6"/>
      <c r="S345" s="6"/>
      <c r="T345" s="6"/>
      <c r="U345" s="6"/>
      <c r="V345" s="6"/>
      <c r="W345" s="6"/>
      <c r="X345" s="6"/>
      <c r="Y345" s="6"/>
      <c r="Z345" s="6"/>
    </row>
    <row r="346" spans="1:26" ht="18" customHeight="1" x14ac:dyDescent="0.3">
      <c r="A346" s="142"/>
      <c r="B346" s="143"/>
      <c r="C346" s="144" t="str">
        <f>IF(A346="","",IFERROR(INDEX('12 P6 activities'!$C$7:$C$206,MATCH(A346,'12 P6 activities'!$A$7:$A$206,0)),"⚠ not in P6 list"))</f>
        <v/>
      </c>
      <c r="D346" s="145"/>
      <c r="E346" s="143"/>
      <c r="F346" s="147"/>
      <c r="G346" s="148"/>
      <c r="H346" s="149"/>
      <c r="I346" s="150"/>
      <c r="J346" s="150"/>
      <c r="K346" s="150"/>
      <c r="L346" s="150"/>
      <c r="M346" s="6"/>
      <c r="N346" s="6"/>
      <c r="O346" s="6"/>
      <c r="P346" s="6"/>
      <c r="Q346" s="6"/>
      <c r="R346" s="6"/>
      <c r="S346" s="6"/>
      <c r="T346" s="6"/>
      <c r="U346" s="6"/>
      <c r="V346" s="6"/>
      <c r="W346" s="6"/>
      <c r="X346" s="6"/>
      <c r="Y346" s="6"/>
      <c r="Z346" s="6"/>
    </row>
    <row r="347" spans="1:26" ht="18" customHeight="1" x14ac:dyDescent="0.3">
      <c r="A347" s="142"/>
      <c r="B347" s="143"/>
      <c r="C347" s="144" t="str">
        <f>IF(A347="","",IFERROR(INDEX('12 P6 activities'!$C$7:$C$206,MATCH(A347,'12 P6 activities'!$A$7:$A$206,0)),"⚠ not in P6 list"))</f>
        <v/>
      </c>
      <c r="D347" s="145"/>
      <c r="E347" s="143"/>
      <c r="F347" s="147"/>
      <c r="G347" s="148"/>
      <c r="H347" s="149"/>
      <c r="I347" s="150"/>
      <c r="J347" s="150"/>
      <c r="K347" s="150"/>
      <c r="L347" s="150"/>
      <c r="M347" s="6"/>
      <c r="N347" s="6"/>
      <c r="O347" s="6"/>
      <c r="P347" s="6"/>
      <c r="Q347" s="6"/>
      <c r="R347" s="6"/>
      <c r="S347" s="6"/>
      <c r="T347" s="6"/>
      <c r="U347" s="6"/>
      <c r="V347" s="6"/>
      <c r="W347" s="6"/>
      <c r="X347" s="6"/>
      <c r="Y347" s="6"/>
      <c r="Z347" s="6"/>
    </row>
    <row r="348" spans="1:26" ht="18" customHeight="1" x14ac:dyDescent="0.3">
      <c r="A348" s="142"/>
      <c r="B348" s="143"/>
      <c r="C348" s="144" t="str">
        <f>IF(A348="","",IFERROR(INDEX('12 P6 activities'!$C$7:$C$206,MATCH(A348,'12 P6 activities'!$A$7:$A$206,0)),"⚠ not in P6 list"))</f>
        <v/>
      </c>
      <c r="D348" s="145"/>
      <c r="E348" s="143"/>
      <c r="F348" s="147"/>
      <c r="G348" s="148"/>
      <c r="H348" s="149"/>
      <c r="I348" s="150"/>
      <c r="J348" s="150"/>
      <c r="K348" s="150"/>
      <c r="L348" s="150"/>
      <c r="M348" s="6"/>
      <c r="N348" s="6"/>
      <c r="O348" s="6"/>
      <c r="P348" s="6"/>
      <c r="Q348" s="6"/>
      <c r="R348" s="6"/>
      <c r="S348" s="6"/>
      <c r="T348" s="6"/>
      <c r="U348" s="6"/>
      <c r="V348" s="6"/>
      <c r="W348" s="6"/>
      <c r="X348" s="6"/>
      <c r="Y348" s="6"/>
      <c r="Z348" s="6"/>
    </row>
    <row r="349" spans="1:26" ht="18" customHeight="1" x14ac:dyDescent="0.3">
      <c r="A349" s="142"/>
      <c r="B349" s="143"/>
      <c r="C349" s="144" t="str">
        <f>IF(A349="","",IFERROR(INDEX('12 P6 activities'!$C$7:$C$206,MATCH(A349,'12 P6 activities'!$A$7:$A$206,0)),"⚠ not in P6 list"))</f>
        <v/>
      </c>
      <c r="D349" s="145"/>
      <c r="E349" s="143"/>
      <c r="F349" s="147"/>
      <c r="G349" s="148"/>
      <c r="H349" s="149"/>
      <c r="I349" s="150"/>
      <c r="J349" s="150"/>
      <c r="K349" s="150"/>
      <c r="L349" s="150"/>
      <c r="M349" s="6"/>
      <c r="N349" s="6"/>
      <c r="O349" s="6"/>
      <c r="P349" s="6"/>
      <c r="Q349" s="6"/>
      <c r="R349" s="6"/>
      <c r="S349" s="6"/>
      <c r="T349" s="6"/>
      <c r="U349" s="6"/>
      <c r="V349" s="6"/>
      <c r="W349" s="6"/>
      <c r="X349" s="6"/>
      <c r="Y349" s="6"/>
      <c r="Z349" s="6"/>
    </row>
    <row r="350" spans="1:26" ht="18" customHeight="1" x14ac:dyDescent="0.3">
      <c r="A350" s="142"/>
      <c r="B350" s="143"/>
      <c r="C350" s="144" t="str">
        <f>IF(A350="","",IFERROR(INDEX('12 P6 activities'!$C$7:$C$206,MATCH(A350,'12 P6 activities'!$A$7:$A$206,0)),"⚠ not in P6 list"))</f>
        <v/>
      </c>
      <c r="D350" s="145"/>
      <c r="E350" s="143"/>
      <c r="F350" s="147"/>
      <c r="G350" s="148"/>
      <c r="H350" s="149"/>
      <c r="I350" s="150"/>
      <c r="J350" s="150"/>
      <c r="K350" s="150"/>
      <c r="L350" s="150"/>
      <c r="M350" s="6"/>
      <c r="N350" s="6"/>
      <c r="O350" s="6"/>
      <c r="P350" s="6"/>
      <c r="Q350" s="6"/>
      <c r="R350" s="6"/>
      <c r="S350" s="6"/>
      <c r="T350" s="6"/>
      <c r="U350" s="6"/>
      <c r="V350" s="6"/>
      <c r="W350" s="6"/>
      <c r="X350" s="6"/>
      <c r="Y350" s="6"/>
      <c r="Z350" s="6"/>
    </row>
    <row r="351" spans="1:26" ht="18" customHeight="1" x14ac:dyDescent="0.3">
      <c r="A351" s="142"/>
      <c r="B351" s="143"/>
      <c r="C351" s="144" t="str">
        <f>IF(A351="","",IFERROR(INDEX('12 P6 activities'!$C$7:$C$206,MATCH(A351,'12 P6 activities'!$A$7:$A$206,0)),"⚠ not in P6 list"))</f>
        <v/>
      </c>
      <c r="D351" s="145"/>
      <c r="E351" s="143"/>
      <c r="F351" s="147"/>
      <c r="G351" s="148"/>
      <c r="H351" s="149"/>
      <c r="I351" s="150"/>
      <c r="J351" s="150"/>
      <c r="K351" s="150"/>
      <c r="L351" s="150"/>
      <c r="M351" s="6"/>
      <c r="N351" s="6"/>
      <c r="O351" s="6"/>
      <c r="P351" s="6"/>
      <c r="Q351" s="6"/>
      <c r="R351" s="6"/>
      <c r="S351" s="6"/>
      <c r="T351" s="6"/>
      <c r="U351" s="6"/>
      <c r="V351" s="6"/>
      <c r="W351" s="6"/>
      <c r="X351" s="6"/>
      <c r="Y351" s="6"/>
      <c r="Z351" s="6"/>
    </row>
    <row r="352" spans="1:26" ht="18" customHeight="1" x14ac:dyDescent="0.3">
      <c r="A352" s="142"/>
      <c r="B352" s="143"/>
      <c r="C352" s="144" t="str">
        <f>IF(A352="","",IFERROR(INDEX('12 P6 activities'!$C$7:$C$206,MATCH(A352,'12 P6 activities'!$A$7:$A$206,0)),"⚠ not in P6 list"))</f>
        <v/>
      </c>
      <c r="D352" s="145"/>
      <c r="E352" s="143"/>
      <c r="F352" s="147"/>
      <c r="G352" s="148"/>
      <c r="H352" s="149"/>
      <c r="I352" s="150"/>
      <c r="J352" s="150"/>
      <c r="K352" s="150"/>
      <c r="L352" s="150"/>
      <c r="M352" s="6"/>
      <c r="N352" s="6"/>
      <c r="O352" s="6"/>
      <c r="P352" s="6"/>
      <c r="Q352" s="6"/>
      <c r="R352" s="6"/>
      <c r="S352" s="6"/>
      <c r="T352" s="6"/>
      <c r="U352" s="6"/>
      <c r="V352" s="6"/>
      <c r="W352" s="6"/>
      <c r="X352" s="6"/>
      <c r="Y352" s="6"/>
      <c r="Z352" s="6"/>
    </row>
    <row r="353" spans="1:26" ht="18" customHeight="1" x14ac:dyDescent="0.3">
      <c r="A353" s="142"/>
      <c r="B353" s="143"/>
      <c r="C353" s="144" t="str">
        <f>IF(A353="","",IFERROR(INDEX('12 P6 activities'!$C$7:$C$206,MATCH(A353,'12 P6 activities'!$A$7:$A$206,0)),"⚠ not in P6 list"))</f>
        <v/>
      </c>
      <c r="D353" s="145"/>
      <c r="E353" s="143"/>
      <c r="F353" s="147"/>
      <c r="G353" s="148"/>
      <c r="H353" s="149"/>
      <c r="I353" s="150"/>
      <c r="J353" s="150"/>
      <c r="K353" s="150"/>
      <c r="L353" s="150"/>
      <c r="M353" s="6"/>
      <c r="N353" s="6"/>
      <c r="O353" s="6"/>
      <c r="P353" s="6"/>
      <c r="Q353" s="6"/>
      <c r="R353" s="6"/>
      <c r="S353" s="6"/>
      <c r="T353" s="6"/>
      <c r="U353" s="6"/>
      <c r="V353" s="6"/>
      <c r="W353" s="6"/>
      <c r="X353" s="6"/>
      <c r="Y353" s="6"/>
      <c r="Z353" s="6"/>
    </row>
    <row r="354" spans="1:26" ht="18" customHeight="1" x14ac:dyDescent="0.3">
      <c r="A354" s="142"/>
      <c r="B354" s="143"/>
      <c r="C354" s="144" t="str">
        <f>IF(A354="","",IFERROR(INDEX('12 P6 activities'!$C$7:$C$206,MATCH(A354,'12 P6 activities'!$A$7:$A$206,0)),"⚠ not in P6 list"))</f>
        <v/>
      </c>
      <c r="D354" s="145"/>
      <c r="E354" s="143"/>
      <c r="F354" s="147"/>
      <c r="G354" s="148"/>
      <c r="H354" s="149"/>
      <c r="I354" s="150"/>
      <c r="J354" s="150"/>
      <c r="K354" s="150"/>
      <c r="L354" s="150"/>
      <c r="M354" s="6"/>
      <c r="N354" s="6"/>
      <c r="O354" s="6"/>
      <c r="P354" s="6"/>
      <c r="Q354" s="6"/>
      <c r="R354" s="6"/>
      <c r="S354" s="6"/>
      <c r="T354" s="6"/>
      <c r="U354" s="6"/>
      <c r="V354" s="6"/>
      <c r="W354" s="6"/>
      <c r="X354" s="6"/>
      <c r="Y354" s="6"/>
      <c r="Z354" s="6"/>
    </row>
    <row r="355" spans="1:26" ht="18" customHeight="1" x14ac:dyDescent="0.3">
      <c r="A355" s="142"/>
      <c r="B355" s="143"/>
      <c r="C355" s="144" t="str">
        <f>IF(A355="","",IFERROR(INDEX('12 P6 activities'!$C$7:$C$206,MATCH(A355,'12 P6 activities'!$A$7:$A$206,0)),"⚠ not in P6 list"))</f>
        <v/>
      </c>
      <c r="D355" s="145"/>
      <c r="E355" s="143"/>
      <c r="F355" s="147"/>
      <c r="G355" s="148"/>
      <c r="H355" s="149"/>
      <c r="I355" s="150"/>
      <c r="J355" s="150"/>
      <c r="K355" s="150"/>
      <c r="L355" s="150"/>
      <c r="M355" s="6"/>
      <c r="N355" s="6"/>
      <c r="O355" s="6"/>
      <c r="P355" s="6"/>
      <c r="Q355" s="6"/>
      <c r="R355" s="6"/>
      <c r="S355" s="6"/>
      <c r="T355" s="6"/>
      <c r="U355" s="6"/>
      <c r="V355" s="6"/>
      <c r="W355" s="6"/>
      <c r="X355" s="6"/>
      <c r="Y355" s="6"/>
      <c r="Z355" s="6"/>
    </row>
    <row r="356" spans="1:26" ht="18" customHeight="1" x14ac:dyDescent="0.3">
      <c r="A356" s="142"/>
      <c r="B356" s="143"/>
      <c r="C356" s="144" t="str">
        <f>IF(A356="","",IFERROR(INDEX('12 P6 activities'!$C$7:$C$206,MATCH(A356,'12 P6 activities'!$A$7:$A$206,0)),"⚠ not in P6 list"))</f>
        <v/>
      </c>
      <c r="D356" s="145"/>
      <c r="E356" s="143"/>
      <c r="F356" s="147"/>
      <c r="G356" s="148"/>
      <c r="H356" s="149"/>
      <c r="I356" s="150"/>
      <c r="J356" s="150"/>
      <c r="K356" s="150"/>
      <c r="L356" s="150"/>
      <c r="M356" s="6"/>
      <c r="N356" s="6"/>
      <c r="O356" s="6"/>
      <c r="P356" s="6"/>
      <c r="Q356" s="6"/>
      <c r="R356" s="6"/>
      <c r="S356" s="6"/>
      <c r="T356" s="6"/>
      <c r="U356" s="6"/>
      <c r="V356" s="6"/>
      <c r="W356" s="6"/>
      <c r="X356" s="6"/>
      <c r="Y356" s="6"/>
      <c r="Z356" s="6"/>
    </row>
    <row r="357" spans="1:26" ht="18" customHeight="1" x14ac:dyDescent="0.3">
      <c r="A357" s="142"/>
      <c r="B357" s="143"/>
      <c r="C357" s="144" t="str">
        <f>IF(A357="","",IFERROR(INDEX('12 P6 activities'!$C$7:$C$206,MATCH(A357,'12 P6 activities'!$A$7:$A$206,0)),"⚠ not in P6 list"))</f>
        <v/>
      </c>
      <c r="D357" s="145"/>
      <c r="E357" s="143"/>
      <c r="F357" s="147"/>
      <c r="G357" s="148"/>
      <c r="H357" s="149"/>
      <c r="I357" s="150"/>
      <c r="J357" s="150"/>
      <c r="K357" s="150"/>
      <c r="L357" s="150"/>
      <c r="M357" s="6"/>
      <c r="N357" s="6"/>
      <c r="O357" s="6"/>
      <c r="P357" s="6"/>
      <c r="Q357" s="6"/>
      <c r="R357" s="6"/>
      <c r="S357" s="6"/>
      <c r="T357" s="6"/>
      <c r="U357" s="6"/>
      <c r="V357" s="6"/>
      <c r="W357" s="6"/>
      <c r="X357" s="6"/>
      <c r="Y357" s="6"/>
      <c r="Z357" s="6"/>
    </row>
    <row r="358" spans="1:26" ht="18" customHeight="1" x14ac:dyDescent="0.3">
      <c r="A358" s="142"/>
      <c r="B358" s="143"/>
      <c r="C358" s="144" t="str">
        <f>IF(A358="","",IFERROR(INDEX('12 P6 activities'!$C$7:$C$206,MATCH(A358,'12 P6 activities'!$A$7:$A$206,0)),"⚠ not in P6 list"))</f>
        <v/>
      </c>
      <c r="D358" s="145"/>
      <c r="E358" s="143"/>
      <c r="F358" s="147"/>
      <c r="G358" s="148"/>
      <c r="H358" s="149"/>
      <c r="I358" s="150"/>
      <c r="J358" s="150"/>
      <c r="K358" s="150"/>
      <c r="L358" s="150"/>
      <c r="M358" s="6"/>
      <c r="N358" s="6"/>
      <c r="O358" s="6"/>
      <c r="P358" s="6"/>
      <c r="Q358" s="6"/>
      <c r="R358" s="6"/>
      <c r="S358" s="6"/>
      <c r="T358" s="6"/>
      <c r="U358" s="6"/>
      <c r="V358" s="6"/>
      <c r="W358" s="6"/>
      <c r="X358" s="6"/>
      <c r="Y358" s="6"/>
      <c r="Z358" s="6"/>
    </row>
    <row r="359" spans="1:26" ht="18" customHeight="1" x14ac:dyDescent="0.3">
      <c r="A359" s="142"/>
      <c r="B359" s="143"/>
      <c r="C359" s="144" t="str">
        <f>IF(A359="","",IFERROR(INDEX('12 P6 activities'!$C$7:$C$206,MATCH(A359,'12 P6 activities'!$A$7:$A$206,0)),"⚠ not in P6 list"))</f>
        <v/>
      </c>
      <c r="D359" s="145"/>
      <c r="E359" s="143"/>
      <c r="F359" s="147"/>
      <c r="G359" s="148"/>
      <c r="H359" s="149"/>
      <c r="I359" s="150"/>
      <c r="J359" s="150"/>
      <c r="K359" s="150"/>
      <c r="L359" s="150"/>
      <c r="M359" s="6"/>
      <c r="N359" s="6"/>
      <c r="O359" s="6"/>
      <c r="P359" s="6"/>
      <c r="Q359" s="6"/>
      <c r="R359" s="6"/>
      <c r="S359" s="6"/>
      <c r="T359" s="6"/>
      <c r="U359" s="6"/>
      <c r="V359" s="6"/>
      <c r="W359" s="6"/>
      <c r="X359" s="6"/>
      <c r="Y359" s="6"/>
      <c r="Z359" s="6"/>
    </row>
    <row r="360" spans="1:26" ht="18" customHeight="1" x14ac:dyDescent="0.3">
      <c r="A360" s="142"/>
      <c r="B360" s="143"/>
      <c r="C360" s="144" t="str">
        <f>IF(A360="","",IFERROR(INDEX('12 P6 activities'!$C$7:$C$206,MATCH(A360,'12 P6 activities'!$A$7:$A$206,0)),"⚠ not in P6 list"))</f>
        <v/>
      </c>
      <c r="D360" s="145"/>
      <c r="E360" s="143"/>
      <c r="F360" s="147"/>
      <c r="G360" s="148"/>
      <c r="H360" s="149"/>
      <c r="I360" s="150"/>
      <c r="J360" s="150"/>
      <c r="K360" s="150"/>
      <c r="L360" s="150"/>
      <c r="M360" s="6"/>
      <c r="N360" s="6"/>
      <c r="O360" s="6"/>
      <c r="P360" s="6"/>
      <c r="Q360" s="6"/>
      <c r="R360" s="6"/>
      <c r="S360" s="6"/>
      <c r="T360" s="6"/>
      <c r="U360" s="6"/>
      <c r="V360" s="6"/>
      <c r="W360" s="6"/>
      <c r="X360" s="6"/>
      <c r="Y360" s="6"/>
      <c r="Z360" s="6"/>
    </row>
    <row r="361" spans="1:26" ht="18" customHeight="1" x14ac:dyDescent="0.3">
      <c r="A361" s="142"/>
      <c r="B361" s="143"/>
      <c r="C361" s="144" t="str">
        <f>IF(A361="","",IFERROR(INDEX('12 P6 activities'!$C$7:$C$206,MATCH(A361,'12 P6 activities'!$A$7:$A$206,0)),"⚠ not in P6 list"))</f>
        <v/>
      </c>
      <c r="D361" s="145"/>
      <c r="E361" s="143"/>
      <c r="F361" s="147"/>
      <c r="G361" s="148"/>
      <c r="H361" s="149"/>
      <c r="I361" s="150"/>
      <c r="J361" s="150"/>
      <c r="K361" s="150"/>
      <c r="L361" s="150"/>
      <c r="M361" s="6"/>
      <c r="N361" s="6"/>
      <c r="O361" s="6"/>
      <c r="P361" s="6"/>
      <c r="Q361" s="6"/>
      <c r="R361" s="6"/>
      <c r="S361" s="6"/>
      <c r="T361" s="6"/>
      <c r="U361" s="6"/>
      <c r="V361" s="6"/>
      <c r="W361" s="6"/>
      <c r="X361" s="6"/>
      <c r="Y361" s="6"/>
      <c r="Z361" s="6"/>
    </row>
    <row r="362" spans="1:26" ht="18" customHeight="1" x14ac:dyDescent="0.3">
      <c r="A362" s="142"/>
      <c r="B362" s="143"/>
      <c r="C362" s="144" t="str">
        <f>IF(A362="","",IFERROR(INDEX('12 P6 activities'!$C$7:$C$206,MATCH(A362,'12 P6 activities'!$A$7:$A$206,0)),"⚠ not in P6 list"))</f>
        <v/>
      </c>
      <c r="D362" s="145"/>
      <c r="E362" s="143"/>
      <c r="F362" s="147"/>
      <c r="G362" s="148"/>
      <c r="H362" s="149"/>
      <c r="I362" s="150"/>
      <c r="J362" s="150"/>
      <c r="K362" s="150"/>
      <c r="L362" s="150"/>
      <c r="M362" s="6"/>
      <c r="N362" s="6"/>
      <c r="O362" s="6"/>
      <c r="P362" s="6"/>
      <c r="Q362" s="6"/>
      <c r="R362" s="6"/>
      <c r="S362" s="6"/>
      <c r="T362" s="6"/>
      <c r="U362" s="6"/>
      <c r="V362" s="6"/>
      <c r="W362" s="6"/>
      <c r="X362" s="6"/>
      <c r="Y362" s="6"/>
      <c r="Z362" s="6"/>
    </row>
    <row r="363" spans="1:26" ht="18" customHeight="1" x14ac:dyDescent="0.3">
      <c r="A363" s="142"/>
      <c r="B363" s="143"/>
      <c r="C363" s="144" t="str">
        <f>IF(A363="","",IFERROR(INDEX('12 P6 activities'!$C$7:$C$206,MATCH(A363,'12 P6 activities'!$A$7:$A$206,0)),"⚠ not in P6 list"))</f>
        <v/>
      </c>
      <c r="D363" s="145"/>
      <c r="E363" s="143"/>
      <c r="F363" s="147"/>
      <c r="G363" s="148"/>
      <c r="H363" s="149"/>
      <c r="I363" s="150"/>
      <c r="J363" s="150"/>
      <c r="K363" s="150"/>
      <c r="L363" s="150"/>
      <c r="M363" s="6"/>
      <c r="N363" s="6"/>
      <c r="O363" s="6"/>
      <c r="P363" s="6"/>
      <c r="Q363" s="6"/>
      <c r="R363" s="6"/>
      <c r="S363" s="6"/>
      <c r="T363" s="6"/>
      <c r="U363" s="6"/>
      <c r="V363" s="6"/>
      <c r="W363" s="6"/>
      <c r="X363" s="6"/>
      <c r="Y363" s="6"/>
      <c r="Z363" s="6"/>
    </row>
    <row r="364" spans="1:26" ht="18" customHeight="1" x14ac:dyDescent="0.3">
      <c r="A364" s="142"/>
      <c r="B364" s="143"/>
      <c r="C364" s="144" t="str">
        <f>IF(A364="","",IFERROR(INDEX('12 P6 activities'!$C$7:$C$206,MATCH(A364,'12 P6 activities'!$A$7:$A$206,0)),"⚠ not in P6 list"))</f>
        <v/>
      </c>
      <c r="D364" s="145"/>
      <c r="E364" s="143"/>
      <c r="F364" s="147"/>
      <c r="G364" s="148"/>
      <c r="H364" s="149"/>
      <c r="I364" s="150"/>
      <c r="J364" s="150"/>
      <c r="K364" s="150"/>
      <c r="L364" s="150"/>
      <c r="M364" s="6"/>
      <c r="N364" s="6"/>
      <c r="O364" s="6"/>
      <c r="P364" s="6"/>
      <c r="Q364" s="6"/>
      <c r="R364" s="6"/>
      <c r="S364" s="6"/>
      <c r="T364" s="6"/>
      <c r="U364" s="6"/>
      <c r="V364" s="6"/>
      <c r="W364" s="6"/>
      <c r="X364" s="6"/>
      <c r="Y364" s="6"/>
      <c r="Z364" s="6"/>
    </row>
    <row r="365" spans="1:26" ht="18" customHeight="1" x14ac:dyDescent="0.3">
      <c r="A365" s="142"/>
      <c r="B365" s="143"/>
      <c r="C365" s="144" t="str">
        <f>IF(A365="","",IFERROR(INDEX('12 P6 activities'!$C$7:$C$206,MATCH(A365,'12 P6 activities'!$A$7:$A$206,0)),"⚠ not in P6 list"))</f>
        <v/>
      </c>
      <c r="D365" s="145"/>
      <c r="E365" s="143"/>
      <c r="F365" s="147"/>
      <c r="G365" s="148"/>
      <c r="H365" s="149"/>
      <c r="I365" s="150"/>
      <c r="J365" s="150"/>
      <c r="K365" s="150"/>
      <c r="L365" s="150"/>
      <c r="M365" s="6"/>
      <c r="N365" s="6"/>
      <c r="O365" s="6"/>
      <c r="P365" s="6"/>
      <c r="Q365" s="6"/>
      <c r="R365" s="6"/>
      <c r="S365" s="6"/>
      <c r="T365" s="6"/>
      <c r="U365" s="6"/>
      <c r="V365" s="6"/>
      <c r="W365" s="6"/>
      <c r="X365" s="6"/>
      <c r="Y365" s="6"/>
      <c r="Z365" s="6"/>
    </row>
    <row r="366" spans="1:26" ht="18" customHeight="1" x14ac:dyDescent="0.3">
      <c r="A366" s="142"/>
      <c r="B366" s="143"/>
      <c r="C366" s="144" t="str">
        <f>IF(A366="","",IFERROR(INDEX('12 P6 activities'!$C$7:$C$206,MATCH(A366,'12 P6 activities'!$A$7:$A$206,0)),"⚠ not in P6 list"))</f>
        <v/>
      </c>
      <c r="D366" s="145"/>
      <c r="E366" s="143"/>
      <c r="F366" s="147"/>
      <c r="G366" s="148"/>
      <c r="H366" s="149"/>
      <c r="I366" s="150"/>
      <c r="J366" s="150"/>
      <c r="K366" s="150"/>
      <c r="L366" s="150"/>
      <c r="M366" s="6"/>
      <c r="N366" s="6"/>
      <c r="O366" s="6"/>
      <c r="P366" s="6"/>
      <c r="Q366" s="6"/>
      <c r="R366" s="6"/>
      <c r="S366" s="6"/>
      <c r="T366" s="6"/>
      <c r="U366" s="6"/>
      <c r="V366" s="6"/>
      <c r="W366" s="6"/>
      <c r="X366" s="6"/>
      <c r="Y366" s="6"/>
      <c r="Z366" s="6"/>
    </row>
    <row r="367" spans="1:26" ht="18" customHeight="1" x14ac:dyDescent="0.3">
      <c r="A367" s="142"/>
      <c r="B367" s="143"/>
      <c r="C367" s="144" t="str">
        <f>IF(A367="","",IFERROR(INDEX('12 P6 activities'!$C$7:$C$206,MATCH(A367,'12 P6 activities'!$A$7:$A$206,0)),"⚠ not in P6 list"))</f>
        <v/>
      </c>
      <c r="D367" s="145"/>
      <c r="E367" s="143"/>
      <c r="F367" s="147"/>
      <c r="G367" s="148"/>
      <c r="H367" s="149"/>
      <c r="I367" s="150"/>
      <c r="J367" s="150"/>
      <c r="K367" s="150"/>
      <c r="L367" s="150"/>
      <c r="M367" s="6"/>
      <c r="N367" s="6"/>
      <c r="O367" s="6"/>
      <c r="P367" s="6"/>
      <c r="Q367" s="6"/>
      <c r="R367" s="6"/>
      <c r="S367" s="6"/>
      <c r="T367" s="6"/>
      <c r="U367" s="6"/>
      <c r="V367" s="6"/>
      <c r="W367" s="6"/>
      <c r="X367" s="6"/>
      <c r="Y367" s="6"/>
      <c r="Z367" s="6"/>
    </row>
    <row r="368" spans="1:26" ht="18" customHeight="1" x14ac:dyDescent="0.3">
      <c r="A368" s="142"/>
      <c r="B368" s="143"/>
      <c r="C368" s="144" t="str">
        <f>IF(A368="","",IFERROR(INDEX('12 P6 activities'!$C$7:$C$206,MATCH(A368,'12 P6 activities'!$A$7:$A$206,0)),"⚠ not in P6 list"))</f>
        <v/>
      </c>
      <c r="D368" s="145"/>
      <c r="E368" s="143"/>
      <c r="F368" s="147"/>
      <c r="G368" s="148"/>
      <c r="H368" s="149"/>
      <c r="I368" s="150"/>
      <c r="J368" s="150"/>
      <c r="K368" s="150"/>
      <c r="L368" s="150"/>
      <c r="M368" s="6"/>
      <c r="N368" s="6"/>
      <c r="O368" s="6"/>
      <c r="P368" s="6"/>
      <c r="Q368" s="6"/>
      <c r="R368" s="6"/>
      <c r="S368" s="6"/>
      <c r="T368" s="6"/>
      <c r="U368" s="6"/>
      <c r="V368" s="6"/>
      <c r="W368" s="6"/>
      <c r="X368" s="6"/>
      <c r="Y368" s="6"/>
      <c r="Z368" s="6"/>
    </row>
    <row r="369" spans="1:26" ht="18" customHeight="1" x14ac:dyDescent="0.3">
      <c r="A369" s="142"/>
      <c r="B369" s="143"/>
      <c r="C369" s="144" t="str">
        <f>IF(A369="","",IFERROR(INDEX('12 P6 activities'!$C$7:$C$206,MATCH(A369,'12 P6 activities'!$A$7:$A$206,0)),"⚠ not in P6 list"))</f>
        <v/>
      </c>
      <c r="D369" s="145"/>
      <c r="E369" s="143"/>
      <c r="F369" s="147"/>
      <c r="G369" s="148"/>
      <c r="H369" s="149"/>
      <c r="I369" s="150"/>
      <c r="J369" s="150"/>
      <c r="K369" s="150"/>
      <c r="L369" s="150"/>
      <c r="M369" s="6"/>
      <c r="N369" s="6"/>
      <c r="O369" s="6"/>
      <c r="P369" s="6"/>
      <c r="Q369" s="6"/>
      <c r="R369" s="6"/>
      <c r="S369" s="6"/>
      <c r="T369" s="6"/>
      <c r="U369" s="6"/>
      <c r="V369" s="6"/>
      <c r="W369" s="6"/>
      <c r="X369" s="6"/>
      <c r="Y369" s="6"/>
      <c r="Z369" s="6"/>
    </row>
    <row r="370" spans="1:26" ht="18" customHeight="1" x14ac:dyDescent="0.3">
      <c r="A370" s="142"/>
      <c r="B370" s="143"/>
      <c r="C370" s="144" t="str">
        <f>IF(A370="","",IFERROR(INDEX('12 P6 activities'!$C$7:$C$206,MATCH(A370,'12 P6 activities'!$A$7:$A$206,0)),"⚠ not in P6 list"))</f>
        <v/>
      </c>
      <c r="D370" s="145"/>
      <c r="E370" s="143"/>
      <c r="F370" s="147"/>
      <c r="G370" s="148"/>
      <c r="H370" s="149"/>
      <c r="I370" s="150"/>
      <c r="J370" s="150"/>
      <c r="K370" s="150"/>
      <c r="L370" s="150"/>
      <c r="M370" s="6"/>
      <c r="N370" s="6"/>
      <c r="O370" s="6"/>
      <c r="P370" s="6"/>
      <c r="Q370" s="6"/>
      <c r="R370" s="6"/>
      <c r="S370" s="6"/>
      <c r="T370" s="6"/>
      <c r="U370" s="6"/>
      <c r="V370" s="6"/>
      <c r="W370" s="6"/>
      <c r="X370" s="6"/>
      <c r="Y370" s="6"/>
      <c r="Z370" s="6"/>
    </row>
    <row r="371" spans="1:26" ht="18" customHeight="1" x14ac:dyDescent="0.3">
      <c r="A371" s="142"/>
      <c r="B371" s="143"/>
      <c r="C371" s="144" t="str">
        <f>IF(A371="","",IFERROR(INDEX('12 P6 activities'!$C$7:$C$206,MATCH(A371,'12 P6 activities'!$A$7:$A$206,0)),"⚠ not in P6 list"))</f>
        <v/>
      </c>
      <c r="D371" s="145"/>
      <c r="E371" s="143"/>
      <c r="F371" s="147"/>
      <c r="G371" s="148"/>
      <c r="H371" s="149"/>
      <c r="I371" s="150"/>
      <c r="J371" s="150"/>
      <c r="K371" s="150"/>
      <c r="L371" s="150"/>
      <c r="M371" s="6"/>
      <c r="N371" s="6"/>
      <c r="O371" s="6"/>
      <c r="P371" s="6"/>
      <c r="Q371" s="6"/>
      <c r="R371" s="6"/>
      <c r="S371" s="6"/>
      <c r="T371" s="6"/>
      <c r="U371" s="6"/>
      <c r="V371" s="6"/>
      <c r="W371" s="6"/>
      <c r="X371" s="6"/>
      <c r="Y371" s="6"/>
      <c r="Z371" s="6"/>
    </row>
    <row r="372" spans="1:26" ht="18" customHeight="1" x14ac:dyDescent="0.3">
      <c r="A372" s="142"/>
      <c r="B372" s="143"/>
      <c r="C372" s="144" t="str">
        <f>IF(A372="","",IFERROR(INDEX('12 P6 activities'!$C$7:$C$206,MATCH(A372,'12 P6 activities'!$A$7:$A$206,0)),"⚠ not in P6 list"))</f>
        <v/>
      </c>
      <c r="D372" s="145"/>
      <c r="E372" s="143"/>
      <c r="F372" s="147"/>
      <c r="G372" s="148"/>
      <c r="H372" s="149"/>
      <c r="I372" s="150"/>
      <c r="J372" s="150"/>
      <c r="K372" s="150"/>
      <c r="L372" s="150"/>
      <c r="M372" s="6"/>
      <c r="N372" s="6"/>
      <c r="O372" s="6"/>
      <c r="P372" s="6"/>
      <c r="Q372" s="6"/>
      <c r="R372" s="6"/>
      <c r="S372" s="6"/>
      <c r="T372" s="6"/>
      <c r="U372" s="6"/>
      <c r="V372" s="6"/>
      <c r="W372" s="6"/>
      <c r="X372" s="6"/>
      <c r="Y372" s="6"/>
      <c r="Z372" s="6"/>
    </row>
    <row r="373" spans="1:26" ht="18" customHeight="1" x14ac:dyDescent="0.3">
      <c r="A373" s="142"/>
      <c r="B373" s="143"/>
      <c r="C373" s="144" t="str">
        <f>IF(A373="","",IFERROR(INDEX('12 P6 activities'!$C$7:$C$206,MATCH(A373,'12 P6 activities'!$A$7:$A$206,0)),"⚠ not in P6 list"))</f>
        <v/>
      </c>
      <c r="D373" s="145"/>
      <c r="E373" s="143"/>
      <c r="F373" s="147"/>
      <c r="G373" s="148"/>
      <c r="H373" s="149"/>
      <c r="I373" s="150"/>
      <c r="J373" s="150"/>
      <c r="K373" s="150"/>
      <c r="L373" s="150"/>
      <c r="M373" s="6"/>
      <c r="N373" s="6"/>
      <c r="O373" s="6"/>
      <c r="P373" s="6"/>
      <c r="Q373" s="6"/>
      <c r="R373" s="6"/>
      <c r="S373" s="6"/>
      <c r="T373" s="6"/>
      <c r="U373" s="6"/>
      <c r="V373" s="6"/>
      <c r="W373" s="6"/>
      <c r="X373" s="6"/>
      <c r="Y373" s="6"/>
      <c r="Z373" s="6"/>
    </row>
    <row r="374" spans="1:26" ht="18" customHeight="1" x14ac:dyDescent="0.3">
      <c r="A374" s="142"/>
      <c r="B374" s="143"/>
      <c r="C374" s="144" t="str">
        <f>IF(A374="","",IFERROR(INDEX('12 P6 activities'!$C$7:$C$206,MATCH(A374,'12 P6 activities'!$A$7:$A$206,0)),"⚠ not in P6 list"))</f>
        <v/>
      </c>
      <c r="D374" s="145"/>
      <c r="E374" s="143"/>
      <c r="F374" s="147"/>
      <c r="G374" s="148"/>
      <c r="H374" s="149"/>
      <c r="I374" s="150"/>
      <c r="J374" s="150"/>
      <c r="K374" s="150"/>
      <c r="L374" s="150"/>
      <c r="M374" s="6"/>
      <c r="N374" s="6"/>
      <c r="O374" s="6"/>
      <c r="P374" s="6"/>
      <c r="Q374" s="6"/>
      <c r="R374" s="6"/>
      <c r="S374" s="6"/>
      <c r="T374" s="6"/>
      <c r="U374" s="6"/>
      <c r="V374" s="6"/>
      <c r="W374" s="6"/>
      <c r="X374" s="6"/>
      <c r="Y374" s="6"/>
      <c r="Z374" s="6"/>
    </row>
    <row r="375" spans="1:26" ht="18" customHeight="1" x14ac:dyDescent="0.3">
      <c r="A375" s="142"/>
      <c r="B375" s="143"/>
      <c r="C375" s="144" t="str">
        <f>IF(A375="","",IFERROR(INDEX('12 P6 activities'!$C$7:$C$206,MATCH(A375,'12 P6 activities'!$A$7:$A$206,0)),"⚠ not in P6 list"))</f>
        <v/>
      </c>
      <c r="D375" s="145"/>
      <c r="E375" s="143"/>
      <c r="F375" s="147"/>
      <c r="G375" s="148"/>
      <c r="H375" s="149"/>
      <c r="I375" s="150"/>
      <c r="J375" s="150"/>
      <c r="K375" s="150"/>
      <c r="L375" s="150"/>
      <c r="M375" s="6"/>
      <c r="N375" s="6"/>
      <c r="O375" s="6"/>
      <c r="P375" s="6"/>
      <c r="Q375" s="6"/>
      <c r="R375" s="6"/>
      <c r="S375" s="6"/>
      <c r="T375" s="6"/>
      <c r="U375" s="6"/>
      <c r="V375" s="6"/>
      <c r="W375" s="6"/>
      <c r="X375" s="6"/>
      <c r="Y375" s="6"/>
      <c r="Z375" s="6"/>
    </row>
    <row r="376" spans="1:26" ht="18" customHeight="1" x14ac:dyDescent="0.3">
      <c r="A376" s="142"/>
      <c r="B376" s="143"/>
      <c r="C376" s="144" t="str">
        <f>IF(A376="","",IFERROR(INDEX('12 P6 activities'!$C$7:$C$206,MATCH(A376,'12 P6 activities'!$A$7:$A$206,0)),"⚠ not in P6 list"))</f>
        <v/>
      </c>
      <c r="D376" s="145"/>
      <c r="E376" s="143"/>
      <c r="F376" s="147"/>
      <c r="G376" s="148"/>
      <c r="H376" s="149"/>
      <c r="I376" s="150"/>
      <c r="J376" s="150"/>
      <c r="K376" s="150"/>
      <c r="L376" s="150"/>
      <c r="M376" s="6"/>
      <c r="N376" s="6"/>
      <c r="O376" s="6"/>
      <c r="P376" s="6"/>
      <c r="Q376" s="6"/>
      <c r="R376" s="6"/>
      <c r="S376" s="6"/>
      <c r="T376" s="6"/>
      <c r="U376" s="6"/>
      <c r="V376" s="6"/>
      <c r="W376" s="6"/>
      <c r="X376" s="6"/>
      <c r="Y376" s="6"/>
      <c r="Z376" s="6"/>
    </row>
    <row r="377" spans="1:26" ht="18" customHeight="1" x14ac:dyDescent="0.3">
      <c r="A377" s="142"/>
      <c r="B377" s="143"/>
      <c r="C377" s="144" t="str">
        <f>IF(A377="","",IFERROR(INDEX('12 P6 activities'!$C$7:$C$206,MATCH(A377,'12 P6 activities'!$A$7:$A$206,0)),"⚠ not in P6 list"))</f>
        <v/>
      </c>
      <c r="D377" s="145"/>
      <c r="E377" s="143"/>
      <c r="F377" s="147"/>
      <c r="G377" s="148"/>
      <c r="H377" s="149"/>
      <c r="I377" s="150"/>
      <c r="J377" s="150"/>
      <c r="K377" s="150"/>
      <c r="L377" s="150"/>
      <c r="M377" s="6"/>
      <c r="N377" s="6"/>
      <c r="O377" s="6"/>
      <c r="P377" s="6"/>
      <c r="Q377" s="6"/>
      <c r="R377" s="6"/>
      <c r="S377" s="6"/>
      <c r="T377" s="6"/>
      <c r="U377" s="6"/>
      <c r="V377" s="6"/>
      <c r="W377" s="6"/>
      <c r="X377" s="6"/>
      <c r="Y377" s="6"/>
      <c r="Z377" s="6"/>
    </row>
    <row r="378" spans="1:26" ht="18" customHeight="1" x14ac:dyDescent="0.3">
      <c r="A378" s="142"/>
      <c r="B378" s="143"/>
      <c r="C378" s="144" t="str">
        <f>IF(A378="","",IFERROR(INDEX('12 P6 activities'!$C$7:$C$206,MATCH(A378,'12 P6 activities'!$A$7:$A$206,0)),"⚠ not in P6 list"))</f>
        <v/>
      </c>
      <c r="D378" s="145"/>
      <c r="E378" s="143"/>
      <c r="F378" s="147"/>
      <c r="G378" s="148"/>
      <c r="H378" s="149"/>
      <c r="I378" s="150"/>
      <c r="J378" s="150"/>
      <c r="K378" s="150"/>
      <c r="L378" s="150"/>
      <c r="M378" s="6"/>
      <c r="N378" s="6"/>
      <c r="O378" s="6"/>
      <c r="P378" s="6"/>
      <c r="Q378" s="6"/>
      <c r="R378" s="6"/>
      <c r="S378" s="6"/>
      <c r="T378" s="6"/>
      <c r="U378" s="6"/>
      <c r="V378" s="6"/>
      <c r="W378" s="6"/>
      <c r="X378" s="6"/>
      <c r="Y378" s="6"/>
      <c r="Z378" s="6"/>
    </row>
    <row r="379" spans="1:26" ht="18" customHeight="1" x14ac:dyDescent="0.3">
      <c r="A379" s="142"/>
      <c r="B379" s="143"/>
      <c r="C379" s="144" t="str">
        <f>IF(A379="","",IFERROR(INDEX('12 P6 activities'!$C$7:$C$206,MATCH(A379,'12 P6 activities'!$A$7:$A$206,0)),"⚠ not in P6 list"))</f>
        <v/>
      </c>
      <c r="D379" s="145"/>
      <c r="E379" s="143"/>
      <c r="F379" s="147"/>
      <c r="G379" s="148"/>
      <c r="H379" s="149"/>
      <c r="I379" s="150"/>
      <c r="J379" s="150"/>
      <c r="K379" s="150"/>
      <c r="L379" s="150"/>
      <c r="M379" s="6"/>
      <c r="N379" s="6"/>
      <c r="O379" s="6"/>
      <c r="P379" s="6"/>
      <c r="Q379" s="6"/>
      <c r="R379" s="6"/>
      <c r="S379" s="6"/>
      <c r="T379" s="6"/>
      <c r="U379" s="6"/>
      <c r="V379" s="6"/>
      <c r="W379" s="6"/>
      <c r="X379" s="6"/>
      <c r="Y379" s="6"/>
      <c r="Z379" s="6"/>
    </row>
    <row r="380" spans="1:26" ht="18" customHeight="1" x14ac:dyDescent="0.3">
      <c r="A380" s="142"/>
      <c r="B380" s="143"/>
      <c r="C380" s="144" t="str">
        <f>IF(A380="","",IFERROR(INDEX('12 P6 activities'!$C$7:$C$206,MATCH(A380,'12 P6 activities'!$A$7:$A$206,0)),"⚠ not in P6 list"))</f>
        <v/>
      </c>
      <c r="D380" s="145"/>
      <c r="E380" s="143"/>
      <c r="F380" s="147"/>
      <c r="G380" s="148"/>
      <c r="H380" s="149"/>
      <c r="I380" s="150"/>
      <c r="J380" s="150"/>
      <c r="K380" s="150"/>
      <c r="L380" s="150"/>
      <c r="M380" s="6"/>
      <c r="N380" s="6"/>
      <c r="O380" s="6"/>
      <c r="P380" s="6"/>
      <c r="Q380" s="6"/>
      <c r="R380" s="6"/>
      <c r="S380" s="6"/>
      <c r="T380" s="6"/>
      <c r="U380" s="6"/>
      <c r="V380" s="6"/>
      <c r="W380" s="6"/>
      <c r="X380" s="6"/>
      <c r="Y380" s="6"/>
      <c r="Z380" s="6"/>
    </row>
    <row r="381" spans="1:26" ht="18" customHeight="1" x14ac:dyDescent="0.3">
      <c r="A381" s="142"/>
      <c r="B381" s="143"/>
      <c r="C381" s="144" t="str">
        <f>IF(A381="","",IFERROR(INDEX('12 P6 activities'!$C$7:$C$206,MATCH(A381,'12 P6 activities'!$A$7:$A$206,0)),"⚠ not in P6 list"))</f>
        <v/>
      </c>
      <c r="D381" s="145"/>
      <c r="E381" s="143"/>
      <c r="F381" s="147"/>
      <c r="G381" s="148"/>
      <c r="H381" s="149"/>
      <c r="I381" s="150"/>
      <c r="J381" s="150"/>
      <c r="K381" s="150"/>
      <c r="L381" s="150"/>
      <c r="M381" s="6"/>
      <c r="N381" s="6"/>
      <c r="O381" s="6"/>
      <c r="P381" s="6"/>
      <c r="Q381" s="6"/>
      <c r="R381" s="6"/>
      <c r="S381" s="6"/>
      <c r="T381" s="6"/>
      <c r="U381" s="6"/>
      <c r="V381" s="6"/>
      <c r="W381" s="6"/>
      <c r="X381" s="6"/>
      <c r="Y381" s="6"/>
      <c r="Z381" s="6"/>
    </row>
    <row r="382" spans="1:26" ht="18" customHeight="1" x14ac:dyDescent="0.3">
      <c r="A382" s="142"/>
      <c r="B382" s="143"/>
      <c r="C382" s="144" t="str">
        <f>IF(A382="","",IFERROR(INDEX('12 P6 activities'!$C$7:$C$206,MATCH(A382,'12 P6 activities'!$A$7:$A$206,0)),"⚠ not in P6 list"))</f>
        <v/>
      </c>
      <c r="D382" s="145"/>
      <c r="E382" s="143"/>
      <c r="F382" s="147"/>
      <c r="G382" s="148"/>
      <c r="H382" s="149"/>
      <c r="I382" s="150"/>
      <c r="J382" s="150"/>
      <c r="K382" s="150"/>
      <c r="L382" s="150"/>
      <c r="M382" s="6"/>
      <c r="N382" s="6"/>
      <c r="O382" s="6"/>
      <c r="P382" s="6"/>
      <c r="Q382" s="6"/>
      <c r="R382" s="6"/>
      <c r="S382" s="6"/>
      <c r="T382" s="6"/>
      <c r="U382" s="6"/>
      <c r="V382" s="6"/>
      <c r="W382" s="6"/>
      <c r="X382" s="6"/>
      <c r="Y382" s="6"/>
      <c r="Z382" s="6"/>
    </row>
    <row r="383" spans="1:26" ht="18" customHeight="1" x14ac:dyDescent="0.3">
      <c r="A383" s="142"/>
      <c r="B383" s="143"/>
      <c r="C383" s="144" t="str">
        <f>IF(A383="","",IFERROR(INDEX('12 P6 activities'!$C$7:$C$206,MATCH(A383,'12 P6 activities'!$A$7:$A$206,0)),"⚠ not in P6 list"))</f>
        <v/>
      </c>
      <c r="D383" s="145"/>
      <c r="E383" s="143"/>
      <c r="F383" s="147"/>
      <c r="G383" s="148"/>
      <c r="H383" s="149"/>
      <c r="I383" s="150"/>
      <c r="J383" s="150"/>
      <c r="K383" s="150"/>
      <c r="L383" s="150"/>
      <c r="M383" s="6"/>
      <c r="N383" s="6"/>
      <c r="O383" s="6"/>
      <c r="P383" s="6"/>
      <c r="Q383" s="6"/>
      <c r="R383" s="6"/>
      <c r="S383" s="6"/>
      <c r="T383" s="6"/>
      <c r="U383" s="6"/>
      <c r="V383" s="6"/>
      <c r="W383" s="6"/>
      <c r="X383" s="6"/>
      <c r="Y383" s="6"/>
      <c r="Z383" s="6"/>
    </row>
    <row r="384" spans="1:26" ht="18" customHeight="1" x14ac:dyDescent="0.3">
      <c r="A384" s="142"/>
      <c r="B384" s="143"/>
      <c r="C384" s="144" t="str">
        <f>IF(A384="","",IFERROR(INDEX('12 P6 activities'!$C$7:$C$206,MATCH(A384,'12 P6 activities'!$A$7:$A$206,0)),"⚠ not in P6 list"))</f>
        <v/>
      </c>
      <c r="D384" s="145"/>
      <c r="E384" s="143"/>
      <c r="F384" s="147"/>
      <c r="G384" s="148"/>
      <c r="H384" s="149"/>
      <c r="I384" s="150"/>
      <c r="J384" s="150"/>
      <c r="K384" s="150"/>
      <c r="L384" s="150"/>
      <c r="M384" s="6"/>
      <c r="N384" s="6"/>
      <c r="O384" s="6"/>
      <c r="P384" s="6"/>
      <c r="Q384" s="6"/>
      <c r="R384" s="6"/>
      <c r="S384" s="6"/>
      <c r="T384" s="6"/>
      <c r="U384" s="6"/>
      <c r="V384" s="6"/>
      <c r="W384" s="6"/>
      <c r="X384" s="6"/>
      <c r="Y384" s="6"/>
      <c r="Z384" s="6"/>
    </row>
    <row r="385" spans="1:26" ht="18" customHeight="1" x14ac:dyDescent="0.3">
      <c r="A385" s="142"/>
      <c r="B385" s="143"/>
      <c r="C385" s="144" t="str">
        <f>IF(A385="","",IFERROR(INDEX('12 P6 activities'!$C$7:$C$206,MATCH(A385,'12 P6 activities'!$A$7:$A$206,0)),"⚠ not in P6 list"))</f>
        <v/>
      </c>
      <c r="D385" s="145"/>
      <c r="E385" s="143"/>
      <c r="F385" s="147"/>
      <c r="G385" s="148"/>
      <c r="H385" s="149"/>
      <c r="I385" s="150"/>
      <c r="J385" s="150"/>
      <c r="K385" s="150"/>
      <c r="L385" s="150"/>
      <c r="M385" s="6"/>
      <c r="N385" s="6"/>
      <c r="O385" s="6"/>
      <c r="P385" s="6"/>
      <c r="Q385" s="6"/>
      <c r="R385" s="6"/>
      <c r="S385" s="6"/>
      <c r="T385" s="6"/>
      <c r="U385" s="6"/>
      <c r="V385" s="6"/>
      <c r="W385" s="6"/>
      <c r="X385" s="6"/>
      <c r="Y385" s="6"/>
      <c r="Z385" s="6"/>
    </row>
    <row r="386" spans="1:26" ht="18" customHeight="1" x14ac:dyDescent="0.3">
      <c r="A386" s="142"/>
      <c r="B386" s="143"/>
      <c r="C386" s="144" t="str">
        <f>IF(A386="","",IFERROR(INDEX('12 P6 activities'!$C$7:$C$206,MATCH(A386,'12 P6 activities'!$A$7:$A$206,0)),"⚠ not in P6 list"))</f>
        <v/>
      </c>
      <c r="D386" s="145"/>
      <c r="E386" s="143"/>
      <c r="F386" s="147"/>
      <c r="G386" s="148"/>
      <c r="H386" s="149"/>
      <c r="I386" s="150"/>
      <c r="J386" s="150"/>
      <c r="K386" s="150"/>
      <c r="L386" s="150"/>
      <c r="M386" s="6"/>
      <c r="N386" s="6"/>
      <c r="O386" s="6"/>
      <c r="P386" s="6"/>
      <c r="Q386" s="6"/>
      <c r="R386" s="6"/>
      <c r="S386" s="6"/>
      <c r="T386" s="6"/>
      <c r="U386" s="6"/>
      <c r="V386" s="6"/>
      <c r="W386" s="6"/>
      <c r="X386" s="6"/>
      <c r="Y386" s="6"/>
      <c r="Z386" s="6"/>
    </row>
    <row r="387" spans="1:26" ht="18" customHeight="1" x14ac:dyDescent="0.3">
      <c r="A387" s="142"/>
      <c r="B387" s="143"/>
      <c r="C387" s="144" t="str">
        <f>IF(A387="","",IFERROR(INDEX('12 P6 activities'!$C$7:$C$206,MATCH(A387,'12 P6 activities'!$A$7:$A$206,0)),"⚠ not in P6 list"))</f>
        <v/>
      </c>
      <c r="D387" s="145"/>
      <c r="E387" s="143"/>
      <c r="F387" s="147"/>
      <c r="G387" s="148"/>
      <c r="H387" s="149"/>
      <c r="I387" s="150"/>
      <c r="J387" s="150"/>
      <c r="K387" s="150"/>
      <c r="L387" s="150"/>
      <c r="M387" s="6"/>
      <c r="N387" s="6"/>
      <c r="O387" s="6"/>
      <c r="P387" s="6"/>
      <c r="Q387" s="6"/>
      <c r="R387" s="6"/>
      <c r="S387" s="6"/>
      <c r="T387" s="6"/>
      <c r="U387" s="6"/>
      <c r="V387" s="6"/>
      <c r="W387" s="6"/>
      <c r="X387" s="6"/>
      <c r="Y387" s="6"/>
      <c r="Z387" s="6"/>
    </row>
    <row r="388" spans="1:26" ht="18" customHeight="1" x14ac:dyDescent="0.3">
      <c r="A388" s="142"/>
      <c r="B388" s="143"/>
      <c r="C388" s="144" t="str">
        <f>IF(A388="","",IFERROR(INDEX('12 P6 activities'!$C$7:$C$206,MATCH(A388,'12 P6 activities'!$A$7:$A$206,0)),"⚠ not in P6 list"))</f>
        <v/>
      </c>
      <c r="D388" s="145"/>
      <c r="E388" s="143"/>
      <c r="F388" s="147"/>
      <c r="G388" s="148"/>
      <c r="H388" s="149"/>
      <c r="I388" s="150"/>
      <c r="J388" s="150"/>
      <c r="K388" s="150"/>
      <c r="L388" s="150"/>
      <c r="M388" s="6"/>
      <c r="N388" s="6"/>
      <c r="O388" s="6"/>
      <c r="P388" s="6"/>
      <c r="Q388" s="6"/>
      <c r="R388" s="6"/>
      <c r="S388" s="6"/>
      <c r="T388" s="6"/>
      <c r="U388" s="6"/>
      <c r="V388" s="6"/>
      <c r="W388" s="6"/>
      <c r="X388" s="6"/>
      <c r="Y388" s="6"/>
      <c r="Z388" s="6"/>
    </row>
    <row r="389" spans="1:26" ht="18" customHeight="1" x14ac:dyDescent="0.3">
      <c r="A389" s="142"/>
      <c r="B389" s="143"/>
      <c r="C389" s="144" t="str">
        <f>IF(A389="","",IFERROR(INDEX('12 P6 activities'!$C$7:$C$206,MATCH(A389,'12 P6 activities'!$A$7:$A$206,0)),"⚠ not in P6 list"))</f>
        <v/>
      </c>
      <c r="D389" s="145"/>
      <c r="E389" s="143"/>
      <c r="F389" s="147"/>
      <c r="G389" s="148"/>
      <c r="H389" s="149"/>
      <c r="I389" s="150"/>
      <c r="J389" s="150"/>
      <c r="K389" s="150"/>
      <c r="L389" s="150"/>
      <c r="M389" s="6"/>
      <c r="N389" s="6"/>
      <c r="O389" s="6"/>
      <c r="P389" s="6"/>
      <c r="Q389" s="6"/>
      <c r="R389" s="6"/>
      <c r="S389" s="6"/>
      <c r="T389" s="6"/>
      <c r="U389" s="6"/>
      <c r="V389" s="6"/>
      <c r="W389" s="6"/>
      <c r="X389" s="6"/>
      <c r="Y389" s="6"/>
      <c r="Z389" s="6"/>
    </row>
    <row r="390" spans="1:26" ht="18" customHeight="1" x14ac:dyDescent="0.3">
      <c r="A390" s="142"/>
      <c r="B390" s="143"/>
      <c r="C390" s="144" t="str">
        <f>IF(A390="","",IFERROR(INDEX('12 P6 activities'!$C$7:$C$206,MATCH(A390,'12 P6 activities'!$A$7:$A$206,0)),"⚠ not in P6 list"))</f>
        <v/>
      </c>
      <c r="D390" s="145"/>
      <c r="E390" s="143"/>
      <c r="F390" s="147"/>
      <c r="G390" s="148"/>
      <c r="H390" s="149"/>
      <c r="I390" s="150"/>
      <c r="J390" s="150"/>
      <c r="K390" s="150"/>
      <c r="L390" s="150"/>
      <c r="M390" s="6"/>
      <c r="N390" s="6"/>
      <c r="O390" s="6"/>
      <c r="P390" s="6"/>
      <c r="Q390" s="6"/>
      <c r="R390" s="6"/>
      <c r="S390" s="6"/>
      <c r="T390" s="6"/>
      <c r="U390" s="6"/>
      <c r="V390" s="6"/>
      <c r="W390" s="6"/>
      <c r="X390" s="6"/>
      <c r="Y390" s="6"/>
      <c r="Z390" s="6"/>
    </row>
    <row r="391" spans="1:26" ht="18" customHeight="1" x14ac:dyDescent="0.3">
      <c r="A391" s="142"/>
      <c r="B391" s="143"/>
      <c r="C391" s="144" t="str">
        <f>IF(A391="","",IFERROR(INDEX('12 P6 activities'!$C$7:$C$206,MATCH(A391,'12 P6 activities'!$A$7:$A$206,0)),"⚠ not in P6 list"))</f>
        <v/>
      </c>
      <c r="D391" s="145"/>
      <c r="E391" s="143"/>
      <c r="F391" s="147"/>
      <c r="G391" s="148"/>
      <c r="H391" s="149"/>
      <c r="I391" s="150"/>
      <c r="J391" s="150"/>
      <c r="K391" s="150"/>
      <c r="L391" s="150"/>
      <c r="M391" s="6"/>
      <c r="N391" s="6"/>
      <c r="O391" s="6"/>
      <c r="P391" s="6"/>
      <c r="Q391" s="6"/>
      <c r="R391" s="6"/>
      <c r="S391" s="6"/>
      <c r="T391" s="6"/>
      <c r="U391" s="6"/>
      <c r="V391" s="6"/>
      <c r="W391" s="6"/>
      <c r="X391" s="6"/>
      <c r="Y391" s="6"/>
      <c r="Z391" s="6"/>
    </row>
    <row r="392" spans="1:26" ht="18" customHeight="1" x14ac:dyDescent="0.3">
      <c r="A392" s="142"/>
      <c r="B392" s="143"/>
      <c r="C392" s="144" t="str">
        <f>IF(A392="","",IFERROR(INDEX('12 P6 activities'!$C$7:$C$206,MATCH(A392,'12 P6 activities'!$A$7:$A$206,0)),"⚠ not in P6 list"))</f>
        <v/>
      </c>
      <c r="D392" s="145"/>
      <c r="E392" s="143"/>
      <c r="F392" s="147"/>
      <c r="G392" s="148"/>
      <c r="H392" s="149"/>
      <c r="I392" s="150"/>
      <c r="J392" s="150"/>
      <c r="K392" s="150"/>
      <c r="L392" s="150"/>
      <c r="M392" s="6"/>
      <c r="N392" s="6"/>
      <c r="O392" s="6"/>
      <c r="P392" s="6"/>
      <c r="Q392" s="6"/>
      <c r="R392" s="6"/>
      <c r="S392" s="6"/>
      <c r="T392" s="6"/>
      <c r="U392" s="6"/>
      <c r="V392" s="6"/>
      <c r="W392" s="6"/>
      <c r="X392" s="6"/>
      <c r="Y392" s="6"/>
      <c r="Z392" s="6"/>
    </row>
    <row r="393" spans="1:26" ht="18" customHeight="1" x14ac:dyDescent="0.3">
      <c r="A393" s="142"/>
      <c r="B393" s="143"/>
      <c r="C393" s="144" t="str">
        <f>IF(A393="","",IFERROR(INDEX('12 P6 activities'!$C$7:$C$206,MATCH(A393,'12 P6 activities'!$A$7:$A$206,0)),"⚠ not in P6 list"))</f>
        <v/>
      </c>
      <c r="D393" s="145"/>
      <c r="E393" s="143"/>
      <c r="F393" s="147"/>
      <c r="G393" s="148"/>
      <c r="H393" s="149"/>
      <c r="I393" s="150"/>
      <c r="J393" s="150"/>
      <c r="K393" s="150"/>
      <c r="L393" s="150"/>
      <c r="M393" s="6"/>
      <c r="N393" s="6"/>
      <c r="O393" s="6"/>
      <c r="P393" s="6"/>
      <c r="Q393" s="6"/>
      <c r="R393" s="6"/>
      <c r="S393" s="6"/>
      <c r="T393" s="6"/>
      <c r="U393" s="6"/>
      <c r="V393" s="6"/>
      <c r="W393" s="6"/>
      <c r="X393" s="6"/>
      <c r="Y393" s="6"/>
      <c r="Z393" s="6"/>
    </row>
    <row r="394" spans="1:26" ht="18" customHeight="1" x14ac:dyDescent="0.3">
      <c r="A394" s="142"/>
      <c r="B394" s="143"/>
      <c r="C394" s="144" t="str">
        <f>IF(A394="","",IFERROR(INDEX('12 P6 activities'!$C$7:$C$206,MATCH(A394,'12 P6 activities'!$A$7:$A$206,0)),"⚠ not in P6 list"))</f>
        <v/>
      </c>
      <c r="D394" s="145"/>
      <c r="E394" s="143"/>
      <c r="F394" s="147"/>
      <c r="G394" s="148"/>
      <c r="H394" s="149"/>
      <c r="I394" s="150"/>
      <c r="J394" s="150"/>
      <c r="K394" s="150"/>
      <c r="L394" s="150"/>
      <c r="M394" s="6"/>
      <c r="N394" s="6"/>
      <c r="O394" s="6"/>
      <c r="P394" s="6"/>
      <c r="Q394" s="6"/>
      <c r="R394" s="6"/>
      <c r="S394" s="6"/>
      <c r="T394" s="6"/>
      <c r="U394" s="6"/>
      <c r="V394" s="6"/>
      <c r="W394" s="6"/>
      <c r="X394" s="6"/>
      <c r="Y394" s="6"/>
      <c r="Z394" s="6"/>
    </row>
    <row r="395" spans="1:26" ht="18" customHeight="1" x14ac:dyDescent="0.3">
      <c r="A395" s="142"/>
      <c r="B395" s="143"/>
      <c r="C395" s="144" t="str">
        <f>IF(A395="","",IFERROR(INDEX('12 P6 activities'!$C$7:$C$206,MATCH(A395,'12 P6 activities'!$A$7:$A$206,0)),"⚠ not in P6 list"))</f>
        <v/>
      </c>
      <c r="D395" s="145"/>
      <c r="E395" s="143"/>
      <c r="F395" s="147"/>
      <c r="G395" s="148"/>
      <c r="H395" s="149"/>
      <c r="I395" s="150"/>
      <c r="J395" s="150"/>
      <c r="K395" s="150"/>
      <c r="L395" s="150"/>
      <c r="M395" s="6"/>
      <c r="N395" s="6"/>
      <c r="O395" s="6"/>
      <c r="P395" s="6"/>
      <c r="Q395" s="6"/>
      <c r="R395" s="6"/>
      <c r="S395" s="6"/>
      <c r="T395" s="6"/>
      <c r="U395" s="6"/>
      <c r="V395" s="6"/>
      <c r="W395" s="6"/>
      <c r="X395" s="6"/>
      <c r="Y395" s="6"/>
      <c r="Z395" s="6"/>
    </row>
    <row r="396" spans="1:26" ht="18" customHeight="1" x14ac:dyDescent="0.3">
      <c r="A396" s="142"/>
      <c r="B396" s="143"/>
      <c r="C396" s="144" t="str">
        <f>IF(A396="","",IFERROR(INDEX('12 P6 activities'!$C$7:$C$206,MATCH(A396,'12 P6 activities'!$A$7:$A$206,0)),"⚠ not in P6 list"))</f>
        <v/>
      </c>
      <c r="D396" s="145"/>
      <c r="E396" s="143"/>
      <c r="F396" s="147"/>
      <c r="G396" s="148"/>
      <c r="H396" s="149"/>
      <c r="I396" s="150"/>
      <c r="J396" s="150"/>
      <c r="K396" s="150"/>
      <c r="L396" s="150"/>
      <c r="M396" s="6"/>
      <c r="N396" s="6"/>
      <c r="O396" s="6"/>
      <c r="P396" s="6"/>
      <c r="Q396" s="6"/>
      <c r="R396" s="6"/>
      <c r="S396" s="6"/>
      <c r="T396" s="6"/>
      <c r="U396" s="6"/>
      <c r="V396" s="6"/>
      <c r="W396" s="6"/>
      <c r="X396" s="6"/>
      <c r="Y396" s="6"/>
      <c r="Z396" s="6"/>
    </row>
    <row r="397" spans="1:26" ht="18" customHeight="1" x14ac:dyDescent="0.3">
      <c r="A397" s="142"/>
      <c r="B397" s="143"/>
      <c r="C397" s="144" t="str">
        <f>IF(A397="","",IFERROR(INDEX('12 P6 activities'!$C$7:$C$206,MATCH(A397,'12 P6 activities'!$A$7:$A$206,0)),"⚠ not in P6 list"))</f>
        <v/>
      </c>
      <c r="D397" s="145"/>
      <c r="E397" s="143"/>
      <c r="F397" s="147"/>
      <c r="G397" s="148"/>
      <c r="H397" s="149"/>
      <c r="I397" s="150"/>
      <c r="J397" s="150"/>
      <c r="K397" s="150"/>
      <c r="L397" s="150"/>
      <c r="M397" s="6"/>
      <c r="N397" s="6"/>
      <c r="O397" s="6"/>
      <c r="P397" s="6"/>
      <c r="Q397" s="6"/>
      <c r="R397" s="6"/>
      <c r="S397" s="6"/>
      <c r="T397" s="6"/>
      <c r="U397" s="6"/>
      <c r="V397" s="6"/>
      <c r="W397" s="6"/>
      <c r="X397" s="6"/>
      <c r="Y397" s="6"/>
      <c r="Z397" s="6"/>
    </row>
    <row r="398" spans="1:26" ht="18" customHeight="1" x14ac:dyDescent="0.3">
      <c r="A398" s="142"/>
      <c r="B398" s="143"/>
      <c r="C398" s="144" t="str">
        <f>IF(A398="","",IFERROR(INDEX('12 P6 activities'!$C$7:$C$206,MATCH(A398,'12 P6 activities'!$A$7:$A$206,0)),"⚠ not in P6 list"))</f>
        <v/>
      </c>
      <c r="D398" s="145"/>
      <c r="E398" s="143"/>
      <c r="F398" s="147"/>
      <c r="G398" s="148"/>
      <c r="H398" s="149"/>
      <c r="I398" s="150"/>
      <c r="J398" s="150"/>
      <c r="K398" s="150"/>
      <c r="L398" s="150"/>
      <c r="M398" s="6"/>
      <c r="N398" s="6"/>
      <c r="O398" s="6"/>
      <c r="P398" s="6"/>
      <c r="Q398" s="6"/>
      <c r="R398" s="6"/>
      <c r="S398" s="6"/>
      <c r="T398" s="6"/>
      <c r="U398" s="6"/>
      <c r="V398" s="6"/>
      <c r="W398" s="6"/>
      <c r="X398" s="6"/>
      <c r="Y398" s="6"/>
      <c r="Z398" s="6"/>
    </row>
    <row r="399" spans="1:26" ht="18" customHeight="1" x14ac:dyDescent="0.3">
      <c r="A399" s="142"/>
      <c r="B399" s="143"/>
      <c r="C399" s="144" t="str">
        <f>IF(A399="","",IFERROR(INDEX('12 P6 activities'!$C$7:$C$206,MATCH(A399,'12 P6 activities'!$A$7:$A$206,0)),"⚠ not in P6 list"))</f>
        <v/>
      </c>
      <c r="D399" s="145"/>
      <c r="E399" s="143"/>
      <c r="F399" s="147"/>
      <c r="G399" s="148"/>
      <c r="H399" s="149"/>
      <c r="I399" s="150"/>
      <c r="J399" s="150"/>
      <c r="K399" s="150"/>
      <c r="L399" s="150"/>
      <c r="M399" s="6"/>
      <c r="N399" s="6"/>
      <c r="O399" s="6"/>
      <c r="P399" s="6"/>
      <c r="Q399" s="6"/>
      <c r="R399" s="6"/>
      <c r="S399" s="6"/>
      <c r="T399" s="6"/>
      <c r="U399" s="6"/>
      <c r="V399" s="6"/>
      <c r="W399" s="6"/>
      <c r="X399" s="6"/>
      <c r="Y399" s="6"/>
      <c r="Z399" s="6"/>
    </row>
    <row r="400" spans="1:26" ht="18" customHeight="1" x14ac:dyDescent="0.3">
      <c r="A400" s="142"/>
      <c r="B400" s="143"/>
      <c r="C400" s="144" t="str">
        <f>IF(A400="","",IFERROR(INDEX('12 P6 activities'!$C$7:$C$206,MATCH(A400,'12 P6 activities'!$A$7:$A$206,0)),"⚠ not in P6 list"))</f>
        <v/>
      </c>
      <c r="D400" s="145"/>
      <c r="E400" s="143"/>
      <c r="F400" s="147"/>
      <c r="G400" s="148"/>
      <c r="H400" s="149"/>
      <c r="I400" s="150"/>
      <c r="J400" s="150"/>
      <c r="K400" s="150"/>
      <c r="L400" s="150"/>
      <c r="M400" s="6"/>
      <c r="N400" s="6"/>
      <c r="O400" s="6"/>
      <c r="P400" s="6"/>
      <c r="Q400" s="6"/>
      <c r="R400" s="6"/>
      <c r="S400" s="6"/>
      <c r="T400" s="6"/>
      <c r="U400" s="6"/>
      <c r="V400" s="6"/>
      <c r="W400" s="6"/>
      <c r="X400" s="6"/>
      <c r="Y400" s="6"/>
      <c r="Z400" s="6"/>
    </row>
    <row r="401" spans="1:26" ht="18" customHeight="1" x14ac:dyDescent="0.3">
      <c r="A401" s="142"/>
      <c r="B401" s="143"/>
      <c r="C401" s="144" t="str">
        <f>IF(A401="","",IFERROR(INDEX('12 P6 activities'!$C$7:$C$206,MATCH(A401,'12 P6 activities'!$A$7:$A$206,0)),"⚠ not in P6 list"))</f>
        <v/>
      </c>
      <c r="D401" s="145"/>
      <c r="E401" s="143"/>
      <c r="F401" s="147"/>
      <c r="G401" s="148"/>
      <c r="H401" s="149"/>
      <c r="I401" s="150"/>
      <c r="J401" s="150"/>
      <c r="K401" s="150"/>
      <c r="L401" s="150"/>
      <c r="M401" s="6"/>
      <c r="N401" s="6"/>
      <c r="O401" s="6"/>
      <c r="P401" s="6"/>
      <c r="Q401" s="6"/>
      <c r="R401" s="6"/>
      <c r="S401" s="6"/>
      <c r="T401" s="6"/>
      <c r="U401" s="6"/>
      <c r="V401" s="6"/>
      <c r="W401" s="6"/>
      <c r="X401" s="6"/>
      <c r="Y401" s="6"/>
      <c r="Z401" s="6"/>
    </row>
    <row r="402" spans="1:26" ht="18" customHeight="1" x14ac:dyDescent="0.3">
      <c r="A402" s="142"/>
      <c r="B402" s="143"/>
      <c r="C402" s="144" t="str">
        <f>IF(A402="","",IFERROR(INDEX('12 P6 activities'!$C$7:$C$206,MATCH(A402,'12 P6 activities'!$A$7:$A$206,0)),"⚠ not in P6 list"))</f>
        <v/>
      </c>
      <c r="D402" s="145"/>
      <c r="E402" s="143"/>
      <c r="F402" s="147"/>
      <c r="G402" s="148"/>
      <c r="H402" s="149"/>
      <c r="I402" s="150"/>
      <c r="J402" s="150"/>
      <c r="K402" s="150"/>
      <c r="L402" s="150"/>
      <c r="M402" s="6"/>
      <c r="N402" s="6"/>
      <c r="O402" s="6"/>
      <c r="P402" s="6"/>
      <c r="Q402" s="6"/>
      <c r="R402" s="6"/>
      <c r="S402" s="6"/>
      <c r="T402" s="6"/>
      <c r="U402" s="6"/>
      <c r="V402" s="6"/>
      <c r="W402" s="6"/>
      <c r="X402" s="6"/>
      <c r="Y402" s="6"/>
      <c r="Z402" s="6"/>
    </row>
    <row r="403" spans="1:26" ht="18" customHeight="1" x14ac:dyDescent="0.3">
      <c r="A403" s="142"/>
      <c r="B403" s="143"/>
      <c r="C403" s="144" t="str">
        <f>IF(A403="","",IFERROR(INDEX('12 P6 activities'!$C$7:$C$206,MATCH(A403,'12 P6 activities'!$A$7:$A$206,0)),"⚠ not in P6 list"))</f>
        <v/>
      </c>
      <c r="D403" s="145"/>
      <c r="E403" s="143"/>
      <c r="F403" s="147"/>
      <c r="G403" s="148"/>
      <c r="H403" s="149"/>
      <c r="I403" s="150"/>
      <c r="J403" s="150"/>
      <c r="K403" s="150"/>
      <c r="L403" s="150"/>
      <c r="M403" s="6"/>
      <c r="N403" s="6"/>
      <c r="O403" s="6"/>
      <c r="P403" s="6"/>
      <c r="Q403" s="6"/>
      <c r="R403" s="6"/>
      <c r="S403" s="6"/>
      <c r="T403" s="6"/>
      <c r="U403" s="6"/>
      <c r="V403" s="6"/>
      <c r="W403" s="6"/>
      <c r="X403" s="6"/>
      <c r="Y403" s="6"/>
      <c r="Z403" s="6"/>
    </row>
    <row r="404" spans="1:26" ht="18" customHeight="1" x14ac:dyDescent="0.3">
      <c r="A404" s="142"/>
      <c r="B404" s="143"/>
      <c r="C404" s="144" t="str">
        <f>IF(A404="","",IFERROR(INDEX('12 P6 activities'!$C$7:$C$206,MATCH(A404,'12 P6 activities'!$A$7:$A$206,0)),"⚠ not in P6 list"))</f>
        <v/>
      </c>
      <c r="D404" s="145"/>
      <c r="E404" s="143"/>
      <c r="F404" s="147"/>
      <c r="G404" s="148"/>
      <c r="H404" s="149"/>
      <c r="I404" s="150"/>
      <c r="J404" s="150"/>
      <c r="K404" s="150"/>
      <c r="L404" s="150"/>
      <c r="M404" s="6"/>
      <c r="N404" s="6"/>
      <c r="O404" s="6"/>
      <c r="P404" s="6"/>
      <c r="Q404" s="6"/>
      <c r="R404" s="6"/>
      <c r="S404" s="6"/>
      <c r="T404" s="6"/>
      <c r="U404" s="6"/>
      <c r="V404" s="6"/>
      <c r="W404" s="6"/>
      <c r="X404" s="6"/>
      <c r="Y404" s="6"/>
      <c r="Z404" s="6"/>
    </row>
    <row r="405" spans="1:26" ht="18" customHeight="1" x14ac:dyDescent="0.3">
      <c r="A405" s="142"/>
      <c r="B405" s="143"/>
      <c r="C405" s="144" t="str">
        <f>IF(A405="","",IFERROR(INDEX('12 P6 activities'!$C$7:$C$206,MATCH(A405,'12 P6 activities'!$A$7:$A$206,0)),"⚠ not in P6 list"))</f>
        <v/>
      </c>
      <c r="D405" s="145"/>
      <c r="E405" s="143"/>
      <c r="F405" s="147"/>
      <c r="G405" s="148"/>
      <c r="H405" s="149"/>
      <c r="I405" s="150"/>
      <c r="J405" s="150"/>
      <c r="K405" s="150"/>
      <c r="L405" s="150"/>
      <c r="M405" s="6"/>
      <c r="N405" s="6"/>
      <c r="O405" s="6"/>
      <c r="P405" s="6"/>
      <c r="Q405" s="6"/>
      <c r="R405" s="6"/>
      <c r="S405" s="6"/>
      <c r="T405" s="6"/>
      <c r="U405" s="6"/>
      <c r="V405" s="6"/>
      <c r="W405" s="6"/>
      <c r="X405" s="6"/>
      <c r="Y405" s="6"/>
      <c r="Z405" s="6"/>
    </row>
    <row r="406" spans="1:26" ht="18" customHeight="1" x14ac:dyDescent="0.3">
      <c r="A406" s="142"/>
      <c r="B406" s="143"/>
      <c r="C406" s="144" t="str">
        <f>IF(A406="","",IFERROR(INDEX('12 P6 activities'!$C$7:$C$206,MATCH(A406,'12 P6 activities'!$A$7:$A$206,0)),"⚠ not in P6 list"))</f>
        <v/>
      </c>
      <c r="D406" s="145"/>
      <c r="E406" s="143"/>
      <c r="F406" s="147"/>
      <c r="G406" s="148"/>
      <c r="H406" s="149"/>
      <c r="I406" s="150"/>
      <c r="J406" s="150"/>
      <c r="K406" s="150"/>
      <c r="L406" s="150"/>
      <c r="M406" s="6"/>
      <c r="N406" s="6"/>
      <c r="O406" s="6"/>
      <c r="P406" s="6"/>
      <c r="Q406" s="6"/>
      <c r="R406" s="6"/>
      <c r="S406" s="6"/>
      <c r="T406" s="6"/>
      <c r="U406" s="6"/>
      <c r="V406" s="6"/>
      <c r="W406" s="6"/>
      <c r="X406" s="6"/>
      <c r="Y406" s="6"/>
      <c r="Z406" s="6"/>
    </row>
    <row r="407" spans="1:26" ht="18" customHeight="1" x14ac:dyDescent="0.3">
      <c r="A407" s="142"/>
      <c r="B407" s="143"/>
      <c r="C407" s="144" t="str">
        <f>IF(A407="","",IFERROR(INDEX('12 P6 activities'!$C$7:$C$206,MATCH(A407,'12 P6 activities'!$A$7:$A$206,0)),"⚠ not in P6 list"))</f>
        <v/>
      </c>
      <c r="D407" s="145"/>
      <c r="E407" s="143"/>
      <c r="F407" s="147"/>
      <c r="G407" s="148"/>
      <c r="H407" s="149"/>
      <c r="I407" s="150"/>
      <c r="J407" s="150"/>
      <c r="K407" s="150"/>
      <c r="L407" s="150"/>
      <c r="M407" s="6"/>
      <c r="N407" s="6"/>
      <c r="O407" s="6"/>
      <c r="P407" s="6"/>
      <c r="Q407" s="6"/>
      <c r="R407" s="6"/>
      <c r="S407" s="6"/>
      <c r="T407" s="6"/>
      <c r="U407" s="6"/>
      <c r="V407" s="6"/>
      <c r="W407" s="6"/>
      <c r="X407" s="6"/>
      <c r="Y407" s="6"/>
      <c r="Z407" s="6"/>
    </row>
    <row r="408" spans="1:26" ht="18" customHeight="1" x14ac:dyDescent="0.3">
      <c r="A408" s="142"/>
      <c r="B408" s="143"/>
      <c r="C408" s="144" t="str">
        <f>IF(A408="","",IFERROR(INDEX('12 P6 activities'!$C$7:$C$206,MATCH(A408,'12 P6 activities'!$A$7:$A$206,0)),"⚠ not in P6 list"))</f>
        <v/>
      </c>
      <c r="D408" s="145"/>
      <c r="E408" s="143"/>
      <c r="F408" s="147"/>
      <c r="G408" s="148"/>
      <c r="H408" s="149"/>
      <c r="I408" s="150"/>
      <c r="J408" s="150"/>
      <c r="K408" s="150"/>
      <c r="L408" s="150"/>
      <c r="M408" s="6"/>
      <c r="N408" s="6"/>
      <c r="O408" s="6"/>
      <c r="P408" s="6"/>
      <c r="Q408" s="6"/>
      <c r="R408" s="6"/>
      <c r="S408" s="6"/>
      <c r="T408" s="6"/>
      <c r="U408" s="6"/>
      <c r="V408" s="6"/>
      <c r="W408" s="6"/>
      <c r="X408" s="6"/>
      <c r="Y408" s="6"/>
      <c r="Z408" s="6"/>
    </row>
    <row r="409" spans="1:26" ht="18" customHeight="1" x14ac:dyDescent="0.3">
      <c r="A409" s="142"/>
      <c r="B409" s="143"/>
      <c r="C409" s="144" t="str">
        <f>IF(A409="","",IFERROR(INDEX('12 P6 activities'!$C$7:$C$206,MATCH(A409,'12 P6 activities'!$A$7:$A$206,0)),"⚠ not in P6 list"))</f>
        <v/>
      </c>
      <c r="D409" s="145"/>
      <c r="E409" s="143"/>
      <c r="F409" s="147"/>
      <c r="G409" s="148"/>
      <c r="H409" s="149"/>
      <c r="I409" s="150"/>
      <c r="J409" s="150"/>
      <c r="K409" s="150"/>
      <c r="L409" s="150"/>
      <c r="M409" s="6"/>
      <c r="N409" s="6"/>
      <c r="O409" s="6"/>
      <c r="P409" s="6"/>
      <c r="Q409" s="6"/>
      <c r="R409" s="6"/>
      <c r="S409" s="6"/>
      <c r="T409" s="6"/>
      <c r="U409" s="6"/>
      <c r="V409" s="6"/>
      <c r="W409" s="6"/>
      <c r="X409" s="6"/>
      <c r="Y409" s="6"/>
      <c r="Z409" s="6"/>
    </row>
    <row r="410" spans="1:26" ht="18" customHeight="1" x14ac:dyDescent="0.3">
      <c r="A410" s="142"/>
      <c r="B410" s="143"/>
      <c r="C410" s="144" t="str">
        <f>IF(A410="","",IFERROR(INDEX('12 P6 activities'!$C$7:$C$206,MATCH(A410,'12 P6 activities'!$A$7:$A$206,0)),"⚠ not in P6 list"))</f>
        <v/>
      </c>
      <c r="D410" s="145"/>
      <c r="E410" s="143"/>
      <c r="F410" s="147"/>
      <c r="G410" s="148"/>
      <c r="H410" s="149"/>
      <c r="I410" s="150"/>
      <c r="J410" s="150"/>
      <c r="K410" s="150"/>
      <c r="L410" s="150"/>
      <c r="M410" s="6"/>
      <c r="N410" s="6"/>
      <c r="O410" s="6"/>
      <c r="P410" s="6"/>
      <c r="Q410" s="6"/>
      <c r="R410" s="6"/>
      <c r="S410" s="6"/>
      <c r="T410" s="6"/>
      <c r="U410" s="6"/>
      <c r="V410" s="6"/>
      <c r="W410" s="6"/>
      <c r="X410" s="6"/>
      <c r="Y410" s="6"/>
      <c r="Z410" s="6"/>
    </row>
    <row r="411" spans="1:26" ht="18" customHeight="1" x14ac:dyDescent="0.3">
      <c r="A411" s="142"/>
      <c r="B411" s="143"/>
      <c r="C411" s="144" t="str">
        <f>IF(A411="","",IFERROR(INDEX('12 P6 activities'!$C$7:$C$206,MATCH(A411,'12 P6 activities'!$A$7:$A$206,0)),"⚠ not in P6 list"))</f>
        <v/>
      </c>
      <c r="D411" s="145"/>
      <c r="E411" s="143"/>
      <c r="F411" s="147"/>
      <c r="G411" s="148"/>
      <c r="H411" s="149"/>
      <c r="I411" s="150"/>
      <c r="J411" s="150"/>
      <c r="K411" s="150"/>
      <c r="L411" s="150"/>
      <c r="M411" s="6"/>
      <c r="N411" s="6"/>
      <c r="O411" s="6"/>
      <c r="P411" s="6"/>
      <c r="Q411" s="6"/>
      <c r="R411" s="6"/>
      <c r="S411" s="6"/>
      <c r="T411" s="6"/>
      <c r="U411" s="6"/>
      <c r="V411" s="6"/>
      <c r="W411" s="6"/>
      <c r="X411" s="6"/>
      <c r="Y411" s="6"/>
      <c r="Z411" s="6"/>
    </row>
    <row r="412" spans="1:26" ht="18" customHeight="1" x14ac:dyDescent="0.3">
      <c r="A412" s="142"/>
      <c r="B412" s="143"/>
      <c r="C412" s="144" t="str">
        <f>IF(A412="","",IFERROR(INDEX('12 P6 activities'!$C$7:$C$206,MATCH(A412,'12 P6 activities'!$A$7:$A$206,0)),"⚠ not in P6 list"))</f>
        <v/>
      </c>
      <c r="D412" s="145"/>
      <c r="E412" s="143"/>
      <c r="F412" s="147"/>
      <c r="G412" s="148"/>
      <c r="H412" s="149"/>
      <c r="I412" s="150"/>
      <c r="J412" s="150"/>
      <c r="K412" s="150"/>
      <c r="L412" s="150"/>
      <c r="M412" s="6"/>
      <c r="N412" s="6"/>
      <c r="O412" s="6"/>
      <c r="P412" s="6"/>
      <c r="Q412" s="6"/>
      <c r="R412" s="6"/>
      <c r="S412" s="6"/>
      <c r="T412" s="6"/>
      <c r="U412" s="6"/>
      <c r="V412" s="6"/>
      <c r="W412" s="6"/>
      <c r="X412" s="6"/>
      <c r="Y412" s="6"/>
      <c r="Z412" s="6"/>
    </row>
    <row r="413" spans="1:26" ht="18" customHeight="1" x14ac:dyDescent="0.3">
      <c r="A413" s="142"/>
      <c r="B413" s="143"/>
      <c r="C413" s="144" t="str">
        <f>IF(A413="","",IFERROR(INDEX('12 P6 activities'!$C$7:$C$206,MATCH(A413,'12 P6 activities'!$A$7:$A$206,0)),"⚠ not in P6 list"))</f>
        <v/>
      </c>
      <c r="D413" s="145"/>
      <c r="E413" s="143"/>
      <c r="F413" s="147"/>
      <c r="G413" s="148"/>
      <c r="H413" s="149"/>
      <c r="I413" s="150"/>
      <c r="J413" s="150"/>
      <c r="K413" s="150"/>
      <c r="L413" s="150"/>
      <c r="M413" s="6"/>
      <c r="N413" s="6"/>
      <c r="O413" s="6"/>
      <c r="P413" s="6"/>
      <c r="Q413" s="6"/>
      <c r="R413" s="6"/>
      <c r="S413" s="6"/>
      <c r="T413" s="6"/>
      <c r="U413" s="6"/>
      <c r="V413" s="6"/>
      <c r="W413" s="6"/>
      <c r="X413" s="6"/>
      <c r="Y413" s="6"/>
      <c r="Z413" s="6"/>
    </row>
    <row r="414" spans="1:26" ht="18" customHeight="1" x14ac:dyDescent="0.3">
      <c r="A414" s="142"/>
      <c r="B414" s="143"/>
      <c r="C414" s="144" t="str">
        <f>IF(A414="","",IFERROR(INDEX('12 P6 activities'!$C$7:$C$206,MATCH(A414,'12 P6 activities'!$A$7:$A$206,0)),"⚠ not in P6 list"))</f>
        <v/>
      </c>
      <c r="D414" s="145"/>
      <c r="E414" s="143"/>
      <c r="F414" s="147"/>
      <c r="G414" s="148"/>
      <c r="H414" s="149"/>
      <c r="I414" s="150"/>
      <c r="J414" s="150"/>
      <c r="K414" s="150"/>
      <c r="L414" s="150"/>
      <c r="M414" s="6"/>
      <c r="N414" s="6"/>
      <c r="O414" s="6"/>
      <c r="P414" s="6"/>
      <c r="Q414" s="6"/>
      <c r="R414" s="6"/>
      <c r="S414" s="6"/>
      <c r="T414" s="6"/>
      <c r="U414" s="6"/>
      <c r="V414" s="6"/>
      <c r="W414" s="6"/>
      <c r="X414" s="6"/>
      <c r="Y414" s="6"/>
      <c r="Z414" s="6"/>
    </row>
    <row r="415" spans="1:26" ht="18" customHeight="1" x14ac:dyDescent="0.3">
      <c r="A415" s="142"/>
      <c r="B415" s="143"/>
      <c r="C415" s="144" t="str">
        <f>IF(A415="","",IFERROR(INDEX('12 P6 activities'!$C$7:$C$206,MATCH(A415,'12 P6 activities'!$A$7:$A$206,0)),"⚠ not in P6 list"))</f>
        <v/>
      </c>
      <c r="D415" s="145"/>
      <c r="E415" s="143"/>
      <c r="F415" s="147"/>
      <c r="G415" s="148"/>
      <c r="H415" s="149"/>
      <c r="I415" s="150"/>
      <c r="J415" s="150"/>
      <c r="K415" s="150"/>
      <c r="L415" s="150"/>
      <c r="M415" s="6"/>
      <c r="N415" s="6"/>
      <c r="O415" s="6"/>
      <c r="P415" s="6"/>
      <c r="Q415" s="6"/>
      <c r="R415" s="6"/>
      <c r="S415" s="6"/>
      <c r="T415" s="6"/>
      <c r="U415" s="6"/>
      <c r="V415" s="6"/>
      <c r="W415" s="6"/>
      <c r="X415" s="6"/>
      <c r="Y415" s="6"/>
      <c r="Z415" s="6"/>
    </row>
    <row r="416" spans="1:26" ht="18" customHeight="1" x14ac:dyDescent="0.3">
      <c r="A416" s="142"/>
      <c r="B416" s="143"/>
      <c r="C416" s="144" t="str">
        <f>IF(A416="","",IFERROR(INDEX('12 P6 activities'!$C$7:$C$206,MATCH(A416,'12 P6 activities'!$A$7:$A$206,0)),"⚠ not in P6 list"))</f>
        <v/>
      </c>
      <c r="D416" s="145"/>
      <c r="E416" s="143"/>
      <c r="F416" s="147"/>
      <c r="G416" s="148"/>
      <c r="H416" s="149"/>
      <c r="I416" s="150"/>
      <c r="J416" s="150"/>
      <c r="K416" s="150"/>
      <c r="L416" s="150"/>
      <c r="M416" s="6"/>
      <c r="N416" s="6"/>
      <c r="O416" s="6"/>
      <c r="P416" s="6"/>
      <c r="Q416" s="6"/>
      <c r="R416" s="6"/>
      <c r="S416" s="6"/>
      <c r="T416" s="6"/>
      <c r="U416" s="6"/>
      <c r="V416" s="6"/>
      <c r="W416" s="6"/>
      <c r="X416" s="6"/>
      <c r="Y416" s="6"/>
      <c r="Z416" s="6"/>
    </row>
    <row r="417" spans="1:26" ht="18" customHeight="1" x14ac:dyDescent="0.3">
      <c r="A417" s="142"/>
      <c r="B417" s="143"/>
      <c r="C417" s="144" t="str">
        <f>IF(A417="","",IFERROR(INDEX('12 P6 activities'!$C$7:$C$206,MATCH(A417,'12 P6 activities'!$A$7:$A$206,0)),"⚠ not in P6 list"))</f>
        <v/>
      </c>
      <c r="D417" s="145"/>
      <c r="E417" s="143"/>
      <c r="F417" s="147"/>
      <c r="G417" s="148"/>
      <c r="H417" s="149"/>
      <c r="I417" s="150"/>
      <c r="J417" s="150"/>
      <c r="K417" s="150"/>
      <c r="L417" s="150"/>
      <c r="M417" s="6"/>
      <c r="N417" s="6"/>
      <c r="O417" s="6"/>
      <c r="P417" s="6"/>
      <c r="Q417" s="6"/>
      <c r="R417" s="6"/>
      <c r="S417" s="6"/>
      <c r="T417" s="6"/>
      <c r="U417" s="6"/>
      <c r="V417" s="6"/>
      <c r="W417" s="6"/>
      <c r="X417" s="6"/>
      <c r="Y417" s="6"/>
      <c r="Z417" s="6"/>
    </row>
    <row r="418" spans="1:26" ht="18" customHeight="1" x14ac:dyDescent="0.3">
      <c r="A418" s="142"/>
      <c r="B418" s="143"/>
      <c r="C418" s="144" t="str">
        <f>IF(A418="","",IFERROR(INDEX('12 P6 activities'!$C$7:$C$206,MATCH(A418,'12 P6 activities'!$A$7:$A$206,0)),"⚠ not in P6 list"))</f>
        <v/>
      </c>
      <c r="D418" s="145"/>
      <c r="E418" s="143"/>
      <c r="F418" s="147"/>
      <c r="G418" s="148"/>
      <c r="H418" s="149"/>
      <c r="I418" s="150"/>
      <c r="J418" s="150"/>
      <c r="K418" s="150"/>
      <c r="L418" s="150"/>
      <c r="M418" s="6"/>
      <c r="N418" s="6"/>
      <c r="O418" s="6"/>
      <c r="P418" s="6"/>
      <c r="Q418" s="6"/>
      <c r="R418" s="6"/>
      <c r="S418" s="6"/>
      <c r="T418" s="6"/>
      <c r="U418" s="6"/>
      <c r="V418" s="6"/>
      <c r="W418" s="6"/>
      <c r="X418" s="6"/>
      <c r="Y418" s="6"/>
      <c r="Z418" s="6"/>
    </row>
    <row r="419" spans="1:26" ht="18" customHeight="1" x14ac:dyDescent="0.3">
      <c r="A419" s="142"/>
      <c r="B419" s="143"/>
      <c r="C419" s="144" t="str">
        <f>IF(A419="","",IFERROR(INDEX('12 P6 activities'!$C$7:$C$206,MATCH(A419,'12 P6 activities'!$A$7:$A$206,0)),"⚠ not in P6 list"))</f>
        <v/>
      </c>
      <c r="D419" s="145"/>
      <c r="E419" s="143"/>
      <c r="F419" s="147"/>
      <c r="G419" s="148"/>
      <c r="H419" s="149"/>
      <c r="I419" s="150"/>
      <c r="J419" s="150"/>
      <c r="K419" s="150"/>
      <c r="L419" s="150"/>
      <c r="M419" s="6"/>
      <c r="N419" s="6"/>
      <c r="O419" s="6"/>
      <c r="P419" s="6"/>
      <c r="Q419" s="6"/>
      <c r="R419" s="6"/>
      <c r="S419" s="6"/>
      <c r="T419" s="6"/>
      <c r="U419" s="6"/>
      <c r="V419" s="6"/>
      <c r="W419" s="6"/>
      <c r="X419" s="6"/>
      <c r="Y419" s="6"/>
      <c r="Z419" s="6"/>
    </row>
    <row r="420" spans="1:26" ht="18" customHeight="1" x14ac:dyDescent="0.3">
      <c r="A420" s="142"/>
      <c r="B420" s="143"/>
      <c r="C420" s="144" t="str">
        <f>IF(A420="","",IFERROR(INDEX('12 P6 activities'!$C$7:$C$206,MATCH(A420,'12 P6 activities'!$A$7:$A$206,0)),"⚠ not in P6 list"))</f>
        <v/>
      </c>
      <c r="D420" s="145"/>
      <c r="E420" s="143"/>
      <c r="F420" s="147"/>
      <c r="G420" s="148"/>
      <c r="H420" s="149"/>
      <c r="I420" s="150"/>
      <c r="J420" s="150"/>
      <c r="K420" s="150"/>
      <c r="L420" s="150"/>
      <c r="M420" s="6"/>
      <c r="N420" s="6"/>
      <c r="O420" s="6"/>
      <c r="P420" s="6"/>
      <c r="Q420" s="6"/>
      <c r="R420" s="6"/>
      <c r="S420" s="6"/>
      <c r="T420" s="6"/>
      <c r="U420" s="6"/>
      <c r="V420" s="6"/>
      <c r="W420" s="6"/>
      <c r="X420" s="6"/>
      <c r="Y420" s="6"/>
      <c r="Z420" s="6"/>
    </row>
    <row r="421" spans="1:26" ht="18" customHeight="1" x14ac:dyDescent="0.3">
      <c r="A421" s="142"/>
      <c r="B421" s="143"/>
      <c r="C421" s="144" t="str">
        <f>IF(A421="","",IFERROR(INDEX('12 P6 activities'!$C$7:$C$206,MATCH(A421,'12 P6 activities'!$A$7:$A$206,0)),"⚠ not in P6 list"))</f>
        <v/>
      </c>
      <c r="D421" s="145"/>
      <c r="E421" s="143"/>
      <c r="F421" s="147"/>
      <c r="G421" s="148"/>
      <c r="H421" s="149"/>
      <c r="I421" s="150"/>
      <c r="J421" s="150"/>
      <c r="K421" s="150"/>
      <c r="L421" s="150"/>
      <c r="M421" s="6"/>
      <c r="N421" s="6"/>
      <c r="O421" s="6"/>
      <c r="P421" s="6"/>
      <c r="Q421" s="6"/>
      <c r="R421" s="6"/>
      <c r="S421" s="6"/>
      <c r="T421" s="6"/>
      <c r="U421" s="6"/>
      <c r="V421" s="6"/>
      <c r="W421" s="6"/>
      <c r="X421" s="6"/>
      <c r="Y421" s="6"/>
      <c r="Z421" s="6"/>
    </row>
    <row r="422" spans="1:26" ht="18" customHeight="1" x14ac:dyDescent="0.3">
      <c r="A422" s="142"/>
      <c r="B422" s="143"/>
      <c r="C422" s="144" t="str">
        <f>IF(A422="","",IFERROR(INDEX('12 P6 activities'!$C$7:$C$206,MATCH(A422,'12 P6 activities'!$A$7:$A$206,0)),"⚠ not in P6 list"))</f>
        <v/>
      </c>
      <c r="D422" s="145"/>
      <c r="E422" s="143"/>
      <c r="F422" s="147"/>
      <c r="G422" s="148"/>
      <c r="H422" s="149"/>
      <c r="I422" s="150"/>
      <c r="J422" s="150"/>
      <c r="K422" s="150"/>
      <c r="L422" s="150"/>
      <c r="M422" s="6"/>
      <c r="N422" s="6"/>
      <c r="O422" s="6"/>
      <c r="P422" s="6"/>
      <c r="Q422" s="6"/>
      <c r="R422" s="6"/>
      <c r="S422" s="6"/>
      <c r="T422" s="6"/>
      <c r="U422" s="6"/>
      <c r="V422" s="6"/>
      <c r="W422" s="6"/>
      <c r="X422" s="6"/>
      <c r="Y422" s="6"/>
      <c r="Z422" s="6"/>
    </row>
    <row r="423" spans="1:26" ht="18" customHeight="1" x14ac:dyDescent="0.3">
      <c r="A423" s="142"/>
      <c r="B423" s="143"/>
      <c r="C423" s="144" t="str">
        <f>IF(A423="","",IFERROR(INDEX('12 P6 activities'!$C$7:$C$206,MATCH(A423,'12 P6 activities'!$A$7:$A$206,0)),"⚠ not in P6 list"))</f>
        <v/>
      </c>
      <c r="D423" s="145"/>
      <c r="E423" s="143"/>
      <c r="F423" s="147"/>
      <c r="G423" s="148"/>
      <c r="H423" s="149"/>
      <c r="I423" s="150"/>
      <c r="J423" s="150"/>
      <c r="K423" s="150"/>
      <c r="L423" s="150"/>
      <c r="M423" s="6"/>
      <c r="N423" s="6"/>
      <c r="O423" s="6"/>
      <c r="P423" s="6"/>
      <c r="Q423" s="6"/>
      <c r="R423" s="6"/>
      <c r="S423" s="6"/>
      <c r="T423" s="6"/>
      <c r="U423" s="6"/>
      <c r="V423" s="6"/>
      <c r="W423" s="6"/>
      <c r="X423" s="6"/>
      <c r="Y423" s="6"/>
      <c r="Z423" s="6"/>
    </row>
    <row r="424" spans="1:26" ht="18" customHeight="1" x14ac:dyDescent="0.3">
      <c r="A424" s="142"/>
      <c r="B424" s="143"/>
      <c r="C424" s="144" t="str">
        <f>IF(A424="","",IFERROR(INDEX('12 P6 activities'!$C$7:$C$206,MATCH(A424,'12 P6 activities'!$A$7:$A$206,0)),"⚠ not in P6 list"))</f>
        <v/>
      </c>
      <c r="D424" s="145"/>
      <c r="E424" s="143"/>
      <c r="F424" s="147"/>
      <c r="G424" s="148"/>
      <c r="H424" s="149"/>
      <c r="I424" s="150"/>
      <c r="J424" s="150"/>
      <c r="K424" s="150"/>
      <c r="L424" s="150"/>
      <c r="M424" s="6"/>
      <c r="N424" s="6"/>
      <c r="O424" s="6"/>
      <c r="P424" s="6"/>
      <c r="Q424" s="6"/>
      <c r="R424" s="6"/>
      <c r="S424" s="6"/>
      <c r="T424" s="6"/>
      <c r="U424" s="6"/>
      <c r="V424" s="6"/>
      <c r="W424" s="6"/>
      <c r="X424" s="6"/>
      <c r="Y424" s="6"/>
      <c r="Z424" s="6"/>
    </row>
    <row r="425" spans="1:26" ht="18" customHeight="1" x14ac:dyDescent="0.3">
      <c r="A425" s="142"/>
      <c r="B425" s="143"/>
      <c r="C425" s="144" t="str">
        <f>IF(A425="","",IFERROR(INDEX('12 P6 activities'!$C$7:$C$206,MATCH(A425,'12 P6 activities'!$A$7:$A$206,0)),"⚠ not in P6 list"))</f>
        <v/>
      </c>
      <c r="D425" s="145"/>
      <c r="E425" s="143"/>
      <c r="F425" s="147"/>
      <c r="G425" s="148"/>
      <c r="H425" s="149"/>
      <c r="I425" s="150"/>
      <c r="J425" s="150"/>
      <c r="K425" s="150"/>
      <c r="L425" s="150"/>
      <c r="M425" s="6"/>
      <c r="N425" s="6"/>
      <c r="O425" s="6"/>
      <c r="P425" s="6"/>
      <c r="Q425" s="6"/>
      <c r="R425" s="6"/>
      <c r="S425" s="6"/>
      <c r="T425" s="6"/>
      <c r="U425" s="6"/>
      <c r="V425" s="6"/>
      <c r="W425" s="6"/>
      <c r="X425" s="6"/>
      <c r="Y425" s="6"/>
      <c r="Z425" s="6"/>
    </row>
    <row r="426" spans="1:26" ht="18" customHeight="1" x14ac:dyDescent="0.3">
      <c r="A426" s="142"/>
      <c r="B426" s="143"/>
      <c r="C426" s="144" t="str">
        <f>IF(A426="","",IFERROR(INDEX('12 P6 activities'!$C$7:$C$206,MATCH(A426,'12 P6 activities'!$A$7:$A$206,0)),"⚠ not in P6 list"))</f>
        <v/>
      </c>
      <c r="D426" s="145"/>
      <c r="E426" s="143"/>
      <c r="F426" s="147"/>
      <c r="G426" s="148"/>
      <c r="H426" s="149"/>
      <c r="I426" s="150"/>
      <c r="J426" s="150"/>
      <c r="K426" s="150"/>
      <c r="L426" s="150"/>
      <c r="M426" s="6"/>
      <c r="N426" s="6"/>
      <c r="O426" s="6"/>
      <c r="P426" s="6"/>
      <c r="Q426" s="6"/>
      <c r="R426" s="6"/>
      <c r="S426" s="6"/>
      <c r="T426" s="6"/>
      <c r="U426" s="6"/>
      <c r="V426" s="6"/>
      <c r="W426" s="6"/>
      <c r="X426" s="6"/>
      <c r="Y426" s="6"/>
      <c r="Z426" s="6"/>
    </row>
    <row r="427" spans="1:26" ht="18" customHeight="1" x14ac:dyDescent="0.3">
      <c r="A427" s="142"/>
      <c r="B427" s="143"/>
      <c r="C427" s="144" t="str">
        <f>IF(A427="","",IFERROR(INDEX('12 P6 activities'!$C$7:$C$206,MATCH(A427,'12 P6 activities'!$A$7:$A$206,0)),"⚠ not in P6 list"))</f>
        <v/>
      </c>
      <c r="D427" s="145"/>
      <c r="E427" s="143"/>
      <c r="F427" s="147"/>
      <c r="G427" s="148"/>
      <c r="H427" s="149"/>
      <c r="I427" s="150"/>
      <c r="J427" s="150"/>
      <c r="K427" s="150"/>
      <c r="L427" s="150"/>
      <c r="M427" s="6"/>
      <c r="N427" s="6"/>
      <c r="O427" s="6"/>
      <c r="P427" s="6"/>
      <c r="Q427" s="6"/>
      <c r="R427" s="6"/>
      <c r="S427" s="6"/>
      <c r="T427" s="6"/>
      <c r="U427" s="6"/>
      <c r="V427" s="6"/>
      <c r="W427" s="6"/>
      <c r="X427" s="6"/>
      <c r="Y427" s="6"/>
      <c r="Z427" s="6"/>
    </row>
    <row r="428" spans="1:26" ht="18" customHeight="1" x14ac:dyDescent="0.3">
      <c r="A428" s="142"/>
      <c r="B428" s="143"/>
      <c r="C428" s="144" t="str">
        <f>IF(A428="","",IFERROR(INDEX('12 P6 activities'!$C$7:$C$206,MATCH(A428,'12 P6 activities'!$A$7:$A$206,0)),"⚠ not in P6 list"))</f>
        <v/>
      </c>
      <c r="D428" s="145"/>
      <c r="E428" s="143"/>
      <c r="F428" s="147"/>
      <c r="G428" s="148"/>
      <c r="H428" s="149"/>
      <c r="I428" s="150"/>
      <c r="J428" s="150"/>
      <c r="K428" s="150"/>
      <c r="L428" s="150"/>
      <c r="M428" s="6"/>
      <c r="N428" s="6"/>
      <c r="O428" s="6"/>
      <c r="P428" s="6"/>
      <c r="Q428" s="6"/>
      <c r="R428" s="6"/>
      <c r="S428" s="6"/>
      <c r="T428" s="6"/>
      <c r="U428" s="6"/>
      <c r="V428" s="6"/>
      <c r="W428" s="6"/>
      <c r="X428" s="6"/>
      <c r="Y428" s="6"/>
      <c r="Z428" s="6"/>
    </row>
    <row r="429" spans="1:26" ht="18" customHeight="1" x14ac:dyDescent="0.3">
      <c r="A429" s="142"/>
      <c r="B429" s="143"/>
      <c r="C429" s="144" t="str">
        <f>IF(A429="","",IFERROR(INDEX('12 P6 activities'!$C$7:$C$206,MATCH(A429,'12 P6 activities'!$A$7:$A$206,0)),"⚠ not in P6 list"))</f>
        <v/>
      </c>
      <c r="D429" s="145"/>
      <c r="E429" s="143"/>
      <c r="F429" s="147"/>
      <c r="G429" s="148"/>
      <c r="H429" s="149"/>
      <c r="I429" s="150"/>
      <c r="J429" s="150"/>
      <c r="K429" s="150"/>
      <c r="L429" s="150"/>
      <c r="M429" s="6"/>
      <c r="N429" s="6"/>
      <c r="O429" s="6"/>
      <c r="P429" s="6"/>
      <c r="Q429" s="6"/>
      <c r="R429" s="6"/>
      <c r="S429" s="6"/>
      <c r="T429" s="6"/>
      <c r="U429" s="6"/>
      <c r="V429" s="6"/>
      <c r="W429" s="6"/>
      <c r="X429" s="6"/>
      <c r="Y429" s="6"/>
      <c r="Z429" s="6"/>
    </row>
    <row r="430" spans="1:26" ht="18" customHeight="1" x14ac:dyDescent="0.3">
      <c r="A430" s="142"/>
      <c r="B430" s="143"/>
      <c r="C430" s="144" t="str">
        <f>IF(A430="","",IFERROR(INDEX('12 P6 activities'!$C$7:$C$206,MATCH(A430,'12 P6 activities'!$A$7:$A$206,0)),"⚠ not in P6 list"))</f>
        <v/>
      </c>
      <c r="D430" s="145"/>
      <c r="E430" s="143"/>
      <c r="F430" s="147"/>
      <c r="G430" s="148"/>
      <c r="H430" s="149"/>
      <c r="I430" s="150"/>
      <c r="J430" s="150"/>
      <c r="K430" s="150"/>
      <c r="L430" s="150"/>
      <c r="M430" s="6"/>
      <c r="N430" s="6"/>
      <c r="O430" s="6"/>
      <c r="P430" s="6"/>
      <c r="Q430" s="6"/>
      <c r="R430" s="6"/>
      <c r="S430" s="6"/>
      <c r="T430" s="6"/>
      <c r="U430" s="6"/>
      <c r="V430" s="6"/>
      <c r="W430" s="6"/>
      <c r="X430" s="6"/>
      <c r="Y430" s="6"/>
      <c r="Z430" s="6"/>
    </row>
    <row r="431" spans="1:26" ht="18" customHeight="1" x14ac:dyDescent="0.3">
      <c r="A431" s="142"/>
      <c r="B431" s="143"/>
      <c r="C431" s="144" t="str">
        <f>IF(A431="","",IFERROR(INDEX('12 P6 activities'!$C$7:$C$206,MATCH(A431,'12 P6 activities'!$A$7:$A$206,0)),"⚠ not in P6 list"))</f>
        <v/>
      </c>
      <c r="D431" s="145"/>
      <c r="E431" s="143"/>
      <c r="F431" s="147"/>
      <c r="G431" s="148"/>
      <c r="H431" s="149"/>
      <c r="I431" s="150"/>
      <c r="J431" s="150"/>
      <c r="K431" s="150"/>
      <c r="L431" s="150"/>
      <c r="M431" s="6"/>
      <c r="N431" s="6"/>
      <c r="O431" s="6"/>
      <c r="P431" s="6"/>
      <c r="Q431" s="6"/>
      <c r="R431" s="6"/>
      <c r="S431" s="6"/>
      <c r="T431" s="6"/>
      <c r="U431" s="6"/>
      <c r="V431" s="6"/>
      <c r="W431" s="6"/>
      <c r="X431" s="6"/>
      <c r="Y431" s="6"/>
      <c r="Z431" s="6"/>
    </row>
    <row r="432" spans="1:26" ht="18" customHeight="1" x14ac:dyDescent="0.3">
      <c r="A432" s="142"/>
      <c r="B432" s="143"/>
      <c r="C432" s="144" t="str">
        <f>IF(A432="","",IFERROR(INDEX('12 P6 activities'!$C$7:$C$206,MATCH(A432,'12 P6 activities'!$A$7:$A$206,0)),"⚠ not in P6 list"))</f>
        <v/>
      </c>
      <c r="D432" s="145"/>
      <c r="E432" s="143"/>
      <c r="F432" s="147"/>
      <c r="G432" s="148"/>
      <c r="H432" s="149"/>
      <c r="I432" s="150"/>
      <c r="J432" s="150"/>
      <c r="K432" s="150"/>
      <c r="L432" s="150"/>
      <c r="M432" s="6"/>
      <c r="N432" s="6"/>
      <c r="O432" s="6"/>
      <c r="P432" s="6"/>
      <c r="Q432" s="6"/>
      <c r="R432" s="6"/>
      <c r="S432" s="6"/>
      <c r="T432" s="6"/>
      <c r="U432" s="6"/>
      <c r="V432" s="6"/>
      <c r="W432" s="6"/>
      <c r="X432" s="6"/>
      <c r="Y432" s="6"/>
      <c r="Z432" s="6"/>
    </row>
    <row r="433" spans="1:26" ht="18" customHeight="1" x14ac:dyDescent="0.3">
      <c r="A433" s="142"/>
      <c r="B433" s="143"/>
      <c r="C433" s="144" t="str">
        <f>IF(A433="","",IFERROR(INDEX('12 P6 activities'!$C$7:$C$206,MATCH(A433,'12 P6 activities'!$A$7:$A$206,0)),"⚠ not in P6 list"))</f>
        <v/>
      </c>
      <c r="D433" s="145"/>
      <c r="E433" s="143"/>
      <c r="F433" s="147"/>
      <c r="G433" s="148"/>
      <c r="H433" s="149"/>
      <c r="I433" s="150"/>
      <c r="J433" s="150"/>
      <c r="K433" s="150"/>
      <c r="L433" s="150"/>
      <c r="M433" s="6"/>
      <c r="N433" s="6"/>
      <c r="O433" s="6"/>
      <c r="P433" s="6"/>
      <c r="Q433" s="6"/>
      <c r="R433" s="6"/>
      <c r="S433" s="6"/>
      <c r="T433" s="6"/>
      <c r="U433" s="6"/>
      <c r="V433" s="6"/>
      <c r="W433" s="6"/>
      <c r="X433" s="6"/>
      <c r="Y433" s="6"/>
      <c r="Z433" s="6"/>
    </row>
    <row r="434" spans="1:26" ht="18" customHeight="1" x14ac:dyDescent="0.3">
      <c r="A434" s="142"/>
      <c r="B434" s="143"/>
      <c r="C434" s="144" t="str">
        <f>IF(A434="","",IFERROR(INDEX('12 P6 activities'!$C$7:$C$206,MATCH(A434,'12 P6 activities'!$A$7:$A$206,0)),"⚠ not in P6 list"))</f>
        <v/>
      </c>
      <c r="D434" s="145"/>
      <c r="E434" s="143"/>
      <c r="F434" s="147"/>
      <c r="G434" s="148"/>
      <c r="H434" s="149"/>
      <c r="I434" s="150"/>
      <c r="J434" s="150"/>
      <c r="K434" s="150"/>
      <c r="L434" s="150"/>
      <c r="M434" s="6"/>
      <c r="N434" s="6"/>
      <c r="O434" s="6"/>
      <c r="P434" s="6"/>
      <c r="Q434" s="6"/>
      <c r="R434" s="6"/>
      <c r="S434" s="6"/>
      <c r="T434" s="6"/>
      <c r="U434" s="6"/>
      <c r="V434" s="6"/>
      <c r="W434" s="6"/>
      <c r="X434" s="6"/>
      <c r="Y434" s="6"/>
      <c r="Z434" s="6"/>
    </row>
    <row r="435" spans="1:26" ht="18" customHeight="1" x14ac:dyDescent="0.3">
      <c r="A435" s="142"/>
      <c r="B435" s="143"/>
      <c r="C435" s="144" t="str">
        <f>IF(A435="","",IFERROR(INDEX('12 P6 activities'!$C$7:$C$206,MATCH(A435,'12 P6 activities'!$A$7:$A$206,0)),"⚠ not in P6 list"))</f>
        <v/>
      </c>
      <c r="D435" s="145"/>
      <c r="E435" s="143"/>
      <c r="F435" s="147"/>
      <c r="G435" s="148"/>
      <c r="H435" s="149"/>
      <c r="I435" s="150"/>
      <c r="J435" s="150"/>
      <c r="K435" s="150"/>
      <c r="L435" s="150"/>
      <c r="M435" s="6"/>
      <c r="N435" s="6"/>
      <c r="O435" s="6"/>
      <c r="P435" s="6"/>
      <c r="Q435" s="6"/>
      <c r="R435" s="6"/>
      <c r="S435" s="6"/>
      <c r="T435" s="6"/>
      <c r="U435" s="6"/>
      <c r="V435" s="6"/>
      <c r="W435" s="6"/>
      <c r="X435" s="6"/>
      <c r="Y435" s="6"/>
      <c r="Z435" s="6"/>
    </row>
    <row r="436" spans="1:26" ht="18" customHeight="1" x14ac:dyDescent="0.3">
      <c r="A436" s="142"/>
      <c r="B436" s="143"/>
      <c r="C436" s="144" t="str">
        <f>IF(A436="","",IFERROR(INDEX('12 P6 activities'!$C$7:$C$206,MATCH(A436,'12 P6 activities'!$A$7:$A$206,0)),"⚠ not in P6 list"))</f>
        <v/>
      </c>
      <c r="D436" s="145"/>
      <c r="E436" s="143"/>
      <c r="F436" s="147"/>
      <c r="G436" s="148"/>
      <c r="H436" s="149"/>
      <c r="I436" s="150"/>
      <c r="J436" s="150"/>
      <c r="K436" s="150"/>
      <c r="L436" s="150"/>
      <c r="M436" s="6"/>
      <c r="N436" s="6"/>
      <c r="O436" s="6"/>
      <c r="P436" s="6"/>
      <c r="Q436" s="6"/>
      <c r="R436" s="6"/>
      <c r="S436" s="6"/>
      <c r="T436" s="6"/>
      <c r="U436" s="6"/>
      <c r="V436" s="6"/>
      <c r="W436" s="6"/>
      <c r="X436" s="6"/>
      <c r="Y436" s="6"/>
      <c r="Z436" s="6"/>
    </row>
    <row r="437" spans="1:26" ht="18" customHeight="1" x14ac:dyDescent="0.3">
      <c r="A437" s="142"/>
      <c r="B437" s="143"/>
      <c r="C437" s="144" t="str">
        <f>IF(A437="","",IFERROR(INDEX('12 P6 activities'!$C$7:$C$206,MATCH(A437,'12 P6 activities'!$A$7:$A$206,0)),"⚠ not in P6 list"))</f>
        <v/>
      </c>
      <c r="D437" s="145"/>
      <c r="E437" s="143"/>
      <c r="F437" s="147"/>
      <c r="G437" s="148"/>
      <c r="H437" s="149"/>
      <c r="I437" s="150"/>
      <c r="J437" s="150"/>
      <c r="K437" s="150"/>
      <c r="L437" s="150"/>
      <c r="M437" s="6"/>
      <c r="N437" s="6"/>
      <c r="O437" s="6"/>
      <c r="P437" s="6"/>
      <c r="Q437" s="6"/>
      <c r="R437" s="6"/>
      <c r="S437" s="6"/>
      <c r="T437" s="6"/>
      <c r="U437" s="6"/>
      <c r="V437" s="6"/>
      <c r="W437" s="6"/>
      <c r="X437" s="6"/>
      <c r="Y437" s="6"/>
      <c r="Z437" s="6"/>
    </row>
    <row r="438" spans="1:26" ht="18" customHeight="1" x14ac:dyDescent="0.3">
      <c r="A438" s="142"/>
      <c r="B438" s="143"/>
      <c r="C438" s="144" t="str">
        <f>IF(A438="","",IFERROR(INDEX('12 P6 activities'!$C$7:$C$206,MATCH(A438,'12 P6 activities'!$A$7:$A$206,0)),"⚠ not in P6 list"))</f>
        <v/>
      </c>
      <c r="D438" s="145"/>
      <c r="E438" s="143"/>
      <c r="F438" s="147"/>
      <c r="G438" s="148"/>
      <c r="H438" s="149"/>
      <c r="I438" s="150"/>
      <c r="J438" s="150"/>
      <c r="K438" s="150"/>
      <c r="L438" s="150"/>
      <c r="M438" s="6"/>
      <c r="N438" s="6"/>
      <c r="O438" s="6"/>
      <c r="P438" s="6"/>
      <c r="Q438" s="6"/>
      <c r="R438" s="6"/>
      <c r="S438" s="6"/>
      <c r="T438" s="6"/>
      <c r="U438" s="6"/>
      <c r="V438" s="6"/>
      <c r="W438" s="6"/>
      <c r="X438" s="6"/>
      <c r="Y438" s="6"/>
      <c r="Z438" s="6"/>
    </row>
    <row r="439" spans="1:26" ht="18" customHeight="1" x14ac:dyDescent="0.3">
      <c r="A439" s="142"/>
      <c r="B439" s="143"/>
      <c r="C439" s="144" t="str">
        <f>IF(A439="","",IFERROR(INDEX('12 P6 activities'!$C$7:$C$206,MATCH(A439,'12 P6 activities'!$A$7:$A$206,0)),"⚠ not in P6 list"))</f>
        <v/>
      </c>
      <c r="D439" s="145"/>
      <c r="E439" s="143"/>
      <c r="F439" s="147"/>
      <c r="G439" s="148"/>
      <c r="H439" s="149"/>
      <c r="I439" s="150"/>
      <c r="J439" s="150"/>
      <c r="K439" s="150"/>
      <c r="L439" s="150"/>
      <c r="M439" s="6"/>
      <c r="N439" s="6"/>
      <c r="O439" s="6"/>
      <c r="P439" s="6"/>
      <c r="Q439" s="6"/>
      <c r="R439" s="6"/>
      <c r="S439" s="6"/>
      <c r="T439" s="6"/>
      <c r="U439" s="6"/>
      <c r="V439" s="6"/>
      <c r="W439" s="6"/>
      <c r="X439" s="6"/>
      <c r="Y439" s="6"/>
      <c r="Z439" s="6"/>
    </row>
    <row r="440" spans="1:26" ht="18" customHeight="1" x14ac:dyDescent="0.3">
      <c r="A440" s="142"/>
      <c r="B440" s="143"/>
      <c r="C440" s="144" t="str">
        <f>IF(A440="","",IFERROR(INDEX('12 P6 activities'!$C$7:$C$206,MATCH(A440,'12 P6 activities'!$A$7:$A$206,0)),"⚠ not in P6 list"))</f>
        <v/>
      </c>
      <c r="D440" s="145"/>
      <c r="E440" s="143"/>
      <c r="F440" s="147"/>
      <c r="G440" s="148"/>
      <c r="H440" s="149"/>
      <c r="I440" s="150"/>
      <c r="J440" s="150"/>
      <c r="K440" s="150"/>
      <c r="L440" s="150"/>
      <c r="M440" s="6"/>
      <c r="N440" s="6"/>
      <c r="O440" s="6"/>
      <c r="P440" s="6"/>
      <c r="Q440" s="6"/>
      <c r="R440" s="6"/>
      <c r="S440" s="6"/>
      <c r="T440" s="6"/>
      <c r="U440" s="6"/>
      <c r="V440" s="6"/>
      <c r="W440" s="6"/>
      <c r="X440" s="6"/>
      <c r="Y440" s="6"/>
      <c r="Z440" s="6"/>
    </row>
    <row r="441" spans="1:26" ht="18" customHeight="1" x14ac:dyDescent="0.3">
      <c r="A441" s="142"/>
      <c r="B441" s="143"/>
      <c r="C441" s="144" t="str">
        <f>IF(A441="","",IFERROR(INDEX('12 P6 activities'!$C$7:$C$206,MATCH(A441,'12 P6 activities'!$A$7:$A$206,0)),"⚠ not in P6 list"))</f>
        <v/>
      </c>
      <c r="D441" s="145"/>
      <c r="E441" s="143"/>
      <c r="F441" s="147"/>
      <c r="G441" s="148"/>
      <c r="H441" s="149"/>
      <c r="I441" s="150"/>
      <c r="J441" s="150"/>
      <c r="K441" s="150"/>
      <c r="L441" s="150"/>
      <c r="M441" s="6"/>
      <c r="N441" s="6"/>
      <c r="O441" s="6"/>
      <c r="P441" s="6"/>
      <c r="Q441" s="6"/>
      <c r="R441" s="6"/>
      <c r="S441" s="6"/>
      <c r="T441" s="6"/>
      <c r="U441" s="6"/>
      <c r="V441" s="6"/>
      <c r="W441" s="6"/>
      <c r="X441" s="6"/>
      <c r="Y441" s="6"/>
      <c r="Z441" s="6"/>
    </row>
    <row r="442" spans="1:26" ht="18" customHeight="1" x14ac:dyDescent="0.3">
      <c r="A442" s="142"/>
      <c r="B442" s="143"/>
      <c r="C442" s="144" t="str">
        <f>IF(A442="","",IFERROR(INDEX('12 P6 activities'!$C$7:$C$206,MATCH(A442,'12 P6 activities'!$A$7:$A$206,0)),"⚠ not in P6 list"))</f>
        <v/>
      </c>
      <c r="D442" s="145"/>
      <c r="E442" s="143"/>
      <c r="F442" s="147"/>
      <c r="G442" s="148"/>
      <c r="H442" s="149"/>
      <c r="I442" s="150"/>
      <c r="J442" s="150"/>
      <c r="K442" s="150"/>
      <c r="L442" s="150"/>
      <c r="M442" s="6"/>
      <c r="N442" s="6"/>
      <c r="O442" s="6"/>
      <c r="P442" s="6"/>
      <c r="Q442" s="6"/>
      <c r="R442" s="6"/>
      <c r="S442" s="6"/>
      <c r="T442" s="6"/>
      <c r="U442" s="6"/>
      <c r="V442" s="6"/>
      <c r="W442" s="6"/>
      <c r="X442" s="6"/>
      <c r="Y442" s="6"/>
      <c r="Z442" s="6"/>
    </row>
    <row r="443" spans="1:26" ht="18" customHeight="1" x14ac:dyDescent="0.3">
      <c r="A443" s="142"/>
      <c r="B443" s="143"/>
      <c r="C443" s="144" t="str">
        <f>IF(A443="","",IFERROR(INDEX('12 P6 activities'!$C$7:$C$206,MATCH(A443,'12 P6 activities'!$A$7:$A$206,0)),"⚠ not in P6 list"))</f>
        <v/>
      </c>
      <c r="D443" s="145"/>
      <c r="E443" s="143"/>
      <c r="F443" s="147"/>
      <c r="G443" s="148"/>
      <c r="H443" s="149"/>
      <c r="I443" s="150"/>
      <c r="J443" s="150"/>
      <c r="K443" s="150"/>
      <c r="L443" s="150"/>
      <c r="M443" s="6"/>
      <c r="N443" s="6"/>
      <c r="O443" s="6"/>
      <c r="P443" s="6"/>
      <c r="Q443" s="6"/>
      <c r="R443" s="6"/>
      <c r="S443" s="6"/>
      <c r="T443" s="6"/>
      <c r="U443" s="6"/>
      <c r="V443" s="6"/>
      <c r="W443" s="6"/>
      <c r="X443" s="6"/>
      <c r="Y443" s="6"/>
      <c r="Z443" s="6"/>
    </row>
    <row r="444" spans="1:26" ht="18" customHeight="1" x14ac:dyDescent="0.3">
      <c r="A444" s="142"/>
      <c r="B444" s="143"/>
      <c r="C444" s="144" t="str">
        <f>IF(A444="","",IFERROR(INDEX('12 P6 activities'!$C$7:$C$206,MATCH(A444,'12 P6 activities'!$A$7:$A$206,0)),"⚠ not in P6 list"))</f>
        <v/>
      </c>
      <c r="D444" s="145"/>
      <c r="E444" s="143"/>
      <c r="F444" s="147"/>
      <c r="G444" s="148"/>
      <c r="H444" s="149"/>
      <c r="I444" s="150"/>
      <c r="J444" s="150"/>
      <c r="K444" s="150"/>
      <c r="L444" s="150"/>
      <c r="M444" s="6"/>
      <c r="N444" s="6"/>
      <c r="O444" s="6"/>
      <c r="P444" s="6"/>
      <c r="Q444" s="6"/>
      <c r="R444" s="6"/>
      <c r="S444" s="6"/>
      <c r="T444" s="6"/>
      <c r="U444" s="6"/>
      <c r="V444" s="6"/>
      <c r="W444" s="6"/>
      <c r="X444" s="6"/>
      <c r="Y444" s="6"/>
      <c r="Z444" s="6"/>
    </row>
    <row r="445" spans="1:26" ht="18" customHeight="1" x14ac:dyDescent="0.3">
      <c r="A445" s="142"/>
      <c r="B445" s="143"/>
      <c r="C445" s="144" t="str">
        <f>IF(A445="","",IFERROR(INDEX('12 P6 activities'!$C$7:$C$206,MATCH(A445,'12 P6 activities'!$A$7:$A$206,0)),"⚠ not in P6 list"))</f>
        <v/>
      </c>
      <c r="D445" s="145"/>
      <c r="E445" s="143"/>
      <c r="F445" s="147"/>
      <c r="G445" s="148"/>
      <c r="H445" s="149"/>
      <c r="I445" s="150"/>
      <c r="J445" s="150"/>
      <c r="K445" s="150"/>
      <c r="L445" s="150"/>
      <c r="M445" s="6"/>
      <c r="N445" s="6"/>
      <c r="O445" s="6"/>
      <c r="P445" s="6"/>
      <c r="Q445" s="6"/>
      <c r="R445" s="6"/>
      <c r="S445" s="6"/>
      <c r="T445" s="6"/>
      <c r="U445" s="6"/>
      <c r="V445" s="6"/>
      <c r="W445" s="6"/>
      <c r="X445" s="6"/>
      <c r="Y445" s="6"/>
      <c r="Z445" s="6"/>
    </row>
    <row r="446" spans="1:26" ht="18" customHeight="1" x14ac:dyDescent="0.3">
      <c r="A446" s="142"/>
      <c r="B446" s="143"/>
      <c r="C446" s="144" t="str">
        <f>IF(A446="","",IFERROR(INDEX('12 P6 activities'!$C$7:$C$206,MATCH(A446,'12 P6 activities'!$A$7:$A$206,0)),"⚠ not in P6 list"))</f>
        <v/>
      </c>
      <c r="D446" s="145"/>
      <c r="E446" s="143"/>
      <c r="F446" s="147"/>
      <c r="G446" s="148"/>
      <c r="H446" s="149"/>
      <c r="I446" s="150"/>
      <c r="J446" s="150"/>
      <c r="K446" s="150"/>
      <c r="L446" s="150"/>
      <c r="M446" s="6"/>
      <c r="N446" s="6"/>
      <c r="O446" s="6"/>
      <c r="P446" s="6"/>
      <c r="Q446" s="6"/>
      <c r="R446" s="6"/>
      <c r="S446" s="6"/>
      <c r="T446" s="6"/>
      <c r="U446" s="6"/>
      <c r="V446" s="6"/>
      <c r="W446" s="6"/>
      <c r="X446" s="6"/>
      <c r="Y446" s="6"/>
      <c r="Z446" s="6"/>
    </row>
    <row r="447" spans="1:26" ht="18" customHeight="1" x14ac:dyDescent="0.3">
      <c r="A447" s="142"/>
      <c r="B447" s="143"/>
      <c r="C447" s="144" t="str">
        <f>IF(A447="","",IFERROR(INDEX('12 P6 activities'!$C$7:$C$206,MATCH(A447,'12 P6 activities'!$A$7:$A$206,0)),"⚠ not in P6 list"))</f>
        <v/>
      </c>
      <c r="D447" s="145"/>
      <c r="E447" s="143"/>
      <c r="F447" s="147"/>
      <c r="G447" s="148"/>
      <c r="H447" s="149"/>
      <c r="I447" s="150"/>
      <c r="J447" s="150"/>
      <c r="K447" s="150"/>
      <c r="L447" s="150"/>
      <c r="M447" s="6"/>
      <c r="N447" s="6"/>
      <c r="O447" s="6"/>
      <c r="P447" s="6"/>
      <c r="Q447" s="6"/>
      <c r="R447" s="6"/>
      <c r="S447" s="6"/>
      <c r="T447" s="6"/>
      <c r="U447" s="6"/>
      <c r="V447" s="6"/>
      <c r="W447" s="6"/>
      <c r="X447" s="6"/>
      <c r="Y447" s="6"/>
      <c r="Z447" s="6"/>
    </row>
    <row r="448" spans="1:26" ht="18" customHeight="1" x14ac:dyDescent="0.3">
      <c r="A448" s="142"/>
      <c r="B448" s="143"/>
      <c r="C448" s="144" t="str">
        <f>IF(A448="","",IFERROR(INDEX('12 P6 activities'!$C$7:$C$206,MATCH(A448,'12 P6 activities'!$A$7:$A$206,0)),"⚠ not in P6 list"))</f>
        <v/>
      </c>
      <c r="D448" s="145"/>
      <c r="E448" s="143"/>
      <c r="F448" s="147"/>
      <c r="G448" s="148"/>
      <c r="H448" s="149"/>
      <c r="I448" s="150"/>
      <c r="J448" s="150"/>
      <c r="K448" s="150"/>
      <c r="L448" s="150"/>
      <c r="M448" s="6"/>
      <c r="N448" s="6"/>
      <c r="O448" s="6"/>
      <c r="P448" s="6"/>
      <c r="Q448" s="6"/>
      <c r="R448" s="6"/>
      <c r="S448" s="6"/>
      <c r="T448" s="6"/>
      <c r="U448" s="6"/>
      <c r="V448" s="6"/>
      <c r="W448" s="6"/>
      <c r="X448" s="6"/>
      <c r="Y448" s="6"/>
      <c r="Z448" s="6"/>
    </row>
    <row r="449" spans="1:26" ht="18" customHeight="1" x14ac:dyDescent="0.3">
      <c r="A449" s="142"/>
      <c r="B449" s="143"/>
      <c r="C449" s="144" t="str">
        <f>IF(A449="","",IFERROR(INDEX('12 P6 activities'!$C$7:$C$206,MATCH(A449,'12 P6 activities'!$A$7:$A$206,0)),"⚠ not in P6 list"))</f>
        <v/>
      </c>
      <c r="D449" s="145"/>
      <c r="E449" s="143"/>
      <c r="F449" s="147"/>
      <c r="G449" s="148"/>
      <c r="H449" s="149"/>
      <c r="I449" s="150"/>
      <c r="J449" s="150"/>
      <c r="K449" s="150"/>
      <c r="L449" s="150"/>
      <c r="M449" s="6"/>
      <c r="N449" s="6"/>
      <c r="O449" s="6"/>
      <c r="P449" s="6"/>
      <c r="Q449" s="6"/>
      <c r="R449" s="6"/>
      <c r="S449" s="6"/>
      <c r="T449" s="6"/>
      <c r="U449" s="6"/>
      <c r="V449" s="6"/>
      <c r="W449" s="6"/>
      <c r="X449" s="6"/>
      <c r="Y449" s="6"/>
      <c r="Z449" s="6"/>
    </row>
    <row r="450" spans="1:26" ht="18" customHeight="1" x14ac:dyDescent="0.3">
      <c r="A450" s="142"/>
      <c r="B450" s="143"/>
      <c r="C450" s="144" t="str">
        <f>IF(A450="","",IFERROR(INDEX('12 P6 activities'!$C$7:$C$206,MATCH(A450,'12 P6 activities'!$A$7:$A$206,0)),"⚠ not in P6 list"))</f>
        <v/>
      </c>
      <c r="D450" s="145"/>
      <c r="E450" s="143"/>
      <c r="F450" s="147"/>
      <c r="G450" s="148"/>
      <c r="H450" s="149"/>
      <c r="I450" s="150"/>
      <c r="J450" s="150"/>
      <c r="K450" s="150"/>
      <c r="L450" s="150"/>
      <c r="M450" s="6"/>
      <c r="N450" s="6"/>
      <c r="O450" s="6"/>
      <c r="P450" s="6"/>
      <c r="Q450" s="6"/>
      <c r="R450" s="6"/>
      <c r="S450" s="6"/>
      <c r="T450" s="6"/>
      <c r="U450" s="6"/>
      <c r="V450" s="6"/>
      <c r="W450" s="6"/>
      <c r="X450" s="6"/>
      <c r="Y450" s="6"/>
      <c r="Z450" s="6"/>
    </row>
    <row r="451" spans="1:26" ht="18" customHeight="1" x14ac:dyDescent="0.3">
      <c r="A451" s="142"/>
      <c r="B451" s="143"/>
      <c r="C451" s="144" t="str">
        <f>IF(A451="","",IFERROR(INDEX('12 P6 activities'!$C$7:$C$206,MATCH(A451,'12 P6 activities'!$A$7:$A$206,0)),"⚠ not in P6 list"))</f>
        <v/>
      </c>
      <c r="D451" s="145"/>
      <c r="E451" s="143"/>
      <c r="F451" s="147"/>
      <c r="G451" s="148"/>
      <c r="H451" s="149"/>
      <c r="I451" s="150"/>
      <c r="J451" s="150"/>
      <c r="K451" s="150"/>
      <c r="L451" s="150"/>
      <c r="M451" s="6"/>
      <c r="N451" s="6"/>
      <c r="O451" s="6"/>
      <c r="P451" s="6"/>
      <c r="Q451" s="6"/>
      <c r="R451" s="6"/>
      <c r="S451" s="6"/>
      <c r="T451" s="6"/>
      <c r="U451" s="6"/>
      <c r="V451" s="6"/>
      <c r="W451" s="6"/>
      <c r="X451" s="6"/>
      <c r="Y451" s="6"/>
      <c r="Z451" s="6"/>
    </row>
    <row r="452" spans="1:26" ht="18" customHeight="1" x14ac:dyDescent="0.3">
      <c r="A452" s="142"/>
      <c r="B452" s="143"/>
      <c r="C452" s="144" t="str">
        <f>IF(A452="","",IFERROR(INDEX('12 P6 activities'!$C$7:$C$206,MATCH(A452,'12 P6 activities'!$A$7:$A$206,0)),"⚠ not in P6 list"))</f>
        <v/>
      </c>
      <c r="D452" s="145"/>
      <c r="E452" s="143"/>
      <c r="F452" s="147"/>
      <c r="G452" s="148"/>
      <c r="H452" s="149"/>
      <c r="I452" s="150"/>
      <c r="J452" s="150"/>
      <c r="K452" s="150"/>
      <c r="L452" s="150"/>
      <c r="M452" s="6"/>
      <c r="N452" s="6"/>
      <c r="O452" s="6"/>
      <c r="P452" s="6"/>
      <c r="Q452" s="6"/>
      <c r="R452" s="6"/>
      <c r="S452" s="6"/>
      <c r="T452" s="6"/>
      <c r="U452" s="6"/>
      <c r="V452" s="6"/>
      <c r="W452" s="6"/>
      <c r="X452" s="6"/>
      <c r="Y452" s="6"/>
      <c r="Z452" s="6"/>
    </row>
    <row r="453" spans="1:26" ht="18" customHeight="1" x14ac:dyDescent="0.3">
      <c r="A453" s="142"/>
      <c r="B453" s="143"/>
      <c r="C453" s="144" t="str">
        <f>IF(A453="","",IFERROR(INDEX('12 P6 activities'!$C$7:$C$206,MATCH(A453,'12 P6 activities'!$A$7:$A$206,0)),"⚠ not in P6 list"))</f>
        <v/>
      </c>
      <c r="D453" s="145"/>
      <c r="E453" s="143"/>
      <c r="F453" s="147"/>
      <c r="G453" s="148"/>
      <c r="H453" s="149"/>
      <c r="I453" s="150"/>
      <c r="J453" s="150"/>
      <c r="K453" s="150"/>
      <c r="L453" s="150"/>
      <c r="M453" s="6"/>
      <c r="N453" s="6"/>
      <c r="O453" s="6"/>
      <c r="P453" s="6"/>
      <c r="Q453" s="6"/>
      <c r="R453" s="6"/>
      <c r="S453" s="6"/>
      <c r="T453" s="6"/>
      <c r="U453" s="6"/>
      <c r="V453" s="6"/>
      <c r="W453" s="6"/>
      <c r="X453" s="6"/>
      <c r="Y453" s="6"/>
      <c r="Z453" s="6"/>
    </row>
    <row r="454" spans="1:26" ht="18" customHeight="1" x14ac:dyDescent="0.3">
      <c r="A454" s="142"/>
      <c r="B454" s="143"/>
      <c r="C454" s="144" t="str">
        <f>IF(A454="","",IFERROR(INDEX('12 P6 activities'!$C$7:$C$206,MATCH(A454,'12 P6 activities'!$A$7:$A$206,0)),"⚠ not in P6 list"))</f>
        <v/>
      </c>
      <c r="D454" s="145"/>
      <c r="E454" s="143"/>
      <c r="F454" s="147"/>
      <c r="G454" s="148"/>
      <c r="H454" s="149"/>
      <c r="I454" s="150"/>
      <c r="J454" s="150"/>
      <c r="K454" s="150"/>
      <c r="L454" s="150"/>
      <c r="M454" s="6"/>
      <c r="N454" s="6"/>
      <c r="O454" s="6"/>
      <c r="P454" s="6"/>
      <c r="Q454" s="6"/>
      <c r="R454" s="6"/>
      <c r="S454" s="6"/>
      <c r="T454" s="6"/>
      <c r="U454" s="6"/>
      <c r="V454" s="6"/>
      <c r="W454" s="6"/>
      <c r="X454" s="6"/>
      <c r="Y454" s="6"/>
      <c r="Z454" s="6"/>
    </row>
    <row r="455" spans="1:26" ht="18" customHeight="1" x14ac:dyDescent="0.3">
      <c r="A455" s="142"/>
      <c r="B455" s="143"/>
      <c r="C455" s="144" t="str">
        <f>IF(A455="","",IFERROR(INDEX('12 P6 activities'!$C$7:$C$206,MATCH(A455,'12 P6 activities'!$A$7:$A$206,0)),"⚠ not in P6 list"))</f>
        <v/>
      </c>
      <c r="D455" s="145"/>
      <c r="E455" s="143"/>
      <c r="F455" s="147"/>
      <c r="G455" s="148"/>
      <c r="H455" s="149"/>
      <c r="I455" s="150"/>
      <c r="J455" s="150"/>
      <c r="K455" s="150"/>
      <c r="L455" s="150"/>
      <c r="M455" s="6"/>
      <c r="N455" s="6"/>
      <c r="O455" s="6"/>
      <c r="P455" s="6"/>
      <c r="Q455" s="6"/>
      <c r="R455" s="6"/>
      <c r="S455" s="6"/>
      <c r="T455" s="6"/>
      <c r="U455" s="6"/>
      <c r="V455" s="6"/>
      <c r="W455" s="6"/>
      <c r="X455" s="6"/>
      <c r="Y455" s="6"/>
      <c r="Z455" s="6"/>
    </row>
    <row r="456" spans="1:26" ht="18" customHeight="1" x14ac:dyDescent="0.3">
      <c r="A456" s="142"/>
      <c r="B456" s="143"/>
      <c r="C456" s="144" t="str">
        <f>IF(A456="","",IFERROR(INDEX('12 P6 activities'!$C$7:$C$206,MATCH(A456,'12 P6 activities'!$A$7:$A$206,0)),"⚠ not in P6 list"))</f>
        <v/>
      </c>
      <c r="D456" s="145"/>
      <c r="E456" s="143"/>
      <c r="F456" s="147"/>
      <c r="G456" s="148"/>
      <c r="H456" s="149"/>
      <c r="I456" s="150"/>
      <c r="J456" s="150"/>
      <c r="K456" s="150"/>
      <c r="L456" s="150"/>
      <c r="M456" s="6"/>
      <c r="N456" s="6"/>
      <c r="O456" s="6"/>
      <c r="P456" s="6"/>
      <c r="Q456" s="6"/>
      <c r="R456" s="6"/>
      <c r="S456" s="6"/>
      <c r="T456" s="6"/>
      <c r="U456" s="6"/>
      <c r="V456" s="6"/>
      <c r="W456" s="6"/>
      <c r="X456" s="6"/>
      <c r="Y456" s="6"/>
      <c r="Z456" s="6"/>
    </row>
    <row r="457" spans="1:26" ht="18" customHeight="1" x14ac:dyDescent="0.3">
      <c r="A457" s="142"/>
      <c r="B457" s="143"/>
      <c r="C457" s="144" t="str">
        <f>IF(A457="","",IFERROR(INDEX('12 P6 activities'!$C$7:$C$206,MATCH(A457,'12 P6 activities'!$A$7:$A$206,0)),"⚠ not in P6 list"))</f>
        <v/>
      </c>
      <c r="D457" s="145"/>
      <c r="E457" s="143"/>
      <c r="F457" s="147"/>
      <c r="G457" s="148"/>
      <c r="H457" s="149"/>
      <c r="I457" s="150"/>
      <c r="J457" s="150"/>
      <c r="K457" s="150"/>
      <c r="L457" s="150"/>
      <c r="M457" s="6"/>
      <c r="N457" s="6"/>
      <c r="O457" s="6"/>
      <c r="P457" s="6"/>
      <c r="Q457" s="6"/>
      <c r="R457" s="6"/>
      <c r="S457" s="6"/>
      <c r="T457" s="6"/>
      <c r="U457" s="6"/>
      <c r="V457" s="6"/>
      <c r="W457" s="6"/>
      <c r="X457" s="6"/>
      <c r="Y457" s="6"/>
      <c r="Z457" s="6"/>
    </row>
    <row r="458" spans="1:26" ht="18" customHeight="1" x14ac:dyDescent="0.3">
      <c r="A458" s="142"/>
      <c r="B458" s="143"/>
      <c r="C458" s="144" t="str">
        <f>IF(A458="","",IFERROR(INDEX('12 P6 activities'!$C$7:$C$206,MATCH(A458,'12 P6 activities'!$A$7:$A$206,0)),"⚠ not in P6 list"))</f>
        <v/>
      </c>
      <c r="D458" s="145"/>
      <c r="E458" s="143"/>
      <c r="F458" s="147"/>
      <c r="G458" s="148"/>
      <c r="H458" s="149"/>
      <c r="I458" s="150"/>
      <c r="J458" s="150"/>
      <c r="K458" s="150"/>
      <c r="L458" s="150"/>
      <c r="M458" s="6"/>
      <c r="N458" s="6"/>
      <c r="O458" s="6"/>
      <c r="P458" s="6"/>
      <c r="Q458" s="6"/>
      <c r="R458" s="6"/>
      <c r="S458" s="6"/>
      <c r="T458" s="6"/>
      <c r="U458" s="6"/>
      <c r="V458" s="6"/>
      <c r="W458" s="6"/>
      <c r="X458" s="6"/>
      <c r="Y458" s="6"/>
      <c r="Z458" s="6"/>
    </row>
    <row r="459" spans="1:26" ht="18" customHeight="1" x14ac:dyDescent="0.3">
      <c r="A459" s="142"/>
      <c r="B459" s="143"/>
      <c r="C459" s="144" t="str">
        <f>IF(A459="","",IFERROR(INDEX('12 P6 activities'!$C$7:$C$206,MATCH(A459,'12 P6 activities'!$A$7:$A$206,0)),"⚠ not in P6 list"))</f>
        <v/>
      </c>
      <c r="D459" s="145"/>
      <c r="E459" s="143"/>
      <c r="F459" s="147"/>
      <c r="G459" s="148"/>
      <c r="H459" s="149"/>
      <c r="I459" s="150"/>
      <c r="J459" s="150"/>
      <c r="K459" s="150"/>
      <c r="L459" s="150"/>
      <c r="M459" s="6"/>
      <c r="N459" s="6"/>
      <c r="O459" s="6"/>
      <c r="P459" s="6"/>
      <c r="Q459" s="6"/>
      <c r="R459" s="6"/>
      <c r="S459" s="6"/>
      <c r="T459" s="6"/>
      <c r="U459" s="6"/>
      <c r="V459" s="6"/>
      <c r="W459" s="6"/>
      <c r="X459" s="6"/>
      <c r="Y459" s="6"/>
      <c r="Z459" s="6"/>
    </row>
    <row r="460" spans="1:26" ht="18" customHeight="1" x14ac:dyDescent="0.3">
      <c r="A460" s="142"/>
      <c r="B460" s="143"/>
      <c r="C460" s="144" t="str">
        <f>IF(A460="","",IFERROR(INDEX('12 P6 activities'!$C$7:$C$206,MATCH(A460,'12 P6 activities'!$A$7:$A$206,0)),"⚠ not in P6 list"))</f>
        <v/>
      </c>
      <c r="D460" s="145"/>
      <c r="E460" s="143"/>
      <c r="F460" s="147"/>
      <c r="G460" s="148"/>
      <c r="H460" s="149"/>
      <c r="I460" s="150"/>
      <c r="J460" s="150"/>
      <c r="K460" s="150"/>
      <c r="L460" s="150"/>
      <c r="M460" s="6"/>
      <c r="N460" s="6"/>
      <c r="O460" s="6"/>
      <c r="P460" s="6"/>
      <c r="Q460" s="6"/>
      <c r="R460" s="6"/>
      <c r="S460" s="6"/>
      <c r="T460" s="6"/>
      <c r="U460" s="6"/>
      <c r="V460" s="6"/>
      <c r="W460" s="6"/>
      <c r="X460" s="6"/>
      <c r="Y460" s="6"/>
      <c r="Z460" s="6"/>
    </row>
    <row r="461" spans="1:26" ht="18" customHeight="1" x14ac:dyDescent="0.3">
      <c r="A461" s="142"/>
      <c r="B461" s="143"/>
      <c r="C461" s="144" t="str">
        <f>IF(A461="","",IFERROR(INDEX('12 P6 activities'!$C$7:$C$206,MATCH(A461,'12 P6 activities'!$A$7:$A$206,0)),"⚠ not in P6 list"))</f>
        <v/>
      </c>
      <c r="D461" s="145"/>
      <c r="E461" s="143"/>
      <c r="F461" s="147"/>
      <c r="G461" s="148"/>
      <c r="H461" s="149"/>
      <c r="I461" s="150"/>
      <c r="J461" s="150"/>
      <c r="K461" s="150"/>
      <c r="L461" s="150"/>
      <c r="M461" s="6"/>
      <c r="N461" s="6"/>
      <c r="O461" s="6"/>
      <c r="P461" s="6"/>
      <c r="Q461" s="6"/>
      <c r="R461" s="6"/>
      <c r="S461" s="6"/>
      <c r="T461" s="6"/>
      <c r="U461" s="6"/>
      <c r="V461" s="6"/>
      <c r="W461" s="6"/>
      <c r="X461" s="6"/>
      <c r="Y461" s="6"/>
      <c r="Z461" s="6"/>
    </row>
    <row r="462" spans="1:26" ht="18" customHeight="1" x14ac:dyDescent="0.3">
      <c r="A462" s="142"/>
      <c r="B462" s="143"/>
      <c r="C462" s="144" t="str">
        <f>IF(A462="","",IFERROR(INDEX('12 P6 activities'!$C$7:$C$206,MATCH(A462,'12 P6 activities'!$A$7:$A$206,0)),"⚠ not in P6 list"))</f>
        <v/>
      </c>
      <c r="D462" s="145"/>
      <c r="E462" s="143"/>
      <c r="F462" s="147"/>
      <c r="G462" s="148"/>
      <c r="H462" s="149"/>
      <c r="I462" s="150"/>
      <c r="J462" s="150"/>
      <c r="K462" s="150"/>
      <c r="L462" s="150"/>
      <c r="M462" s="6"/>
      <c r="N462" s="6"/>
      <c r="O462" s="6"/>
      <c r="P462" s="6"/>
      <c r="Q462" s="6"/>
      <c r="R462" s="6"/>
      <c r="S462" s="6"/>
      <c r="T462" s="6"/>
      <c r="U462" s="6"/>
      <c r="V462" s="6"/>
      <c r="W462" s="6"/>
      <c r="X462" s="6"/>
      <c r="Y462" s="6"/>
      <c r="Z462" s="6"/>
    </row>
    <row r="463" spans="1:26" ht="18" customHeight="1" x14ac:dyDescent="0.3">
      <c r="A463" s="142"/>
      <c r="B463" s="143"/>
      <c r="C463" s="144" t="str">
        <f>IF(A463="","",IFERROR(INDEX('12 P6 activities'!$C$7:$C$206,MATCH(A463,'12 P6 activities'!$A$7:$A$206,0)),"⚠ not in P6 list"))</f>
        <v/>
      </c>
      <c r="D463" s="145"/>
      <c r="E463" s="143"/>
      <c r="F463" s="147"/>
      <c r="G463" s="148"/>
      <c r="H463" s="149"/>
      <c r="I463" s="150"/>
      <c r="J463" s="150"/>
      <c r="K463" s="150"/>
      <c r="L463" s="150"/>
      <c r="M463" s="6"/>
      <c r="N463" s="6"/>
      <c r="O463" s="6"/>
      <c r="P463" s="6"/>
      <c r="Q463" s="6"/>
      <c r="R463" s="6"/>
      <c r="S463" s="6"/>
      <c r="T463" s="6"/>
      <c r="U463" s="6"/>
      <c r="V463" s="6"/>
      <c r="W463" s="6"/>
      <c r="X463" s="6"/>
      <c r="Y463" s="6"/>
      <c r="Z463" s="6"/>
    </row>
    <row r="464" spans="1:26" ht="18" customHeight="1" x14ac:dyDescent="0.3">
      <c r="A464" s="142"/>
      <c r="B464" s="143"/>
      <c r="C464" s="144" t="str">
        <f>IF(A464="","",IFERROR(INDEX('12 P6 activities'!$C$7:$C$206,MATCH(A464,'12 P6 activities'!$A$7:$A$206,0)),"⚠ not in P6 list"))</f>
        <v/>
      </c>
      <c r="D464" s="145"/>
      <c r="E464" s="143"/>
      <c r="F464" s="147"/>
      <c r="G464" s="148"/>
      <c r="H464" s="149"/>
      <c r="I464" s="150"/>
      <c r="J464" s="150"/>
      <c r="K464" s="150"/>
      <c r="L464" s="150"/>
      <c r="M464" s="6"/>
      <c r="N464" s="6"/>
      <c r="O464" s="6"/>
      <c r="P464" s="6"/>
      <c r="Q464" s="6"/>
      <c r="R464" s="6"/>
      <c r="S464" s="6"/>
      <c r="T464" s="6"/>
      <c r="U464" s="6"/>
      <c r="V464" s="6"/>
      <c r="W464" s="6"/>
      <c r="X464" s="6"/>
      <c r="Y464" s="6"/>
      <c r="Z464" s="6"/>
    </row>
    <row r="465" spans="1:26" ht="18" customHeight="1" x14ac:dyDescent="0.3">
      <c r="A465" s="142"/>
      <c r="B465" s="143"/>
      <c r="C465" s="144" t="str">
        <f>IF(A465="","",IFERROR(INDEX('12 P6 activities'!$C$7:$C$206,MATCH(A465,'12 P6 activities'!$A$7:$A$206,0)),"⚠ not in P6 list"))</f>
        <v/>
      </c>
      <c r="D465" s="145"/>
      <c r="E465" s="143"/>
      <c r="F465" s="147"/>
      <c r="G465" s="148"/>
      <c r="H465" s="149"/>
      <c r="I465" s="150"/>
      <c r="J465" s="150"/>
      <c r="K465" s="150"/>
      <c r="L465" s="150"/>
      <c r="M465" s="6"/>
      <c r="N465" s="6"/>
      <c r="O465" s="6"/>
      <c r="P465" s="6"/>
      <c r="Q465" s="6"/>
      <c r="R465" s="6"/>
      <c r="S465" s="6"/>
      <c r="T465" s="6"/>
      <c r="U465" s="6"/>
      <c r="V465" s="6"/>
      <c r="W465" s="6"/>
      <c r="X465" s="6"/>
      <c r="Y465" s="6"/>
      <c r="Z465" s="6"/>
    </row>
    <row r="466" spans="1:26" ht="18" customHeight="1" x14ac:dyDescent="0.3">
      <c r="A466" s="142"/>
      <c r="B466" s="143"/>
      <c r="C466" s="144" t="str">
        <f>IF(A466="","",IFERROR(INDEX('12 P6 activities'!$C$7:$C$206,MATCH(A466,'12 P6 activities'!$A$7:$A$206,0)),"⚠ not in P6 list"))</f>
        <v/>
      </c>
      <c r="D466" s="145"/>
      <c r="E466" s="143"/>
      <c r="F466" s="147"/>
      <c r="G466" s="148"/>
      <c r="H466" s="149"/>
      <c r="I466" s="150"/>
      <c r="J466" s="150"/>
      <c r="K466" s="150"/>
      <c r="L466" s="150"/>
      <c r="M466" s="6"/>
      <c r="N466" s="6"/>
      <c r="O466" s="6"/>
      <c r="P466" s="6"/>
      <c r="Q466" s="6"/>
      <c r="R466" s="6"/>
      <c r="S466" s="6"/>
      <c r="T466" s="6"/>
      <c r="U466" s="6"/>
      <c r="V466" s="6"/>
      <c r="W466" s="6"/>
      <c r="X466" s="6"/>
      <c r="Y466" s="6"/>
      <c r="Z466" s="6"/>
    </row>
    <row r="467" spans="1:26" ht="18" customHeight="1" x14ac:dyDescent="0.3">
      <c r="A467" s="142"/>
      <c r="B467" s="143"/>
      <c r="C467" s="144" t="str">
        <f>IF(A467="","",IFERROR(INDEX('12 P6 activities'!$C$7:$C$206,MATCH(A467,'12 P6 activities'!$A$7:$A$206,0)),"⚠ not in P6 list"))</f>
        <v/>
      </c>
      <c r="D467" s="145"/>
      <c r="E467" s="143"/>
      <c r="F467" s="147"/>
      <c r="G467" s="148"/>
      <c r="H467" s="149"/>
      <c r="I467" s="150"/>
      <c r="J467" s="150"/>
      <c r="K467" s="150"/>
      <c r="L467" s="150"/>
      <c r="M467" s="6"/>
      <c r="N467" s="6"/>
      <c r="O467" s="6"/>
      <c r="P467" s="6"/>
      <c r="Q467" s="6"/>
      <c r="R467" s="6"/>
      <c r="S467" s="6"/>
      <c r="T467" s="6"/>
      <c r="U467" s="6"/>
      <c r="V467" s="6"/>
      <c r="W467" s="6"/>
      <c r="X467" s="6"/>
      <c r="Y467" s="6"/>
      <c r="Z467" s="6"/>
    </row>
    <row r="468" spans="1:26" ht="18" customHeight="1" x14ac:dyDescent="0.3">
      <c r="A468" s="142"/>
      <c r="B468" s="143"/>
      <c r="C468" s="144" t="str">
        <f>IF(A468="","",IFERROR(INDEX('12 P6 activities'!$C$7:$C$206,MATCH(A468,'12 P6 activities'!$A$7:$A$206,0)),"⚠ not in P6 list"))</f>
        <v/>
      </c>
      <c r="D468" s="145"/>
      <c r="E468" s="143"/>
      <c r="F468" s="147"/>
      <c r="G468" s="148"/>
      <c r="H468" s="149"/>
      <c r="I468" s="150"/>
      <c r="J468" s="150"/>
      <c r="K468" s="150"/>
      <c r="L468" s="150"/>
      <c r="M468" s="6"/>
      <c r="N468" s="6"/>
      <c r="O468" s="6"/>
      <c r="P468" s="6"/>
      <c r="Q468" s="6"/>
      <c r="R468" s="6"/>
      <c r="S468" s="6"/>
      <c r="T468" s="6"/>
      <c r="U468" s="6"/>
      <c r="V468" s="6"/>
      <c r="W468" s="6"/>
      <c r="X468" s="6"/>
      <c r="Y468" s="6"/>
      <c r="Z468" s="6"/>
    </row>
    <row r="469" spans="1:26" ht="18" customHeight="1" x14ac:dyDescent="0.3">
      <c r="A469" s="142"/>
      <c r="B469" s="143"/>
      <c r="C469" s="144" t="str">
        <f>IF(A469="","",IFERROR(INDEX('12 P6 activities'!$C$7:$C$206,MATCH(A469,'12 P6 activities'!$A$7:$A$206,0)),"⚠ not in P6 list"))</f>
        <v/>
      </c>
      <c r="D469" s="145"/>
      <c r="E469" s="143"/>
      <c r="F469" s="147"/>
      <c r="G469" s="148"/>
      <c r="H469" s="149"/>
      <c r="I469" s="150"/>
      <c r="J469" s="150"/>
      <c r="K469" s="150"/>
      <c r="L469" s="150"/>
      <c r="M469" s="6"/>
      <c r="N469" s="6"/>
      <c r="O469" s="6"/>
      <c r="P469" s="6"/>
      <c r="Q469" s="6"/>
      <c r="R469" s="6"/>
      <c r="S469" s="6"/>
      <c r="T469" s="6"/>
      <c r="U469" s="6"/>
      <c r="V469" s="6"/>
      <c r="W469" s="6"/>
      <c r="X469" s="6"/>
      <c r="Y469" s="6"/>
      <c r="Z469" s="6"/>
    </row>
    <row r="470" spans="1:26" ht="18" customHeight="1" x14ac:dyDescent="0.3">
      <c r="A470" s="142"/>
      <c r="B470" s="143"/>
      <c r="C470" s="144" t="str">
        <f>IF(A470="","",IFERROR(INDEX('12 P6 activities'!$C$7:$C$206,MATCH(A470,'12 P6 activities'!$A$7:$A$206,0)),"⚠ not in P6 list"))</f>
        <v/>
      </c>
      <c r="D470" s="145"/>
      <c r="E470" s="143"/>
      <c r="F470" s="147"/>
      <c r="G470" s="148"/>
      <c r="H470" s="149"/>
      <c r="I470" s="150"/>
      <c r="J470" s="150"/>
      <c r="K470" s="150"/>
      <c r="L470" s="150"/>
      <c r="M470" s="6"/>
      <c r="N470" s="6"/>
      <c r="O470" s="6"/>
      <c r="P470" s="6"/>
      <c r="Q470" s="6"/>
      <c r="R470" s="6"/>
      <c r="S470" s="6"/>
      <c r="T470" s="6"/>
      <c r="U470" s="6"/>
      <c r="V470" s="6"/>
      <c r="W470" s="6"/>
      <c r="X470" s="6"/>
      <c r="Y470" s="6"/>
      <c r="Z470" s="6"/>
    </row>
    <row r="471" spans="1:26" ht="18" customHeight="1" x14ac:dyDescent="0.3">
      <c r="A471" s="142"/>
      <c r="B471" s="143"/>
      <c r="C471" s="144" t="str">
        <f>IF(A471="","",IFERROR(INDEX('12 P6 activities'!$C$7:$C$206,MATCH(A471,'12 P6 activities'!$A$7:$A$206,0)),"⚠ not in P6 list"))</f>
        <v/>
      </c>
      <c r="D471" s="145"/>
      <c r="E471" s="143"/>
      <c r="F471" s="147"/>
      <c r="G471" s="148"/>
      <c r="H471" s="149"/>
      <c r="I471" s="150"/>
      <c r="J471" s="150"/>
      <c r="K471" s="150"/>
      <c r="L471" s="150"/>
      <c r="M471" s="6"/>
      <c r="N471" s="6"/>
      <c r="O471" s="6"/>
      <c r="P471" s="6"/>
      <c r="Q471" s="6"/>
      <c r="R471" s="6"/>
      <c r="S471" s="6"/>
      <c r="T471" s="6"/>
      <c r="U471" s="6"/>
      <c r="V471" s="6"/>
      <c r="W471" s="6"/>
      <c r="X471" s="6"/>
      <c r="Y471" s="6"/>
      <c r="Z471" s="6"/>
    </row>
    <row r="472" spans="1:26" ht="18" customHeight="1" x14ac:dyDescent="0.3">
      <c r="A472" s="142"/>
      <c r="B472" s="143"/>
      <c r="C472" s="144" t="str">
        <f>IF(A472="","",IFERROR(INDEX('12 P6 activities'!$C$7:$C$206,MATCH(A472,'12 P6 activities'!$A$7:$A$206,0)),"⚠ not in P6 list"))</f>
        <v/>
      </c>
      <c r="D472" s="145"/>
      <c r="E472" s="143"/>
      <c r="F472" s="147"/>
      <c r="G472" s="148"/>
      <c r="H472" s="149"/>
      <c r="I472" s="150"/>
      <c r="J472" s="150"/>
      <c r="K472" s="150"/>
      <c r="L472" s="150"/>
      <c r="M472" s="6"/>
      <c r="N472" s="6"/>
      <c r="O472" s="6"/>
      <c r="P472" s="6"/>
      <c r="Q472" s="6"/>
      <c r="R472" s="6"/>
      <c r="S472" s="6"/>
      <c r="T472" s="6"/>
      <c r="U472" s="6"/>
      <c r="V472" s="6"/>
      <c r="W472" s="6"/>
      <c r="X472" s="6"/>
      <c r="Y472" s="6"/>
      <c r="Z472" s="6"/>
    </row>
    <row r="473" spans="1:26" ht="18" customHeight="1" x14ac:dyDescent="0.3">
      <c r="A473" s="142"/>
      <c r="B473" s="143"/>
      <c r="C473" s="144" t="str">
        <f>IF(A473="","",IFERROR(INDEX('12 P6 activities'!$C$7:$C$206,MATCH(A473,'12 P6 activities'!$A$7:$A$206,0)),"⚠ not in P6 list"))</f>
        <v/>
      </c>
      <c r="D473" s="145"/>
      <c r="E473" s="143"/>
      <c r="F473" s="147"/>
      <c r="G473" s="148"/>
      <c r="H473" s="149"/>
      <c r="I473" s="150"/>
      <c r="J473" s="150"/>
      <c r="K473" s="150"/>
      <c r="L473" s="150"/>
      <c r="M473" s="6"/>
      <c r="N473" s="6"/>
      <c r="O473" s="6"/>
      <c r="P473" s="6"/>
      <c r="Q473" s="6"/>
      <c r="R473" s="6"/>
      <c r="S473" s="6"/>
      <c r="T473" s="6"/>
      <c r="U473" s="6"/>
      <c r="V473" s="6"/>
      <c r="W473" s="6"/>
      <c r="X473" s="6"/>
      <c r="Y473" s="6"/>
      <c r="Z473" s="6"/>
    </row>
    <row r="474" spans="1:26" ht="18" customHeight="1" x14ac:dyDescent="0.3">
      <c r="A474" s="142"/>
      <c r="B474" s="143"/>
      <c r="C474" s="144" t="str">
        <f>IF(A474="","",IFERROR(INDEX('12 P6 activities'!$C$7:$C$206,MATCH(A474,'12 P6 activities'!$A$7:$A$206,0)),"⚠ not in P6 list"))</f>
        <v/>
      </c>
      <c r="D474" s="145"/>
      <c r="E474" s="143"/>
      <c r="F474" s="147"/>
      <c r="G474" s="148"/>
      <c r="H474" s="149"/>
      <c r="I474" s="150"/>
      <c r="J474" s="150"/>
      <c r="K474" s="150"/>
      <c r="L474" s="150"/>
      <c r="M474" s="6"/>
      <c r="N474" s="6"/>
      <c r="O474" s="6"/>
      <c r="P474" s="6"/>
      <c r="Q474" s="6"/>
      <c r="R474" s="6"/>
      <c r="S474" s="6"/>
      <c r="T474" s="6"/>
      <c r="U474" s="6"/>
      <c r="V474" s="6"/>
      <c r="W474" s="6"/>
      <c r="X474" s="6"/>
      <c r="Y474" s="6"/>
      <c r="Z474" s="6"/>
    </row>
    <row r="475" spans="1:26" ht="18" customHeight="1" x14ac:dyDescent="0.3">
      <c r="A475" s="142"/>
      <c r="B475" s="143"/>
      <c r="C475" s="144" t="str">
        <f>IF(A475="","",IFERROR(INDEX('12 P6 activities'!$C$7:$C$206,MATCH(A475,'12 P6 activities'!$A$7:$A$206,0)),"⚠ not in P6 list"))</f>
        <v/>
      </c>
      <c r="D475" s="145"/>
      <c r="E475" s="143"/>
      <c r="F475" s="147"/>
      <c r="G475" s="148"/>
      <c r="H475" s="149"/>
      <c r="I475" s="150"/>
      <c r="J475" s="150"/>
      <c r="K475" s="150"/>
      <c r="L475" s="150"/>
      <c r="M475" s="6"/>
      <c r="N475" s="6"/>
      <c r="O475" s="6"/>
      <c r="P475" s="6"/>
      <c r="Q475" s="6"/>
      <c r="R475" s="6"/>
      <c r="S475" s="6"/>
      <c r="T475" s="6"/>
      <c r="U475" s="6"/>
      <c r="V475" s="6"/>
      <c r="W475" s="6"/>
      <c r="X475" s="6"/>
      <c r="Y475" s="6"/>
      <c r="Z475" s="6"/>
    </row>
    <row r="476" spans="1:26" ht="18" customHeight="1" x14ac:dyDescent="0.3">
      <c r="A476" s="142"/>
      <c r="B476" s="143"/>
      <c r="C476" s="144" t="str">
        <f>IF(A476="","",IFERROR(INDEX('12 P6 activities'!$C$7:$C$206,MATCH(A476,'12 P6 activities'!$A$7:$A$206,0)),"⚠ not in P6 list"))</f>
        <v/>
      </c>
      <c r="D476" s="145"/>
      <c r="E476" s="143"/>
      <c r="F476" s="147"/>
      <c r="G476" s="148"/>
      <c r="H476" s="149"/>
      <c r="I476" s="150"/>
      <c r="J476" s="150"/>
      <c r="K476" s="150"/>
      <c r="L476" s="150"/>
      <c r="M476" s="6"/>
      <c r="N476" s="6"/>
      <c r="O476" s="6"/>
      <c r="P476" s="6"/>
      <c r="Q476" s="6"/>
      <c r="R476" s="6"/>
      <c r="S476" s="6"/>
      <c r="T476" s="6"/>
      <c r="U476" s="6"/>
      <c r="V476" s="6"/>
      <c r="W476" s="6"/>
      <c r="X476" s="6"/>
      <c r="Y476" s="6"/>
      <c r="Z476" s="6"/>
    </row>
    <row r="477" spans="1:26" ht="18" customHeight="1" x14ac:dyDescent="0.3">
      <c r="A477" s="142"/>
      <c r="B477" s="143"/>
      <c r="C477" s="144" t="str">
        <f>IF(A477="","",IFERROR(INDEX('12 P6 activities'!$C$7:$C$206,MATCH(A477,'12 P6 activities'!$A$7:$A$206,0)),"⚠ not in P6 list"))</f>
        <v/>
      </c>
      <c r="D477" s="145"/>
      <c r="E477" s="143"/>
      <c r="F477" s="147"/>
      <c r="G477" s="148"/>
      <c r="H477" s="149"/>
      <c r="I477" s="150"/>
      <c r="J477" s="150"/>
      <c r="K477" s="150"/>
      <c r="L477" s="150"/>
      <c r="M477" s="6"/>
      <c r="N477" s="6"/>
      <c r="O477" s="6"/>
      <c r="P477" s="6"/>
      <c r="Q477" s="6"/>
      <c r="R477" s="6"/>
      <c r="S477" s="6"/>
      <c r="T477" s="6"/>
      <c r="U477" s="6"/>
      <c r="V477" s="6"/>
      <c r="W477" s="6"/>
      <c r="X477" s="6"/>
      <c r="Y477" s="6"/>
      <c r="Z477" s="6"/>
    </row>
    <row r="478" spans="1:26" ht="18" customHeight="1" x14ac:dyDescent="0.3">
      <c r="A478" s="142"/>
      <c r="B478" s="143"/>
      <c r="C478" s="144" t="str">
        <f>IF(A478="","",IFERROR(INDEX('12 P6 activities'!$C$7:$C$206,MATCH(A478,'12 P6 activities'!$A$7:$A$206,0)),"⚠ not in P6 list"))</f>
        <v/>
      </c>
      <c r="D478" s="145"/>
      <c r="E478" s="143"/>
      <c r="F478" s="147"/>
      <c r="G478" s="148"/>
      <c r="H478" s="149"/>
      <c r="I478" s="150"/>
      <c r="J478" s="150"/>
      <c r="K478" s="150"/>
      <c r="L478" s="150"/>
      <c r="M478" s="6"/>
      <c r="N478" s="6"/>
      <c r="O478" s="6"/>
      <c r="P478" s="6"/>
      <c r="Q478" s="6"/>
      <c r="R478" s="6"/>
      <c r="S478" s="6"/>
      <c r="T478" s="6"/>
      <c r="U478" s="6"/>
      <c r="V478" s="6"/>
      <c r="W478" s="6"/>
      <c r="X478" s="6"/>
      <c r="Y478" s="6"/>
      <c r="Z478" s="6"/>
    </row>
    <row r="479" spans="1:26" ht="18" customHeight="1" x14ac:dyDescent="0.3">
      <c r="A479" s="142"/>
      <c r="B479" s="143"/>
      <c r="C479" s="144" t="str">
        <f>IF(A479="","",IFERROR(INDEX('12 P6 activities'!$C$7:$C$206,MATCH(A479,'12 P6 activities'!$A$7:$A$206,0)),"⚠ not in P6 list"))</f>
        <v/>
      </c>
      <c r="D479" s="145"/>
      <c r="E479" s="143"/>
      <c r="F479" s="147"/>
      <c r="G479" s="148"/>
      <c r="H479" s="149"/>
      <c r="I479" s="150"/>
      <c r="J479" s="150"/>
      <c r="K479" s="150"/>
      <c r="L479" s="150"/>
      <c r="M479" s="6"/>
      <c r="N479" s="6"/>
      <c r="O479" s="6"/>
      <c r="P479" s="6"/>
      <c r="Q479" s="6"/>
      <c r="R479" s="6"/>
      <c r="S479" s="6"/>
      <c r="T479" s="6"/>
      <c r="U479" s="6"/>
      <c r="V479" s="6"/>
      <c r="W479" s="6"/>
      <c r="X479" s="6"/>
      <c r="Y479" s="6"/>
      <c r="Z479" s="6"/>
    </row>
    <row r="480" spans="1:26" ht="18" customHeight="1" x14ac:dyDescent="0.3">
      <c r="A480" s="142"/>
      <c r="B480" s="143"/>
      <c r="C480" s="144" t="str">
        <f>IF(A480="","",IFERROR(INDEX('12 P6 activities'!$C$7:$C$206,MATCH(A480,'12 P6 activities'!$A$7:$A$206,0)),"⚠ not in P6 list"))</f>
        <v/>
      </c>
      <c r="D480" s="145"/>
      <c r="E480" s="143"/>
      <c r="F480" s="147"/>
      <c r="G480" s="148"/>
      <c r="H480" s="149"/>
      <c r="I480" s="150"/>
      <c r="J480" s="150"/>
      <c r="K480" s="150"/>
      <c r="L480" s="150"/>
      <c r="M480" s="6"/>
      <c r="N480" s="6"/>
      <c r="O480" s="6"/>
      <c r="P480" s="6"/>
      <c r="Q480" s="6"/>
      <c r="R480" s="6"/>
      <c r="S480" s="6"/>
      <c r="T480" s="6"/>
      <c r="U480" s="6"/>
      <c r="V480" s="6"/>
      <c r="W480" s="6"/>
      <c r="X480" s="6"/>
      <c r="Y480" s="6"/>
      <c r="Z480" s="6"/>
    </row>
    <row r="481" spans="1:26" ht="18" customHeight="1" x14ac:dyDescent="0.3">
      <c r="A481" s="142"/>
      <c r="B481" s="143"/>
      <c r="C481" s="144" t="str">
        <f>IF(A481="","",IFERROR(INDEX('12 P6 activities'!$C$7:$C$206,MATCH(A481,'12 P6 activities'!$A$7:$A$206,0)),"⚠ not in P6 list"))</f>
        <v/>
      </c>
      <c r="D481" s="145"/>
      <c r="E481" s="143"/>
      <c r="F481" s="147"/>
      <c r="G481" s="148"/>
      <c r="H481" s="149"/>
      <c r="I481" s="150"/>
      <c r="J481" s="150"/>
      <c r="K481" s="150"/>
      <c r="L481" s="150"/>
      <c r="M481" s="6"/>
      <c r="N481" s="6"/>
      <c r="O481" s="6"/>
      <c r="P481" s="6"/>
      <c r="Q481" s="6"/>
      <c r="R481" s="6"/>
      <c r="S481" s="6"/>
      <c r="T481" s="6"/>
      <c r="U481" s="6"/>
      <c r="V481" s="6"/>
      <c r="W481" s="6"/>
      <c r="X481" s="6"/>
      <c r="Y481" s="6"/>
      <c r="Z481" s="6"/>
    </row>
    <row r="482" spans="1:26" ht="18" customHeight="1" x14ac:dyDescent="0.3">
      <c r="A482" s="142"/>
      <c r="B482" s="143"/>
      <c r="C482" s="144" t="str">
        <f>IF(A482="","",IFERROR(INDEX('12 P6 activities'!$C$7:$C$206,MATCH(A482,'12 P6 activities'!$A$7:$A$206,0)),"⚠ not in P6 list"))</f>
        <v/>
      </c>
      <c r="D482" s="145"/>
      <c r="E482" s="143"/>
      <c r="F482" s="147"/>
      <c r="G482" s="148"/>
      <c r="H482" s="149"/>
      <c r="I482" s="150"/>
      <c r="J482" s="150"/>
      <c r="K482" s="150"/>
      <c r="L482" s="150"/>
      <c r="M482" s="6"/>
      <c r="N482" s="6"/>
      <c r="O482" s="6"/>
      <c r="P482" s="6"/>
      <c r="Q482" s="6"/>
      <c r="R482" s="6"/>
      <c r="S482" s="6"/>
      <c r="T482" s="6"/>
      <c r="U482" s="6"/>
      <c r="V482" s="6"/>
      <c r="W482" s="6"/>
      <c r="X482" s="6"/>
      <c r="Y482" s="6"/>
      <c r="Z482" s="6"/>
    </row>
    <row r="483" spans="1:26" ht="18" customHeight="1" x14ac:dyDescent="0.3">
      <c r="A483" s="142"/>
      <c r="B483" s="143"/>
      <c r="C483" s="144" t="str">
        <f>IF(A483="","",IFERROR(INDEX('12 P6 activities'!$C$7:$C$206,MATCH(A483,'12 P6 activities'!$A$7:$A$206,0)),"⚠ not in P6 list"))</f>
        <v/>
      </c>
      <c r="D483" s="145"/>
      <c r="E483" s="143"/>
      <c r="F483" s="147"/>
      <c r="G483" s="148"/>
      <c r="H483" s="149"/>
      <c r="I483" s="150"/>
      <c r="J483" s="150"/>
      <c r="K483" s="150"/>
      <c r="L483" s="150"/>
      <c r="M483" s="6"/>
      <c r="N483" s="6"/>
      <c r="O483" s="6"/>
      <c r="P483" s="6"/>
      <c r="Q483" s="6"/>
      <c r="R483" s="6"/>
      <c r="S483" s="6"/>
      <c r="T483" s="6"/>
      <c r="U483" s="6"/>
      <c r="V483" s="6"/>
      <c r="W483" s="6"/>
      <c r="X483" s="6"/>
      <c r="Y483" s="6"/>
      <c r="Z483" s="6"/>
    </row>
    <row r="484" spans="1:26" ht="18" customHeight="1" x14ac:dyDescent="0.3">
      <c r="A484" s="142"/>
      <c r="B484" s="143"/>
      <c r="C484" s="144" t="str">
        <f>IF(A484="","",IFERROR(INDEX('12 P6 activities'!$C$7:$C$206,MATCH(A484,'12 P6 activities'!$A$7:$A$206,0)),"⚠ not in P6 list"))</f>
        <v/>
      </c>
      <c r="D484" s="145"/>
      <c r="E484" s="143"/>
      <c r="F484" s="147"/>
      <c r="G484" s="148"/>
      <c r="H484" s="149"/>
      <c r="I484" s="150"/>
      <c r="J484" s="150"/>
      <c r="K484" s="150"/>
      <c r="L484" s="150"/>
      <c r="M484" s="6"/>
      <c r="N484" s="6"/>
      <c r="O484" s="6"/>
      <c r="P484" s="6"/>
      <c r="Q484" s="6"/>
      <c r="R484" s="6"/>
      <c r="S484" s="6"/>
      <c r="T484" s="6"/>
      <c r="U484" s="6"/>
      <c r="V484" s="6"/>
      <c r="W484" s="6"/>
      <c r="X484" s="6"/>
      <c r="Y484" s="6"/>
      <c r="Z484" s="6"/>
    </row>
    <row r="485" spans="1:26" ht="18" customHeight="1" x14ac:dyDescent="0.3">
      <c r="A485" s="142"/>
      <c r="B485" s="143"/>
      <c r="C485" s="144" t="str">
        <f>IF(A485="","",IFERROR(INDEX('12 P6 activities'!$C$7:$C$206,MATCH(A485,'12 P6 activities'!$A$7:$A$206,0)),"⚠ not in P6 list"))</f>
        <v/>
      </c>
      <c r="D485" s="145"/>
      <c r="E485" s="143"/>
      <c r="F485" s="147"/>
      <c r="G485" s="148"/>
      <c r="H485" s="149"/>
      <c r="I485" s="150"/>
      <c r="J485" s="150"/>
      <c r="K485" s="150"/>
      <c r="L485" s="150"/>
      <c r="M485" s="6"/>
      <c r="N485" s="6"/>
      <c r="O485" s="6"/>
      <c r="P485" s="6"/>
      <c r="Q485" s="6"/>
      <c r="R485" s="6"/>
      <c r="S485" s="6"/>
      <c r="T485" s="6"/>
      <c r="U485" s="6"/>
      <c r="V485" s="6"/>
      <c r="W485" s="6"/>
      <c r="X485" s="6"/>
      <c r="Y485" s="6"/>
      <c r="Z485" s="6"/>
    </row>
    <row r="486" spans="1:26" ht="18" customHeight="1" x14ac:dyDescent="0.3">
      <c r="A486" s="142"/>
      <c r="B486" s="143"/>
      <c r="C486" s="144" t="str">
        <f>IF(A486="","",IFERROR(INDEX('12 P6 activities'!$C$7:$C$206,MATCH(A486,'12 P6 activities'!$A$7:$A$206,0)),"⚠ not in P6 list"))</f>
        <v/>
      </c>
      <c r="D486" s="145"/>
      <c r="E486" s="143"/>
      <c r="F486" s="147"/>
      <c r="G486" s="148"/>
      <c r="H486" s="149"/>
      <c r="I486" s="150"/>
      <c r="J486" s="150"/>
      <c r="K486" s="150"/>
      <c r="L486" s="150"/>
      <c r="M486" s="6"/>
      <c r="N486" s="6"/>
      <c r="O486" s="6"/>
      <c r="P486" s="6"/>
      <c r="Q486" s="6"/>
      <c r="R486" s="6"/>
      <c r="S486" s="6"/>
      <c r="T486" s="6"/>
      <c r="U486" s="6"/>
      <c r="V486" s="6"/>
      <c r="W486" s="6"/>
      <c r="X486" s="6"/>
      <c r="Y486" s="6"/>
      <c r="Z486" s="6"/>
    </row>
    <row r="487" spans="1:26" ht="18" customHeight="1" x14ac:dyDescent="0.3">
      <c r="A487" s="142"/>
      <c r="B487" s="143"/>
      <c r="C487" s="144" t="str">
        <f>IF(A487="","",IFERROR(INDEX('12 P6 activities'!$C$7:$C$206,MATCH(A487,'12 P6 activities'!$A$7:$A$206,0)),"⚠ not in P6 list"))</f>
        <v/>
      </c>
      <c r="D487" s="145"/>
      <c r="E487" s="143"/>
      <c r="F487" s="147"/>
      <c r="G487" s="148"/>
      <c r="H487" s="149"/>
      <c r="I487" s="150"/>
      <c r="J487" s="150"/>
      <c r="K487" s="150"/>
      <c r="L487" s="150"/>
      <c r="M487" s="6"/>
      <c r="N487" s="6"/>
      <c r="O487" s="6"/>
      <c r="P487" s="6"/>
      <c r="Q487" s="6"/>
      <c r="R487" s="6"/>
      <c r="S487" s="6"/>
      <c r="T487" s="6"/>
      <c r="U487" s="6"/>
      <c r="V487" s="6"/>
      <c r="W487" s="6"/>
      <c r="X487" s="6"/>
      <c r="Y487" s="6"/>
      <c r="Z487" s="6"/>
    </row>
    <row r="488" spans="1:26" ht="18" customHeight="1" x14ac:dyDescent="0.3">
      <c r="A488" s="142"/>
      <c r="B488" s="143"/>
      <c r="C488" s="144" t="str">
        <f>IF(A488="","",IFERROR(INDEX('12 P6 activities'!$C$7:$C$206,MATCH(A488,'12 P6 activities'!$A$7:$A$206,0)),"⚠ not in P6 list"))</f>
        <v/>
      </c>
      <c r="D488" s="145"/>
      <c r="E488" s="143"/>
      <c r="F488" s="147"/>
      <c r="G488" s="148"/>
      <c r="H488" s="149"/>
      <c r="I488" s="150"/>
      <c r="J488" s="150"/>
      <c r="K488" s="150"/>
      <c r="L488" s="150"/>
      <c r="M488" s="6"/>
      <c r="N488" s="6"/>
      <c r="O488" s="6"/>
      <c r="P488" s="6"/>
      <c r="Q488" s="6"/>
      <c r="R488" s="6"/>
      <c r="S488" s="6"/>
      <c r="T488" s="6"/>
      <c r="U488" s="6"/>
      <c r="V488" s="6"/>
      <c r="W488" s="6"/>
      <c r="X488" s="6"/>
      <c r="Y488" s="6"/>
      <c r="Z488" s="6"/>
    </row>
    <row r="489" spans="1:26" ht="18" customHeight="1" x14ac:dyDescent="0.3">
      <c r="A489" s="142"/>
      <c r="B489" s="143"/>
      <c r="C489" s="144" t="str">
        <f>IF(A489="","",IFERROR(INDEX('12 P6 activities'!$C$7:$C$206,MATCH(A489,'12 P6 activities'!$A$7:$A$206,0)),"⚠ not in P6 list"))</f>
        <v/>
      </c>
      <c r="D489" s="145"/>
      <c r="E489" s="143"/>
      <c r="F489" s="147"/>
      <c r="G489" s="148"/>
      <c r="H489" s="149"/>
      <c r="I489" s="150"/>
      <c r="J489" s="150"/>
      <c r="K489" s="150"/>
      <c r="L489" s="150"/>
      <c r="M489" s="6"/>
      <c r="N489" s="6"/>
      <c r="O489" s="6"/>
      <c r="P489" s="6"/>
      <c r="Q489" s="6"/>
      <c r="R489" s="6"/>
      <c r="S489" s="6"/>
      <c r="T489" s="6"/>
      <c r="U489" s="6"/>
      <c r="V489" s="6"/>
      <c r="W489" s="6"/>
      <c r="X489" s="6"/>
      <c r="Y489" s="6"/>
      <c r="Z489" s="6"/>
    </row>
    <row r="490" spans="1:26" ht="18" customHeight="1" x14ac:dyDescent="0.3">
      <c r="A490" s="142"/>
      <c r="B490" s="143"/>
      <c r="C490" s="144" t="str">
        <f>IF(A490="","",IFERROR(INDEX('12 P6 activities'!$C$7:$C$206,MATCH(A490,'12 P6 activities'!$A$7:$A$206,0)),"⚠ not in P6 list"))</f>
        <v/>
      </c>
      <c r="D490" s="145"/>
      <c r="E490" s="143"/>
      <c r="F490" s="147"/>
      <c r="G490" s="148"/>
      <c r="H490" s="149"/>
      <c r="I490" s="150"/>
      <c r="J490" s="150"/>
      <c r="K490" s="150"/>
      <c r="L490" s="150"/>
      <c r="M490" s="6"/>
      <c r="N490" s="6"/>
      <c r="O490" s="6"/>
      <c r="P490" s="6"/>
      <c r="Q490" s="6"/>
      <c r="R490" s="6"/>
      <c r="S490" s="6"/>
      <c r="T490" s="6"/>
      <c r="U490" s="6"/>
      <c r="V490" s="6"/>
      <c r="W490" s="6"/>
      <c r="X490" s="6"/>
      <c r="Y490" s="6"/>
      <c r="Z490" s="6"/>
    </row>
    <row r="491" spans="1:26" ht="18" customHeight="1" x14ac:dyDescent="0.3">
      <c r="A491" s="142"/>
      <c r="B491" s="143"/>
      <c r="C491" s="144" t="str">
        <f>IF(A491="","",IFERROR(INDEX('12 P6 activities'!$C$7:$C$206,MATCH(A491,'12 P6 activities'!$A$7:$A$206,0)),"⚠ not in P6 list"))</f>
        <v/>
      </c>
      <c r="D491" s="145"/>
      <c r="E491" s="143"/>
      <c r="F491" s="147"/>
      <c r="G491" s="148"/>
      <c r="H491" s="149"/>
      <c r="I491" s="150"/>
      <c r="J491" s="150"/>
      <c r="K491" s="150"/>
      <c r="L491" s="150"/>
      <c r="M491" s="6"/>
      <c r="N491" s="6"/>
      <c r="O491" s="6"/>
      <c r="P491" s="6"/>
      <c r="Q491" s="6"/>
      <c r="R491" s="6"/>
      <c r="S491" s="6"/>
      <c r="T491" s="6"/>
      <c r="U491" s="6"/>
      <c r="V491" s="6"/>
      <c r="W491" s="6"/>
      <c r="X491" s="6"/>
      <c r="Y491" s="6"/>
      <c r="Z491" s="6"/>
    </row>
    <row r="492" spans="1:26" ht="18" customHeight="1" x14ac:dyDescent="0.3">
      <c r="A492" s="142"/>
      <c r="B492" s="143"/>
      <c r="C492" s="144" t="str">
        <f>IF(A492="","",IFERROR(INDEX('12 P6 activities'!$C$7:$C$206,MATCH(A492,'12 P6 activities'!$A$7:$A$206,0)),"⚠ not in P6 list"))</f>
        <v/>
      </c>
      <c r="D492" s="145"/>
      <c r="E492" s="143"/>
      <c r="F492" s="147"/>
      <c r="G492" s="148"/>
      <c r="H492" s="149"/>
      <c r="I492" s="150"/>
      <c r="J492" s="150"/>
      <c r="K492" s="150"/>
      <c r="L492" s="150"/>
      <c r="M492" s="6"/>
      <c r="N492" s="6"/>
      <c r="O492" s="6"/>
      <c r="P492" s="6"/>
      <c r="Q492" s="6"/>
      <c r="R492" s="6"/>
      <c r="S492" s="6"/>
      <c r="T492" s="6"/>
      <c r="U492" s="6"/>
      <c r="V492" s="6"/>
      <c r="W492" s="6"/>
      <c r="X492" s="6"/>
      <c r="Y492" s="6"/>
      <c r="Z492" s="6"/>
    </row>
    <row r="493" spans="1:26" ht="18" customHeight="1" x14ac:dyDescent="0.3">
      <c r="A493" s="142"/>
      <c r="B493" s="143"/>
      <c r="C493" s="144" t="str">
        <f>IF(A493="","",IFERROR(INDEX('12 P6 activities'!$C$7:$C$206,MATCH(A493,'12 P6 activities'!$A$7:$A$206,0)),"⚠ not in P6 list"))</f>
        <v/>
      </c>
      <c r="D493" s="145"/>
      <c r="E493" s="143"/>
      <c r="F493" s="147"/>
      <c r="G493" s="148"/>
      <c r="H493" s="149"/>
      <c r="I493" s="150"/>
      <c r="J493" s="150"/>
      <c r="K493" s="150"/>
      <c r="L493" s="150"/>
      <c r="M493" s="6"/>
      <c r="N493" s="6"/>
      <c r="O493" s="6"/>
      <c r="P493" s="6"/>
      <c r="Q493" s="6"/>
      <c r="R493" s="6"/>
      <c r="S493" s="6"/>
      <c r="T493" s="6"/>
      <c r="U493" s="6"/>
      <c r="V493" s="6"/>
      <c r="W493" s="6"/>
      <c r="X493" s="6"/>
      <c r="Y493" s="6"/>
      <c r="Z493" s="6"/>
    </row>
    <row r="494" spans="1:26" ht="18" customHeight="1" x14ac:dyDescent="0.3">
      <c r="A494" s="142"/>
      <c r="B494" s="143"/>
      <c r="C494" s="144" t="str">
        <f>IF(A494="","",IFERROR(INDEX('12 P6 activities'!$C$7:$C$206,MATCH(A494,'12 P6 activities'!$A$7:$A$206,0)),"⚠ not in P6 list"))</f>
        <v/>
      </c>
      <c r="D494" s="145"/>
      <c r="E494" s="143"/>
      <c r="F494" s="147"/>
      <c r="G494" s="148"/>
      <c r="H494" s="149"/>
      <c r="I494" s="150"/>
      <c r="J494" s="150"/>
      <c r="K494" s="150"/>
      <c r="L494" s="150"/>
      <c r="M494" s="6"/>
      <c r="N494" s="6"/>
      <c r="O494" s="6"/>
      <c r="P494" s="6"/>
      <c r="Q494" s="6"/>
      <c r="R494" s="6"/>
      <c r="S494" s="6"/>
      <c r="T494" s="6"/>
      <c r="U494" s="6"/>
      <c r="V494" s="6"/>
      <c r="W494" s="6"/>
      <c r="X494" s="6"/>
      <c r="Y494" s="6"/>
      <c r="Z494" s="6"/>
    </row>
    <row r="495" spans="1:26" ht="18" customHeight="1" x14ac:dyDescent="0.3">
      <c r="A495" s="142"/>
      <c r="B495" s="143"/>
      <c r="C495" s="144" t="str">
        <f>IF(A495="","",IFERROR(INDEX('12 P6 activities'!$C$7:$C$206,MATCH(A495,'12 P6 activities'!$A$7:$A$206,0)),"⚠ not in P6 list"))</f>
        <v/>
      </c>
      <c r="D495" s="145"/>
      <c r="E495" s="143"/>
      <c r="F495" s="147"/>
      <c r="G495" s="148"/>
      <c r="H495" s="149"/>
      <c r="I495" s="150"/>
      <c r="J495" s="150"/>
      <c r="K495" s="150"/>
      <c r="L495" s="150"/>
      <c r="M495" s="6"/>
      <c r="N495" s="6"/>
      <c r="O495" s="6"/>
      <c r="P495" s="6"/>
      <c r="Q495" s="6"/>
      <c r="R495" s="6"/>
      <c r="S495" s="6"/>
      <c r="T495" s="6"/>
      <c r="U495" s="6"/>
      <c r="V495" s="6"/>
      <c r="W495" s="6"/>
      <c r="X495" s="6"/>
      <c r="Y495" s="6"/>
      <c r="Z495" s="6"/>
    </row>
    <row r="496" spans="1:26" ht="18" customHeight="1" x14ac:dyDescent="0.3">
      <c r="A496" s="142"/>
      <c r="B496" s="143"/>
      <c r="C496" s="144" t="str">
        <f>IF(A496="","",IFERROR(INDEX('12 P6 activities'!$C$7:$C$206,MATCH(A496,'12 P6 activities'!$A$7:$A$206,0)),"⚠ not in P6 list"))</f>
        <v/>
      </c>
      <c r="D496" s="145"/>
      <c r="E496" s="143"/>
      <c r="F496" s="147"/>
      <c r="G496" s="148"/>
      <c r="H496" s="149"/>
      <c r="I496" s="150"/>
      <c r="J496" s="150"/>
      <c r="K496" s="150"/>
      <c r="L496" s="150"/>
      <c r="M496" s="6"/>
      <c r="N496" s="6"/>
      <c r="O496" s="6"/>
      <c r="P496" s="6"/>
      <c r="Q496" s="6"/>
      <c r="R496" s="6"/>
      <c r="S496" s="6"/>
      <c r="T496" s="6"/>
      <c r="U496" s="6"/>
      <c r="V496" s="6"/>
      <c r="W496" s="6"/>
      <c r="X496" s="6"/>
      <c r="Y496" s="6"/>
      <c r="Z496" s="6"/>
    </row>
    <row r="497" spans="1:26" ht="18" customHeight="1" x14ac:dyDescent="0.3">
      <c r="A497" s="142"/>
      <c r="B497" s="143"/>
      <c r="C497" s="144" t="str">
        <f>IF(A497="","",IFERROR(INDEX('12 P6 activities'!$C$7:$C$206,MATCH(A497,'12 P6 activities'!$A$7:$A$206,0)),"⚠ not in P6 list"))</f>
        <v/>
      </c>
      <c r="D497" s="145"/>
      <c r="E497" s="143"/>
      <c r="F497" s="147"/>
      <c r="G497" s="148"/>
      <c r="H497" s="149"/>
      <c r="I497" s="150"/>
      <c r="J497" s="150"/>
      <c r="K497" s="150"/>
      <c r="L497" s="150"/>
      <c r="M497" s="6"/>
      <c r="N497" s="6"/>
      <c r="O497" s="6"/>
      <c r="P497" s="6"/>
      <c r="Q497" s="6"/>
      <c r="R497" s="6"/>
      <c r="S497" s="6"/>
      <c r="T497" s="6"/>
      <c r="U497" s="6"/>
      <c r="V497" s="6"/>
      <c r="W497" s="6"/>
      <c r="X497" s="6"/>
      <c r="Y497" s="6"/>
      <c r="Z497" s="6"/>
    </row>
    <row r="498" spans="1:26" ht="18" customHeight="1" x14ac:dyDescent="0.3">
      <c r="A498" s="142"/>
      <c r="B498" s="143"/>
      <c r="C498" s="144" t="str">
        <f>IF(A498="","",IFERROR(INDEX('12 P6 activities'!$C$7:$C$206,MATCH(A498,'12 P6 activities'!$A$7:$A$206,0)),"⚠ not in P6 list"))</f>
        <v/>
      </c>
      <c r="D498" s="145"/>
      <c r="E498" s="143"/>
      <c r="F498" s="147"/>
      <c r="G498" s="148"/>
      <c r="H498" s="149"/>
      <c r="I498" s="150"/>
      <c r="J498" s="150"/>
      <c r="K498" s="150"/>
      <c r="L498" s="150"/>
      <c r="M498" s="6"/>
      <c r="N498" s="6"/>
      <c r="O498" s="6"/>
      <c r="P498" s="6"/>
      <c r="Q498" s="6"/>
      <c r="R498" s="6"/>
      <c r="S498" s="6"/>
      <c r="T498" s="6"/>
      <c r="U498" s="6"/>
      <c r="V498" s="6"/>
      <c r="W498" s="6"/>
      <c r="X498" s="6"/>
      <c r="Y498" s="6"/>
      <c r="Z498" s="6"/>
    </row>
    <row r="499" spans="1:26" ht="18" customHeight="1" x14ac:dyDescent="0.3">
      <c r="A499" s="142"/>
      <c r="B499" s="143"/>
      <c r="C499" s="144" t="str">
        <f>IF(A499="","",IFERROR(INDEX('12 P6 activities'!$C$7:$C$206,MATCH(A499,'12 P6 activities'!$A$7:$A$206,0)),"⚠ not in P6 list"))</f>
        <v/>
      </c>
      <c r="D499" s="145"/>
      <c r="E499" s="143"/>
      <c r="F499" s="147"/>
      <c r="G499" s="148"/>
      <c r="H499" s="149"/>
      <c r="I499" s="150"/>
      <c r="J499" s="150"/>
      <c r="K499" s="150"/>
      <c r="L499" s="150"/>
      <c r="M499" s="6"/>
      <c r="N499" s="6"/>
      <c r="O499" s="6"/>
      <c r="P499" s="6"/>
      <c r="Q499" s="6"/>
      <c r="R499" s="6"/>
      <c r="S499" s="6"/>
      <c r="T499" s="6"/>
      <c r="U499" s="6"/>
      <c r="V499" s="6"/>
      <c r="W499" s="6"/>
      <c r="X499" s="6"/>
      <c r="Y499" s="6"/>
      <c r="Z499" s="6"/>
    </row>
    <row r="500" spans="1:26" ht="18" customHeight="1" x14ac:dyDescent="0.3">
      <c r="A500" s="142"/>
      <c r="B500" s="143"/>
      <c r="C500" s="144" t="str">
        <f>IF(A500="","",IFERROR(INDEX('12 P6 activities'!$C$7:$C$206,MATCH(A500,'12 P6 activities'!$A$7:$A$206,0)),"⚠ not in P6 list"))</f>
        <v/>
      </c>
      <c r="D500" s="145"/>
      <c r="E500" s="143"/>
      <c r="F500" s="147"/>
      <c r="G500" s="148"/>
      <c r="H500" s="149"/>
      <c r="I500" s="150"/>
      <c r="J500" s="150"/>
      <c r="K500" s="150"/>
      <c r="L500" s="150"/>
      <c r="M500" s="6"/>
      <c r="N500" s="6"/>
      <c r="O500" s="6"/>
      <c r="P500" s="6"/>
      <c r="Q500" s="6"/>
      <c r="R500" s="6"/>
      <c r="S500" s="6"/>
      <c r="T500" s="6"/>
      <c r="U500" s="6"/>
      <c r="V500" s="6"/>
      <c r="W500" s="6"/>
      <c r="X500" s="6"/>
      <c r="Y500" s="6"/>
      <c r="Z500" s="6"/>
    </row>
    <row r="501" spans="1:26" ht="18" customHeight="1" x14ac:dyDescent="0.3">
      <c r="A501" s="142"/>
      <c r="B501" s="143"/>
      <c r="C501" s="144" t="str">
        <f>IF(A501="","",IFERROR(INDEX('12 P6 activities'!$C$7:$C$206,MATCH(A501,'12 P6 activities'!$A$7:$A$206,0)),"⚠ not in P6 list"))</f>
        <v/>
      </c>
      <c r="D501" s="145"/>
      <c r="E501" s="143"/>
      <c r="F501" s="147"/>
      <c r="G501" s="148"/>
      <c r="H501" s="149"/>
      <c r="I501" s="150"/>
      <c r="J501" s="150"/>
      <c r="K501" s="150"/>
      <c r="L501" s="150"/>
      <c r="M501" s="6"/>
      <c r="N501" s="6"/>
      <c r="O501" s="6"/>
      <c r="P501" s="6"/>
      <c r="Q501" s="6"/>
      <c r="R501" s="6"/>
      <c r="S501" s="6"/>
      <c r="T501" s="6"/>
      <c r="U501" s="6"/>
      <c r="V501" s="6"/>
      <c r="W501" s="6"/>
      <c r="X501" s="6"/>
      <c r="Y501" s="6"/>
      <c r="Z501" s="6"/>
    </row>
    <row r="502" spans="1:26" ht="18" customHeight="1" x14ac:dyDescent="0.3">
      <c r="A502" s="142"/>
      <c r="B502" s="143"/>
      <c r="C502" s="144" t="str">
        <f>IF(A502="","",IFERROR(INDEX('12 P6 activities'!$C$7:$C$206,MATCH(A502,'12 P6 activities'!$A$7:$A$206,0)),"⚠ not in P6 list"))</f>
        <v/>
      </c>
      <c r="D502" s="145"/>
      <c r="E502" s="143"/>
      <c r="F502" s="147"/>
      <c r="G502" s="148"/>
      <c r="H502" s="149"/>
      <c r="I502" s="150"/>
      <c r="J502" s="150"/>
      <c r="K502" s="150"/>
      <c r="L502" s="150"/>
      <c r="M502" s="6"/>
      <c r="N502" s="6"/>
      <c r="O502" s="6"/>
      <c r="P502" s="6"/>
      <c r="Q502" s="6"/>
      <c r="R502" s="6"/>
      <c r="S502" s="6"/>
      <c r="T502" s="6"/>
      <c r="U502" s="6"/>
      <c r="V502" s="6"/>
      <c r="W502" s="6"/>
      <c r="X502" s="6"/>
      <c r="Y502" s="6"/>
      <c r="Z502" s="6"/>
    </row>
    <row r="503" spans="1:26" ht="18" customHeight="1" x14ac:dyDescent="0.3">
      <c r="A503" s="142"/>
      <c r="B503" s="143"/>
      <c r="C503" s="144" t="str">
        <f>IF(A503="","",IFERROR(INDEX('12 P6 activities'!$C$7:$C$206,MATCH(A503,'12 P6 activities'!$A$7:$A$206,0)),"⚠ not in P6 list"))</f>
        <v/>
      </c>
      <c r="D503" s="145"/>
      <c r="E503" s="143"/>
      <c r="F503" s="147"/>
      <c r="G503" s="148"/>
      <c r="H503" s="149"/>
      <c r="I503" s="150"/>
      <c r="J503" s="150"/>
      <c r="K503" s="150"/>
      <c r="L503" s="150"/>
      <c r="M503" s="6"/>
      <c r="N503" s="6"/>
      <c r="O503" s="6"/>
      <c r="P503" s="6"/>
      <c r="Q503" s="6"/>
      <c r="R503" s="6"/>
      <c r="S503" s="6"/>
      <c r="T503" s="6"/>
      <c r="U503" s="6"/>
      <c r="V503" s="6"/>
      <c r="W503" s="6"/>
      <c r="X503" s="6"/>
      <c r="Y503" s="6"/>
      <c r="Z503" s="6"/>
    </row>
    <row r="504" spans="1:26" ht="18" customHeight="1" x14ac:dyDescent="0.3">
      <c r="A504" s="142"/>
      <c r="B504" s="143"/>
      <c r="C504" s="144" t="str">
        <f>IF(A504="","",IFERROR(INDEX('12 P6 activities'!$C$7:$C$206,MATCH(A504,'12 P6 activities'!$A$7:$A$206,0)),"⚠ not in P6 list"))</f>
        <v/>
      </c>
      <c r="D504" s="145"/>
      <c r="E504" s="143"/>
      <c r="F504" s="147"/>
      <c r="G504" s="148"/>
      <c r="H504" s="149"/>
      <c r="I504" s="150"/>
      <c r="J504" s="150"/>
      <c r="K504" s="150"/>
      <c r="L504" s="150"/>
      <c r="M504" s="6"/>
      <c r="N504" s="6"/>
      <c r="O504" s="6"/>
      <c r="P504" s="6"/>
      <c r="Q504" s="6"/>
      <c r="R504" s="6"/>
      <c r="S504" s="6"/>
      <c r="T504" s="6"/>
      <c r="U504" s="6"/>
      <c r="V504" s="6"/>
      <c r="W504" s="6"/>
      <c r="X504" s="6"/>
      <c r="Y504" s="6"/>
      <c r="Z504" s="6"/>
    </row>
    <row r="505" spans="1:26" ht="18" customHeight="1" x14ac:dyDescent="0.3">
      <c r="A505" s="142"/>
      <c r="B505" s="143"/>
      <c r="C505" s="144" t="str">
        <f>IF(A505="","",IFERROR(INDEX('12 P6 activities'!$C$7:$C$206,MATCH(A505,'12 P6 activities'!$A$7:$A$206,0)),"⚠ not in P6 list"))</f>
        <v/>
      </c>
      <c r="D505" s="145"/>
      <c r="E505" s="143"/>
      <c r="F505" s="147"/>
      <c r="G505" s="148"/>
      <c r="H505" s="149"/>
      <c r="I505" s="150"/>
      <c r="J505" s="150"/>
      <c r="K505" s="150"/>
      <c r="L505" s="150"/>
      <c r="M505" s="6"/>
      <c r="N505" s="6"/>
      <c r="O505" s="6"/>
      <c r="P505" s="6"/>
      <c r="Q505" s="6"/>
      <c r="R505" s="6"/>
      <c r="S505" s="6"/>
      <c r="T505" s="6"/>
      <c r="U505" s="6"/>
      <c r="V505" s="6"/>
      <c r="W505" s="6"/>
      <c r="X505" s="6"/>
      <c r="Y505" s="6"/>
      <c r="Z505" s="6"/>
    </row>
    <row r="506" spans="1:26" ht="18" customHeight="1" x14ac:dyDescent="0.3">
      <c r="A506" s="142"/>
      <c r="B506" s="143"/>
      <c r="C506" s="144" t="str">
        <f>IF(A506="","",IFERROR(INDEX('12 P6 activities'!$C$7:$C$206,MATCH(A506,'12 P6 activities'!$A$7:$A$206,0)),"⚠ not in P6 list"))</f>
        <v/>
      </c>
      <c r="D506" s="145"/>
      <c r="E506" s="143"/>
      <c r="F506" s="147"/>
      <c r="G506" s="148"/>
      <c r="H506" s="149"/>
      <c r="I506" s="150"/>
      <c r="J506" s="150"/>
      <c r="K506" s="150"/>
      <c r="L506" s="150"/>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conditionalFormatting sqref="L7:L206">
    <cfRule type="cellIs" dxfId="4" priority="1" operator="lessThan">
      <formula>1</formula>
    </cfRule>
  </conditionalFormatting>
  <conditionalFormatting sqref="C7:C506">
    <cfRule type="containsText" dxfId="3" priority="2" operator="containsText" text="not in P6">
      <formula>NOT(ISERROR(SEARCH("not in P6",C7)))</formula>
    </cfRule>
  </conditionalFormatting>
  <dataValidations count="1">
    <dataValidation type="decimal" allowBlank="1" showInputMessage="1" showErrorMessage="1" sqref="E7:F206" xr:uid="{2E31D48A-2724-45F7-9F88-88A0B8905FAD}">
      <formula1>0</formula1>
      <formula2>10000000</formula2>
    </dataValidation>
  </dataValidations>
  <printOptions horizontalCentered="1"/>
  <pageMargins left="0.4" right="0.4" top="0.5" bottom="0.5" header="0.5" footer="0.5"/>
  <pageSetup paperSize="9" scale="14" orientation="landscape" r:id="rId1"/>
  <headerFooter>
    <oddHeader>&amp;R&amp;BThe Project Control Hub</oddHeader>
    <oddFooter>&amp;L&amp;8The Project Control Hub · &amp;A&amp;R&amp;8Page &amp;P of &amp;N</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00A97A7-6CC4-46AE-997D-28DDB62AE987}">
          <x14:formula1>
            <xm:f>'12 P6 activities'!$A$7:$A$206</xm:f>
          </x14:formula1>
          <xm:sqref>A7:A206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748B"/>
    <pageSetUpPr fitToPage="1"/>
  </sheetPr>
  <dimension ref="A1:Z1000"/>
  <sheetViews>
    <sheetView showGridLines="0" topLeftCell="J1" workbookViewId="0">
      <selection activeCell="T37" sqref="T37"/>
    </sheetView>
  </sheetViews>
  <sheetFormatPr defaultRowHeight="14.4" x14ac:dyDescent="0.3"/>
  <cols>
    <col min="1" max="1" width="34" customWidth="1"/>
    <col min="2" max="2" width="22" customWidth="1"/>
    <col min="3" max="3" width="4" customWidth="1"/>
    <col min="4" max="4" width="34" customWidth="1"/>
    <col min="6" max="6" width="27.77734375" customWidth="1"/>
    <col min="7" max="7" width="4" customWidth="1"/>
    <col min="8" max="8" width="27.77734375" customWidth="1"/>
    <col min="9" max="9" width="4" customWidth="1"/>
    <col min="10" max="10" width="27.77734375" customWidth="1"/>
    <col min="11" max="11" width="4" customWidth="1"/>
    <col min="12" max="12" width="27.77734375" customWidth="1"/>
    <col min="13" max="13" width="4" customWidth="1"/>
    <col min="14" max="14" width="27.77734375" customWidth="1"/>
    <col min="15" max="15" width="4" customWidth="1"/>
    <col min="16" max="16" width="27.77734375" customWidth="1"/>
    <col min="17" max="17" width="4" customWidth="1"/>
    <col min="18" max="18" width="27.77734375" customWidth="1"/>
    <col min="19" max="19" width="4" customWidth="1"/>
    <col min="20" max="20" width="27.77734375" customWidth="1"/>
    <col min="21" max="21" width="4" customWidth="1"/>
    <col min="22" max="22" width="27.77734375" customWidth="1"/>
    <col min="23" max="23" width="4" customWidth="1"/>
  </cols>
  <sheetData>
    <row r="1" spans="1:26" ht="28.05" customHeight="1" x14ac:dyDescent="0.4">
      <c r="A1" s="112" t="s">
        <v>22</v>
      </c>
      <c r="B1" s="6"/>
      <c r="C1" s="6"/>
      <c r="D1" s="113"/>
      <c r="E1" s="6"/>
      <c r="F1" s="6"/>
      <c r="G1" s="6"/>
      <c r="H1" s="6"/>
      <c r="I1" s="6"/>
      <c r="J1" s="6"/>
      <c r="K1" s="6"/>
      <c r="L1" s="6"/>
      <c r="M1" s="6"/>
      <c r="N1" s="6"/>
      <c r="O1" s="6"/>
      <c r="P1" s="6"/>
      <c r="Q1" s="6"/>
      <c r="R1" s="6"/>
      <c r="S1" s="6"/>
      <c r="T1" s="6"/>
      <c r="U1" s="6"/>
      <c r="V1" s="176" t="s">
        <v>32</v>
      </c>
      <c r="W1" s="6"/>
      <c r="X1" s="6"/>
      <c r="Y1" s="6"/>
      <c r="Z1" s="6"/>
    </row>
    <row r="2" spans="1:26" x14ac:dyDescent="0.3">
      <c r="A2" s="114" t="s">
        <v>48</v>
      </c>
      <c r="B2" s="6"/>
      <c r="C2" s="6"/>
      <c r="D2" s="6"/>
      <c r="E2" s="6"/>
      <c r="F2" s="6"/>
      <c r="G2" s="6"/>
      <c r="H2" s="6"/>
      <c r="I2" s="6"/>
      <c r="J2" s="6"/>
      <c r="K2" s="6"/>
      <c r="L2" s="6"/>
      <c r="M2" s="6"/>
      <c r="N2" s="6"/>
      <c r="O2" s="6"/>
      <c r="P2" s="6"/>
      <c r="Q2" s="6"/>
      <c r="R2" s="6"/>
      <c r="S2" s="6"/>
      <c r="T2" s="6"/>
      <c r="U2" s="6"/>
      <c r="V2" s="6"/>
      <c r="W2" s="6"/>
      <c r="X2" s="6"/>
      <c r="Y2" s="6"/>
      <c r="Z2" s="6"/>
    </row>
    <row r="3" spans="1:26" x14ac:dyDescent="0.3">
      <c r="A3" s="115" t="s">
        <v>49</v>
      </c>
      <c r="B3" s="6"/>
      <c r="C3" s="6"/>
      <c r="D3" s="6"/>
      <c r="E3" s="6"/>
      <c r="F3" s="6"/>
      <c r="G3" s="6"/>
      <c r="H3" s="6"/>
      <c r="I3" s="6"/>
      <c r="J3" s="6"/>
      <c r="K3" s="6"/>
      <c r="L3" s="6"/>
      <c r="M3" s="6"/>
      <c r="N3" s="6"/>
      <c r="O3" s="6"/>
      <c r="P3" s="6"/>
      <c r="Q3" s="6"/>
      <c r="R3" s="6"/>
      <c r="S3" s="6"/>
      <c r="T3" s="6"/>
      <c r="U3" s="6"/>
      <c r="V3" s="6"/>
      <c r="W3" s="6"/>
      <c r="X3" s="6"/>
      <c r="Y3" s="6"/>
      <c r="Z3" s="6"/>
    </row>
    <row r="4" spans="1:26" x14ac:dyDescent="0.3">
      <c r="A4" s="171"/>
      <c r="B4" s="171"/>
      <c r="C4" s="171"/>
      <c r="D4" s="171"/>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20" t="s">
        <v>50</v>
      </c>
      <c r="B6" s="143" t="s">
        <v>51</v>
      </c>
      <c r="C6" s="6"/>
      <c r="D6" s="6"/>
      <c r="E6" s="6"/>
      <c r="F6" s="6"/>
      <c r="G6" s="6"/>
      <c r="H6" s="6"/>
      <c r="I6" s="6"/>
      <c r="J6" s="6"/>
      <c r="K6" s="6"/>
      <c r="L6" s="6"/>
      <c r="M6" s="6"/>
      <c r="N6" s="6"/>
      <c r="O6" s="6"/>
      <c r="P6" s="6"/>
      <c r="Q6" s="6"/>
      <c r="R6" s="6"/>
      <c r="S6" s="6"/>
      <c r="T6" s="6"/>
      <c r="U6" s="6"/>
      <c r="V6" s="6"/>
      <c r="W6" s="6"/>
      <c r="X6" s="6"/>
      <c r="Y6" s="6"/>
      <c r="Z6" s="6"/>
    </row>
    <row r="7" spans="1:26" x14ac:dyDescent="0.3">
      <c r="A7" s="20" t="s">
        <v>52</v>
      </c>
      <c r="B7" s="172">
        <v>0.58333333333333337</v>
      </c>
      <c r="C7" s="6"/>
      <c r="D7" s="40" t="s">
        <v>53</v>
      </c>
      <c r="E7" s="6"/>
      <c r="F7" s="6"/>
      <c r="G7" s="6"/>
      <c r="H7" s="6"/>
      <c r="I7" s="6"/>
      <c r="J7" s="6"/>
      <c r="K7" s="6"/>
      <c r="L7" s="6"/>
      <c r="M7" s="6"/>
      <c r="N7" s="6"/>
      <c r="O7" s="6"/>
      <c r="P7" s="6"/>
      <c r="Q7" s="6"/>
      <c r="R7" s="6"/>
      <c r="S7" s="6"/>
      <c r="T7" s="6"/>
      <c r="U7" s="6"/>
      <c r="V7" s="6"/>
      <c r="W7" s="6"/>
      <c r="X7" s="6"/>
      <c r="Y7" s="6"/>
      <c r="Z7" s="6"/>
    </row>
    <row r="8" spans="1:26" x14ac:dyDescent="0.3">
      <c r="A8" s="20" t="s">
        <v>54</v>
      </c>
      <c r="B8" s="143" t="s">
        <v>55</v>
      </c>
      <c r="C8" s="6"/>
      <c r="D8" s="6"/>
      <c r="E8" s="6"/>
      <c r="F8" s="6"/>
      <c r="G8" s="6"/>
      <c r="H8" s="6"/>
      <c r="I8" s="6"/>
      <c r="J8" s="6"/>
      <c r="K8" s="6"/>
      <c r="L8" s="6"/>
      <c r="M8" s="6"/>
      <c r="N8" s="6"/>
      <c r="O8" s="6"/>
      <c r="P8" s="6"/>
      <c r="Q8" s="6"/>
      <c r="R8" s="6"/>
      <c r="S8" s="6"/>
      <c r="T8" s="6"/>
      <c r="U8" s="6"/>
      <c r="V8" s="6"/>
      <c r="W8" s="6"/>
      <c r="X8" s="6"/>
      <c r="Y8" s="6"/>
      <c r="Z8" s="6"/>
    </row>
    <row r="9" spans="1:26" x14ac:dyDescent="0.3">
      <c r="A9" s="20" t="s">
        <v>194</v>
      </c>
      <c r="B9" s="149">
        <v>0.5</v>
      </c>
      <c r="C9" s="6"/>
      <c r="D9" s="6"/>
      <c r="E9" s="6"/>
      <c r="F9" s="6"/>
      <c r="G9" s="6"/>
      <c r="H9" s="6"/>
      <c r="I9" s="6"/>
      <c r="J9" s="6"/>
      <c r="K9" s="6"/>
      <c r="L9" s="6"/>
      <c r="M9" s="6"/>
      <c r="N9" s="6"/>
      <c r="O9" s="6"/>
      <c r="P9" s="6"/>
      <c r="Q9" s="6"/>
      <c r="R9" s="6"/>
      <c r="S9" s="6"/>
      <c r="T9" s="6"/>
      <c r="U9" s="6"/>
      <c r="V9" s="6"/>
      <c r="W9" s="6"/>
      <c r="X9" s="6"/>
      <c r="Y9" s="6"/>
      <c r="Z9" s="6"/>
    </row>
    <row r="10" spans="1:26" x14ac:dyDescent="0.3">
      <c r="A10" s="20" t="s">
        <v>195</v>
      </c>
      <c r="B10" s="156">
        <v>28</v>
      </c>
      <c r="C10" s="6"/>
      <c r="D10" s="40" t="s">
        <v>196</v>
      </c>
      <c r="E10" s="6"/>
      <c r="F10" s="6"/>
      <c r="G10" s="6"/>
      <c r="H10" s="6"/>
      <c r="I10" s="6"/>
      <c r="J10" s="6"/>
      <c r="K10" s="6"/>
      <c r="L10" s="6"/>
      <c r="M10" s="6"/>
      <c r="N10" s="6"/>
      <c r="O10" s="6"/>
      <c r="P10" s="6"/>
      <c r="Q10" s="6"/>
      <c r="R10" s="6"/>
      <c r="S10" s="6"/>
      <c r="T10" s="6"/>
      <c r="U10" s="6"/>
      <c r="V10" s="6"/>
      <c r="W10" s="6"/>
      <c r="X10" s="6"/>
      <c r="Y10" s="6"/>
      <c r="Z10" s="6"/>
    </row>
    <row r="11" spans="1:26" x14ac:dyDescent="0.3">
      <c r="A11" s="76" t="s">
        <v>56</v>
      </c>
      <c r="B11" s="6"/>
      <c r="C11" s="6"/>
      <c r="D11" s="76" t="s">
        <v>57</v>
      </c>
      <c r="E11" s="6"/>
      <c r="F11" s="76" t="s">
        <v>220</v>
      </c>
      <c r="G11" s="6"/>
      <c r="H11" s="76" t="s">
        <v>221</v>
      </c>
      <c r="I11" s="6"/>
      <c r="J11" s="76" t="s">
        <v>226</v>
      </c>
      <c r="K11" s="6"/>
      <c r="L11" s="76" t="s">
        <v>233</v>
      </c>
      <c r="M11" s="6"/>
      <c r="N11" s="76" t="s">
        <v>149</v>
      </c>
      <c r="O11" s="6"/>
      <c r="P11" s="76" t="s">
        <v>242</v>
      </c>
      <c r="Q11" s="6"/>
      <c r="R11" s="76" t="s">
        <v>249</v>
      </c>
      <c r="S11" s="6"/>
      <c r="T11" s="76" t="s">
        <v>253</v>
      </c>
      <c r="U11" s="6"/>
      <c r="V11" s="76" t="s">
        <v>258</v>
      </c>
      <c r="W11" s="6"/>
      <c r="X11" s="6"/>
      <c r="Y11" s="6"/>
      <c r="Z11" s="6"/>
    </row>
    <row r="12" spans="1:26" x14ac:dyDescent="0.3">
      <c r="A12" s="6"/>
      <c r="B12" s="143" t="s">
        <v>58</v>
      </c>
      <c r="C12" s="6"/>
      <c r="D12" s="143" t="s">
        <v>59</v>
      </c>
      <c r="E12" s="6"/>
      <c r="F12" s="143" t="s">
        <v>89</v>
      </c>
      <c r="G12" s="6"/>
      <c r="H12" s="143" t="s">
        <v>79</v>
      </c>
      <c r="I12" s="6"/>
      <c r="J12" s="143" t="s">
        <v>227</v>
      </c>
      <c r="K12" s="6"/>
      <c r="L12" s="143" t="s">
        <v>107</v>
      </c>
      <c r="M12" s="6"/>
      <c r="N12" s="143" t="s">
        <v>151</v>
      </c>
      <c r="O12" s="6"/>
      <c r="P12" s="143" t="s">
        <v>243</v>
      </c>
      <c r="Q12" s="6"/>
      <c r="R12" s="143" t="s">
        <v>121</v>
      </c>
      <c r="S12" s="6"/>
      <c r="T12" s="143" t="s">
        <v>122</v>
      </c>
      <c r="U12" s="6"/>
      <c r="V12" s="143" t="s">
        <v>259</v>
      </c>
      <c r="W12" s="6"/>
      <c r="X12" s="6"/>
      <c r="Y12" s="6"/>
      <c r="Z12" s="6"/>
    </row>
    <row r="13" spans="1:26" x14ac:dyDescent="0.3">
      <c r="A13" s="6"/>
      <c r="B13" s="143" t="s">
        <v>60</v>
      </c>
      <c r="C13" s="6"/>
      <c r="D13" s="143" t="s">
        <v>61</v>
      </c>
      <c r="E13" s="6"/>
      <c r="F13" s="143" t="s">
        <v>90</v>
      </c>
      <c r="G13" s="6"/>
      <c r="H13" s="143" t="s">
        <v>177</v>
      </c>
      <c r="I13" s="6"/>
      <c r="J13" s="143" t="s">
        <v>228</v>
      </c>
      <c r="K13" s="6"/>
      <c r="L13" s="143" t="s">
        <v>114</v>
      </c>
      <c r="M13" s="6"/>
      <c r="N13" s="143" t="s">
        <v>238</v>
      </c>
      <c r="O13" s="6"/>
      <c r="P13" s="143" t="s">
        <v>244</v>
      </c>
      <c r="Q13" s="6"/>
      <c r="R13" s="143" t="s">
        <v>125</v>
      </c>
      <c r="S13" s="6"/>
      <c r="T13" s="143" t="s">
        <v>126</v>
      </c>
      <c r="U13" s="6"/>
      <c r="V13" s="143" t="s">
        <v>260</v>
      </c>
      <c r="W13" s="6"/>
      <c r="X13" s="6"/>
      <c r="Y13" s="6"/>
      <c r="Z13" s="6"/>
    </row>
    <row r="14" spans="1:26" x14ac:dyDescent="0.3">
      <c r="A14" s="6"/>
      <c r="B14" s="143" t="s">
        <v>62</v>
      </c>
      <c r="C14" s="6"/>
      <c r="D14" s="143" t="s">
        <v>63</v>
      </c>
      <c r="E14" s="6"/>
      <c r="F14" s="143" t="s">
        <v>91</v>
      </c>
      <c r="G14" s="6"/>
      <c r="H14" s="143" t="s">
        <v>222</v>
      </c>
      <c r="I14" s="6"/>
      <c r="J14" s="143" t="s">
        <v>229</v>
      </c>
      <c r="K14" s="6"/>
      <c r="L14" s="143" t="s">
        <v>111</v>
      </c>
      <c r="M14" s="6"/>
      <c r="N14" s="143" t="s">
        <v>160</v>
      </c>
      <c r="O14" s="6"/>
      <c r="P14" s="143" t="s">
        <v>245</v>
      </c>
      <c r="Q14" s="6"/>
      <c r="R14" s="143" t="s">
        <v>250</v>
      </c>
      <c r="S14" s="6"/>
      <c r="T14" s="143" t="s">
        <v>254</v>
      </c>
      <c r="U14" s="6"/>
      <c r="V14" s="143" t="s">
        <v>261</v>
      </c>
      <c r="W14" s="6"/>
      <c r="X14" s="6"/>
      <c r="Y14" s="6"/>
      <c r="Z14" s="6"/>
    </row>
    <row r="15" spans="1:26" x14ac:dyDescent="0.3">
      <c r="A15" s="6"/>
      <c r="B15" s="143" t="s">
        <v>64</v>
      </c>
      <c r="C15" s="6"/>
      <c r="D15" s="143" t="s">
        <v>65</v>
      </c>
      <c r="E15" s="6"/>
      <c r="F15" s="143" t="s">
        <v>64</v>
      </c>
      <c r="G15" s="6"/>
      <c r="H15" s="143" t="s">
        <v>217</v>
      </c>
      <c r="I15" s="6"/>
      <c r="J15" s="143" t="s">
        <v>230</v>
      </c>
      <c r="K15" s="6"/>
      <c r="L15" s="143" t="s">
        <v>234</v>
      </c>
      <c r="M15" s="6"/>
      <c r="N15" s="143" t="s">
        <v>153</v>
      </c>
      <c r="O15" s="6"/>
      <c r="P15" s="143" t="s">
        <v>149</v>
      </c>
      <c r="Q15" s="6"/>
      <c r="R15" s="143" t="s">
        <v>251</v>
      </c>
      <c r="S15" s="6"/>
      <c r="T15" s="143" t="s">
        <v>255</v>
      </c>
      <c r="U15" s="6"/>
      <c r="V15" s="143" t="s">
        <v>262</v>
      </c>
      <c r="W15" s="6"/>
      <c r="X15" s="6"/>
      <c r="Y15" s="6"/>
      <c r="Z15" s="6"/>
    </row>
    <row r="16" spans="1:26" x14ac:dyDescent="0.3">
      <c r="A16" s="6"/>
      <c r="B16" s="143" t="s">
        <v>66</v>
      </c>
      <c r="C16" s="6"/>
      <c r="D16" s="143" t="s">
        <v>67</v>
      </c>
      <c r="E16" s="6"/>
      <c r="F16" s="143" t="s">
        <v>92</v>
      </c>
      <c r="G16" s="6"/>
      <c r="H16" s="143" t="s">
        <v>223</v>
      </c>
      <c r="I16" s="6"/>
      <c r="J16" s="143" t="s">
        <v>299</v>
      </c>
      <c r="K16" s="6"/>
      <c r="L16" s="143" t="s">
        <v>108</v>
      </c>
      <c r="M16" s="6"/>
      <c r="N16" s="143" t="s">
        <v>155</v>
      </c>
      <c r="O16" s="6"/>
      <c r="P16" s="143" t="s">
        <v>246</v>
      </c>
      <c r="Q16" s="6"/>
      <c r="R16" s="143" t="s">
        <v>252</v>
      </c>
      <c r="S16" s="6"/>
      <c r="T16" s="143" t="s">
        <v>256</v>
      </c>
      <c r="U16" s="6"/>
      <c r="V16" s="143" t="s">
        <v>263</v>
      </c>
      <c r="W16" s="6"/>
      <c r="X16" s="6"/>
      <c r="Y16" s="6"/>
      <c r="Z16" s="6"/>
    </row>
    <row r="17" spans="1:26" x14ac:dyDescent="0.3">
      <c r="A17" s="6"/>
      <c r="B17" s="143" t="s">
        <v>68</v>
      </c>
      <c r="C17" s="6"/>
      <c r="D17" s="143" t="s">
        <v>69</v>
      </c>
      <c r="E17" s="6"/>
      <c r="F17" s="143"/>
      <c r="G17" s="6"/>
      <c r="H17" s="143" t="s">
        <v>224</v>
      </c>
      <c r="I17" s="6"/>
      <c r="J17" s="143" t="s">
        <v>113</v>
      </c>
      <c r="K17" s="6"/>
      <c r="L17" s="143" t="s">
        <v>235</v>
      </c>
      <c r="M17" s="6"/>
      <c r="N17" s="143" t="s">
        <v>239</v>
      </c>
      <c r="O17" s="6"/>
      <c r="P17" s="143" t="s">
        <v>247</v>
      </c>
      <c r="Q17" s="6"/>
      <c r="R17" s="143"/>
      <c r="S17" s="6"/>
      <c r="T17" s="143" t="s">
        <v>257</v>
      </c>
      <c r="U17" s="6"/>
      <c r="V17" s="143" t="s">
        <v>264</v>
      </c>
      <c r="W17" s="6"/>
      <c r="X17" s="6"/>
      <c r="Y17" s="6"/>
      <c r="Z17" s="6"/>
    </row>
    <row r="18" spans="1:26" x14ac:dyDescent="0.3">
      <c r="A18" s="6"/>
      <c r="B18" s="143" t="s">
        <v>70</v>
      </c>
      <c r="C18" s="6"/>
      <c r="D18" s="143"/>
      <c r="E18" s="6"/>
      <c r="F18" s="143"/>
      <c r="G18" s="6"/>
      <c r="H18" s="143" t="s">
        <v>225</v>
      </c>
      <c r="I18" s="6"/>
      <c r="J18" s="143" t="s">
        <v>231</v>
      </c>
      <c r="K18" s="6"/>
      <c r="L18" s="143" t="s">
        <v>236</v>
      </c>
      <c r="M18" s="6"/>
      <c r="N18" s="143" t="s">
        <v>240</v>
      </c>
      <c r="O18" s="6"/>
      <c r="P18" s="143" t="s">
        <v>248</v>
      </c>
      <c r="Q18" s="6"/>
      <c r="R18" s="143"/>
      <c r="S18" s="6"/>
      <c r="T18" s="143"/>
      <c r="U18" s="6"/>
      <c r="V18" s="143" t="s">
        <v>178</v>
      </c>
      <c r="W18" s="6"/>
      <c r="X18" s="6"/>
      <c r="Y18" s="6"/>
      <c r="Z18" s="6"/>
    </row>
    <row r="19" spans="1:26" x14ac:dyDescent="0.3">
      <c r="A19" s="6"/>
      <c r="B19" s="143"/>
      <c r="C19" s="6"/>
      <c r="D19" s="143"/>
      <c r="E19" s="6"/>
      <c r="F19" s="143"/>
      <c r="G19" s="6"/>
      <c r="H19" s="143"/>
      <c r="I19" s="6"/>
      <c r="J19" s="143" t="s">
        <v>232</v>
      </c>
      <c r="K19" s="6"/>
      <c r="L19" s="143" t="s">
        <v>237</v>
      </c>
      <c r="M19" s="6"/>
      <c r="N19" s="143" t="s">
        <v>241</v>
      </c>
      <c r="O19" s="6"/>
      <c r="P19" s="143"/>
      <c r="Q19" s="6"/>
      <c r="R19" s="143"/>
      <c r="S19" s="6"/>
      <c r="T19" s="143"/>
      <c r="U19" s="6"/>
      <c r="V19" s="143" t="s">
        <v>265</v>
      </c>
      <c r="W19" s="6"/>
      <c r="X19" s="6"/>
      <c r="Y19" s="6"/>
      <c r="Z19" s="6"/>
    </row>
    <row r="20" spans="1:26" x14ac:dyDescent="0.3">
      <c r="A20" s="6"/>
      <c r="B20" s="143"/>
      <c r="C20" s="6"/>
      <c r="D20" s="143"/>
      <c r="E20" s="6"/>
      <c r="F20" s="143"/>
      <c r="G20" s="6"/>
      <c r="H20" s="143"/>
      <c r="I20" s="6"/>
      <c r="J20" s="143"/>
      <c r="K20" s="6"/>
      <c r="L20" s="143"/>
      <c r="M20" s="6"/>
      <c r="N20" s="143"/>
      <c r="O20" s="6"/>
      <c r="P20" s="143"/>
      <c r="Q20" s="6"/>
      <c r="R20" s="143"/>
      <c r="S20" s="6"/>
      <c r="T20" s="143"/>
      <c r="U20" s="6"/>
      <c r="V20" s="143" t="s">
        <v>266</v>
      </c>
      <c r="W20" s="6"/>
      <c r="X20" s="6"/>
      <c r="Y20" s="6"/>
      <c r="Z20" s="6"/>
    </row>
    <row r="21" spans="1:26" x14ac:dyDescent="0.3">
      <c r="A21" s="6"/>
      <c r="B21" s="143"/>
      <c r="C21" s="6"/>
      <c r="D21" s="143"/>
      <c r="E21" s="6"/>
      <c r="F21" s="143"/>
      <c r="G21" s="6"/>
      <c r="H21" s="143"/>
      <c r="I21" s="6"/>
      <c r="J21" s="143"/>
      <c r="K21" s="6"/>
      <c r="L21" s="143"/>
      <c r="M21" s="6"/>
      <c r="N21" s="143"/>
      <c r="O21" s="6"/>
      <c r="P21" s="143"/>
      <c r="Q21" s="6"/>
      <c r="R21" s="143"/>
      <c r="S21" s="6"/>
      <c r="T21" s="143"/>
      <c r="U21" s="6"/>
      <c r="V21" s="143" t="s">
        <v>267</v>
      </c>
      <c r="W21" s="6"/>
      <c r="X21" s="6"/>
      <c r="Y21" s="6"/>
      <c r="Z21" s="6"/>
    </row>
    <row r="22" spans="1:26" x14ac:dyDescent="0.3">
      <c r="A22" s="6"/>
      <c r="B22" s="143"/>
      <c r="C22" s="6"/>
      <c r="D22" s="143"/>
      <c r="E22" s="6"/>
      <c r="F22" s="143"/>
      <c r="G22" s="6"/>
      <c r="H22" s="143"/>
      <c r="I22" s="6"/>
      <c r="J22" s="143"/>
      <c r="K22" s="6"/>
      <c r="L22" s="143"/>
      <c r="M22" s="6"/>
      <c r="N22" s="143"/>
      <c r="O22" s="6"/>
      <c r="P22" s="143"/>
      <c r="Q22" s="6"/>
      <c r="R22" s="143"/>
      <c r="S22" s="6"/>
      <c r="T22" s="143"/>
      <c r="U22" s="6"/>
      <c r="V22" s="143"/>
      <c r="W22" s="6"/>
      <c r="X22" s="6"/>
      <c r="Y22" s="6"/>
      <c r="Z22" s="6"/>
    </row>
    <row r="23" spans="1:26" x14ac:dyDescent="0.3">
      <c r="A23" s="6"/>
      <c r="B23" s="143"/>
      <c r="C23" s="6"/>
      <c r="D23" s="143"/>
      <c r="E23" s="6"/>
      <c r="F23" s="143"/>
      <c r="G23" s="6"/>
      <c r="H23" s="143"/>
      <c r="I23" s="6"/>
      <c r="J23" s="143"/>
      <c r="K23" s="6"/>
      <c r="L23" s="143"/>
      <c r="M23" s="6"/>
      <c r="N23" s="143"/>
      <c r="O23" s="6"/>
      <c r="P23" s="143"/>
      <c r="Q23" s="6"/>
      <c r="R23" s="143"/>
      <c r="S23" s="6"/>
      <c r="T23" s="143"/>
      <c r="U23" s="6"/>
      <c r="V23" s="143"/>
      <c r="W23" s="6"/>
      <c r="X23" s="6"/>
      <c r="Y23" s="6"/>
      <c r="Z23" s="6"/>
    </row>
    <row r="24" spans="1:26" x14ac:dyDescent="0.3">
      <c r="A24" s="6"/>
      <c r="B24" s="143"/>
      <c r="C24" s="6"/>
      <c r="D24" s="143"/>
      <c r="E24" s="6"/>
      <c r="F24" s="143"/>
      <c r="G24" s="6"/>
      <c r="H24" s="143"/>
      <c r="I24" s="6"/>
      <c r="J24" s="143"/>
      <c r="K24" s="6"/>
      <c r="L24" s="143"/>
      <c r="M24" s="6"/>
      <c r="N24" s="143"/>
      <c r="O24" s="6"/>
      <c r="P24" s="143"/>
      <c r="Q24" s="6"/>
      <c r="R24" s="143"/>
      <c r="S24" s="6"/>
      <c r="T24" s="143"/>
      <c r="U24" s="6"/>
      <c r="V24" s="143"/>
      <c r="W24" s="6"/>
      <c r="X24" s="6"/>
      <c r="Y24" s="6"/>
      <c r="Z24" s="6"/>
    </row>
    <row r="25" spans="1:26" x14ac:dyDescent="0.3">
      <c r="A25" s="6"/>
      <c r="B25" s="143"/>
      <c r="C25" s="6"/>
      <c r="D25" s="143"/>
      <c r="E25" s="6"/>
      <c r="F25" s="143"/>
      <c r="G25" s="6"/>
      <c r="H25" s="143"/>
      <c r="I25" s="6"/>
      <c r="J25" s="143"/>
      <c r="K25" s="6"/>
      <c r="L25" s="143"/>
      <c r="M25" s="6"/>
      <c r="N25" s="143"/>
      <c r="O25" s="6"/>
      <c r="P25" s="143"/>
      <c r="Q25" s="6"/>
      <c r="R25" s="143"/>
      <c r="S25" s="6"/>
      <c r="T25" s="143"/>
      <c r="U25" s="6"/>
      <c r="V25" s="143"/>
      <c r="W25" s="6"/>
      <c r="X25" s="6"/>
      <c r="Y25" s="6"/>
      <c r="Z25" s="6"/>
    </row>
    <row r="26" spans="1:26" x14ac:dyDescent="0.3">
      <c r="A26" s="6"/>
      <c r="B26" s="143"/>
      <c r="C26" s="6"/>
      <c r="D26" s="143"/>
      <c r="E26" s="6"/>
      <c r="F26" s="143"/>
      <c r="G26" s="6"/>
      <c r="H26" s="143"/>
      <c r="I26" s="6"/>
      <c r="J26" s="143"/>
      <c r="K26" s="6"/>
      <c r="L26" s="143"/>
      <c r="M26" s="6"/>
      <c r="N26" s="143"/>
      <c r="O26" s="6"/>
      <c r="P26" s="143"/>
      <c r="Q26" s="6"/>
      <c r="R26" s="143"/>
      <c r="S26" s="6"/>
      <c r="T26" s="143"/>
      <c r="U26" s="6"/>
      <c r="V26" s="143"/>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40" t="s">
        <v>268</v>
      </c>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sheetProtection sheet="1" formatCells="0" formatColumns="0" formatRows="0" insertColumns="0" insertRows="0" insertHyperlinks="0" deleteColumns="0" deleteRows="0" sort="0" autoFilter="0" pivotTables="0"/>
  <printOptions horizontalCentered="1"/>
  <pageMargins left="0.4" right="0.4" top="0.5" bottom="0.5" header="0.5" footer="0.5"/>
  <pageSetup paperSize="9" scale="35" orientation="landscape" r:id="rId1"/>
  <headerFooter>
    <oddHeader>&amp;R&amp;BThe Project Control Hub</oddHeader>
    <oddFooter>&amp;L&amp;8The Project Control Hub · &amp;A&amp;R&amp;8Page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AFAF-2A23-4B2A-B9D7-A5F7339D09C0}">
  <sheetPr>
    <tabColor rgb="FF64748B"/>
  </sheetPr>
  <dimension ref="A1:Z200"/>
  <sheetViews>
    <sheetView showGridLines="0" workbookViewId="0">
      <selection activeCell="D25" sqref="D25:H32"/>
    </sheetView>
  </sheetViews>
  <sheetFormatPr defaultRowHeight="14.4" x14ac:dyDescent="0.3"/>
  <cols>
    <col min="1" max="1" width="2.21875" customWidth="1"/>
    <col min="2" max="2" width="27.77734375" customWidth="1"/>
    <col min="3" max="8" width="17.5546875" customWidth="1"/>
    <col min="9" max="9" width="84" bestFit="1" customWidth="1"/>
  </cols>
  <sheetData>
    <row r="1" spans="1:26" ht="24.6" x14ac:dyDescent="0.4">
      <c r="A1" s="257" t="s">
        <v>38</v>
      </c>
      <c r="B1" s="258"/>
      <c r="C1" s="258"/>
      <c r="D1" s="258"/>
      <c r="E1" s="258"/>
      <c r="F1" s="258"/>
      <c r="G1" s="258"/>
      <c r="H1" s="258"/>
      <c r="I1" s="259" t="s">
        <v>32</v>
      </c>
      <c r="J1" s="258"/>
      <c r="K1" s="258"/>
      <c r="L1" s="258"/>
      <c r="M1" s="258"/>
      <c r="N1" s="258"/>
      <c r="O1" s="258"/>
      <c r="P1" s="258"/>
      <c r="Q1" s="258"/>
      <c r="R1" s="258"/>
      <c r="S1" s="258"/>
      <c r="T1" s="258"/>
      <c r="U1" s="258"/>
      <c r="V1" s="258"/>
      <c r="W1" s="258"/>
      <c r="X1" s="258"/>
      <c r="Y1" s="258"/>
      <c r="Z1" s="258"/>
    </row>
    <row r="2" spans="1:26" x14ac:dyDescent="0.3">
      <c r="A2" s="260" t="s">
        <v>407</v>
      </c>
      <c r="B2" s="258"/>
      <c r="C2" s="258"/>
      <c r="D2" s="258"/>
      <c r="E2" s="258"/>
      <c r="F2" s="258"/>
      <c r="G2" s="258"/>
      <c r="H2" s="258"/>
      <c r="I2" s="258"/>
      <c r="J2" s="258"/>
      <c r="K2" s="258"/>
      <c r="L2" s="258"/>
      <c r="M2" s="258"/>
      <c r="N2" s="258"/>
      <c r="O2" s="258"/>
      <c r="P2" s="258"/>
      <c r="Q2" s="258"/>
      <c r="R2" s="258"/>
      <c r="S2" s="258"/>
      <c r="T2" s="258"/>
      <c r="U2" s="258"/>
      <c r="V2" s="258"/>
      <c r="W2" s="258"/>
      <c r="X2" s="258"/>
      <c r="Y2" s="258"/>
      <c r="Z2" s="258"/>
    </row>
    <row r="3" spans="1:26" x14ac:dyDescent="0.3">
      <c r="A3" s="260" t="s">
        <v>408</v>
      </c>
      <c r="B3" s="258"/>
      <c r="C3" s="258"/>
      <c r="D3" s="258"/>
      <c r="E3" s="258"/>
      <c r="F3" s="258"/>
      <c r="G3" s="258"/>
      <c r="H3" s="258"/>
      <c r="I3" s="258"/>
      <c r="J3" s="258"/>
      <c r="K3" s="258"/>
      <c r="L3" s="258"/>
      <c r="M3" s="258"/>
      <c r="N3" s="258"/>
      <c r="O3" s="258"/>
      <c r="P3" s="258"/>
      <c r="Q3" s="258"/>
      <c r="R3" s="258"/>
      <c r="S3" s="258"/>
      <c r="T3" s="258"/>
      <c r="U3" s="258"/>
      <c r="V3" s="258"/>
      <c r="W3" s="258"/>
      <c r="X3" s="258"/>
      <c r="Y3" s="258"/>
      <c r="Z3" s="258"/>
    </row>
    <row r="4" spans="1:26" x14ac:dyDescent="0.3">
      <c r="A4" s="258"/>
      <c r="B4" s="258"/>
      <c r="C4" s="258"/>
      <c r="D4" s="258"/>
      <c r="E4" s="258"/>
      <c r="F4" s="258"/>
      <c r="G4" s="258"/>
      <c r="H4" s="258"/>
      <c r="I4" s="258"/>
      <c r="J4" s="258"/>
      <c r="K4" s="258"/>
      <c r="L4" s="258"/>
      <c r="M4" s="258"/>
      <c r="N4" s="258"/>
      <c r="O4" s="258"/>
      <c r="P4" s="258"/>
      <c r="Q4" s="258"/>
      <c r="R4" s="258"/>
      <c r="S4" s="258"/>
      <c r="T4" s="258"/>
      <c r="U4" s="258"/>
      <c r="V4" s="258"/>
      <c r="W4" s="258"/>
      <c r="X4" s="258"/>
      <c r="Y4" s="258"/>
      <c r="Z4" s="258"/>
    </row>
    <row r="5" spans="1:26" x14ac:dyDescent="0.3">
      <c r="A5" s="258"/>
      <c r="B5" s="258"/>
      <c r="C5" s="258"/>
      <c r="D5" s="258"/>
      <c r="E5" s="258"/>
      <c r="F5" s="258"/>
      <c r="G5" s="258"/>
      <c r="H5" s="258"/>
      <c r="I5" s="258"/>
      <c r="J5" s="258"/>
      <c r="K5" s="258"/>
      <c r="L5" s="258"/>
      <c r="M5" s="258"/>
      <c r="N5" s="258"/>
      <c r="O5" s="258"/>
      <c r="P5" s="258"/>
      <c r="Q5" s="258"/>
      <c r="R5" s="258"/>
      <c r="S5" s="258"/>
      <c r="T5" s="258"/>
      <c r="U5" s="258"/>
      <c r="V5" s="258"/>
      <c r="W5" s="258"/>
      <c r="X5" s="258"/>
      <c r="Y5" s="258"/>
      <c r="Z5" s="258"/>
    </row>
    <row r="6" spans="1:26" x14ac:dyDescent="0.3">
      <c r="A6" s="258"/>
      <c r="B6" s="258"/>
      <c r="C6" s="258"/>
      <c r="D6" s="258"/>
      <c r="E6" s="258"/>
      <c r="F6" s="258"/>
      <c r="G6" s="258"/>
      <c r="H6" s="258"/>
      <c r="I6" s="258"/>
      <c r="J6" s="258"/>
      <c r="K6" s="258"/>
      <c r="L6" s="258"/>
      <c r="M6" s="258"/>
      <c r="N6" s="258"/>
      <c r="O6" s="258"/>
      <c r="P6" s="258"/>
      <c r="Q6" s="258"/>
      <c r="R6" s="258"/>
      <c r="S6" s="258"/>
      <c r="T6" s="258"/>
      <c r="U6" s="258"/>
      <c r="V6" s="258"/>
      <c r="W6" s="258"/>
      <c r="X6" s="258"/>
      <c r="Y6" s="258"/>
      <c r="Z6" s="258"/>
    </row>
    <row r="7" spans="1:26" x14ac:dyDescent="0.3">
      <c r="A7" s="258"/>
      <c r="B7" s="258"/>
      <c r="C7" s="258"/>
      <c r="D7" s="258"/>
      <c r="E7" s="258"/>
      <c r="F7" s="258"/>
      <c r="G7" s="258"/>
      <c r="H7" s="258"/>
      <c r="I7" s="258"/>
      <c r="J7" s="258"/>
      <c r="K7" s="258"/>
      <c r="L7" s="258"/>
      <c r="M7" s="258"/>
      <c r="N7" s="258"/>
      <c r="O7" s="258"/>
      <c r="P7" s="258"/>
      <c r="Q7" s="258"/>
      <c r="R7" s="258"/>
      <c r="S7" s="258"/>
      <c r="T7" s="258"/>
      <c r="U7" s="258"/>
      <c r="V7" s="258"/>
      <c r="W7" s="258"/>
      <c r="X7" s="258"/>
      <c r="Y7" s="258"/>
      <c r="Z7" s="258"/>
    </row>
    <row r="8" spans="1:26" x14ac:dyDescent="0.3">
      <c r="A8" s="258"/>
      <c r="B8" s="258"/>
      <c r="C8" s="258"/>
      <c r="D8" s="258"/>
      <c r="E8" s="258"/>
      <c r="F8" s="258"/>
      <c r="G8" s="258"/>
      <c r="H8" s="258"/>
      <c r="I8" s="258"/>
      <c r="J8" s="258"/>
      <c r="K8" s="258"/>
      <c r="L8" s="258"/>
      <c r="M8" s="258"/>
      <c r="N8" s="258"/>
      <c r="O8" s="258"/>
      <c r="P8" s="258"/>
      <c r="Q8" s="258"/>
      <c r="R8" s="258"/>
      <c r="S8" s="258"/>
      <c r="T8" s="258"/>
      <c r="U8" s="258"/>
      <c r="V8" s="258"/>
      <c r="W8" s="258"/>
      <c r="X8" s="258"/>
      <c r="Y8" s="258"/>
      <c r="Z8" s="258"/>
    </row>
    <row r="9" spans="1:26" x14ac:dyDescent="0.3">
      <c r="A9" s="258"/>
      <c r="B9" s="258"/>
      <c r="C9" s="258"/>
      <c r="D9" s="258"/>
      <c r="E9" s="258"/>
      <c r="F9" s="258"/>
      <c r="G9" s="258"/>
      <c r="H9" s="258"/>
      <c r="I9" s="258"/>
      <c r="J9" s="258"/>
      <c r="K9" s="258"/>
      <c r="L9" s="258"/>
      <c r="M9" s="258"/>
      <c r="N9" s="258"/>
      <c r="O9" s="258"/>
      <c r="P9" s="258"/>
      <c r="Q9" s="258"/>
      <c r="R9" s="258"/>
      <c r="S9" s="258"/>
      <c r="T9" s="258"/>
      <c r="U9" s="258"/>
      <c r="V9" s="258"/>
      <c r="W9" s="258"/>
      <c r="X9" s="258"/>
      <c r="Y9" s="258"/>
      <c r="Z9" s="258"/>
    </row>
    <row r="10" spans="1:26" x14ac:dyDescent="0.3">
      <c r="A10" s="258"/>
      <c r="B10" s="258"/>
      <c r="C10" s="258"/>
      <c r="D10" s="258"/>
      <c r="E10" s="258"/>
      <c r="F10" s="258"/>
      <c r="G10" s="258"/>
      <c r="H10" s="258"/>
      <c r="I10" s="258"/>
      <c r="J10" s="258"/>
      <c r="K10" s="258"/>
      <c r="L10" s="258"/>
      <c r="M10" s="258"/>
      <c r="N10" s="258"/>
      <c r="O10" s="258"/>
      <c r="P10" s="258"/>
      <c r="Q10" s="258"/>
      <c r="R10" s="258"/>
      <c r="S10" s="258"/>
      <c r="T10" s="258"/>
      <c r="U10" s="258"/>
      <c r="V10" s="258"/>
      <c r="W10" s="258"/>
      <c r="X10" s="258"/>
      <c r="Y10" s="258"/>
      <c r="Z10" s="258"/>
    </row>
    <row r="11" spans="1:26" x14ac:dyDescent="0.3">
      <c r="A11" s="258"/>
      <c r="B11" s="261" t="s">
        <v>38</v>
      </c>
      <c r="C11" s="258"/>
      <c r="D11" s="258"/>
      <c r="E11" s="258"/>
      <c r="F11" s="258"/>
      <c r="G11" s="258"/>
      <c r="H11" s="258"/>
      <c r="I11" s="258"/>
      <c r="J11" s="258"/>
      <c r="K11" s="258"/>
      <c r="L11" s="258"/>
      <c r="M11" s="258"/>
      <c r="N11" s="258"/>
      <c r="O11" s="258"/>
      <c r="P11" s="258"/>
      <c r="Q11" s="258"/>
      <c r="R11" s="258"/>
      <c r="S11" s="258"/>
      <c r="T11" s="258"/>
      <c r="U11" s="258"/>
      <c r="V11" s="258"/>
      <c r="W11" s="258"/>
      <c r="X11" s="258"/>
      <c r="Y11" s="258"/>
      <c r="Z11" s="258"/>
    </row>
    <row r="12" spans="1:26" x14ac:dyDescent="0.3">
      <c r="A12" s="258"/>
      <c r="B12" s="262" t="s">
        <v>39</v>
      </c>
      <c r="C12" s="262">
        <f>COUNTIFS('03 Day log'!$G$8:$G$38,B12,'03 Day log'!$A$8:$A$38,"&gt;="&amp;WeekStart,'03 Day log'!$A$8:$A$38,"&lt;="&amp;WeekEnd)</f>
        <v>2</v>
      </c>
      <c r="D12" s="258"/>
      <c r="E12" s="258"/>
      <c r="F12" s="258"/>
      <c r="G12" s="258"/>
      <c r="H12" s="258"/>
      <c r="I12" s="258"/>
      <c r="J12" s="258"/>
      <c r="K12" s="258"/>
      <c r="L12" s="258"/>
      <c r="M12" s="258"/>
      <c r="N12" s="258"/>
      <c r="O12" s="258"/>
      <c r="P12" s="258"/>
      <c r="Q12" s="258"/>
      <c r="R12" s="258"/>
      <c r="S12" s="258"/>
      <c r="T12" s="258"/>
      <c r="U12" s="258"/>
      <c r="V12" s="258"/>
      <c r="W12" s="258"/>
      <c r="X12" s="258"/>
      <c r="Y12" s="258"/>
      <c r="Z12" s="258"/>
    </row>
    <row r="13" spans="1:26" x14ac:dyDescent="0.3">
      <c r="A13" s="258"/>
      <c r="B13" s="262" t="s">
        <v>40</v>
      </c>
      <c r="C13" s="262">
        <f>COUNTIFS('03 Day log'!$G$8:$G$38,B13,'03 Day log'!$A$8:$A$38,"&gt;="&amp;WeekStart,'03 Day log'!$A$8:$A$38,"&lt;="&amp;WeekEnd)</f>
        <v>2</v>
      </c>
      <c r="D13" s="258"/>
      <c r="E13" s="258"/>
      <c r="F13" s="258"/>
      <c r="G13" s="258"/>
      <c r="H13" s="258"/>
      <c r="I13" s="258"/>
      <c r="J13" s="258"/>
      <c r="K13" s="258"/>
      <c r="L13" s="258"/>
      <c r="M13" s="258"/>
      <c r="N13" s="258"/>
      <c r="O13" s="258"/>
      <c r="P13" s="258"/>
      <c r="Q13" s="258"/>
      <c r="R13" s="258"/>
      <c r="S13" s="258"/>
      <c r="T13" s="258"/>
      <c r="U13" s="258"/>
      <c r="V13" s="258"/>
      <c r="W13" s="258"/>
      <c r="X13" s="258"/>
      <c r="Y13" s="258"/>
      <c r="Z13" s="258"/>
    </row>
    <row r="14" spans="1:26" x14ac:dyDescent="0.3">
      <c r="A14" s="258"/>
      <c r="B14" s="262" t="s">
        <v>41</v>
      </c>
      <c r="C14" s="262">
        <f>COUNTIFS('03 Day log'!$G$8:$G$38,B14,'03 Day log'!$A$8:$A$38,"&gt;="&amp;WeekStart,'03 Day log'!$A$8:$A$38,"&lt;="&amp;WeekEnd)</f>
        <v>1</v>
      </c>
      <c r="D14" s="258"/>
      <c r="E14" s="258"/>
      <c r="F14" s="258"/>
      <c r="G14" s="258"/>
      <c r="H14" s="258"/>
      <c r="I14" s="258"/>
      <c r="J14" s="258"/>
      <c r="K14" s="258"/>
      <c r="L14" s="258"/>
      <c r="M14" s="258"/>
      <c r="N14" s="258"/>
      <c r="O14" s="258"/>
      <c r="P14" s="258"/>
      <c r="Q14" s="258"/>
      <c r="R14" s="258"/>
      <c r="S14" s="258"/>
      <c r="T14" s="258"/>
      <c r="U14" s="258"/>
      <c r="V14" s="258"/>
      <c r="W14" s="258"/>
      <c r="X14" s="258"/>
      <c r="Y14" s="258"/>
      <c r="Z14" s="258"/>
    </row>
    <row r="15" spans="1:26" x14ac:dyDescent="0.3">
      <c r="A15" s="258"/>
      <c r="B15" s="258"/>
      <c r="C15" s="258"/>
      <c r="D15" s="258"/>
      <c r="E15" s="258"/>
      <c r="F15" s="258"/>
      <c r="G15" s="258"/>
      <c r="H15" s="258"/>
      <c r="I15" s="258"/>
      <c r="J15" s="258"/>
      <c r="K15" s="258"/>
      <c r="L15" s="258"/>
      <c r="M15" s="258"/>
      <c r="N15" s="258"/>
      <c r="O15" s="258"/>
      <c r="P15" s="258"/>
      <c r="Q15" s="258"/>
      <c r="R15" s="258"/>
      <c r="S15" s="258"/>
      <c r="T15" s="258"/>
      <c r="U15" s="258"/>
      <c r="V15" s="258"/>
      <c r="W15" s="258"/>
      <c r="X15" s="258"/>
      <c r="Y15" s="258"/>
      <c r="Z15" s="258"/>
    </row>
    <row r="16" spans="1:26" x14ac:dyDescent="0.3">
      <c r="A16" s="258"/>
      <c r="B16" s="258"/>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row>
    <row r="17" spans="1:26" x14ac:dyDescent="0.3">
      <c r="A17" s="258"/>
      <c r="B17" s="258"/>
      <c r="C17" s="258"/>
      <c r="D17" s="258"/>
      <c r="E17" s="258"/>
      <c r="F17" s="258"/>
      <c r="G17" s="258"/>
      <c r="H17" s="258"/>
      <c r="I17" s="258"/>
      <c r="J17" s="258"/>
      <c r="K17" s="258"/>
      <c r="L17" s="258"/>
      <c r="M17" s="258"/>
      <c r="N17" s="258"/>
      <c r="O17" s="258"/>
      <c r="P17" s="258"/>
      <c r="Q17" s="258"/>
      <c r="R17" s="258"/>
      <c r="S17" s="258"/>
      <c r="T17" s="258"/>
      <c r="U17" s="258"/>
      <c r="V17" s="258"/>
      <c r="W17" s="258"/>
      <c r="X17" s="258"/>
      <c r="Y17" s="258"/>
      <c r="Z17" s="258"/>
    </row>
    <row r="18" spans="1:26" x14ac:dyDescent="0.3">
      <c r="A18" s="258"/>
      <c r="B18" s="263" t="s">
        <v>302</v>
      </c>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row>
    <row r="19" spans="1:26" x14ac:dyDescent="0.3">
      <c r="A19" s="258"/>
      <c r="B19" s="258" t="s">
        <v>303</v>
      </c>
      <c r="C19" s="264">
        <f>IF(COUNT('03 Day log'!$A$8:$A$38)=0,"",MIN('03 Day log'!$A$8:$A$38)-WEEKDAY(MIN('03 Day log'!$A$8:$A$38),3))</f>
        <v>46083</v>
      </c>
      <c r="D19" s="258"/>
      <c r="E19" s="258"/>
      <c r="F19" s="258"/>
      <c r="G19" s="258"/>
      <c r="H19" s="258"/>
      <c r="I19" s="258"/>
      <c r="J19" s="258"/>
      <c r="K19" s="258"/>
      <c r="L19" s="258"/>
      <c r="M19" s="258"/>
      <c r="N19" s="258"/>
      <c r="O19" s="258"/>
      <c r="P19" s="258"/>
      <c r="Q19" s="258"/>
      <c r="R19" s="258"/>
      <c r="S19" s="258"/>
      <c r="T19" s="258"/>
      <c r="U19" s="258"/>
      <c r="V19" s="258"/>
      <c r="W19" s="258"/>
      <c r="X19" s="258"/>
      <c r="Y19" s="258"/>
      <c r="Z19" s="258"/>
    </row>
    <row r="20" spans="1:26" x14ac:dyDescent="0.3">
      <c r="A20" s="258"/>
      <c r="B20" s="258" t="s">
        <v>304</v>
      </c>
      <c r="C20" s="258">
        <f>IF(C19="",1,INT((MAX('03 Day log'!$A$8:$A$38)-C19)/7)+1)</f>
        <v>2</v>
      </c>
      <c r="D20" s="258"/>
      <c r="E20" s="258"/>
      <c r="F20" s="258"/>
      <c r="G20" s="258"/>
      <c r="H20" s="258"/>
      <c r="I20" s="258"/>
      <c r="J20" s="258"/>
      <c r="K20" s="258"/>
      <c r="L20" s="258"/>
      <c r="M20" s="258"/>
      <c r="N20" s="258"/>
      <c r="O20" s="258"/>
      <c r="P20" s="258"/>
      <c r="Q20" s="258"/>
      <c r="R20" s="258"/>
      <c r="S20" s="258"/>
      <c r="T20" s="258"/>
      <c r="U20" s="258"/>
      <c r="V20" s="258"/>
      <c r="W20" s="258"/>
      <c r="X20" s="258"/>
      <c r="Y20" s="258"/>
      <c r="Z20" s="258"/>
    </row>
    <row r="21" spans="1:26" x14ac:dyDescent="0.3">
      <c r="A21" s="258"/>
      <c r="B21" s="258" t="s">
        <v>305</v>
      </c>
      <c r="C21" s="264">
        <f>IF(C19="","",C19+7*(MIN(MAX('02 Dashboard'!$C$4,1),C20)-1))</f>
        <v>46083</v>
      </c>
      <c r="D21" s="258"/>
      <c r="E21" s="258"/>
      <c r="F21" s="258"/>
      <c r="G21" s="258"/>
      <c r="H21" s="258"/>
      <c r="I21" s="258"/>
      <c r="J21" s="258"/>
      <c r="K21" s="258"/>
      <c r="L21" s="258"/>
      <c r="M21" s="258"/>
      <c r="N21" s="258"/>
      <c r="O21" s="258"/>
      <c r="P21" s="258"/>
      <c r="Q21" s="258"/>
      <c r="R21" s="258"/>
      <c r="S21" s="258"/>
      <c r="T21" s="258"/>
      <c r="U21" s="258"/>
      <c r="V21" s="258"/>
      <c r="W21" s="258"/>
      <c r="X21" s="258"/>
      <c r="Y21" s="258"/>
      <c r="Z21" s="258"/>
    </row>
    <row r="22" spans="1:26" x14ac:dyDescent="0.3">
      <c r="A22" s="258"/>
      <c r="B22" s="258" t="s">
        <v>306</v>
      </c>
      <c r="C22" s="264">
        <f>IF(C21="","",C21+6)</f>
        <v>46089</v>
      </c>
      <c r="D22" s="258"/>
      <c r="E22" s="258"/>
      <c r="F22" s="258"/>
      <c r="G22" s="258"/>
      <c r="H22" s="258"/>
      <c r="I22" s="258"/>
      <c r="J22" s="258"/>
      <c r="K22" s="258"/>
      <c r="L22" s="258"/>
      <c r="M22" s="258"/>
      <c r="N22" s="258"/>
      <c r="O22" s="258"/>
      <c r="P22" s="258"/>
      <c r="Q22" s="258"/>
      <c r="R22" s="258"/>
      <c r="S22" s="258"/>
      <c r="T22" s="258"/>
      <c r="U22" s="258"/>
      <c r="V22" s="258"/>
      <c r="W22" s="258"/>
      <c r="X22" s="258"/>
      <c r="Y22" s="258"/>
      <c r="Z22" s="258"/>
    </row>
    <row r="23" spans="1:26" x14ac:dyDescent="0.3">
      <c r="A23" s="258"/>
      <c r="B23" s="258" t="s">
        <v>307</v>
      </c>
      <c r="C23" s="258">
        <f>COUNTIFS('03 Day log'!$A$8:$A$38,"&gt;="&amp;C21,'03 Day log'!$A$8:$A$38,"&lt;="&amp;C22)</f>
        <v>5</v>
      </c>
      <c r="D23" s="258"/>
      <c r="E23" s="258"/>
      <c r="F23" s="258"/>
      <c r="G23" s="258"/>
      <c r="H23" s="258"/>
      <c r="I23" s="258"/>
      <c r="J23" s="258"/>
      <c r="K23" s="258"/>
      <c r="L23" s="258"/>
      <c r="M23" s="258"/>
      <c r="N23" s="258"/>
      <c r="O23" s="258"/>
      <c r="P23" s="258"/>
      <c r="Q23" s="258"/>
      <c r="R23" s="258"/>
      <c r="S23" s="258"/>
      <c r="T23" s="258"/>
      <c r="U23" s="258"/>
      <c r="V23" s="258"/>
      <c r="W23" s="258"/>
      <c r="X23" s="258"/>
      <c r="Y23" s="258"/>
      <c r="Z23" s="258"/>
    </row>
    <row r="24" spans="1:26" x14ac:dyDescent="0.3">
      <c r="A24" s="258"/>
      <c r="B24" s="258"/>
      <c r="C24" s="258"/>
      <c r="D24" s="258"/>
      <c r="E24" s="258"/>
      <c r="F24" s="258"/>
      <c r="G24" s="258"/>
      <c r="H24" s="258"/>
      <c r="I24" s="258"/>
      <c r="J24" s="258"/>
      <c r="K24" s="258"/>
      <c r="L24" s="258"/>
      <c r="M24" s="258"/>
      <c r="N24" s="258"/>
      <c r="O24" s="258"/>
      <c r="P24" s="258"/>
      <c r="Q24" s="258"/>
      <c r="R24" s="258"/>
      <c r="S24" s="258"/>
      <c r="T24" s="258"/>
      <c r="U24" s="258"/>
      <c r="V24" s="258"/>
      <c r="W24" s="258"/>
      <c r="X24" s="258"/>
      <c r="Y24" s="258"/>
      <c r="Z24" s="258"/>
    </row>
    <row r="25" spans="1:26" x14ac:dyDescent="0.3">
      <c r="A25" s="258"/>
      <c r="B25" s="265" t="s">
        <v>42</v>
      </c>
      <c r="C25" s="265" t="s">
        <v>309</v>
      </c>
      <c r="D25" s="265" t="s">
        <v>44</v>
      </c>
      <c r="E25" s="265" t="s">
        <v>45</v>
      </c>
      <c r="F25" s="265" t="s">
        <v>143</v>
      </c>
      <c r="G25" s="265" t="s">
        <v>43</v>
      </c>
      <c r="H25" s="265" t="s">
        <v>219</v>
      </c>
      <c r="I25" s="265" t="s">
        <v>46</v>
      </c>
      <c r="J25" s="258"/>
      <c r="K25" s="258"/>
      <c r="L25" s="258"/>
      <c r="M25" s="258"/>
      <c r="N25" s="258"/>
      <c r="O25" s="258"/>
      <c r="P25" s="258"/>
      <c r="Q25" s="258"/>
      <c r="R25" s="258"/>
      <c r="S25" s="258"/>
      <c r="T25" s="258"/>
      <c r="U25" s="258"/>
      <c r="V25" s="258"/>
      <c r="W25" s="258"/>
      <c r="X25" s="258"/>
      <c r="Y25" s="258"/>
      <c r="Z25" s="258"/>
    </row>
    <row r="26" spans="1:26" x14ac:dyDescent="0.3">
      <c r="A26" s="258"/>
      <c r="B26" s="264">
        <f>IF(WeekStart="","",WeekStart)</f>
        <v>46083</v>
      </c>
      <c r="C26" s="258" t="str">
        <f>IF(B26="","",TEXT(B26,"ddd d"))</f>
        <v>Mon 2</v>
      </c>
      <c r="D26" s="266">
        <f>IF(OR($B26="",COUNTIF('03 Day log'!$A$8:$A$38,$B26)=0),"",INDEX('03 Day log'!$H$8:$H$38,MATCH($B26,'03 Day log'!$A$8:$A$38,0)))</f>
        <v>26</v>
      </c>
      <c r="E26" s="258">
        <f>IF(OR($B26="",COUNTIF('03 Day log'!$A$8:$A$38,$B26)=0),NA(),INDEX('03 Day log'!$E$8:$E$38,MATCH($B26,'03 Day log'!$A$8:$A$38,0)))</f>
        <v>0</v>
      </c>
      <c r="F26" s="258">
        <f>IF(OR($B26="",COUNTIF('03 Day log'!$A$8:$A$38,$B26)=0),NA(),INDEX('03 Day log'!$I$8:$I$38,MATCH($B26,'03 Day log'!$A$8:$A$38,0)))</f>
        <v>4</v>
      </c>
      <c r="G26" s="258" t="str">
        <f>IF(OR($B26="",COUNTIF('03 Day log'!$A$8:$A$38,$B26)=0),"",INDEX('03 Day log'!$G$8:$G$38,MATCH($B26,'03 Day log'!$A$8:$A$38,0)))</f>
        <v>Workable</v>
      </c>
      <c r="H26" s="258">
        <f>IF(OR($B26="",COUNTIF('03 Day log'!$A$8:$A$38,$B26)=0),"",INDEX('03 Day log'!$K$8:$K$38,MATCH($B26,'03 Day log'!$A$8:$A$38,0)))</f>
        <v>0</v>
      </c>
      <c r="I26" s="258" t="str">
        <f>IF(OR($B26="",COUNTIF('03 Day log'!$A$8:$A$38,$B26)=0),"",INDEX('03 Day log'!$L$8:$L$38,MATCH($B26,'03 Day log'!$A$8:$A$38,0)))</f>
        <v>Piling P15 and P16</v>
      </c>
      <c r="J26" s="258"/>
      <c r="K26" s="258"/>
      <c r="L26" s="258"/>
      <c r="M26" s="258"/>
      <c r="N26" s="258"/>
      <c r="O26" s="258"/>
      <c r="P26" s="258"/>
      <c r="Q26" s="258"/>
      <c r="R26" s="258"/>
      <c r="S26" s="258"/>
      <c r="T26" s="258"/>
      <c r="U26" s="258"/>
      <c r="V26" s="258"/>
      <c r="W26" s="258"/>
      <c r="X26" s="258"/>
      <c r="Y26" s="258"/>
      <c r="Z26" s="258"/>
    </row>
    <row r="27" spans="1:26" x14ac:dyDescent="0.3">
      <c r="A27" s="258"/>
      <c r="B27" s="264">
        <f>IF(B26="","",B26+1)</f>
        <v>46084</v>
      </c>
      <c r="C27" s="258" t="str">
        <f>IF(B27="","",TEXT(B27,"ddd d"))</f>
        <v>Tue 3</v>
      </c>
      <c r="D27" s="266">
        <f>IF(OR($B27="",COUNTIF('03 Day log'!$A$8:$A$38,$B27)=0),"",INDEX('03 Day log'!$H$8:$H$38,MATCH($B27,'03 Day log'!$A$8:$A$38,0)))</f>
        <v>28</v>
      </c>
      <c r="E27" s="258">
        <f>IF(OR($B27="",COUNTIF('03 Day log'!$A$8:$A$38,$B27)=0),NA(),INDEX('03 Day log'!$E$8:$E$38,MATCH($B27,'03 Day log'!$A$8:$A$38,0)))</f>
        <v>1</v>
      </c>
      <c r="F27" s="258">
        <f>IF(OR($B27="",COUNTIF('03 Day log'!$A$8:$A$38,$B27)=0),NA(),INDEX('03 Day log'!$I$8:$I$38,MATCH($B27,'03 Day log'!$A$8:$A$38,0)))</f>
        <v>3</v>
      </c>
      <c r="G27" s="258" t="str">
        <f>IF(OR($B27="",COUNTIF('03 Day log'!$A$8:$A$38,$B27)=0),"",INDEX('03 Day log'!$G$8:$G$38,MATCH($B27,'03 Day log'!$A$8:$A$38,0)))</f>
        <v>Part lost</v>
      </c>
      <c r="H27" s="258">
        <f>IF(OR($B27="",COUNTIF('03 Day log'!$A$8:$A$38,$B27)=0),"",INDEX('03 Day log'!$K$8:$K$38,MATCH($B27,'03 Day log'!$A$8:$A$38,0)))</f>
        <v>2</v>
      </c>
      <c r="I27" s="258" t="str">
        <f>IF(OR($B27="",COUNTIF('03 Day log'!$A$8:$A$38,$B27)=0),"",INDEX('03 Day log'!$L$8:$L$38,MATCH($B27,'03 Day log'!$A$8:$A$38,0)))</f>
        <v>Piling rig: penetration rate changed at P17 and P18, consistent with rock. Driller’s log kept.</v>
      </c>
      <c r="J27" s="258"/>
      <c r="K27" s="258"/>
      <c r="L27" s="258"/>
      <c r="M27" s="258"/>
      <c r="N27" s="258"/>
      <c r="O27" s="258"/>
      <c r="P27" s="258"/>
      <c r="Q27" s="258"/>
      <c r="R27" s="258"/>
      <c r="S27" s="258"/>
      <c r="T27" s="258"/>
      <c r="U27" s="258"/>
      <c r="V27" s="258"/>
      <c r="W27" s="258"/>
      <c r="X27" s="258"/>
      <c r="Y27" s="258"/>
      <c r="Z27" s="258"/>
    </row>
    <row r="28" spans="1:26" x14ac:dyDescent="0.3">
      <c r="A28" s="258"/>
      <c r="B28" s="264">
        <f>IF(B27="","",B27+1)</f>
        <v>46085</v>
      </c>
      <c r="C28" s="258" t="str">
        <f>IF(B28="","",TEXT(B28,"ddd d"))</f>
        <v>Wed 4</v>
      </c>
      <c r="D28" s="266">
        <f>IF(OR($B28="",COUNTIF('03 Day log'!$A$8:$A$38,$B28)=0),"",INDEX('03 Day log'!$H$8:$H$38,MATCH($B28,'03 Day log'!$A$8:$A$38,0)))</f>
        <v>22</v>
      </c>
      <c r="E28" s="258">
        <f>IF(OR($B28="",COUNTIF('03 Day log'!$A$8:$A$38,$B28)=0),NA(),INDEX('03 Day log'!$E$8:$E$38,MATCH($B28,'03 Day log'!$A$8:$A$38,0)))</f>
        <v>0</v>
      </c>
      <c r="F28" s="258">
        <f>IF(OR($B28="",COUNTIF('03 Day log'!$A$8:$A$38,$B28)=0),NA(),INDEX('03 Day log'!$I$8:$I$38,MATCH($B28,'03 Day log'!$A$8:$A$38,0)))</f>
        <v>3</v>
      </c>
      <c r="G28" s="258" t="str">
        <f>IF(OR($B28="",COUNTIF('03 Day log'!$A$8:$A$38,$B28)=0),"",INDEX('03 Day log'!$G$8:$G$38,MATCH($B28,'03 Day log'!$A$8:$A$38,0)))</f>
        <v>Part lost</v>
      </c>
      <c r="H28" s="258">
        <f>IF(OR($B28="",COUNTIF('03 Day log'!$A$8:$A$38,$B28)=0),"",INDEX('03 Day log'!$K$8:$K$38,MATCH($B28,'03 Day log'!$A$8:$A$38,0)))</f>
        <v>0</v>
      </c>
      <c r="I28" s="258" t="str">
        <f>IF(OR($B28="",COUNTIF('03 Day log'!$A$8:$A$38,$B28)=0),"",INDEX('03 Day log'!$L$8:$L$38,MATCH($B28,'03 Day log'!$A$8:$A$38,0)))</f>
        <v>Bar schedule revision for bay 2 requested</v>
      </c>
      <c r="J28" s="258"/>
      <c r="K28" s="258"/>
      <c r="L28" s="258"/>
      <c r="M28" s="258"/>
      <c r="N28" s="258"/>
      <c r="O28" s="258"/>
      <c r="P28" s="258"/>
      <c r="Q28" s="258"/>
      <c r="R28" s="258"/>
      <c r="S28" s="258"/>
      <c r="T28" s="258"/>
      <c r="U28" s="258"/>
      <c r="V28" s="258"/>
      <c r="W28" s="258"/>
      <c r="X28" s="258"/>
      <c r="Y28" s="258"/>
      <c r="Z28" s="258"/>
    </row>
    <row r="29" spans="1:26" x14ac:dyDescent="0.3">
      <c r="A29" s="258"/>
      <c r="B29" s="264">
        <f>IF(B28="","",B28+1)</f>
        <v>46086</v>
      </c>
      <c r="C29" s="258" t="str">
        <f>IF(B29="","",TEXT(B29,"ddd d"))</f>
        <v>Thu 5</v>
      </c>
      <c r="D29" s="266">
        <f>IF(OR($B29="",COUNTIF('03 Day log'!$A$8:$A$38,$B29)=0),"",INDEX('03 Day log'!$H$8:$H$38,MATCH($B29,'03 Day log'!$A$8:$A$38,0)))</f>
        <v>10</v>
      </c>
      <c r="E29" s="258">
        <f>IF(OR($B29="",COUNTIF('03 Day log'!$A$8:$A$38,$B29)=0),NA(),INDEX('03 Day log'!$E$8:$E$38,MATCH($B29,'03 Day log'!$A$8:$A$38,0)))</f>
        <v>2</v>
      </c>
      <c r="F29" s="258">
        <f>IF(OR($B29="",COUNTIF('03 Day log'!$A$8:$A$38,$B29)=0),NA(),INDEX('03 Day log'!$I$8:$I$38,MATCH($B29,'03 Day log'!$A$8:$A$38,0)))</f>
        <v>1</v>
      </c>
      <c r="G29" s="258" t="str">
        <f>IF(OR($B29="",COUNTIF('03 Day log'!$A$8:$A$38,$B29)=0),"",INDEX('03 Day log'!$G$8:$G$38,MATCH($B29,'03 Day log'!$A$8:$A$38,0)))</f>
        <v>Lost</v>
      </c>
      <c r="H29" s="258">
        <f>IF(OR($B29="",COUNTIF('03 Day log'!$A$8:$A$38,$B29)=0),"",INDEX('03 Day log'!$K$8:$K$38,MATCH($B29,'03 Day log'!$A$8:$A$38,0)))</f>
        <v>0</v>
      </c>
      <c r="I29" s="258" t="str">
        <f>IF(OR($B29="",COUNTIF('03 Day log'!$A$8:$A$38,$B29)=0),"",INDEX('03 Day log'!$L$8:$L$38,MATCH($B29,'03 Day log'!$A$8:$A$38,0)))</f>
        <v>No pours: heavy rain</v>
      </c>
      <c r="J29" s="258"/>
      <c r="K29" s="258"/>
      <c r="L29" s="258"/>
      <c r="M29" s="258"/>
      <c r="N29" s="258"/>
      <c r="O29" s="258"/>
      <c r="P29" s="258"/>
      <c r="Q29" s="258"/>
      <c r="R29" s="258"/>
      <c r="S29" s="258"/>
      <c r="T29" s="258"/>
      <c r="U29" s="258"/>
      <c r="V29" s="258"/>
      <c r="W29" s="258"/>
      <c r="X29" s="258"/>
      <c r="Y29" s="258"/>
      <c r="Z29" s="258"/>
    </row>
    <row r="30" spans="1:26" x14ac:dyDescent="0.3">
      <c r="A30" s="258"/>
      <c r="B30" s="264">
        <f>IF(B29="","",B29+1)</f>
        <v>46087</v>
      </c>
      <c r="C30" s="258" t="str">
        <f>IF(B30="","",TEXT(B30,"ddd d"))</f>
        <v>Fri 6</v>
      </c>
      <c r="D30" s="266">
        <f>IF(OR($B30="",COUNTIF('03 Day log'!$A$8:$A$38,$B30)=0),"",INDEX('03 Day log'!$H$8:$H$38,MATCH($B30,'03 Day log'!$A$8:$A$38,0)))</f>
        <v>27</v>
      </c>
      <c r="E30" s="258">
        <f>IF(OR($B30="",COUNTIF('03 Day log'!$A$8:$A$38,$B30)=0),NA(),INDEX('03 Day log'!$E$8:$E$38,MATCH($B30,'03 Day log'!$A$8:$A$38,0)))</f>
        <v>0</v>
      </c>
      <c r="F30" s="258">
        <f>IF(OR($B30="",COUNTIF('03 Day log'!$A$8:$A$38,$B30)=0),NA(),INDEX('03 Day log'!$I$8:$I$38,MATCH($B30,'03 Day log'!$A$8:$A$38,0)))</f>
        <v>4</v>
      </c>
      <c r="G30" s="258" t="str">
        <f>IF(OR($B30="",COUNTIF('03 Day log'!$A$8:$A$38,$B30)=0),"",INDEX('03 Day log'!$G$8:$G$38,MATCH($B30,'03 Day log'!$A$8:$A$38,0)))</f>
        <v>Workable</v>
      </c>
      <c r="H30" s="258">
        <f>IF(OR($B30="",COUNTIF('03 Day log'!$A$8:$A$38,$B30)=0),"",INDEX('03 Day log'!$K$8:$K$38,MATCH($B30,'03 Day log'!$A$8:$A$38,0)))</f>
        <v>0</v>
      </c>
      <c r="I30" s="258" t="str">
        <f>IF(OR($B30="",COUNTIF('03 Day log'!$A$8:$A$38,$B30)=0),"",INDEX('03 Day log'!$L$8:$L$38,MATCH($B30,'03 Day log'!$A$8:$A$38,0)))</f>
        <v>Crane booked for 17 March</v>
      </c>
      <c r="J30" s="258"/>
      <c r="K30" s="258"/>
      <c r="L30" s="258"/>
      <c r="M30" s="258"/>
      <c r="N30" s="258"/>
      <c r="O30" s="258"/>
      <c r="P30" s="258"/>
      <c r="Q30" s="258"/>
      <c r="R30" s="258"/>
      <c r="S30" s="258"/>
      <c r="T30" s="258"/>
      <c r="U30" s="258"/>
      <c r="V30" s="258"/>
      <c r="W30" s="258"/>
      <c r="X30" s="258"/>
      <c r="Y30" s="258"/>
      <c r="Z30" s="258"/>
    </row>
    <row r="31" spans="1:26" x14ac:dyDescent="0.3">
      <c r="A31" s="258"/>
      <c r="B31" s="264">
        <f>IF(B30="","",B30+1)</f>
        <v>46088</v>
      </c>
      <c r="C31" s="258" t="str">
        <f>IF(B31="","",TEXT(B31,"ddd d"))</f>
        <v>Sat 7</v>
      </c>
      <c r="D31" s="266" t="str">
        <f>IF(OR($B31="",COUNTIF('03 Day log'!$A$8:$A$38,$B31)=0),"",INDEX('03 Day log'!$H$8:$H$38,MATCH($B31,'03 Day log'!$A$8:$A$38,0)))</f>
        <v/>
      </c>
      <c r="E31" s="258" t="e">
        <f>IF(OR($B31="",COUNTIF('03 Day log'!$A$8:$A$38,$B31)=0),NA(),INDEX('03 Day log'!$E$8:$E$38,MATCH($B31,'03 Day log'!$A$8:$A$38,0)))</f>
        <v>#N/A</v>
      </c>
      <c r="F31" s="258" t="e">
        <f>IF(OR($B31="",COUNTIF('03 Day log'!$A$8:$A$38,$B31)=0),NA(),INDEX('03 Day log'!$I$8:$I$38,MATCH($B31,'03 Day log'!$A$8:$A$38,0)))</f>
        <v>#N/A</v>
      </c>
      <c r="G31" s="258" t="str">
        <f>IF(OR($B31="",COUNTIF('03 Day log'!$A$8:$A$38,$B31)=0),"",INDEX('03 Day log'!$G$8:$G$38,MATCH($B31,'03 Day log'!$A$8:$A$38,0)))</f>
        <v/>
      </c>
      <c r="H31" s="258" t="str">
        <f>IF(OR($B31="",COUNTIF('03 Day log'!$A$8:$A$38,$B31)=0),"",INDEX('03 Day log'!$K$8:$K$38,MATCH($B31,'03 Day log'!$A$8:$A$38,0)))</f>
        <v/>
      </c>
      <c r="I31" s="258" t="str">
        <f>IF(OR($B31="",COUNTIF('03 Day log'!$A$8:$A$38,$B31)=0),"",INDEX('03 Day log'!$L$8:$L$38,MATCH($B31,'03 Day log'!$A$8:$A$38,0)))</f>
        <v/>
      </c>
      <c r="J31" s="258"/>
      <c r="K31" s="258"/>
      <c r="L31" s="258"/>
      <c r="M31" s="258"/>
      <c r="N31" s="258"/>
      <c r="O31" s="258"/>
      <c r="P31" s="258"/>
      <c r="Q31" s="258"/>
      <c r="R31" s="258"/>
      <c r="S31" s="258"/>
      <c r="T31" s="258"/>
      <c r="U31" s="258"/>
      <c r="V31" s="258"/>
      <c r="W31" s="258"/>
      <c r="X31" s="258"/>
      <c r="Y31" s="258"/>
      <c r="Z31" s="258"/>
    </row>
    <row r="32" spans="1:26" x14ac:dyDescent="0.3">
      <c r="A32" s="258"/>
      <c r="B32" s="264">
        <f>IF(B31="","",B31+1)</f>
        <v>46089</v>
      </c>
      <c r="C32" s="258" t="str">
        <f>IF(B32="","",TEXT(B32,"ddd d"))</f>
        <v>Sun 8</v>
      </c>
      <c r="D32" s="266" t="str">
        <f>IF(OR($B32="",COUNTIF('03 Day log'!$A$8:$A$38,$B32)=0),"",INDEX('03 Day log'!$H$8:$H$38,MATCH($B32,'03 Day log'!$A$8:$A$38,0)))</f>
        <v/>
      </c>
      <c r="E32" s="258" t="e">
        <f>IF(OR($B32="",COUNTIF('03 Day log'!$A$8:$A$38,$B32)=0),NA(),INDEX('03 Day log'!$E$8:$E$38,MATCH($B32,'03 Day log'!$A$8:$A$38,0)))</f>
        <v>#N/A</v>
      </c>
      <c r="F32" s="258" t="e">
        <f>IF(OR($B32="",COUNTIF('03 Day log'!$A$8:$A$38,$B32)=0),NA(),INDEX('03 Day log'!$I$8:$I$38,MATCH($B32,'03 Day log'!$A$8:$A$38,0)))</f>
        <v>#N/A</v>
      </c>
      <c r="G32" s="258" t="str">
        <f>IF(OR($B32="",COUNTIF('03 Day log'!$A$8:$A$38,$B32)=0),"",INDEX('03 Day log'!$G$8:$G$38,MATCH($B32,'03 Day log'!$A$8:$A$38,0)))</f>
        <v/>
      </c>
      <c r="H32" s="258" t="str">
        <f>IF(OR($B32="",COUNTIF('03 Day log'!$A$8:$A$38,$B32)=0),"",INDEX('03 Day log'!$K$8:$K$38,MATCH($B32,'03 Day log'!$A$8:$A$38,0)))</f>
        <v/>
      </c>
      <c r="I32" s="258" t="str">
        <f>IF(OR($B32="",COUNTIF('03 Day log'!$A$8:$A$38,$B32)=0),"",INDEX('03 Day log'!$L$8:$L$38,MATCH($B32,'03 Day log'!$A$8:$A$38,0)))</f>
        <v/>
      </c>
      <c r="J32" s="258"/>
      <c r="K32" s="258"/>
      <c r="L32" s="258"/>
      <c r="M32" s="258"/>
      <c r="N32" s="258"/>
      <c r="O32" s="258"/>
      <c r="P32" s="258"/>
      <c r="Q32" s="258"/>
      <c r="R32" s="258"/>
      <c r="S32" s="258"/>
      <c r="T32" s="258"/>
      <c r="U32" s="258"/>
      <c r="V32" s="258"/>
      <c r="W32" s="258"/>
      <c r="X32" s="258"/>
      <c r="Y32" s="258"/>
      <c r="Z32" s="258"/>
    </row>
    <row r="33" spans="1:26" x14ac:dyDescent="0.3">
      <c r="A33" s="258"/>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row>
    <row r="34" spans="1:26" x14ac:dyDescent="0.3">
      <c r="A34" s="258"/>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58"/>
      <c r="Z34" s="258"/>
    </row>
    <row r="35" spans="1:26" x14ac:dyDescent="0.3">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row>
    <row r="36" spans="1:26" x14ac:dyDescent="0.3">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row>
    <row r="37" spans="1:26" x14ac:dyDescent="0.3">
      <c r="A37" s="258"/>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8"/>
      <c r="Z37" s="258"/>
    </row>
    <row r="38" spans="1:26" x14ac:dyDescent="0.3">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row>
    <row r="39" spans="1:26" x14ac:dyDescent="0.3">
      <c r="A39" s="258"/>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8"/>
      <c r="Z39" s="258"/>
    </row>
    <row r="40" spans="1:26" x14ac:dyDescent="0.3">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row>
    <row r="41" spans="1:26" x14ac:dyDescent="0.3">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row>
    <row r="42" spans="1:26" x14ac:dyDescent="0.3">
      <c r="A42" s="258"/>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58"/>
      <c r="Z42" s="258"/>
    </row>
    <row r="43" spans="1:26" x14ac:dyDescent="0.3">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row>
    <row r="44" spans="1:26" x14ac:dyDescent="0.3">
      <c r="A44" s="258"/>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row>
    <row r="45" spans="1:26" x14ac:dyDescent="0.3">
      <c r="A45" s="258"/>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8"/>
      <c r="Z45" s="258"/>
    </row>
    <row r="46" spans="1:26" x14ac:dyDescent="0.3">
      <c r="A46" s="258"/>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row>
    <row r="47" spans="1:26" x14ac:dyDescent="0.3">
      <c r="A47" s="258"/>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8"/>
      <c r="Z47" s="258"/>
    </row>
    <row r="48" spans="1:26" x14ac:dyDescent="0.3">
      <c r="A48" s="258"/>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row>
    <row r="49" spans="1:26" x14ac:dyDescent="0.3">
      <c r="A49" s="258"/>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row>
    <row r="50" spans="1:26" x14ac:dyDescent="0.3">
      <c r="A50" s="258"/>
      <c r="B50" s="258"/>
      <c r="C50" s="258"/>
      <c r="D50" s="258"/>
      <c r="E50" s="258"/>
      <c r="F50" s="258"/>
      <c r="G50" s="258"/>
      <c r="H50" s="258"/>
      <c r="I50" s="258"/>
      <c r="J50" s="258"/>
      <c r="K50" s="258"/>
      <c r="L50" s="258"/>
      <c r="M50" s="258"/>
      <c r="N50" s="258"/>
      <c r="O50" s="258"/>
      <c r="P50" s="258"/>
      <c r="Q50" s="258"/>
      <c r="R50" s="258"/>
      <c r="S50" s="258"/>
      <c r="T50" s="258"/>
      <c r="U50" s="258"/>
      <c r="V50" s="258"/>
      <c r="W50" s="258"/>
      <c r="X50" s="258"/>
      <c r="Y50" s="258"/>
      <c r="Z50" s="258"/>
    </row>
    <row r="51" spans="1:26" x14ac:dyDescent="0.3">
      <c r="A51" s="258"/>
      <c r="B51" s="258"/>
      <c r="C51" s="258"/>
      <c r="D51" s="258"/>
      <c r="E51" s="258"/>
      <c r="F51" s="258"/>
      <c r="G51" s="258"/>
      <c r="H51" s="258"/>
      <c r="I51" s="258"/>
      <c r="J51" s="258"/>
      <c r="K51" s="258"/>
      <c r="L51" s="258"/>
      <c r="M51" s="258"/>
      <c r="N51" s="258"/>
      <c r="O51" s="258"/>
      <c r="P51" s="258"/>
      <c r="Q51" s="258"/>
      <c r="R51" s="258"/>
      <c r="S51" s="258"/>
      <c r="T51" s="258"/>
      <c r="U51" s="258"/>
      <c r="V51" s="258"/>
      <c r="W51" s="258"/>
      <c r="X51" s="258"/>
      <c r="Y51" s="258"/>
      <c r="Z51" s="258"/>
    </row>
    <row r="52" spans="1:26" x14ac:dyDescent="0.3">
      <c r="A52" s="258"/>
      <c r="B52" s="258"/>
      <c r="C52" s="258"/>
      <c r="D52" s="258"/>
      <c r="E52" s="258"/>
      <c r="F52" s="258"/>
      <c r="G52" s="258"/>
      <c r="H52" s="258"/>
      <c r="I52" s="258"/>
      <c r="J52" s="258"/>
      <c r="K52" s="258"/>
      <c r="L52" s="258"/>
      <c r="M52" s="258"/>
      <c r="N52" s="258"/>
      <c r="O52" s="258"/>
      <c r="P52" s="258"/>
      <c r="Q52" s="258"/>
      <c r="R52" s="258"/>
      <c r="S52" s="258"/>
      <c r="T52" s="258"/>
      <c r="U52" s="258"/>
      <c r="V52" s="258"/>
      <c r="W52" s="258"/>
      <c r="X52" s="258"/>
      <c r="Y52" s="258"/>
      <c r="Z52" s="258"/>
    </row>
    <row r="53" spans="1:26" x14ac:dyDescent="0.3">
      <c r="A53" s="258"/>
      <c r="B53" s="258"/>
      <c r="C53" s="258"/>
      <c r="D53" s="258"/>
      <c r="E53" s="258"/>
      <c r="F53" s="258"/>
      <c r="G53" s="258"/>
      <c r="H53" s="258"/>
      <c r="I53" s="258"/>
      <c r="J53" s="258"/>
      <c r="K53" s="258"/>
      <c r="L53" s="258"/>
      <c r="M53" s="258"/>
      <c r="N53" s="258"/>
      <c r="O53" s="258"/>
      <c r="P53" s="258"/>
      <c r="Q53" s="258"/>
      <c r="R53" s="258"/>
      <c r="S53" s="258"/>
      <c r="T53" s="258"/>
      <c r="U53" s="258"/>
      <c r="V53" s="258"/>
      <c r="W53" s="258"/>
      <c r="X53" s="258"/>
      <c r="Y53" s="258"/>
      <c r="Z53" s="258"/>
    </row>
    <row r="54" spans="1:26" x14ac:dyDescent="0.3">
      <c r="A54" s="258"/>
      <c r="B54" s="258"/>
      <c r="C54" s="258"/>
      <c r="D54" s="258"/>
      <c r="E54" s="258"/>
      <c r="F54" s="258"/>
      <c r="G54" s="258"/>
      <c r="H54" s="258"/>
      <c r="I54" s="258"/>
      <c r="J54" s="258"/>
      <c r="K54" s="258"/>
      <c r="L54" s="258"/>
      <c r="M54" s="258"/>
      <c r="N54" s="258"/>
      <c r="O54" s="258"/>
      <c r="P54" s="258"/>
      <c r="Q54" s="258"/>
      <c r="R54" s="258"/>
      <c r="S54" s="258"/>
      <c r="T54" s="258"/>
      <c r="U54" s="258"/>
      <c r="V54" s="258"/>
      <c r="W54" s="258"/>
      <c r="X54" s="258"/>
      <c r="Y54" s="258"/>
      <c r="Z54" s="258"/>
    </row>
    <row r="55" spans="1:26" x14ac:dyDescent="0.3">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c r="Z55" s="258"/>
    </row>
    <row r="56" spans="1:26" x14ac:dyDescent="0.3">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c r="Z56" s="258"/>
    </row>
    <row r="57" spans="1:26" x14ac:dyDescent="0.3">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c r="Z57" s="258"/>
    </row>
    <row r="58" spans="1:26" x14ac:dyDescent="0.3">
      <c r="A58" s="258"/>
      <c r="B58" s="258"/>
      <c r="C58" s="258"/>
      <c r="D58" s="258"/>
      <c r="E58" s="258"/>
      <c r="F58" s="258"/>
      <c r="G58" s="258"/>
      <c r="H58" s="258"/>
      <c r="I58" s="258"/>
      <c r="J58" s="258"/>
      <c r="K58" s="258"/>
      <c r="L58" s="258"/>
      <c r="M58" s="258"/>
      <c r="N58" s="258"/>
      <c r="O58" s="258"/>
      <c r="P58" s="258"/>
      <c r="Q58" s="258"/>
      <c r="R58" s="258"/>
      <c r="S58" s="258"/>
      <c r="T58" s="258"/>
      <c r="U58" s="258"/>
      <c r="V58" s="258"/>
      <c r="W58" s="258"/>
      <c r="X58" s="258"/>
      <c r="Y58" s="258"/>
      <c r="Z58" s="258"/>
    </row>
    <row r="59" spans="1:26" x14ac:dyDescent="0.3">
      <c r="A59" s="258"/>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row>
    <row r="60" spans="1:26" x14ac:dyDescent="0.3">
      <c r="A60" s="258"/>
      <c r="B60" s="258"/>
      <c r="C60" s="258"/>
      <c r="D60" s="258"/>
      <c r="E60" s="258"/>
      <c r="F60" s="258"/>
      <c r="G60" s="258"/>
      <c r="H60" s="258"/>
      <c r="I60" s="258"/>
      <c r="J60" s="258"/>
      <c r="K60" s="258"/>
      <c r="L60" s="258"/>
      <c r="M60" s="258"/>
      <c r="N60" s="258"/>
      <c r="O60" s="258"/>
      <c r="P60" s="258"/>
      <c r="Q60" s="258"/>
      <c r="R60" s="258"/>
      <c r="S60" s="258"/>
      <c r="T60" s="258"/>
      <c r="U60" s="258"/>
      <c r="V60" s="258"/>
      <c r="W60" s="258"/>
      <c r="X60" s="258"/>
      <c r="Y60" s="258"/>
      <c r="Z60" s="258"/>
    </row>
    <row r="61" spans="1:26" x14ac:dyDescent="0.3">
      <c r="A61" s="258"/>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row>
    <row r="62" spans="1:26" x14ac:dyDescent="0.3">
      <c r="A62" s="258"/>
      <c r="B62" s="258"/>
      <c r="C62" s="258"/>
      <c r="D62" s="258"/>
      <c r="E62" s="258"/>
      <c r="F62" s="258"/>
      <c r="G62" s="258"/>
      <c r="H62" s="258"/>
      <c r="I62" s="258"/>
      <c r="J62" s="258"/>
      <c r="K62" s="258"/>
      <c r="L62" s="258"/>
      <c r="M62" s="258"/>
      <c r="N62" s="258"/>
      <c r="O62" s="258"/>
      <c r="P62" s="258"/>
      <c r="Q62" s="258"/>
      <c r="R62" s="258"/>
      <c r="S62" s="258"/>
      <c r="T62" s="258"/>
      <c r="U62" s="258"/>
      <c r="V62" s="258"/>
      <c r="W62" s="258"/>
      <c r="X62" s="258"/>
      <c r="Y62" s="258"/>
      <c r="Z62" s="258"/>
    </row>
    <row r="63" spans="1:26" x14ac:dyDescent="0.3">
      <c r="A63" s="258"/>
      <c r="B63" s="25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row>
    <row r="64" spans="1:26" x14ac:dyDescent="0.3">
      <c r="A64" s="258"/>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row>
    <row r="65" spans="1:26" x14ac:dyDescent="0.3">
      <c r="A65" s="258"/>
      <c r="B65" s="25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row>
    <row r="66" spans="1:26" x14ac:dyDescent="0.3">
      <c r="A66" s="258"/>
      <c r="B66" s="25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row>
    <row r="67" spans="1:26" x14ac:dyDescent="0.3">
      <c r="A67" s="258"/>
      <c r="B67" s="25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row>
    <row r="68" spans="1:26" x14ac:dyDescent="0.3">
      <c r="A68" s="258"/>
      <c r="B68" s="25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row>
    <row r="69" spans="1:26" x14ac:dyDescent="0.3">
      <c r="A69" s="25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row>
    <row r="70" spans="1:26" x14ac:dyDescent="0.3">
      <c r="A70" s="25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row>
    <row r="71" spans="1:26" x14ac:dyDescent="0.3">
      <c r="A71" s="258"/>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row>
    <row r="72" spans="1:26" x14ac:dyDescent="0.3">
      <c r="A72" s="258"/>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row>
    <row r="73" spans="1:26" x14ac:dyDescent="0.3">
      <c r="A73" s="258"/>
      <c r="B73" s="25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row>
    <row r="74" spans="1:26" x14ac:dyDescent="0.3">
      <c r="A74" s="258"/>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row>
    <row r="75" spans="1:26" x14ac:dyDescent="0.3">
      <c r="A75" s="258"/>
      <c r="B75" s="25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row>
    <row r="76" spans="1:26" x14ac:dyDescent="0.3">
      <c r="A76" s="258"/>
      <c r="B76" s="25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row>
    <row r="77" spans="1:26" x14ac:dyDescent="0.3">
      <c r="A77" s="25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row>
    <row r="78" spans="1:26" x14ac:dyDescent="0.3">
      <c r="A78" s="258"/>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row>
    <row r="79" spans="1:26" x14ac:dyDescent="0.3">
      <c r="A79" s="258"/>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row>
    <row r="80" spans="1:26" x14ac:dyDescent="0.3">
      <c r="A80" s="258"/>
      <c r="B80" s="25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row>
    <row r="81" spans="1:26" x14ac:dyDescent="0.3">
      <c r="A81" s="258"/>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row>
    <row r="82" spans="1:26" x14ac:dyDescent="0.3">
      <c r="A82" s="258"/>
      <c r="B82" s="25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row>
    <row r="83" spans="1:26" x14ac:dyDescent="0.3">
      <c r="A83" s="258"/>
      <c r="B83" s="25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row>
    <row r="84" spans="1:26" x14ac:dyDescent="0.3">
      <c r="A84" s="258"/>
      <c r="B84" s="25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row>
    <row r="85" spans="1:26" x14ac:dyDescent="0.3">
      <c r="A85" s="258"/>
      <c r="B85" s="25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row>
    <row r="86" spans="1:26" x14ac:dyDescent="0.3">
      <c r="A86" s="258"/>
      <c r="B86" s="25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row>
    <row r="87" spans="1:26" x14ac:dyDescent="0.3">
      <c r="A87" s="258"/>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row>
    <row r="88" spans="1:26" x14ac:dyDescent="0.3">
      <c r="A88" s="258"/>
      <c r="B88" s="25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row>
    <row r="89" spans="1:26" x14ac:dyDescent="0.3">
      <c r="A89" s="258"/>
      <c r="B89" s="25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row>
    <row r="90" spans="1:26" x14ac:dyDescent="0.3">
      <c r="A90" s="258"/>
      <c r="B90" s="25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row>
    <row r="91" spans="1:26" x14ac:dyDescent="0.3">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row>
    <row r="92" spans="1:26" x14ac:dyDescent="0.3">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row>
    <row r="93" spans="1:26" x14ac:dyDescent="0.3">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row>
    <row r="94" spans="1:26" x14ac:dyDescent="0.3">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row>
    <row r="95" spans="1:26" x14ac:dyDescent="0.3">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row>
    <row r="96" spans="1:26" x14ac:dyDescent="0.3">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row>
    <row r="97" spans="1:26" x14ac:dyDescent="0.3">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row>
    <row r="98" spans="1:26" x14ac:dyDescent="0.3">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row>
    <row r="99" spans="1:26" x14ac:dyDescent="0.3">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row>
    <row r="100" spans="1:26" x14ac:dyDescent="0.3">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row>
    <row r="101" spans="1:26" x14ac:dyDescent="0.3">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row>
    <row r="102" spans="1:26" x14ac:dyDescent="0.3">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row>
    <row r="103" spans="1:26" x14ac:dyDescent="0.3">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row>
    <row r="104" spans="1:26" x14ac:dyDescent="0.3">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row>
    <row r="105" spans="1:26" x14ac:dyDescent="0.3">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row>
    <row r="106" spans="1:26" x14ac:dyDescent="0.3">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row>
    <row r="107" spans="1:26" x14ac:dyDescent="0.3">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row>
    <row r="108" spans="1:26" x14ac:dyDescent="0.3">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row>
    <row r="109" spans="1:26" x14ac:dyDescent="0.3">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row>
    <row r="110" spans="1:26" x14ac:dyDescent="0.3">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row>
    <row r="111" spans="1:26" x14ac:dyDescent="0.3">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row>
    <row r="112" spans="1:26" x14ac:dyDescent="0.3">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row>
    <row r="113" spans="1:26" x14ac:dyDescent="0.3">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row>
    <row r="114" spans="1:26" x14ac:dyDescent="0.3">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row>
    <row r="115" spans="1:26" x14ac:dyDescent="0.3">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row>
    <row r="116" spans="1:26" x14ac:dyDescent="0.3">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row>
    <row r="117" spans="1:26" x14ac:dyDescent="0.3">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row>
    <row r="118" spans="1:26" x14ac:dyDescent="0.3">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row>
    <row r="119" spans="1:26" x14ac:dyDescent="0.3">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row>
    <row r="120" spans="1:26" x14ac:dyDescent="0.3">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row>
    <row r="121" spans="1:26" x14ac:dyDescent="0.3">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row>
    <row r="122" spans="1:26" x14ac:dyDescent="0.3">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row>
    <row r="123" spans="1:26" x14ac:dyDescent="0.3">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row>
    <row r="124" spans="1:26" x14ac:dyDescent="0.3">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row>
    <row r="125" spans="1:26" x14ac:dyDescent="0.3">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row>
    <row r="126" spans="1:26" x14ac:dyDescent="0.3">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row>
    <row r="127" spans="1:26" x14ac:dyDescent="0.3">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row>
    <row r="128" spans="1:26" x14ac:dyDescent="0.3">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row>
    <row r="129" spans="1:26" x14ac:dyDescent="0.3">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row>
    <row r="130" spans="1:26" x14ac:dyDescent="0.3">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row>
    <row r="131" spans="1:26" x14ac:dyDescent="0.3">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row>
    <row r="132" spans="1:26" x14ac:dyDescent="0.3">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row>
    <row r="133" spans="1:26" x14ac:dyDescent="0.3">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row>
    <row r="134" spans="1:26" x14ac:dyDescent="0.3">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row>
    <row r="135" spans="1:26" x14ac:dyDescent="0.3">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row>
    <row r="136" spans="1:26" x14ac:dyDescent="0.3">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row>
    <row r="137" spans="1:26" x14ac:dyDescent="0.3">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row>
    <row r="138" spans="1:26" x14ac:dyDescent="0.3">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row>
    <row r="139" spans="1:26" x14ac:dyDescent="0.3">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row>
    <row r="140" spans="1:26" x14ac:dyDescent="0.3">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row>
    <row r="141" spans="1:26" x14ac:dyDescent="0.3">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row>
    <row r="142" spans="1:26" x14ac:dyDescent="0.3">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row>
    <row r="143" spans="1:26" x14ac:dyDescent="0.3">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row>
    <row r="144" spans="1:26" x14ac:dyDescent="0.3">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row>
    <row r="145" spans="1:26" x14ac:dyDescent="0.3">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row>
    <row r="146" spans="1:26" x14ac:dyDescent="0.3">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row>
    <row r="147" spans="1:26" x14ac:dyDescent="0.3">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row>
    <row r="148" spans="1:26" x14ac:dyDescent="0.3">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row>
    <row r="149" spans="1:26" x14ac:dyDescent="0.3">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row>
    <row r="150" spans="1:26" x14ac:dyDescent="0.3">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row>
    <row r="151" spans="1:26" x14ac:dyDescent="0.3">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row>
    <row r="152" spans="1:26" x14ac:dyDescent="0.3">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row>
    <row r="153" spans="1:26" x14ac:dyDescent="0.3">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row>
    <row r="154" spans="1:26" x14ac:dyDescent="0.3">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row>
    <row r="155" spans="1:26" x14ac:dyDescent="0.3">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row>
    <row r="156" spans="1:26" x14ac:dyDescent="0.3">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row>
    <row r="157" spans="1:26" x14ac:dyDescent="0.3">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row>
    <row r="158" spans="1:26" x14ac:dyDescent="0.3">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row>
    <row r="159" spans="1:26" x14ac:dyDescent="0.3">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row>
    <row r="160" spans="1:26" x14ac:dyDescent="0.3">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row>
    <row r="161" spans="1:26" x14ac:dyDescent="0.3">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row>
    <row r="162" spans="1:26" x14ac:dyDescent="0.3">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row>
    <row r="163" spans="1:26" x14ac:dyDescent="0.3">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row>
    <row r="164" spans="1:26" x14ac:dyDescent="0.3">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row>
    <row r="165" spans="1:26" x14ac:dyDescent="0.3">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row>
    <row r="166" spans="1:26" x14ac:dyDescent="0.3">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row>
    <row r="167" spans="1:26" x14ac:dyDescent="0.3">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row>
    <row r="168" spans="1:26" x14ac:dyDescent="0.3">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row>
    <row r="169" spans="1:26" x14ac:dyDescent="0.3">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row>
    <row r="170" spans="1:26" x14ac:dyDescent="0.3">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row>
    <row r="171" spans="1:26" x14ac:dyDescent="0.3">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row>
    <row r="172" spans="1:26" x14ac:dyDescent="0.3">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row>
    <row r="173" spans="1:26" x14ac:dyDescent="0.3">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row>
    <row r="174" spans="1:26" x14ac:dyDescent="0.3">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row>
    <row r="175" spans="1:26" x14ac:dyDescent="0.3">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row>
    <row r="176" spans="1:26" x14ac:dyDescent="0.3">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row>
    <row r="177" spans="1:26" x14ac:dyDescent="0.3">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row>
    <row r="178" spans="1:26" x14ac:dyDescent="0.3">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row>
    <row r="179" spans="1:26" x14ac:dyDescent="0.3">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row>
    <row r="180" spans="1:26" x14ac:dyDescent="0.3">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row>
    <row r="181" spans="1:26" x14ac:dyDescent="0.3">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row>
    <row r="182" spans="1:26" x14ac:dyDescent="0.3">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row>
    <row r="183" spans="1:26" x14ac:dyDescent="0.3">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row>
    <row r="184" spans="1:26" x14ac:dyDescent="0.3">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row>
    <row r="185" spans="1:26" x14ac:dyDescent="0.3">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row>
    <row r="186" spans="1:26" x14ac:dyDescent="0.3">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row>
    <row r="187" spans="1:26" x14ac:dyDescent="0.3">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row>
    <row r="188" spans="1:26" x14ac:dyDescent="0.3">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row>
    <row r="189" spans="1:26" x14ac:dyDescent="0.3">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row>
    <row r="190" spans="1:26" x14ac:dyDescent="0.3">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row>
    <row r="191" spans="1:26" x14ac:dyDescent="0.3">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row>
    <row r="192" spans="1:26" x14ac:dyDescent="0.3">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row>
    <row r="193" spans="1:26" x14ac:dyDescent="0.3">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row>
    <row r="194" spans="1:26" x14ac:dyDescent="0.3">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row>
    <row r="195" spans="1:26" x14ac:dyDescent="0.3">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row>
    <row r="196" spans="1:26" x14ac:dyDescent="0.3">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row>
    <row r="197" spans="1:26" x14ac:dyDescent="0.3">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row>
    <row r="198" spans="1:26" x14ac:dyDescent="0.3">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row>
    <row r="199" spans="1:26" x14ac:dyDescent="0.3">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row>
    <row r="200" spans="1:26" x14ac:dyDescent="0.3">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row>
  </sheetData>
  <sheetProtection sheet="1" objects="1" scenarios="1" formatColumns="0" formatRows="0"/>
  <pageMargins left="0.7" right="0.7" top="0.75" bottom="0.75" header="0.3" footer="0.3"/>
  <pageSetup paperSize="9" orientation="portrait" r:id="rId1"/>
  <headerFooter>
    <oddHeader>&amp;R&amp;BThe Project Control Hub</oddHeader>
    <oddFooter>&amp;L&amp;8The Project Control Hub · &amp;A&amp;R&amp;8Page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20</vt:i4>
      </vt:variant>
    </vt:vector>
  </HeadingPairs>
  <TitlesOfParts>
    <vt:vector size="36" baseType="lpstr">
      <vt:lpstr>00 Start</vt:lpstr>
      <vt:lpstr>01 Daily report</vt:lpstr>
      <vt:lpstr>02 Dashboard</vt:lpstr>
      <vt:lpstr>03 Day log</vt:lpstr>
      <vt:lpstr>04 Resource log</vt:lpstr>
      <vt:lpstr>05 Work done log</vt:lpstr>
      <vt:lpstr>06 Event log</vt:lpstr>
      <vt:lpstr>07 Delivery log</vt:lpstr>
      <vt:lpstr>08 Safety log</vt:lpstr>
      <vt:lpstr>09 Not yet reported</vt:lpstr>
      <vt:lpstr>10 Revision log</vt:lpstr>
      <vt:lpstr>11 Notice calendar</vt:lpstr>
      <vt:lpstr>12 P6 activities</vt:lpstr>
      <vt:lpstr>13 Contract hours</vt:lpstr>
      <vt:lpstr>14 Setup</vt:lpstr>
      <vt:lpstr>15 Chart data</vt:lpstr>
      <vt:lpstr>'00 Start'!Print_Area</vt:lpstr>
      <vt:lpstr>'01 Daily report'!Print_Area</vt:lpstr>
      <vt:lpstr>'02 Dashboard'!Print_Area</vt:lpstr>
      <vt:lpstr>'03 Day log'!Print_Area</vt:lpstr>
      <vt:lpstr>'04 Resource log'!Print_Area</vt:lpstr>
      <vt:lpstr>'05 Work done log'!Print_Area</vt:lpstr>
      <vt:lpstr>'06 Event log'!Print_Area</vt:lpstr>
      <vt:lpstr>'07 Delivery log'!Print_Area</vt:lpstr>
      <vt:lpstr>'08 Safety log'!Print_Area</vt:lpstr>
      <vt:lpstr>'09 Not yet reported'!Print_Area</vt:lpstr>
      <vt:lpstr>'10 Revision log'!Print_Area</vt:lpstr>
      <vt:lpstr>'11 Notice calendar'!Print_Area</vt:lpstr>
      <vt:lpstr>'12 P6 activities'!Print_Area</vt:lpstr>
      <vt:lpstr>'13 Contract hours'!Print_Area</vt:lpstr>
      <vt:lpstr>'14 Setup'!Print_Area</vt:lpstr>
      <vt:lpstr>'15 Chart data'!Print_Area</vt:lpstr>
      <vt:lpstr>WeekEnd</vt:lpstr>
      <vt:lpstr>WeekNo</vt:lpstr>
      <vt:lpstr>WeekReports</vt:lpstr>
      <vt:lpstr>WeekStart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Project Control Hub</dc:creator>
  <cp:lastModifiedBy>The Project Control Hub</cp:lastModifiedBy>
  <cp:lastPrinted>2026-10-12T10:42:58Z</cp:lastPrinted>
  <dcterms:created xsi:type="dcterms:W3CDTF">2026-10-12T09:23:28Z</dcterms:created>
  <dcterms:modified xsi:type="dcterms:W3CDTF">2026-10-12T11:35:51Z</dcterms:modified>
</cp:coreProperties>
</file>