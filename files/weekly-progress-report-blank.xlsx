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A9F2361E-2827-4F77-A208-D0A03934890B}" xr6:coauthVersionLast="47" xr6:coauthVersionMax="47" xr10:uidLastSave="{00000000-0000-0000-0000-000000000000}"/>
  <bookViews>
    <workbookView xWindow="-28920" yWindow="-45" windowWidth="29040" windowHeight="15720" tabRatio="846" xr2:uid="{00000000-000D-0000-FFFF-FFFF00000000}"/>
  </bookViews>
  <sheets>
    <sheet name="Start" sheetId="1" r:id="rId1"/>
    <sheet name="Dashboard" sheetId="2" r:id="rId2"/>
    <sheet name="Setup" sheetId="3" r:id="rId3"/>
    <sheet name="Progress" sheetId="4" r:id="rId4"/>
    <sheet name="S-curve" sheetId="5" r:id="rId5"/>
    <sheet name="Float trend" sheetId="6" r:id="rId6"/>
    <sheet name="Look-ahead" sheetId="7" r:id="rId7"/>
    <sheet name="Constraints" sheetId="8" r:id="rId8"/>
    <sheet name="Actions" sheetId="9" r:id="rId9"/>
    <sheet name="History" sheetId="10" r:id="rId10"/>
  </sheets>
  <definedNames>
    <definedName name="_xlnm.Print_Area" localSheetId="8">Actions!$A$1:$K$46</definedName>
    <definedName name="_xlnm.Print_Area" localSheetId="7">Constraints!$A$1:$K$46</definedName>
    <definedName name="_xlnm.Print_Area" localSheetId="1">Dashboard!$A$1:$N$66</definedName>
    <definedName name="_xlnm.Print_Area" localSheetId="5">'Float trend'!$A$1:$J$38</definedName>
    <definedName name="_xlnm.Print_Area" localSheetId="9">History!$A$1:$I$59</definedName>
    <definedName name="_xlnm.Print_Area" localSheetId="6">'Look-ahead'!$A$1:$U$36</definedName>
    <definedName name="_xlnm.Print_Area" localSheetId="3">Progress!$A$1:$T$45</definedName>
    <definedName name="_xlnm.Print_Area" localSheetId="4">'S-curve'!$A$1:$R$46</definedName>
    <definedName name="_xlnm.Print_Area" localSheetId="2">Setup!$A$1:$D$34</definedName>
    <definedName name="_xlnm.Print_Area" localSheetId="0">Start!$A$1:$F$43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 Project Control Hub</author>
  </authors>
  <commentList>
    <comment ref="G6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Of last week’s look-ahead, the share that was actually done. Count it at the meeting.</t>
        </r>
      </text>
    </comment>
  </commentList>
</comments>
</file>

<file path=xl/sharedStrings.xml><?xml version="1.0" encoding="utf-8"?>
<sst xmlns="http://schemas.openxmlformats.org/spreadsheetml/2006/main" count="558" uniqueCount="331">
  <si>
    <t>Weekly progress report</t>
  </si>
  <si>
    <t>A report that records the week, and a look-ahead that only holds work which is actually ready.</t>
  </si>
  <si>
    <t>The Project Control Hub · free template</t>
  </si>
  <si>
    <t>YOUR FRIDAY, IN SIX STEPS</t>
  </si>
  <si>
    <t>Setup  →</t>
  </si>
  <si>
    <t>Change the week number and the week ending date.</t>
  </si>
  <si>
    <t>1 minute</t>
  </si>
  <si>
    <t>Progress  →</t>
  </si>
  <si>
    <t>For each activity: actual %, remaining days and float from the updated schedule. Ask how many days are still needed, not how far along it is.</t>
  </si>
  <si>
    <t>15 minutes</t>
  </si>
  <si>
    <t>Look-ahead  →</t>
  </si>
  <si>
    <t>Construction lists the next two weeks. Mark the six tests Y or N. Anything not Ready moves to Constraints.</t>
  </si>
  <si>
    <t>Constraints  →</t>
  </si>
  <si>
    <t>One row per failing test, with an owner and the date it is needed by.</t>
  </si>
  <si>
    <t>5 minutes</t>
  </si>
  <si>
    <t>Actions  →</t>
  </si>
  <si>
    <t>From the meeting: a person, a date, what done looks like. Close old ones with evidence.</t>
  </si>
  <si>
    <t>Dashboard  →</t>
  </si>
  <si>
    <t>Write three lines: what changed, what is at risk, what decision is needed. Then copy this week’s numbers into History.</t>
  </si>
  <si>
    <t>Then read it in the meeting in this order: look-ahead first, while there is still time to clear a constraint; last week second, and only what changes something.</t>
  </si>
  <si>
    <t>HOW TO READ THE CELLS</t>
  </si>
  <si>
    <t>Yellow, blue text</t>
  </si>
  <si>
    <t>Yours to fill in.</t>
  </si>
  <si>
    <t>White, black text</t>
  </si>
  <si>
    <t>A formula. Leave it alone and it keeps working.</t>
  </si>
  <si>
    <t>Green</t>
  </si>
  <si>
    <t>Ready, on track, closed.</t>
  </si>
  <si>
    <t>Amber</t>
  </si>
  <si>
    <t>Watch it: slipping, not ready, still open.</t>
  </si>
  <si>
    <t>Red</t>
  </si>
  <si>
    <t>Late, overdue, or negative float. This is what the meeting is for.</t>
  </si>
  <si>
    <t>WHAT IS IN THIS FILE</t>
  </si>
  <si>
    <t>Dashboard</t>
  </si>
  <si>
    <t>One page: six numbers, four charts, the three lines, and what needs attention.</t>
  </si>
  <si>
    <t>Setup</t>
  </si>
  <si>
    <t>The week, the date, and the team list for the drop-downs.</t>
  </si>
  <si>
    <t>Progress</t>
  </si>
  <si>
    <t>Every activity: planned and actual %, remaining days, float, status and trend.</t>
  </si>
  <si>
    <t>S-curve</t>
  </si>
  <si>
    <t>Cumulative planned against actual, week by week.</t>
  </si>
  <si>
    <t>Float trend</t>
  </si>
  <si>
    <t>Float on the activities that matter, so the slope shows before the crisis does.</t>
  </si>
  <si>
    <t>Look-ahead</t>
  </si>
  <si>
    <t>The next two weeks against the six readiness tests.</t>
  </si>
  <si>
    <t>Constraints</t>
  </si>
  <si>
    <t>Blocked work, with an owner and a date, until it is closed.</t>
  </si>
  <si>
    <t>Actions</t>
  </si>
  <si>
    <t>Actions from the meeting, with overdue days counted for you.</t>
  </si>
  <si>
    <t>History</t>
  </si>
  <si>
    <t>One row a week, for the trend charts.</t>
  </si>
  <si>
    <t>EXPLAINED IN</t>
  </si>
  <si>
    <t>Reporting Topic 18 · The weekly report and the look-ahead</t>
  </si>
  <si>
    <t>Reporting Topic 9 · Ready means six different things</t>
  </si>
  <si>
    <t>Schedule Topic 16 · Schedule maintenance</t>
  </si>
  <si>
    <t>Reporting Topic 23 · Minutes, actions and closure</t>
  </si>
  <si>
    <t>Blank: every sheet ready to fill. The example file shows week 11 of the example project.</t>
  </si>
  <si>
    <t>Free to use and adapt on your own projects. https://theprojectcontrolhub.com/</t>
  </si>
  <si>
    <t>The Project Control Hub</t>
  </si>
  <si>
    <t>PROGRESS · ACTUAL</t>
  </si>
  <si>
    <t>ACTIVITIES LATE</t>
  </si>
  <si>
    <t>LOOK-AHEAD READY</t>
  </si>
  <si>
    <t>REPEATS FROM LAST WEEK</t>
  </si>
  <si>
    <t>OPEN CONSTRAINTS</t>
  </si>
  <si>
    <t>ACTIONS OVERDUE</t>
  </si>
  <si>
    <t>THIS WEEK IN THREE LINES</t>
  </si>
  <si>
    <t>Exceptions only: what changed, what is now at risk, what decision is needed.</t>
  </si>
  <si>
    <t>What changed</t>
  </si>
  <si>
    <t>Rock in the north pile bores at P17 and P18. The north piling now needs 15 days, not 12, and its float is negative: it, the north pile caps and the access road are late.</t>
  </si>
  <si>
    <t>What is now at risk</t>
  </si>
  <si>
    <t>The raft. The rebar gang is taking about 16 hours a tonne against 8 in the estimate, and the bar schedule revision for bay 2 is overdue.</t>
  </si>
  <si>
    <t>Decision needed</t>
  </si>
  <si>
    <t>Approve two boreholes in the north half ($6,800) before the rig moves on. Serve the Notice of Claim for the rock by 31 March.</t>
  </si>
  <si>
    <t>PROGRESS AND FLOAT</t>
  </si>
  <si>
    <t>READINESS AND TREND</t>
  </si>
  <si>
    <t>NEEDS ATTENTION · late and watch activities, from Progress</t>
  </si>
  <si>
    <t>Activity</t>
  </si>
  <si>
    <t>Status</t>
  </si>
  <si>
    <t>Float</t>
  </si>
  <si>
    <t>Change</t>
  </si>
  <si>
    <t>Slip (days)</t>
  </si>
  <si>
    <t>Comment</t>
  </si>
  <si>
    <t>Charts and tiles read from the other sheets. Write the three lines above; everything else updates by itself.</t>
  </si>
  <si>
    <t>The week you are reporting, and the lists the other sheets use.</t>
  </si>
  <si>
    <t>Change the week number and the week ending date every Friday. Everything else reads from here.</t>
  </si>
  <si>
    <t>Project</t>
  </si>
  <si>
    <t>Example project</t>
  </si>
  <si>
    <t>Week number</t>
  </si>
  <si>
    <t>Week ending</t>
  </si>
  <si>
    <t>Prepared by</t>
  </si>
  <si>
    <t>Project controls</t>
  </si>
  <si>
    <t>As at (for overdue counts)</t>
  </si>
  <si>
    <t>Defaults to the week ending date. Type a date to override.</t>
  </si>
  <si>
    <t>Week 1 ended on</t>
  </si>
  <si>
    <t>Used to date the S-curve and History rows.</t>
  </si>
  <si>
    <t>Team (used by the Owner drop-downs)</t>
  </si>
  <si>
    <t>Areas (for your own sorting)</t>
  </si>
  <si>
    <t>One name per row</t>
  </si>
  <si>
    <t>Project manager</t>
  </si>
  <si>
    <t>Site</t>
  </si>
  <si>
    <t>Site manager</t>
  </si>
  <si>
    <t>South</t>
  </si>
  <si>
    <t>Site engineer</t>
  </si>
  <si>
    <t>North</t>
  </si>
  <si>
    <t>Engineer</t>
  </si>
  <si>
    <t>Substation</t>
  </si>
  <si>
    <t>Design manager</t>
  </si>
  <si>
    <t>Procurement</t>
  </si>
  <si>
    <t>Planner</t>
  </si>
  <si>
    <t>Buyer</t>
  </si>
  <si>
    <t>Commercial</t>
  </si>
  <si>
    <t>Ahmet</t>
  </si>
  <si>
    <t>Piling sub</t>
  </si>
  <si>
    <t>Concrete sub</t>
  </si>
  <si>
    <t>Rebar sub</t>
  </si>
  <si>
    <t>Groundworks</t>
  </si>
  <si>
    <t>Every activity in the report: planned against actual, remaining days and float, this week against last.</t>
  </si>
  <si>
    <t>Ask "how many days do you still need?", not "how far along are you?". Take float from the updated schedule.</t>
  </si>
  <si>
    <t>ID</t>
  </si>
  <si>
    <t>Area</t>
  </si>
  <si>
    <t>Owner</t>
  </si>
  <si>
    <t>Weight (%)</t>
  </si>
  <si>
    <t>Baseline finish</t>
  </si>
  <si>
    <t>Forecast finish</t>
  </si>
  <si>
    <t>Planned % to date</t>
  </si>
  <si>
    <t>Actual % to date</t>
  </si>
  <si>
    <t>Variance (pts)</t>
  </si>
  <si>
    <t>Remaining days, last week</t>
  </si>
  <si>
    <t>Remaining days, this week</t>
  </si>
  <si>
    <t>Change (days)</t>
  </si>
  <si>
    <t>Float last week</t>
  </si>
  <si>
    <t>Float this week</t>
  </si>
  <si>
    <t>Float change</t>
  </si>
  <si>
    <t>Trend</t>
  </si>
  <si>
    <t>#</t>
  </si>
  <si>
    <t>A01</t>
  </si>
  <si>
    <t>Mobilisation and site set-up</t>
  </si>
  <si>
    <t>A02</t>
  </si>
  <si>
    <t>Site clearance and setting out</t>
  </si>
  <si>
    <t>A03</t>
  </si>
  <si>
    <t>Bored piles, south half</t>
  </si>
  <si>
    <t>Finished two working days late.</t>
  </si>
  <si>
    <t>A04</t>
  </si>
  <si>
    <t>Bored piles, north half</t>
  </si>
  <si>
    <t>Rock at P17 and P18 on 3 Mar. Two boreholes proposed ($6,800).</t>
  </si>
  <si>
    <t>A05</t>
  </si>
  <si>
    <t>Pile caps, south</t>
  </si>
  <si>
    <t>Last two caps waiting on cube results.</t>
  </si>
  <si>
    <t>A06</t>
  </si>
  <si>
    <t>Pile caps, north</t>
  </si>
  <si>
    <t>Follows the north piling.</t>
  </si>
  <si>
    <t>A07</t>
  </si>
  <si>
    <t>Ground beams</t>
  </si>
  <si>
    <t>Steel for GB4 to GB6 on site.</t>
  </si>
  <si>
    <t>A08</t>
  </si>
  <si>
    <t>Raft blinding and waterproofing</t>
  </si>
  <si>
    <t>A09</t>
  </si>
  <si>
    <t>Raft reinforcement</t>
  </si>
  <si>
    <t>About 16 hours a tonne against 8 in the estimate.</t>
  </si>
  <si>
    <t>A10</t>
  </si>
  <si>
    <t>Raft concrete pours</t>
  </si>
  <si>
    <t>Follows raft reinforcement.</t>
  </si>
  <si>
    <t>A11</t>
  </si>
  <si>
    <t>Substation slab</t>
  </si>
  <si>
    <t>A12</t>
  </si>
  <si>
    <t>Drainage and ducts</t>
  </si>
  <si>
    <t>Gang moved from the north; ahead.</t>
  </si>
  <si>
    <t>A13</t>
  </si>
  <si>
    <t>Switchgear procurement (long lead)</t>
  </si>
  <si>
    <t>Lead time not yet confirmed in writing.</t>
  </si>
  <si>
    <t>A14</t>
  </si>
  <si>
    <t>Wayleave and access road</t>
  </si>
  <si>
    <t>Wayleave letter due 14 Mar (Ahmet).</t>
  </si>
  <si>
    <t>Weighted progress, whole report</t>
  </si>
  <si>
    <t>Weights should add up to 100. Use value or budget share, not duration.</t>
  </si>
  <si>
    <t>Late</t>
  </si>
  <si>
    <t>Watch</t>
  </si>
  <si>
    <t>On track</t>
  </si>
  <si>
    <t>Complete</t>
  </si>
  <si>
    <t>Cumulative progress, planned against actual, week by week.</t>
  </si>
  <si>
    <t>Planned comes from the baseline once. Each Friday add the actual figure from the Progress total.</t>
  </si>
  <si>
    <t>Week</t>
  </si>
  <si>
    <t>Planned (cumulative)</t>
  </si>
  <si>
    <t>Actual (cumulative)</t>
  </si>
  <si>
    <t>Gap (pts)</t>
  </si>
  <si>
    <t>This week, from the Progress sheet</t>
  </si>
  <si>
    <t>Planned</t>
  </si>
  <si>
    <t>Actual</t>
  </si>
  <si>
    <t>Type these into this week’s row.</t>
  </si>
  <si>
    <t>Total float on the activities that matter, week by week.</t>
  </si>
  <si>
    <t>Read the slope, not the number. A line heading for zero is next month’s crisis, visible now.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</si>
  <si>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</si>
  <si>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</si>
  <si>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</si>
  <si>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</si>
  <si>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</si>
  <si>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</si>
  <si>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</si>
  <si>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</si>
  <si>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Switchgear procurement</t>
  </si>
  <si>
    <t>The last two columns should match "Float last week" and "Float this week" on Progress.</t>
  </si>
  <si>
    <t>Next week: copy columns C to I one place left, and type the new week in I.</t>
  </si>
  <si>
    <t>Look-ahead · next two weeks</t>
  </si>
  <si>
    <t>Prepared by construction, consolidated and challenged by project controls.</t>
  </si>
  <si>
    <t>Answer all six tests with Y or N. Anything that is not Ready goes to the Constraints sheet, not into the plan.</t>
  </si>
  <si>
    <t>Start</t>
  </si>
  <si>
    <t>Finish</t>
  </si>
  <si>
    <t>Crew</t>
  </si>
  <si>
    <t>Drawing</t>
  </si>
  <si>
    <t>Material</t>
  </si>
  <si>
    <t>Plant</t>
  </si>
  <si>
    <t>Labour</t>
  </si>
  <si>
    <t>Permit</t>
  </si>
  <si>
    <t>Access</t>
  </si>
  <si>
    <t>Passed</t>
  </si>
  <si>
    <t>Ready?</t>
  </si>
  <si>
    <t>Blocked by</t>
  </si>
  <si>
    <t>On last week’s list?</t>
  </si>
  <si>
    <t>Weeks on the list</t>
  </si>
  <si>
    <t>Note</t>
  </si>
  <si>
    <t>This look-ahead</t>
  </si>
  <si>
    <t>L01</t>
  </si>
  <si>
    <t>Bored piles P18 to P24</t>
  </si>
  <si>
    <t>Y</t>
  </si>
  <si>
    <t>Rig back in service 9 Mar.</t>
  </si>
  <si>
    <t>Items</t>
  </si>
  <si>
    <t>L02</t>
  </si>
  <si>
    <t>Pile caps PC1 to PC3</t>
  </si>
  <si>
    <t>N</t>
  </si>
  <si>
    <t>Crane and sign-off.</t>
  </si>
  <si>
    <t>Ready (all six tests)</t>
  </si>
  <si>
    <t>L03</t>
  </si>
  <si>
    <t>Raft rebar, bay 2</t>
  </si>
  <si>
    <t>Bar schedule revision.</t>
  </si>
  <si>
    <t>Ready share</t>
  </si>
  <si>
    <t>L04</t>
  </si>
  <si>
    <t>Blinding, substation slab</t>
  </si>
  <si>
    <t>Repeats from last week</t>
  </si>
  <si>
    <t>L05</t>
  </si>
  <si>
    <t>Ground beams GB4 to GB6</t>
  </si>
  <si>
    <t>Repeat share</t>
  </si>
  <si>
    <t>L06</t>
  </si>
  <si>
    <t>Drainage run D3 to D5</t>
  </si>
  <si>
    <t>On the list 3 weeks or more</t>
  </si>
  <si>
    <t>L07</t>
  </si>
  <si>
    <t>Raft waterproofing, bay 1</t>
  </si>
  <si>
    <t>Membrane delivery.</t>
  </si>
  <si>
    <t>L08</t>
  </si>
  <si>
    <t>Access road sub-base</t>
  </si>
  <si>
    <t>Waits for the wayleave.</t>
  </si>
  <si>
    <t>Which test stops work</t>
  </si>
  <si>
    <t>L09</t>
  </si>
  <si>
    <t>Cable ducts to substation</t>
  </si>
  <si>
    <t>Duct gang on drainage.</t>
  </si>
  <si>
    <t>L10</t>
  </si>
  <si>
    <t>Pile caps PC4 to PC6, south</t>
  </si>
  <si>
    <t>L11</t>
  </si>
  <si>
    <t>Raft rebar, bay 3</t>
  </si>
  <si>
    <t>Mostly repeats means a list of blocked work, not a plan.</t>
  </si>
  <si>
    <t>Constraint log</t>
  </si>
  <si>
    <t>Blocked work lives here, where somebody has to close it.</t>
  </si>
  <si>
    <t>One row per failing test. A constraint is closed with a date and the evidence, never by being forgotten.</t>
  </si>
  <si>
    <t>Failing test</t>
  </si>
  <si>
    <t>Constraint</t>
  </si>
  <si>
    <t>Raised</t>
  </si>
  <si>
    <t>Needed by</t>
  </si>
  <si>
    <t>Closed on</t>
  </si>
  <si>
    <t>Days open</t>
  </si>
  <si>
    <t>Evidence of closure</t>
  </si>
  <si>
    <t>C01</t>
  </si>
  <si>
    <t>Crane booked to another zone on 17 Mar</t>
  </si>
  <si>
    <t>C02</t>
  </si>
  <si>
    <t>Piles not signed off: inspection request not raised</t>
  </si>
  <si>
    <t>C03</t>
  </si>
  <si>
    <t>Bar schedule revision not issued for construction</t>
  </si>
  <si>
    <t>C04</t>
  </si>
  <si>
    <t>Membrane delivery date not confirmed</t>
  </si>
  <si>
    <t>C05</t>
  </si>
  <si>
    <t>Wayleave not confirmed: letter to be issued</t>
  </si>
  <si>
    <t>C06</t>
  </si>
  <si>
    <t>Haul route crosses third-party land until the wayleave</t>
  </si>
  <si>
    <t>C07</t>
  </si>
  <si>
    <t>Duct gang moved to drainage</t>
  </si>
  <si>
    <t>C08</t>
  </si>
  <si>
    <t>Same bar schedule revision as bay 2</t>
  </si>
  <si>
    <t>C09</t>
  </si>
  <si>
    <t>Rebar gang fully on bay 2</t>
  </si>
  <si>
    <t>C10</t>
  </si>
  <si>
    <t>Rig repair after the rock</t>
  </si>
  <si>
    <t>Rig back in service, daily report 9 Mar</t>
  </si>
  <si>
    <t>What the meeting decided: a person, a date, and what done looks like.</t>
  </si>
  <si>
    <t>Close an action with a name, a date and the evidence. An action nobody can categorise was never an action.</t>
  </si>
  <si>
    <t>No.</t>
  </si>
  <si>
    <t>Raised in</t>
  </si>
  <si>
    <t>Action</t>
  </si>
  <si>
    <t>Due</t>
  </si>
  <si>
    <t>What done looks like</t>
  </si>
  <si>
    <t>Days overdue</t>
  </si>
  <si>
    <t>Closed by</t>
  </si>
  <si>
    <t>Weekly meeting, 6 Mar</t>
  </si>
  <si>
    <t>Issue the wayleave letter</t>
  </si>
  <si>
    <t>Letter sent to the stated address, receipt on file</t>
  </si>
  <si>
    <t>Open</t>
  </si>
  <si>
    <t>Approve two boreholes in the north half ($6,800)</t>
  </si>
  <si>
    <t>Instruction issued to the drilling contractor</t>
  </si>
  <si>
    <t>Drill two boreholes in the north half</t>
  </si>
  <si>
    <t>Two logs filed against the pile layout</t>
  </si>
  <si>
    <t>Run a credit check on the steel supplier</t>
  </si>
  <si>
    <t>Report on file and read</t>
  </si>
  <si>
    <t>Closed</t>
  </si>
  <si>
    <t>Report filed in the supplier folder</t>
  </si>
  <si>
    <t>Confirm the switchgear lead time in writing</t>
  </si>
  <si>
    <t>Supplier’s written date on file</t>
  </si>
  <si>
    <t>Send the pre-application enquiry for the discharge consent</t>
  </si>
  <si>
    <t>Enquiry acknowledged by the authority</t>
  </si>
  <si>
    <t>Issue the bar schedule revision for raft bay 2</t>
  </si>
  <si>
    <t>Revision issued for construction</t>
  </si>
  <si>
    <t>Weekly meeting, 13 Mar</t>
  </si>
  <si>
    <t>Raise the inspection request for piles under PC1 to PC3</t>
  </si>
  <si>
    <t>Request logged with the resident engineer</t>
  </si>
  <si>
    <t>Serve the Notice of Claim for the rock at P17</t>
  </si>
  <si>
    <t>Notice identified as a Notice, sent to the stated address</t>
  </si>
  <si>
    <t>One row per week, so the Dashboard can show the trend.</t>
  </si>
  <si>
    <t>Every Friday: copy the blue "This week" row and use Paste Special → Values into the next empty row.</t>
  </si>
  <si>
    <t>This week (live)</t>
  </si>
  <si>
    <t>Planned progress</t>
  </si>
  <si>
    <t>Actual progress</t>
  </si>
  <si>
    <t>Look-ahead ready</t>
  </si>
  <si>
    <t>Repeats</t>
  </si>
  <si>
    <t>Last week’s plan done</t>
  </si>
  <si>
    <t>Open constraints</t>
  </si>
  <si>
    <t>Overdue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</si>
</sst>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d\ mmm\ yyyy"/>
    <numFmt numFmtId="166" formatCode="0;[Red]\-0"/>
    <numFmt numFmtId="167" formatCode="\+0;[Red]\-0;0"/>
    <numFmt numFmtId="168" formatCode="\+0;\-0;0"/>
    <numFmt numFmtId="169" formatCode="d\ mmm"/>
  </numFmts>
  <fonts count="38" x14ac:knownFonts="1">
    <font>
      <sz val="11"/>
      <color theme="1"/>
      <name val="Calibri"/>
      <family val="2"/>
      <scheme val="minor"/>
    </font>
    <font>
      <b/>
      <sz val="18"/>
      <color rgb="FF0F172A"/>
      <name val="Arial"/>
      <family val="2"/>
      <charset val="162"/>
    </font>
    <font>
      <sz val="10"/>
      <color rgb="FF64748B"/>
      <name val="Arial"/>
      <family val="2"/>
      <charset val="162"/>
    </font>
    <font>
      <i/>
      <sz val="9.5"/>
      <color rgb="FF1D4ED8"/>
      <name val="Arial"/>
      <family val="2"/>
      <charset val="162"/>
    </font>
    <font>
      <b/>
      <sz val="10"/>
      <color rgb="FF0F172A"/>
      <name val="Arial"/>
      <family val="2"/>
      <charset val="162"/>
    </font>
    <font>
      <sz val="10"/>
      <color rgb="FF1D4ED8"/>
      <name val="Arial"/>
      <family val="2"/>
      <charset val="162"/>
    </font>
    <font>
      <sz val="9"/>
      <color rgb="FF64748B"/>
      <name val="Arial"/>
      <family val="2"/>
      <charset val="162"/>
    </font>
    <font>
      <b/>
      <sz val="9.5"/>
      <color rgb="FF1D4ED8"/>
      <name val="Arial"/>
      <family val="2"/>
      <charset val="162"/>
    </font>
    <font>
      <b/>
      <sz val="9.5"/>
      <color rgb="FFFFFFFF"/>
      <name val="Arial"/>
      <family val="2"/>
      <charset val="162"/>
    </font>
    <font>
      <sz val="10"/>
      <color rgb="FF0F172A"/>
      <name val="Arial"/>
      <family val="2"/>
      <charset val="162"/>
    </font>
    <font>
      <sz val="8"/>
      <color rgb="FFCBD5E1"/>
      <name val="Arial"/>
      <family val="2"/>
      <charset val="162"/>
    </font>
    <font>
      <i/>
      <sz val="9"/>
      <color rgb="FF64748B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1"/>
      <color rgb="FF1D4ED8"/>
      <name val="Arial"/>
      <family val="2"/>
      <charset val="162"/>
    </font>
    <font>
      <b/>
      <sz val="10"/>
      <color rgb="FF0F766E"/>
      <name val="Arial"/>
      <family val="2"/>
      <charset val="162"/>
    </font>
    <font>
      <b/>
      <sz val="20"/>
      <color rgb="FFFFFFFF"/>
      <name val="Arial"/>
      <family val="2"/>
      <charset val="162"/>
    </font>
    <font>
      <sz val="10.5"/>
      <color rgb="FF94A3B8"/>
      <name val="Arial"/>
      <family val="2"/>
      <charset val="162"/>
    </font>
    <font>
      <b/>
      <sz val="9"/>
      <color rgb="FF6EE7B7"/>
      <name val="Arial"/>
      <family val="2"/>
      <charset val="162"/>
    </font>
    <font>
      <b/>
      <sz val="8.5"/>
      <color rgb="FF1D4ED8"/>
      <name val="Arial"/>
      <family val="2"/>
      <charset val="162"/>
    </font>
    <font>
      <b/>
      <sz val="26"/>
      <color rgb="FF0F172A"/>
      <name val="Arial"/>
      <family val="2"/>
      <charset val="162"/>
    </font>
    <font>
      <sz val="8.5"/>
      <color rgb="FF475569"/>
      <name val="Arial"/>
      <family val="2"/>
      <charset val="162"/>
    </font>
    <font>
      <b/>
      <sz val="8.5"/>
      <color rgb="FFBE123C"/>
      <name val="Arial"/>
      <family val="2"/>
      <charset val="162"/>
    </font>
    <font>
      <b/>
      <sz val="8.5"/>
      <color rgb="FF047857"/>
      <name val="Arial"/>
      <family val="2"/>
      <charset val="162"/>
    </font>
    <font>
      <b/>
      <sz val="8.5"/>
      <color rgb="FF0F766E"/>
      <name val="Arial"/>
      <family val="2"/>
      <charset val="162"/>
    </font>
    <font>
      <b/>
      <sz val="8.5"/>
      <color rgb="FFB45309"/>
      <name val="Arial"/>
      <family val="2"/>
      <charset val="162"/>
    </font>
    <font>
      <b/>
      <sz val="8.5"/>
      <color rgb="FF6D28D9"/>
      <name val="Arial"/>
      <family val="2"/>
      <charset val="162"/>
    </font>
    <font>
      <b/>
      <sz val="24"/>
      <color rgb="FFFFFFFF"/>
      <name val="Arial"/>
      <family val="2"/>
      <charset val="162"/>
    </font>
    <font>
      <sz val="11"/>
      <color rgb="FFCBD5E1"/>
      <name val="Arial"/>
      <family val="2"/>
      <charset val="162"/>
    </font>
    <font>
      <b/>
      <sz val="9.5"/>
      <color rgb="FF6EE7B7"/>
      <name val="Arial"/>
      <family val="2"/>
      <charset val="162"/>
    </font>
    <font>
      <b/>
      <sz val="10"/>
      <color rgb="FF1D4ED8"/>
      <name val="Arial"/>
      <family val="2"/>
      <charset val="162"/>
    </font>
    <font>
      <b/>
      <sz val="16"/>
      <color rgb="FFFFFFFF"/>
      <name val="Arial"/>
      <family val="2"/>
      <charset val="162"/>
    </font>
    <font>
      <b/>
      <u/>
      <sz val="10"/>
      <color rgb="FF1D4ED8"/>
      <name val="Arial"/>
      <family val="2"/>
      <charset val="162"/>
    </font>
    <font>
      <i/>
      <sz val="9.5"/>
      <color rgb="FF64748B"/>
      <name val="Arial"/>
      <family val="2"/>
      <charset val="162"/>
    </font>
    <font>
      <b/>
      <sz val="10"/>
      <color rgb="FF047857"/>
      <name val="Arial"/>
      <family val="2"/>
      <charset val="162"/>
    </font>
    <font>
      <b/>
      <sz val="10"/>
      <color rgb="FFB45309"/>
      <name val="Arial"/>
      <family val="2"/>
      <charset val="162"/>
    </font>
    <font>
      <b/>
      <sz val="10"/>
      <color rgb="FFBE123C"/>
      <name val="Arial"/>
      <family val="2"/>
      <charset val="162"/>
    </font>
    <font>
      <u/>
      <sz val="10"/>
      <color rgb="FF1D4ED8"/>
      <name val="Arial"/>
      <family val="2"/>
      <charset val="162"/>
    </font>
    <font>
      <b/>
      <sz val="9"/>
      <color rgb="FF059669"/>
      <name val="Arial"/>
      <family val="2"/>
      <charset val="162"/>
    </font>
  </fonts>
  <fills count="17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0F172A"/>
      </patternFill>
    </fill>
    <fill>
      <patternFill patternType="solid">
        <fgColor rgb="FF0D9488"/>
      </patternFill>
    </fill>
    <fill>
      <patternFill patternType="solid">
        <fgColor rgb="FFF0FDFA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FE4E6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5F3FF"/>
      </patternFill>
    </fill>
    <fill>
      <patternFill patternType="solid">
        <fgColor rgb="FFF1F5F9"/>
      </patternFill>
    </fill>
    <fill>
      <patternFill patternType="solid">
        <fgColor rgb="FF1D4ED8"/>
      </patternFill>
    </fill>
    <fill>
      <patternFill patternType="solid">
        <fgColor rgb="FFB45309"/>
      </patternFill>
    </fill>
    <fill>
      <patternFill patternType="solid">
        <fgColor rgb="FF7C3AED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3B82F6"/>
      </bottom>
      <diagonal/>
    </border>
    <border>
      <left/>
      <right/>
      <top/>
      <bottom style="medium">
        <color rgb="FF0D9488"/>
      </bottom>
      <diagonal/>
    </border>
    <border>
      <left/>
      <right/>
      <top/>
      <bottom style="medium">
        <color rgb="FFB45309"/>
      </bottom>
      <diagonal/>
    </border>
    <border>
      <left/>
      <right/>
      <top/>
      <bottom style="medium">
        <color rgb="FF7C3AED"/>
      </bottom>
      <diagonal/>
    </border>
    <border>
      <left/>
      <right/>
      <top/>
      <bottom style="medium">
        <color rgb="FF475569"/>
      </bottom>
      <diagonal/>
    </border>
    <border>
      <left/>
      <right/>
      <top style="thick">
        <color rgb="FF1D4ED8"/>
      </top>
      <bottom/>
      <diagonal/>
    </border>
    <border>
      <left/>
      <right/>
      <top style="thick">
        <color rgb="FFBE123C"/>
      </top>
      <bottom/>
      <diagonal/>
    </border>
    <border>
      <left/>
      <right/>
      <top style="thick">
        <color rgb="FF047857"/>
      </top>
      <bottom/>
      <diagonal/>
    </border>
    <border>
      <left/>
      <right/>
      <top style="thick">
        <color rgb="FF0F766E"/>
      </top>
      <bottom/>
      <diagonal/>
    </border>
    <border>
      <left/>
      <right/>
      <top style="thick">
        <color rgb="FFB45309"/>
      </top>
      <bottom/>
      <diagonal/>
    </border>
    <border>
      <left/>
      <right/>
      <top style="thick">
        <color rgb="FF6D28D9"/>
      </top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26" fillId="3" borderId="0" xfId="0" applyFont="1" applyFill="1" applyProtection="1">
      <protection locked="0"/>
    </xf>
    <xf numFmtId="0" fontId="27" fillId="3" borderId="0" xfId="0" applyFont="1" applyFill="1" applyProtection="1">
      <protection locked="0"/>
    </xf>
    <xf numFmtId="0" fontId="29" fillId="0" borderId="0" xfId="0" applyFont="1" applyAlignment="1" applyProtection="1">
      <alignment vertical="top"/>
      <protection locked="0"/>
    </xf>
    <xf numFmtId="0" fontId="30" fillId="3" borderId="14" xfId="0" applyFont="1" applyFill="1" applyBorder="1" applyAlignment="1" applyProtection="1">
      <alignment horizontal="center" vertical="center"/>
      <protection locked="0"/>
    </xf>
    <xf numFmtId="0" fontId="31" fillId="0" borderId="14" xfId="0" applyFont="1" applyBorder="1" applyAlignment="1" applyProtection="1">
      <alignment vertical="center"/>
      <protection locked="0"/>
    </xf>
    <xf numFmtId="0" fontId="9" fillId="0" borderId="14" xfId="0" applyFont="1" applyBorder="1" applyAlignment="1" applyProtection="1">
      <alignment vertical="center" wrapText="1"/>
      <protection locked="0"/>
    </xf>
    <xf numFmtId="0" fontId="6" fillId="0" borderId="14" xfId="0" applyFont="1" applyBorder="1" applyAlignment="1" applyProtection="1">
      <alignment vertical="center"/>
      <protection locked="0"/>
    </xf>
    <xf numFmtId="0" fontId="30" fillId="13" borderId="14" xfId="0" applyFont="1" applyFill="1" applyBorder="1" applyAlignment="1" applyProtection="1">
      <alignment horizontal="center" vertical="center"/>
      <protection locked="0"/>
    </xf>
    <xf numFmtId="0" fontId="30" fillId="4" borderId="14" xfId="0" applyFont="1" applyFill="1" applyBorder="1" applyAlignment="1" applyProtection="1">
      <alignment horizontal="center" vertical="center"/>
      <protection locked="0"/>
    </xf>
    <xf numFmtId="0" fontId="30" fillId="14" borderId="14" xfId="0" applyFont="1" applyFill="1" applyBorder="1" applyAlignment="1" applyProtection="1">
      <alignment horizontal="center" vertical="center"/>
      <protection locked="0"/>
    </xf>
    <xf numFmtId="0" fontId="30" fillId="15" borderId="14" xfId="0" applyFont="1" applyFill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29" fillId="2" borderId="2" xfId="0" applyFont="1" applyFill="1" applyBorder="1" applyProtection="1">
      <protection locked="0"/>
    </xf>
    <xf numFmtId="0" fontId="9" fillId="0" borderId="0" xfId="0" applyFont="1" applyAlignment="1" applyProtection="1">
      <alignment vertical="top"/>
      <protection locked="0"/>
    </xf>
    <xf numFmtId="0" fontId="4" fillId="16" borderId="2" xfId="0" applyFont="1" applyFill="1" applyBorder="1" applyProtection="1">
      <protection locked="0"/>
    </xf>
    <xf numFmtId="0" fontId="33" fillId="9" borderId="2" xfId="0" applyFont="1" applyFill="1" applyBorder="1" applyProtection="1">
      <protection locked="0"/>
    </xf>
    <xf numFmtId="0" fontId="34" fillId="10" borderId="2" xfId="0" applyFont="1" applyFill="1" applyBorder="1" applyProtection="1">
      <protection locked="0"/>
    </xf>
    <xf numFmtId="0" fontId="35" fillId="8" borderId="2" xfId="0" applyFont="1" applyFill="1" applyBorder="1" applyProtection="1">
      <protection locked="0"/>
    </xf>
    <xf numFmtId="0" fontId="31" fillId="0" borderId="0" xfId="0" applyFont="1" applyProtection="1">
      <protection locked="0"/>
    </xf>
    <xf numFmtId="0" fontId="36" fillId="0" borderId="0" xfId="0" applyFont="1" applyProtection="1">
      <protection locked="0"/>
    </xf>
    <xf numFmtId="0" fontId="6" fillId="0" borderId="0" xfId="0" applyFont="1" applyAlignment="1" applyProtection="1">
      <alignment vertical="top" wrapText="1"/>
      <protection locked="0"/>
    </xf>
    <xf numFmtId="0" fontId="6" fillId="0" borderId="0" xfId="0" applyFont="1" applyAlignment="1" applyProtection="1">
      <alignment vertical="top"/>
      <protection locked="0"/>
    </xf>
    <xf numFmtId="0" fontId="28" fillId="3" borderId="0" xfId="0" applyFont="1" applyFill="1" applyProtection="1"/>
    <xf numFmtId="0" fontId="6" fillId="0" borderId="0" xfId="0" applyFont="1" applyAlignment="1" applyProtection="1">
      <alignment vertical="top"/>
    </xf>
    <xf numFmtId="0" fontId="15" fillId="3" borderId="0" xfId="0" applyFont="1" applyFill="1" applyProtection="1">
      <protection locked="0"/>
    </xf>
    <xf numFmtId="0" fontId="16" fillId="3" borderId="0" xfId="0" applyFont="1" applyFill="1" applyProtection="1">
      <protection locked="0"/>
    </xf>
    <xf numFmtId="0" fontId="18" fillId="7" borderId="0" xfId="0" applyFont="1" applyFill="1" applyAlignment="1" applyProtection="1">
      <alignment horizontal="center"/>
      <protection locked="0"/>
    </xf>
    <xf numFmtId="0" fontId="21" fillId="8" borderId="0" xfId="0" applyFont="1" applyFill="1" applyAlignment="1" applyProtection="1">
      <alignment horizontal="center"/>
      <protection locked="0"/>
    </xf>
    <xf numFmtId="0" fontId="22" fillId="9" borderId="0" xfId="0" applyFont="1" applyFill="1" applyAlignment="1" applyProtection="1">
      <alignment horizontal="center"/>
      <protection locked="0"/>
    </xf>
    <xf numFmtId="0" fontId="23" fillId="5" borderId="0" xfId="0" applyFont="1" applyFill="1" applyAlignment="1" applyProtection="1">
      <alignment horizontal="center"/>
      <protection locked="0"/>
    </xf>
    <xf numFmtId="0" fontId="24" fillId="10" borderId="0" xfId="0" applyFont="1" applyFill="1" applyAlignment="1" applyProtection="1">
      <alignment horizontal="center"/>
      <protection locked="0"/>
    </xf>
    <xf numFmtId="0" fontId="25" fillId="11" borderId="0" xfId="0" applyFont="1" applyFill="1" applyAlignment="1" applyProtection="1">
      <alignment horizontal="center"/>
      <protection locked="0"/>
    </xf>
    <xf numFmtId="9" fontId="19" fillId="7" borderId="0" xfId="0" applyNumberFormat="1" applyFont="1" applyFill="1" applyAlignment="1" applyProtection="1">
      <alignment horizontal="center" vertical="center"/>
      <protection locked="0"/>
    </xf>
    <xf numFmtId="1" fontId="19" fillId="8" borderId="0" xfId="0" applyNumberFormat="1" applyFont="1" applyFill="1" applyAlignment="1" applyProtection="1">
      <alignment horizontal="center" vertical="center"/>
      <protection locked="0"/>
    </xf>
    <xf numFmtId="1" fontId="19" fillId="9" borderId="0" xfId="0" applyNumberFormat="1" applyFont="1" applyFill="1" applyAlignment="1" applyProtection="1">
      <alignment horizontal="center" vertical="center"/>
      <protection locked="0"/>
    </xf>
    <xf numFmtId="9" fontId="19" fillId="5" borderId="0" xfId="0" applyNumberFormat="1" applyFont="1" applyFill="1" applyAlignment="1" applyProtection="1">
      <alignment horizontal="center" vertical="center"/>
      <protection locked="0"/>
    </xf>
    <xf numFmtId="1" fontId="19" fillId="10" borderId="0" xfId="0" applyNumberFormat="1" applyFont="1" applyFill="1" applyAlignment="1" applyProtection="1">
      <alignment horizontal="center" vertical="center"/>
      <protection locked="0"/>
    </xf>
    <xf numFmtId="1" fontId="19" fillId="11" borderId="0" xfId="0" applyNumberFormat="1" applyFont="1" applyFill="1" applyAlignment="1" applyProtection="1">
      <alignment horizontal="center" vertical="center"/>
      <protection locked="0"/>
    </xf>
    <xf numFmtId="0" fontId="20" fillId="7" borderId="0" xfId="0" applyFont="1" applyFill="1" applyAlignment="1" applyProtection="1">
      <alignment horizontal="center" vertical="top" wrapText="1"/>
      <protection locked="0"/>
    </xf>
    <xf numFmtId="0" fontId="20" fillId="8" borderId="0" xfId="0" applyFont="1" applyFill="1" applyAlignment="1" applyProtection="1">
      <alignment horizontal="center" vertical="top" wrapText="1"/>
      <protection locked="0"/>
    </xf>
    <xf numFmtId="0" fontId="20" fillId="9" borderId="0" xfId="0" applyFont="1" applyFill="1" applyAlignment="1" applyProtection="1">
      <alignment horizontal="center" vertical="top" wrapText="1"/>
      <protection locked="0"/>
    </xf>
    <xf numFmtId="0" fontId="20" fillId="5" borderId="0" xfId="0" applyFont="1" applyFill="1" applyAlignment="1" applyProtection="1">
      <alignment horizontal="center" vertical="top" wrapText="1"/>
      <protection locked="0"/>
    </xf>
    <xf numFmtId="0" fontId="20" fillId="10" borderId="0" xfId="0" applyFont="1" applyFill="1" applyAlignment="1" applyProtection="1">
      <alignment horizontal="center" vertical="top" wrapText="1"/>
      <protection locked="0"/>
    </xf>
    <xf numFmtId="0" fontId="20" fillId="11" borderId="0" xfId="0" applyFont="1" applyFill="1" applyAlignment="1" applyProtection="1">
      <alignment horizontal="center" vertical="top" wrapText="1"/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7" fillId="0" borderId="0" xfId="0" applyFont="1" applyAlignment="1" applyProtection="1">
      <alignment vertical="top"/>
      <protection locked="0"/>
    </xf>
    <xf numFmtId="0" fontId="11" fillId="0" borderId="0" xfId="0" applyFont="1" applyAlignment="1" applyProtection="1">
      <alignment vertical="top"/>
      <protection locked="0"/>
    </xf>
    <xf numFmtId="0" fontId="4" fillId="12" borderId="0" xfId="0" applyFont="1" applyFill="1" applyAlignment="1" applyProtection="1">
      <alignment vertical="center" wrapText="1"/>
      <protection locked="0"/>
    </xf>
    <xf numFmtId="0" fontId="5" fillId="2" borderId="2" xfId="0" applyFont="1" applyFill="1" applyBorder="1" applyAlignment="1" applyProtection="1">
      <alignment vertical="center" wrapText="1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8" fillId="3" borderId="0" xfId="0" applyFont="1" applyFill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horizontal="left" vertical="center"/>
      <protection locked="0"/>
    </xf>
    <xf numFmtId="0" fontId="0" fillId="0" borderId="14" xfId="0" applyBorder="1" applyProtection="1">
      <protection locked="0"/>
    </xf>
    <xf numFmtId="0" fontId="9" fillId="0" borderId="14" xfId="0" applyFont="1" applyBorder="1" applyAlignment="1" applyProtection="1">
      <alignment horizontal="center" vertical="center"/>
      <protection locked="0"/>
    </xf>
    <xf numFmtId="166" fontId="9" fillId="0" borderId="14" xfId="0" applyNumberFormat="1" applyFont="1" applyBorder="1" applyAlignment="1" applyProtection="1">
      <alignment horizontal="center" vertical="center"/>
      <protection locked="0"/>
    </xf>
    <xf numFmtId="167" fontId="9" fillId="0" borderId="14" xfId="0" applyNumberFormat="1" applyFont="1" applyBorder="1" applyAlignment="1" applyProtection="1">
      <alignment horizontal="center" vertical="center"/>
      <protection locked="0"/>
    </xf>
    <xf numFmtId="0" fontId="17" fillId="3" borderId="0" xfId="0" applyFont="1" applyFill="1" applyAlignment="1" applyProtection="1">
      <alignment horizontal="right"/>
    </xf>
    <xf numFmtId="0" fontId="0" fillId="0" borderId="0" xfId="0" applyProtection="1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4" fillId="0" borderId="0" xfId="0" applyFont="1" applyAlignment="1" applyProtection="1">
      <alignment vertical="top"/>
      <protection locked="0"/>
    </xf>
    <xf numFmtId="0" fontId="5" fillId="2" borderId="2" xfId="0" applyFont="1" applyFill="1" applyBorder="1" applyAlignment="1" applyProtection="1">
      <alignment vertical="top"/>
      <protection locked="0"/>
    </xf>
    <xf numFmtId="1" fontId="5" fillId="2" borderId="2" xfId="0" applyNumberFormat="1" applyFont="1" applyFill="1" applyBorder="1" applyAlignment="1" applyProtection="1">
      <alignment vertical="top"/>
      <protection locked="0"/>
    </xf>
    <xf numFmtId="165" fontId="5" fillId="2" borderId="2" xfId="0" applyNumberFormat="1" applyFont="1" applyFill="1" applyBorder="1" applyAlignment="1" applyProtection="1">
      <alignment vertical="top"/>
      <protection locked="0"/>
    </xf>
    <xf numFmtId="0" fontId="37" fillId="0" borderId="0" xfId="0" applyFont="1" applyAlignment="1" applyProtection="1">
      <alignment horizontal="right" vertical="center"/>
    </xf>
    <xf numFmtId="0" fontId="0" fillId="0" borderId="3" xfId="0" applyBorder="1" applyProtection="1">
      <protection locked="0"/>
    </xf>
    <xf numFmtId="0" fontId="8" fillId="3" borderId="2" xfId="0" applyFont="1" applyFill="1" applyBorder="1" applyAlignment="1" applyProtection="1">
      <alignment horizontal="center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5" fillId="2" borderId="2" xfId="0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vertical="center" wrapText="1"/>
      <protection locked="0"/>
    </xf>
    <xf numFmtId="1" fontId="5" fillId="2" borderId="2" xfId="0" applyNumberFormat="1" applyFont="1" applyFill="1" applyBorder="1" applyAlignment="1" applyProtection="1">
      <alignment vertical="center"/>
      <protection locked="0"/>
    </xf>
    <xf numFmtId="165" fontId="5" fillId="2" borderId="2" xfId="0" applyNumberFormat="1" applyFont="1" applyFill="1" applyBorder="1" applyAlignment="1" applyProtection="1">
      <alignment vertical="center"/>
      <protection locked="0"/>
    </xf>
    <xf numFmtId="167" fontId="9" fillId="0" borderId="2" xfId="0" applyNumberFormat="1" applyFont="1" applyBorder="1" applyAlignment="1" applyProtection="1">
      <alignment horizontal="center" vertical="center"/>
      <protection locked="0"/>
    </xf>
    <xf numFmtId="9" fontId="5" fillId="2" borderId="2" xfId="0" applyNumberFormat="1" applyFont="1" applyFill="1" applyBorder="1" applyAlignment="1" applyProtection="1">
      <alignment vertical="center"/>
      <protection locked="0"/>
    </xf>
    <xf numFmtId="166" fontId="5" fillId="2" borderId="2" xfId="0" applyNumberFormat="1" applyFont="1" applyFill="1" applyBorder="1" applyAlignment="1" applyProtection="1">
      <alignment horizontal="center" vertical="center"/>
      <protection locked="0"/>
    </xf>
    <xf numFmtId="168" fontId="9" fillId="0" borderId="2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vertical="center"/>
      <protection locked="0"/>
    </xf>
    <xf numFmtId="1" fontId="10" fillId="0" borderId="2" xfId="0" applyNumberFormat="1" applyFont="1" applyBorder="1" applyAlignment="1" applyProtection="1">
      <alignment vertical="center"/>
      <protection locked="0"/>
    </xf>
    <xf numFmtId="1" fontId="9" fillId="0" borderId="0" xfId="0" applyNumberFormat="1" applyFont="1" applyAlignment="1" applyProtection="1">
      <alignment vertical="top"/>
      <protection locked="0"/>
    </xf>
    <xf numFmtId="9" fontId="4" fillId="0" borderId="2" xfId="0" applyNumberFormat="1" applyFont="1" applyBorder="1" applyAlignment="1" applyProtection="1">
      <alignment vertical="top"/>
      <protection locked="0"/>
    </xf>
    <xf numFmtId="167" fontId="4" fillId="0" borderId="2" xfId="0" applyNumberFormat="1" applyFont="1" applyBorder="1" applyAlignment="1" applyProtection="1">
      <alignment vertical="top"/>
      <protection locked="0"/>
    </xf>
    <xf numFmtId="1" fontId="4" fillId="0" borderId="2" xfId="0" applyNumberFormat="1" applyFont="1" applyBorder="1" applyAlignment="1" applyProtection="1">
      <alignment vertical="top"/>
      <protection locked="0"/>
    </xf>
    <xf numFmtId="169" fontId="9" fillId="0" borderId="2" xfId="0" applyNumberFormat="1" applyFont="1" applyBorder="1" applyAlignment="1" applyProtection="1">
      <alignment vertical="top"/>
      <protection locked="0"/>
    </xf>
    <xf numFmtId="9" fontId="5" fillId="2" borderId="2" xfId="0" applyNumberFormat="1" applyFont="1" applyFill="1" applyBorder="1" applyAlignment="1" applyProtection="1">
      <alignment vertical="top"/>
      <protection locked="0"/>
    </xf>
    <xf numFmtId="167" fontId="9" fillId="0" borderId="2" xfId="0" applyNumberFormat="1" applyFont="1" applyBorder="1" applyAlignment="1" applyProtection="1">
      <alignment vertical="top"/>
      <protection locked="0"/>
    </xf>
    <xf numFmtId="0" fontId="12" fillId="3" borderId="0" xfId="0" applyFont="1" applyFill="1" applyAlignment="1" applyProtection="1">
      <alignment vertical="top"/>
      <protection locked="0"/>
    </xf>
    <xf numFmtId="0" fontId="13" fillId="2" borderId="2" xfId="0" applyFont="1" applyFill="1" applyBorder="1" applyAlignment="1" applyProtection="1">
      <alignment horizontal="center"/>
      <protection locked="0"/>
    </xf>
    <xf numFmtId="166" fontId="5" fillId="2" borderId="2" xfId="0" applyNumberFormat="1" applyFont="1" applyFill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8" fillId="4" borderId="2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vertical="top"/>
      <protection locked="0"/>
    </xf>
    <xf numFmtId="169" fontId="5" fillId="2" borderId="2" xfId="0" applyNumberFormat="1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1" fontId="5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1" fontId="4" fillId="5" borderId="2" xfId="0" applyNumberFormat="1" applyFont="1" applyFill="1" applyBorder="1" applyAlignment="1" applyProtection="1">
      <alignment vertical="top"/>
      <protection locked="0"/>
    </xf>
    <xf numFmtId="9" fontId="4" fillId="5" borderId="2" xfId="0" applyNumberFormat="1" applyFont="1" applyFill="1" applyBorder="1" applyAlignment="1" applyProtection="1">
      <alignment vertical="top"/>
      <protection locked="0"/>
    </xf>
    <xf numFmtId="0" fontId="0" fillId="0" borderId="5" xfId="0" applyBorder="1" applyProtection="1"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0" fillId="0" borderId="7" xfId="0" applyBorder="1" applyProtection="1">
      <protection locked="0"/>
    </xf>
    <xf numFmtId="1" fontId="4" fillId="6" borderId="2" xfId="0" applyNumberFormat="1" applyFont="1" applyFill="1" applyBorder="1" applyAlignment="1" applyProtection="1">
      <alignment vertical="top"/>
      <protection locked="0"/>
    </xf>
    <xf numFmtId="169" fontId="4" fillId="6" borderId="2" xfId="0" applyNumberFormat="1" applyFont="1" applyFill="1" applyBorder="1" applyAlignment="1" applyProtection="1">
      <alignment vertical="top"/>
      <protection locked="0"/>
    </xf>
    <xf numFmtId="9" fontId="4" fillId="6" borderId="2" xfId="0" applyNumberFormat="1" applyFont="1" applyFill="1" applyBorder="1" applyAlignment="1" applyProtection="1">
      <alignment vertical="top"/>
      <protection locked="0"/>
    </xf>
    <xf numFmtId="169" fontId="5" fillId="2" borderId="2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27"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name val="Arial"/>
      </font>
      <fill>
        <patternFill patternType="solid">
          <fgColor rgb="FFDBEAFE"/>
        </patternFill>
      </fill>
    </dxf>
    <dxf>
      <font>
        <b/>
        <color rgb="FF047857"/>
        <name val="Arial"/>
      </font>
    </dxf>
    <dxf>
      <font>
        <b/>
        <color rgb="FFBE123C"/>
        <name val="Arial"/>
      </font>
    </dxf>
    <dxf>
      <font>
        <b/>
        <color rgb="FF475569"/>
        <name val="Arial"/>
      </font>
      <fill>
        <patternFill patternType="solid">
          <fgColor rgb="FFF1F5F9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ill>
        <patternFill patternType="solid">
          <fgColor rgb="FFFFE4E6"/>
        </patternFill>
      </fill>
    </dxf>
    <dxf>
      <font>
        <b/>
        <sz val="26"/>
        <color rgb="FFBE123C"/>
        <name val="Arial"/>
      </font>
    </dxf>
    <dxf>
      <font>
        <b/>
        <sz val="26"/>
        <color rgb="FFBE123C"/>
        <name val="Arial"/>
      </font>
    </dxf>
    <dxf>
      <font>
        <b/>
        <sz val="26"/>
        <color rgb="FFBE123C"/>
        <name val="Arial"/>
      </font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sz val="26"/>
        <color rgb="FFBE123C"/>
        <name val="Arial"/>
      </font>
    </dxf>
    <dxf>
      <font>
        <b/>
        <sz val="26"/>
        <color rgb="FFBE123C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S-curve: planned against actual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'S-curve'!$C$6</c:f>
            </c:strRef>
          </c:tx>
          <c:spPr>
            <a:ln>
              <a:solidFill>
                <a:srgbClr val="94A3B8"/>
              </a:solidFill>
              <a:prstDash val="dash"/>
            </a:ln>
          </c:spPr>
          <c:marker>
            <c:symbol val="none"/>
          </c:marker>
          <c:cat>
            <c:numRef>
              <c:f>'S-curve'!$A$7:$A$46</c:f>
            </c:numRef>
          </c:cat>
          <c:val>
            <c:numRef>
              <c:f>'S-curve'!$C$7:$C$46</c:f>
            </c:numRef>
          </c:val>
          <c:smooth val="0"/>
          <c:extLst>
            <c:ext xmlns:c16="http://schemas.microsoft.com/office/drawing/2014/chart" uri="{C3380CC4-5D6E-409C-BE32-E72D297353CC}">
              <c16:uniqueId val="{00000000-B696-48D7-B684-58D85EE1BA06}"/>
            </c:ext>
          </c:extLst>
        </c:ser>
        <c:ser>
          <c:idx val="1"/>
          <c:order val="1"/>
          <c:tx>
            <c:strRef>
              <c:f>'S-curve'!$D$6</c:f>
            </c:strRef>
          </c:tx>
          <c:spPr>
            <a:ln w="32000">
              <a:solidFill>
                <a:srgbClr val="1D4ED8"/>
              </a:solidFill>
              <a:prstDash val="solid"/>
            </a:ln>
          </c:spPr>
          <c:marker>
            <c:symbol val="none"/>
          </c:marker>
          <c:cat>
            <c:numRef>
              <c:f>'S-curve'!$A$7:$A$46</c:f>
            </c:numRef>
          </c:cat>
          <c:val>
            <c:numRef>
              <c:f>'S-curve'!$D$7:$D$46</c:f>
            </c:numRef>
          </c:val>
          <c:smooth val="0"/>
          <c:extLst>
            <c:ext xmlns:c16="http://schemas.microsoft.com/office/drawing/2014/chart" uri="{C3380CC4-5D6E-409C-BE32-E72D297353CC}">
              <c16:uniqueId val="{00000001-B696-48D7-B684-58D85EE1B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5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Float trend (days)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'Float trend'!$A$7</c:f>
            </c:strRef>
          </c:tx>
          <c:spPr>
            <a:ln w="22000">
              <a:solidFill>
                <a:srgbClr val="BE123C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</c:strRef>
          </c:cat>
          <c:val>
            <c:numRef>
              <c:f>'Float trend'!$B$7:$I$7</c:f>
            </c:numRef>
          </c:val>
          <c:smooth val="0"/>
          <c:extLst>
            <c:ext xmlns:c16="http://schemas.microsoft.com/office/drawing/2014/chart" uri="{C3380CC4-5D6E-409C-BE32-E72D297353CC}">
              <c16:uniqueId val="{00000000-1B92-4802-83C6-074F5BF03D9F}"/>
            </c:ext>
          </c:extLst>
        </c:ser>
        <c:ser>
          <c:idx val="1"/>
          <c:order val="1"/>
          <c:tx>
            <c:strRef>
              <c:f>'Float trend'!$A$8</c:f>
            </c:strRef>
          </c:tx>
          <c:spPr>
            <a:ln w="22000">
              <a:solidFill>
                <a:srgbClr val="F97316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</c:strRef>
          </c:cat>
          <c:val>
            <c:numRef>
              <c:f>'Float trend'!$B$8:$I$8</c:f>
            </c:numRef>
          </c:val>
          <c:smooth val="0"/>
          <c:extLst>
            <c:ext xmlns:c16="http://schemas.microsoft.com/office/drawing/2014/chart" uri="{C3380CC4-5D6E-409C-BE32-E72D297353CC}">
              <c16:uniqueId val="{00000001-1B92-4802-83C6-074F5BF03D9F}"/>
            </c:ext>
          </c:extLst>
        </c:ser>
        <c:ser>
          <c:idx val="2"/>
          <c:order val="2"/>
          <c:tx>
            <c:strRef>
              <c:f>'Float trend'!$A$9</c:f>
            </c:strRef>
          </c:tx>
          <c:spPr>
            <a:ln w="22000">
              <a:solidFill>
                <a:srgbClr val="0D9488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</c:strRef>
          </c:cat>
          <c:val>
            <c:numRef>
              <c:f>'Float trend'!$B$9:$I$9</c:f>
            </c:numRef>
          </c:val>
          <c:smooth val="0"/>
          <c:extLst>
            <c:ext xmlns:c16="http://schemas.microsoft.com/office/drawing/2014/chart" uri="{C3380CC4-5D6E-409C-BE32-E72D297353CC}">
              <c16:uniqueId val="{00000002-1B92-4802-83C6-074F5BF03D9F}"/>
            </c:ext>
          </c:extLst>
        </c:ser>
        <c:ser>
          <c:idx val="3"/>
          <c:order val="3"/>
          <c:tx>
            <c:strRef>
              <c:f>'Float trend'!$A$10</c:f>
            </c:strRef>
          </c:tx>
          <c:spPr>
            <a:ln w="22000">
              <a:solidFill>
                <a:srgbClr val="1D4ED8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</c:strRef>
          </c:cat>
          <c:val>
            <c:numRef>
              <c:f>'Float trend'!$B$10:$I$10</c:f>
            </c:numRef>
          </c:val>
          <c:smooth val="0"/>
          <c:extLst>
            <c:ext xmlns:c16="http://schemas.microsoft.com/office/drawing/2014/chart" uri="{C3380CC4-5D6E-409C-BE32-E72D297353CC}">
              <c16:uniqueId val="{00000003-1B92-4802-83C6-074F5BF03D9F}"/>
            </c:ext>
          </c:extLst>
        </c:ser>
        <c:ser>
          <c:idx val="4"/>
          <c:order val="4"/>
          <c:tx>
            <c:strRef>
              <c:f>'Float trend'!$A$11</c:f>
            </c:strRef>
          </c:tx>
          <c:spPr>
            <a:ln w="22000">
              <a:solidFill>
                <a:srgbClr val="7C3AED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</c:strRef>
          </c:cat>
          <c:val>
            <c:numRef>
              <c:f>'Float trend'!$B$11:$I$11</c:f>
            </c:numRef>
          </c:val>
          <c:smooth val="0"/>
          <c:extLst>
            <c:ext xmlns:c16="http://schemas.microsoft.com/office/drawing/2014/chart" uri="{C3380CC4-5D6E-409C-BE32-E72D297353CC}">
              <c16:uniqueId val="{00000004-1B92-4802-83C6-074F5BF03D9F}"/>
            </c:ext>
          </c:extLst>
        </c:ser>
        <c:ser>
          <c:idx val="5"/>
          <c:order val="5"/>
          <c:tx>
            <c:strRef>
              <c:f>'Float trend'!$A$12</c:f>
            </c:strRef>
          </c:tx>
          <c:spPr>
            <a:ln w="22000">
              <a:solidFill>
                <a:srgbClr val="A21CAF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</c:strRef>
          </c:cat>
          <c:val>
            <c:numRef>
              <c:f>'Float trend'!$B$12:$I$12</c:f>
            </c:numRef>
          </c:val>
          <c:smooth val="0"/>
          <c:extLst>
            <c:ext xmlns:c16="http://schemas.microsoft.com/office/drawing/2014/chart" uri="{C3380CC4-5D6E-409C-BE32-E72D297353CC}">
              <c16:uniqueId val="{00000005-1B92-4802-83C6-074F5BF03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;[Red]\-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Which readiness test stops work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'Look-ahead'!$T$15:$T$20</c:f>
            </c:strRef>
          </c:cat>
          <c:val>
            <c:numRef>
              <c:f>'Look-ahead'!$U$15:$U$20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5BB-46FE-8062-30B35809A791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b"/>
        <c:numFmt formatCode="0" sourceLinked="0"/>
        <c:majorTickMark val="none"/>
        <c:minorTickMark val="none"/>
        <c:tickLblPos val="nextTo"/>
        <c:crossAx val="10"/>
        <c:crosses val="autoZero"/>
        <c:crossBetween val="between"/>
        <c:majorUnit val="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Look-ahead health, week by week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History!$E$7</c:f>
            </c:strRef>
          </c:tx>
          <c:spPr>
            <a:ln w="26000">
              <a:solidFill>
                <a:srgbClr val="047857"/>
              </a:solidFill>
              <a:prstDash val="solid"/>
            </a:ln>
          </c:spPr>
          <c:marker>
            <c:symbol val="none"/>
          </c:marker>
          <c:cat>
            <c:numRef>
              <c:f>History!$A$8:$A$13</c:f>
            </c:numRef>
          </c:cat>
          <c:val>
            <c:numRef>
              <c:f>History!$E$8:$E$13</c:f>
            </c:numRef>
          </c:val>
          <c:smooth val="0"/>
          <c:extLst>
            <c:ext xmlns:c16="http://schemas.microsoft.com/office/drawing/2014/chart" uri="{C3380CC4-5D6E-409C-BE32-E72D297353CC}">
              <c16:uniqueId val="{00000000-4990-42F1-98ED-69C81DD6D306}"/>
            </c:ext>
          </c:extLst>
        </c:ser>
        <c:ser>
          <c:idx val="1"/>
          <c:order val="1"/>
          <c:tx>
            <c:strRef>
              <c:f>History!$F$7</c:f>
            </c:strRef>
          </c:tx>
          <c:spPr>
            <a:ln w="26000">
              <a:solidFill>
                <a:srgbClr val="BE123C"/>
              </a:solidFill>
              <a:prstDash val="solid"/>
            </a:ln>
          </c:spPr>
          <c:marker>
            <c:symbol val="none"/>
          </c:marker>
          <c:cat>
            <c:numRef>
              <c:f>History!$A$8:$A$13</c:f>
            </c:numRef>
          </c:cat>
          <c:val>
            <c:numRef>
              <c:f>History!$F$8:$F$13</c:f>
            </c:numRef>
          </c:val>
          <c:smooth val="0"/>
          <c:extLst>
            <c:ext xmlns:c16="http://schemas.microsoft.com/office/drawing/2014/chart" uri="{C3380CC4-5D6E-409C-BE32-E72D297353CC}">
              <c16:uniqueId val="{00000001-4990-42F1-98ED-69C81DD6D306}"/>
            </c:ext>
          </c:extLst>
        </c:ser>
        <c:ser>
          <c:idx val="2"/>
          <c:order val="2"/>
          <c:tx>
            <c:strRef>
              <c:f>History!$G$7</c:f>
            </c:strRef>
          </c:tx>
          <c:spPr>
            <a:ln w="26000">
              <a:solidFill>
                <a:srgbClr val="1D4ED8"/>
              </a:solidFill>
              <a:prstDash val="solid"/>
            </a:ln>
          </c:spPr>
          <c:marker>
            <c:symbol val="none"/>
          </c:marker>
          <c:cat>
            <c:numRef>
              <c:f>History!$A$8:$A$13</c:f>
            </c:numRef>
          </c:cat>
          <c:val>
            <c:numRef>
              <c:f>History!$G$8:$G$13</c:f>
            </c:numRef>
          </c:val>
          <c:smooth val="0"/>
          <c:extLst>
            <c:ext xmlns:c16="http://schemas.microsoft.com/office/drawing/2014/chart" uri="{C3380CC4-5D6E-409C-BE32-E72D297353CC}">
              <c16:uniqueId val="{00000002-4990-42F1-98ED-69C81DD6D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Planned against actual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'S-curve'!$C$6</c:f>
            </c:strRef>
          </c:tx>
          <c:spPr>
            <a:ln>
              <a:solidFill>
                <a:srgbClr val="94A3B8"/>
              </a:solidFill>
              <a:prstDash val="dash"/>
            </a:ln>
          </c:spPr>
          <c:marker>
            <c:symbol val="none"/>
          </c:marker>
          <c:cat>
            <c:numRef>
              <c:f>'S-curve'!$A$7:$A$46</c:f>
            </c:numRef>
          </c:cat>
          <c:val>
            <c:numRef>
              <c:f>'S-curve'!$C$7:$C$46</c:f>
            </c:numRef>
          </c:val>
          <c:smooth val="0"/>
          <c:extLst>
            <c:ext xmlns:c16="http://schemas.microsoft.com/office/drawing/2014/chart" uri="{C3380CC4-5D6E-409C-BE32-E72D297353CC}">
              <c16:uniqueId val="{00000000-3490-4C39-973D-9A584D888011}"/>
            </c:ext>
          </c:extLst>
        </c:ser>
        <c:ser>
          <c:idx val="1"/>
          <c:order val="1"/>
          <c:tx>
            <c:strRef>
              <c:f>'S-curve'!$D$6</c:f>
            </c:strRef>
          </c:tx>
          <c:spPr>
            <a:ln w="32000">
              <a:solidFill>
                <a:srgbClr val="1D4ED8"/>
              </a:solidFill>
              <a:prstDash val="solid"/>
            </a:ln>
          </c:spPr>
          <c:marker>
            <c:symbol val="none"/>
          </c:marker>
          <c:cat>
            <c:numRef>
              <c:f>'S-curve'!$A$7:$A$46</c:f>
            </c:numRef>
          </c:cat>
          <c:val>
            <c:numRef>
              <c:f>'S-curve'!$D$7:$D$46</c:f>
            </c:numRef>
          </c:val>
          <c:smooth val="0"/>
          <c:extLst>
            <c:ext xmlns:c16="http://schemas.microsoft.com/office/drawing/2014/chart" uri="{C3380CC4-5D6E-409C-BE32-E72D297353CC}">
              <c16:uniqueId val="{00000001-3490-4C39-973D-9A584D888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Week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5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Total float (days)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'Float trend'!$A$7</c:f>
            </c:strRef>
          </c:tx>
          <c:spPr>
            <a:ln w="22000">
              <a:solidFill>
                <a:srgbClr val="BE123C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</c:strRef>
          </c:cat>
          <c:val>
            <c:numRef>
              <c:f>'Float trend'!$B$7:$I$7</c:f>
            </c:numRef>
          </c:val>
          <c:smooth val="0"/>
          <c:extLst>
            <c:ext xmlns:c16="http://schemas.microsoft.com/office/drawing/2014/chart" uri="{C3380CC4-5D6E-409C-BE32-E72D297353CC}">
              <c16:uniqueId val="{00000000-667B-402C-8F9C-6980FF083238}"/>
            </c:ext>
          </c:extLst>
        </c:ser>
        <c:ser>
          <c:idx val="1"/>
          <c:order val="1"/>
          <c:tx>
            <c:strRef>
              <c:f>'Float trend'!$A$8</c:f>
            </c:strRef>
          </c:tx>
          <c:spPr>
            <a:ln w="22000">
              <a:solidFill>
                <a:srgbClr val="F97316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</c:strRef>
          </c:cat>
          <c:val>
            <c:numRef>
              <c:f>'Float trend'!$B$8:$I$8</c:f>
            </c:numRef>
          </c:val>
          <c:smooth val="0"/>
          <c:extLst>
            <c:ext xmlns:c16="http://schemas.microsoft.com/office/drawing/2014/chart" uri="{C3380CC4-5D6E-409C-BE32-E72D297353CC}">
              <c16:uniqueId val="{00000001-667B-402C-8F9C-6980FF083238}"/>
            </c:ext>
          </c:extLst>
        </c:ser>
        <c:ser>
          <c:idx val="2"/>
          <c:order val="2"/>
          <c:tx>
            <c:strRef>
              <c:f>'Float trend'!$A$9</c:f>
            </c:strRef>
          </c:tx>
          <c:spPr>
            <a:ln w="22000">
              <a:solidFill>
                <a:srgbClr val="0D9488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</c:strRef>
          </c:cat>
          <c:val>
            <c:numRef>
              <c:f>'Float trend'!$B$9:$I$9</c:f>
            </c:numRef>
          </c:val>
          <c:smooth val="0"/>
          <c:extLst>
            <c:ext xmlns:c16="http://schemas.microsoft.com/office/drawing/2014/chart" uri="{C3380CC4-5D6E-409C-BE32-E72D297353CC}">
              <c16:uniqueId val="{00000002-667B-402C-8F9C-6980FF083238}"/>
            </c:ext>
          </c:extLst>
        </c:ser>
        <c:ser>
          <c:idx val="3"/>
          <c:order val="3"/>
          <c:tx>
            <c:strRef>
              <c:f>'Float trend'!$A$10</c:f>
            </c:strRef>
          </c:tx>
          <c:spPr>
            <a:ln w="22000">
              <a:solidFill>
                <a:srgbClr val="1D4ED8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</c:strRef>
          </c:cat>
          <c:val>
            <c:numRef>
              <c:f>'Float trend'!$B$10:$I$10</c:f>
            </c:numRef>
          </c:val>
          <c:smooth val="0"/>
          <c:extLst>
            <c:ext xmlns:c16="http://schemas.microsoft.com/office/drawing/2014/chart" uri="{C3380CC4-5D6E-409C-BE32-E72D297353CC}">
              <c16:uniqueId val="{00000003-667B-402C-8F9C-6980FF083238}"/>
            </c:ext>
          </c:extLst>
        </c:ser>
        <c:ser>
          <c:idx val="4"/>
          <c:order val="4"/>
          <c:tx>
            <c:strRef>
              <c:f>'Float trend'!$A$11</c:f>
            </c:strRef>
          </c:tx>
          <c:spPr>
            <a:ln w="22000">
              <a:solidFill>
                <a:srgbClr val="7C3AED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</c:strRef>
          </c:cat>
          <c:val>
            <c:numRef>
              <c:f>'Float trend'!$B$11:$I$11</c:f>
            </c:numRef>
          </c:val>
          <c:smooth val="0"/>
          <c:extLst>
            <c:ext xmlns:c16="http://schemas.microsoft.com/office/drawing/2014/chart" uri="{C3380CC4-5D6E-409C-BE32-E72D297353CC}">
              <c16:uniqueId val="{00000004-667B-402C-8F9C-6980FF083238}"/>
            </c:ext>
          </c:extLst>
        </c:ser>
        <c:ser>
          <c:idx val="5"/>
          <c:order val="5"/>
          <c:tx>
            <c:strRef>
              <c:f>'Float trend'!$A$12</c:f>
            </c:strRef>
          </c:tx>
          <c:spPr>
            <a:ln w="22000">
              <a:solidFill>
                <a:srgbClr val="A21CAF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</c:strRef>
          </c:cat>
          <c:val>
            <c:numRef>
              <c:f>'Float trend'!$B$12:$I$12</c:f>
            </c:numRef>
          </c:val>
          <c:smooth val="0"/>
          <c:extLst>
            <c:ext xmlns:c16="http://schemas.microsoft.com/office/drawing/2014/chart" uri="{C3380CC4-5D6E-409C-BE32-E72D297353CC}">
              <c16:uniqueId val="{00000005-667B-402C-8F9C-6980FF083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;[Red]\-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1</xdr:rowOff>
    </xdr:from>
    <xdr:ext cx="5020945" cy="287997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22225</xdr:colOff>
      <xdr:row>16</xdr:row>
      <xdr:rowOff>1</xdr:rowOff>
    </xdr:from>
    <xdr:ext cx="5020945" cy="287997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34</xdr:row>
      <xdr:rowOff>1</xdr:rowOff>
    </xdr:from>
    <xdr:ext cx="5020945" cy="287997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26035</xdr:colOff>
      <xdr:row>34</xdr:row>
      <xdr:rowOff>1</xdr:rowOff>
    </xdr:from>
    <xdr:ext cx="5020945" cy="287997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10</xdr:row>
      <xdr:rowOff>0</xdr:rowOff>
    </xdr:from>
    <xdr:ext cx="61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61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projectcontrolhub.com/week-16.html" TargetMode="External"/><Relationship Id="rId2" Type="http://schemas.openxmlformats.org/officeDocument/2006/relationships/hyperlink" Target="https://theprojectcontrolhub.com/reporting-week-9.html" TargetMode="External"/><Relationship Id="rId1" Type="http://schemas.openxmlformats.org/officeDocument/2006/relationships/hyperlink" Target="https://theprojectcontrolhub.com/reporting-week-18.html" TargetMode="External"/><Relationship Id="rId4" Type="http://schemas.openxmlformats.org/officeDocument/2006/relationships/hyperlink" Target="https://theprojectcontrolhub.com/reporting-week-23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B981"/>
    <pageSetUpPr fitToPage="1"/>
  </sheetPr>
  <dimension ref="A1:F43"/>
  <sheetViews>
    <sheetView showGridLines="0" tabSelected="1" workbookViewId="0">
      <selection activeCell="D12" sqref="D12"/>
    </sheetView>
  </sheetViews>
  <sheetFormatPr defaultRowHeight="14.4" x14ac:dyDescent="0.3"/>
  <cols>
    <col min="1" max="1" width="3" style="2" customWidth="1"/>
    <col min="2" max="2" width="7" style="2" customWidth="1"/>
    <col min="3" max="3" width="28" style="2" customWidth="1"/>
    <col min="4" max="4" width="70" style="2" customWidth="1"/>
    <col min="5" max="5" width="18" style="2" customWidth="1"/>
    <col min="6" max="16384" width="8.88671875" style="2"/>
  </cols>
  <sheetData>
    <row r="1" spans="1:6" ht="12" customHeight="1" x14ac:dyDescent="0.3">
      <c r="A1" s="1"/>
      <c r="B1" s="1"/>
      <c r="C1" s="1"/>
      <c r="D1" s="1"/>
      <c r="E1" s="1"/>
      <c r="F1" s="1"/>
    </row>
    <row r="2" spans="1:6" ht="36" customHeight="1" x14ac:dyDescent="0.5">
      <c r="A2" s="1"/>
      <c r="B2" s="3" t="s">
        <v>0</v>
      </c>
      <c r="C2" s="1"/>
      <c r="D2" s="1"/>
      <c r="E2" s="1"/>
      <c r="F2" s="1"/>
    </row>
    <row r="3" spans="1:6" x14ac:dyDescent="0.3">
      <c r="A3" s="1"/>
      <c r="B3" s="4" t="s">
        <v>1</v>
      </c>
      <c r="C3" s="1"/>
      <c r="D3" s="1"/>
      <c r="E3" s="1"/>
      <c r="F3" s="1"/>
    </row>
    <row r="4" spans="1:6" x14ac:dyDescent="0.3">
      <c r="A4" s="1"/>
      <c r="B4" s="26" t="s">
        <v>2</v>
      </c>
      <c r="C4" s="1"/>
      <c r="D4" s="1"/>
      <c r="E4" s="1"/>
      <c r="F4" s="1"/>
    </row>
    <row r="5" spans="1:6" ht="10.050000000000001" customHeight="1" x14ac:dyDescent="0.3">
      <c r="A5" s="1"/>
      <c r="B5" s="1"/>
      <c r="C5" s="1"/>
      <c r="D5" s="1"/>
      <c r="E5" s="1"/>
      <c r="F5" s="1"/>
    </row>
    <row r="7" spans="1:6" x14ac:dyDescent="0.3">
      <c r="B7" s="5" t="s">
        <v>3</v>
      </c>
    </row>
    <row r="8" spans="1:6" ht="34.049999999999997" customHeight="1" x14ac:dyDescent="0.3">
      <c r="B8" s="6">
        <v>1</v>
      </c>
      <c r="C8" s="7" t="s">
        <v>4</v>
      </c>
      <c r="D8" s="8" t="s">
        <v>5</v>
      </c>
      <c r="E8" s="9" t="s">
        <v>6</v>
      </c>
    </row>
    <row r="9" spans="1:6" ht="34.049999999999997" customHeight="1" x14ac:dyDescent="0.3">
      <c r="B9" s="10">
        <v>2</v>
      </c>
      <c r="C9" s="7" t="s">
        <v>7</v>
      </c>
      <c r="D9" s="8" t="s">
        <v>8</v>
      </c>
      <c r="E9" s="9" t="s">
        <v>9</v>
      </c>
    </row>
    <row r="10" spans="1:6" ht="34.049999999999997" customHeight="1" x14ac:dyDescent="0.3">
      <c r="B10" s="11">
        <v>3</v>
      </c>
      <c r="C10" s="7" t="s">
        <v>10</v>
      </c>
      <c r="D10" s="8" t="s">
        <v>11</v>
      </c>
      <c r="E10" s="9" t="s">
        <v>9</v>
      </c>
    </row>
    <row r="11" spans="1:6" ht="34.049999999999997" customHeight="1" x14ac:dyDescent="0.3">
      <c r="B11" s="12">
        <v>4</v>
      </c>
      <c r="C11" s="7" t="s">
        <v>12</v>
      </c>
      <c r="D11" s="8" t="s">
        <v>13</v>
      </c>
      <c r="E11" s="9" t="s">
        <v>14</v>
      </c>
    </row>
    <row r="12" spans="1:6" ht="34.049999999999997" customHeight="1" x14ac:dyDescent="0.3">
      <c r="B12" s="13">
        <v>5</v>
      </c>
      <c r="C12" s="7" t="s">
        <v>15</v>
      </c>
      <c r="D12" s="8" t="s">
        <v>16</v>
      </c>
      <c r="E12" s="9" t="s">
        <v>14</v>
      </c>
    </row>
    <row r="13" spans="1:6" ht="34.049999999999997" customHeight="1" x14ac:dyDescent="0.3">
      <c r="B13" s="10">
        <v>6</v>
      </c>
      <c r="C13" s="7" t="s">
        <v>17</v>
      </c>
      <c r="D13" s="8" t="s">
        <v>18</v>
      </c>
      <c r="E13" s="9" t="s">
        <v>14</v>
      </c>
    </row>
    <row r="14" spans="1:6" ht="30" customHeight="1" x14ac:dyDescent="0.3">
      <c r="C14" s="14" t="s">
        <v>19</v>
      </c>
      <c r="D14" s="15"/>
      <c r="E14" s="15"/>
    </row>
    <row r="16" spans="1:6" x14ac:dyDescent="0.3">
      <c r="B16" s="5" t="s">
        <v>20</v>
      </c>
    </row>
    <row r="17" spans="2:4" x14ac:dyDescent="0.3">
      <c r="C17" s="16" t="s">
        <v>21</v>
      </c>
      <c r="D17" s="17" t="s">
        <v>22</v>
      </c>
    </row>
    <row r="18" spans="2:4" x14ac:dyDescent="0.3">
      <c r="C18" s="18" t="s">
        <v>23</v>
      </c>
      <c r="D18" s="17" t="s">
        <v>24</v>
      </c>
    </row>
    <row r="19" spans="2:4" x14ac:dyDescent="0.3">
      <c r="C19" s="19" t="s">
        <v>25</v>
      </c>
      <c r="D19" s="17" t="s">
        <v>26</v>
      </c>
    </row>
    <row r="20" spans="2:4" x14ac:dyDescent="0.3">
      <c r="C20" s="20" t="s">
        <v>27</v>
      </c>
      <c r="D20" s="17" t="s">
        <v>28</v>
      </c>
    </row>
    <row r="21" spans="2:4" x14ac:dyDescent="0.3">
      <c r="C21" s="21" t="s">
        <v>29</v>
      </c>
      <c r="D21" s="17" t="s">
        <v>30</v>
      </c>
    </row>
    <row r="23" spans="2:4" x14ac:dyDescent="0.3">
      <c r="B23" s="5" t="s">
        <v>31</v>
      </c>
    </row>
    <row r="24" spans="2:4" x14ac:dyDescent="0.3">
      <c r="C24" s="22" t="s">
        <v>32</v>
      </c>
      <c r="D24" s="17" t="s">
        <v>33</v>
      </c>
    </row>
    <row r="25" spans="2:4" x14ac:dyDescent="0.3">
      <c r="C25" s="22" t="s">
        <v>34</v>
      </c>
      <c r="D25" s="17" t="s">
        <v>35</v>
      </c>
    </row>
    <row r="26" spans="2:4" x14ac:dyDescent="0.3">
      <c r="C26" s="22" t="s">
        <v>36</v>
      </c>
      <c r="D26" s="17" t="s">
        <v>37</v>
      </c>
    </row>
    <row r="27" spans="2:4" x14ac:dyDescent="0.3">
      <c r="C27" s="22" t="s">
        <v>38</v>
      </c>
      <c r="D27" s="17" t="s">
        <v>39</v>
      </c>
    </row>
    <row r="28" spans="2:4" x14ac:dyDescent="0.3">
      <c r="C28" s="22" t="s">
        <v>40</v>
      </c>
      <c r="D28" s="17" t="s">
        <v>41</v>
      </c>
    </row>
    <row r="29" spans="2:4" x14ac:dyDescent="0.3">
      <c r="C29" s="22" t="s">
        <v>42</v>
      </c>
      <c r="D29" s="17" t="s">
        <v>43</v>
      </c>
    </row>
    <row r="30" spans="2:4" x14ac:dyDescent="0.3">
      <c r="C30" s="22" t="s">
        <v>44</v>
      </c>
      <c r="D30" s="17" t="s">
        <v>45</v>
      </c>
    </row>
    <row r="31" spans="2:4" x14ac:dyDescent="0.3">
      <c r="C31" s="22" t="s">
        <v>46</v>
      </c>
      <c r="D31" s="17" t="s">
        <v>47</v>
      </c>
    </row>
    <row r="32" spans="2:4" x14ac:dyDescent="0.3">
      <c r="C32" s="22" t="s">
        <v>48</v>
      </c>
      <c r="D32" s="17" t="s">
        <v>49</v>
      </c>
    </row>
    <row r="34" spans="2:5" x14ac:dyDescent="0.3">
      <c r="B34" s="5" t="s">
        <v>50</v>
      </c>
    </row>
    <row r="35" spans="2:5" x14ac:dyDescent="0.3">
      <c r="C35" s="23" t="s">
        <v>51</v>
      </c>
    </row>
    <row r="36" spans="2:5" x14ac:dyDescent="0.3">
      <c r="C36" s="23" t="s">
        <v>52</v>
      </c>
    </row>
    <row r="37" spans="2:5" x14ac:dyDescent="0.3">
      <c r="C37" s="23" t="s">
        <v>53</v>
      </c>
    </row>
    <row r="38" spans="2:5" x14ac:dyDescent="0.3">
      <c r="C38" s="23" t="s">
        <v>54</v>
      </c>
    </row>
    <row r="40" spans="2:5" ht="30" customHeight="1" x14ac:dyDescent="0.3">
      <c r="B40" s="24" t="s">
        <v>55</v>
      </c>
      <c r="C40" s="15"/>
      <c r="D40" s="15"/>
      <c r="E40" s="15"/>
    </row>
    <row r="41" spans="2:5" x14ac:dyDescent="0.3">
      <c r="B41" s="15"/>
      <c r="C41" s="15"/>
      <c r="D41" s="15"/>
      <c r="E41" s="15"/>
    </row>
    <row r="43" spans="2:5" x14ac:dyDescent="0.3">
      <c r="B43" s="27" t="s">
        <v>56</v>
      </c>
    </row>
  </sheetData>
  <sheetProtection sheet="1" formatCells="0" formatColumns="0" formatRows="0" insertColumns="0" insertRows="0" insertHyperlinks="0" deleteColumns="0" deleteRows="0" sort="0" autoFilter="0" pivotTables="0"/>
  <mergeCells count="2">
    <mergeCell ref="C14:E14"/>
    <mergeCell ref="B40:E41"/>
  </mergeCells>
  <hyperlinks>
    <hyperlink ref="C8" location="'Setup'!A1" display="Setup  →" xr:uid="{00000000-0004-0000-0000-000000000000}"/>
    <hyperlink ref="C9" location="'Progress'!A1" display="Progress  →" xr:uid="{00000000-0004-0000-0000-000001000000}"/>
    <hyperlink ref="C10" location="'Look-ahead'!A1" display="Look-ahead  →" xr:uid="{00000000-0004-0000-0000-000002000000}"/>
    <hyperlink ref="C11" location="'Constraints'!A1" display="Constraints  →" xr:uid="{00000000-0004-0000-0000-000003000000}"/>
    <hyperlink ref="C12" location="'Actions'!A1" display="Actions  →" xr:uid="{00000000-0004-0000-0000-000004000000}"/>
    <hyperlink ref="C13" location="'Dashboard'!A1" display="Dashboard  →" xr:uid="{00000000-0004-0000-0000-000005000000}"/>
    <hyperlink ref="C24" location="'Dashboard'!A1" display="Dashboard" xr:uid="{00000000-0004-0000-0000-000006000000}"/>
    <hyperlink ref="C25" location="'Setup'!A1" display="Setup" xr:uid="{00000000-0004-0000-0000-000007000000}"/>
    <hyperlink ref="C26" location="'Progress'!A1" display="Progress" xr:uid="{00000000-0004-0000-0000-000008000000}"/>
    <hyperlink ref="C27" location="'S-curve'!A1" display="S-curve" xr:uid="{00000000-0004-0000-0000-000009000000}"/>
    <hyperlink ref="C28" location="'Float trend'!A1" display="Float trend" xr:uid="{00000000-0004-0000-0000-00000A000000}"/>
    <hyperlink ref="C29" location="'Look-ahead'!A1" display="Look-ahead" xr:uid="{00000000-0004-0000-0000-00000B000000}"/>
    <hyperlink ref="C30" location="'Constraints'!A1" display="Constraints" xr:uid="{00000000-0004-0000-0000-00000C000000}"/>
    <hyperlink ref="C31" location="'Actions'!A1" display="Actions" xr:uid="{00000000-0004-0000-0000-00000D000000}"/>
    <hyperlink ref="C32" location="'History'!A1" display="History" xr:uid="{00000000-0004-0000-0000-00000E000000}"/>
    <hyperlink ref="C35" r:id="rId1" xr:uid="{00000000-0004-0000-0000-00000F000000}"/>
    <hyperlink ref="C36" r:id="rId2" xr:uid="{00000000-0004-0000-0000-000010000000}"/>
    <hyperlink ref="C37" r:id="rId3" xr:uid="{00000000-0004-0000-0000-000011000000}"/>
    <hyperlink ref="C38" r:id="rId4" xr:uid="{00000000-0004-0000-0000-000012000000}"/>
  </hyperlinks>
  <printOptions horizontalCentered="1"/>
  <pageMargins left="0.4" right="0.4" top="0.5" bottom="0.5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4ED8"/>
    <pageSetUpPr fitToPage="1"/>
  </sheetPr>
  <dimension ref="A1:N65"/>
  <sheetViews>
    <sheetView showGridLines="0" workbookViewId="0">
      <pane ySplit="3" topLeftCell="A4" activePane="bottomLeft" state="frozen"/>
      <selection pane="bottomLeft" activeCell="L6" sqref="L6:M7"/>
    </sheetView>
  </sheetViews>
  <sheetFormatPr defaultRowHeight="14.4" x14ac:dyDescent="0.3"/>
  <cols>
    <col min="1" max="1" width="2" style="2" customWidth="1"/>
    <col min="2" max="13" width="12.44140625" style="2" customWidth="1"/>
    <col min="14" max="14" width="2" style="2" customWidth="1"/>
    <col min="15" max="16384" width="8.88671875" style="2"/>
  </cols>
  <sheetData>
    <row r="1" spans="1:14" ht="10.05000000000000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1.95" customHeight="1" x14ac:dyDescent="0.4">
      <c r="A2" s="1"/>
      <c r="B2" s="28" t="s">
        <v>0</v>
      </c>
      <c r="C2" s="1"/>
      <c r="D2" s="1"/>
      <c r="E2" s="1"/>
      <c r="F2" s="1"/>
      <c r="G2" s="1"/>
      <c r="H2" s="1"/>
      <c r="I2" s="1"/>
      <c r="J2" s="1"/>
      <c r="K2" s="65" t="s">
        <v>57</v>
      </c>
      <c r="L2" s="66"/>
      <c r="M2" s="66"/>
      <c r="N2" s="1"/>
    </row>
    <row r="3" spans="1:14" ht="22.05" customHeight="1" x14ac:dyDescent="0.3">
      <c r="A3" s="1"/>
      <c r="B3" s="29">
        <f>IF(Setup!B6="","Fill in the Setup sheet first",Setup!B6&amp;"   ·   Week "&amp;Setup!B7&amp;"   ·   week ending "&amp;TEXT(Setup!B8,"d mmm yyyy")&amp;"   ·   "&amp;Setup!B9)</f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spans="1:14" ht="19.95" customHeight="1" x14ac:dyDescent="0.3">
      <c r="B5" s="30" t="s">
        <v>58</v>
      </c>
      <c r="C5" s="15"/>
      <c r="D5" s="31" t="s">
        <v>59</v>
      </c>
      <c r="E5" s="15"/>
      <c r="F5" s="32" t="s">
        <v>60</v>
      </c>
      <c r="G5" s="15"/>
      <c r="H5" s="33" t="s">
        <v>61</v>
      </c>
      <c r="I5" s="15"/>
      <c r="J5" s="34" t="s">
        <v>62</v>
      </c>
      <c r="K5" s="15"/>
      <c r="L5" s="35" t="s">
        <v>63</v>
      </c>
      <c r="M5" s="15"/>
    </row>
    <row r="6" spans="1:14" ht="22.05" customHeight="1" x14ac:dyDescent="0.3">
      <c r="B6" s="36">
        <f>Progress!J38</f>
      </c>
      <c r="C6" s="15"/>
      <c r="D6" s="37">
        <f>COUNTIF(Progress!R7:R36,"Late")</f>
      </c>
      <c r="E6" s="15"/>
      <c r="F6" s="38">
        <f>'Look-ahead'!U8</f>
      </c>
      <c r="G6" s="15"/>
      <c r="H6" s="39">
        <f>'Look-ahead'!U11</f>
      </c>
      <c r="I6" s="15"/>
      <c r="J6" s="40">
        <f>COUNTIF(Constraints!J7:J46,"Open")+COUNTIF(Constraints!J7:J46,"Overdue")</f>
      </c>
      <c r="K6" s="15"/>
      <c r="L6" s="41">
        <f>COUNTIF(Actions!H7:H46,"&gt;0")</f>
      </c>
      <c r="M6" s="15"/>
    </row>
    <row r="7" spans="1:14" ht="22.05" customHeight="1" x14ac:dyDescent="0.3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4" ht="19.95" customHeight="1" x14ac:dyDescent="0.3">
      <c r="B8" s="42">
        <f>IF(Progress!I38="","",("planned "&amp;TEXT(Progress!I38,"0%")&amp;"  ·  "&amp;TEXT(Progress!K38,"+0;-0;0")&amp;" pts"))</f>
      </c>
      <c r="C8" s="15"/>
      <c r="D8" s="43">
        <f>"negative float  ·  "&amp;COUNTIF(Progress!R7:R36,"Watch")&amp;" to watch"</f>
      </c>
      <c r="E8" s="15"/>
      <c r="F8" s="44">
        <f>IF('Look-ahead'!U7=0,"","of "&amp;'Look-ahead'!U7&amp;" items  ·  "&amp;TEXT('Look-ahead'!U9,"0%"))</f>
      </c>
      <c r="G8" s="15"/>
      <c r="H8" s="45">
        <f>IF('Look-ahead'!U11="","",IF('Look-ahead'!U11&gt;0.5,"mostly repeats: a list, not a plan","mostly new work: a plan"))</f>
      </c>
      <c r="I8" s="15"/>
      <c r="J8" s="46">
        <f>COUNTIF(Constraints!J7:J46,"Overdue")&amp;" overdue"</f>
      </c>
      <c r="K8" s="15"/>
      <c r="L8" s="47">
        <f>"of "&amp;COUNTIFS(Actions!C7:C46,"&lt;&gt;",Actions!G7:G46,"Open")&amp;" open actions"</f>
      </c>
      <c r="M8" s="15"/>
    </row>
    <row r="9" spans="1:14" x14ac:dyDescent="0.3">
      <c r="B9" s="48"/>
      <c r="C9" s="48"/>
      <c r="D9" s="49"/>
      <c r="E9" s="49"/>
      <c r="F9" s="50"/>
      <c r="G9" s="50"/>
      <c r="H9" s="51"/>
      <c r="I9" s="51"/>
      <c r="J9" s="52"/>
      <c r="K9" s="52"/>
      <c r="L9" s="53"/>
      <c r="M9" s="53"/>
    </row>
    <row r="11" spans="1:14" x14ac:dyDescent="0.3">
      <c r="B11" s="54" t="s">
        <v>64</v>
      </c>
      <c r="F11" s="55" t="s">
        <v>65</v>
      </c>
    </row>
    <row r="12" spans="1:14" ht="36" customHeight="1" x14ac:dyDescent="0.3">
      <c r="B12" s="56" t="s">
        <v>66</v>
      </c>
      <c r="C12" s="15"/>
      <c r="D12" s="57"/>
      <c r="E12" s="15"/>
      <c r="F12" s="15"/>
      <c r="G12" s="15"/>
      <c r="H12" s="15"/>
      <c r="I12" s="15"/>
      <c r="J12" s="15"/>
      <c r="K12" s="15"/>
      <c r="L12" s="15"/>
      <c r="M12" s="15"/>
    </row>
    <row r="13" spans="1:14" ht="36" customHeight="1" x14ac:dyDescent="0.3">
      <c r="B13" s="56" t="s">
        <v>68</v>
      </c>
      <c r="C13" s="15"/>
      <c r="D13" s="57"/>
      <c r="E13" s="15"/>
      <c r="F13" s="15"/>
      <c r="G13" s="15"/>
      <c r="H13" s="15"/>
      <c r="I13" s="15"/>
      <c r="J13" s="15"/>
      <c r="K13" s="15"/>
      <c r="L13" s="15"/>
      <c r="M13" s="15"/>
    </row>
    <row r="14" spans="1:14" ht="36" customHeight="1" x14ac:dyDescent="0.3">
      <c r="B14" s="56" t="s">
        <v>70</v>
      </c>
      <c r="C14" s="15"/>
      <c r="D14" s="57"/>
      <c r="E14" s="15"/>
      <c r="F14" s="15"/>
      <c r="G14" s="15"/>
      <c r="H14" s="15"/>
      <c r="I14" s="15"/>
      <c r="J14" s="15"/>
      <c r="K14" s="15"/>
      <c r="L14" s="15"/>
      <c r="M14" s="15"/>
    </row>
    <row r="16" spans="1:14" x14ac:dyDescent="0.3">
      <c r="B16" s="54" t="s">
        <v>72</v>
      </c>
    </row>
    <row r="34" spans="2:2" x14ac:dyDescent="0.3">
      <c r="B34" s="54" t="s">
        <v>73</v>
      </c>
    </row>
    <row r="52" spans="2:13" x14ac:dyDescent="0.3">
      <c r="B52" s="54" t="s">
        <v>74</v>
      </c>
    </row>
    <row r="53" spans="2:13" ht="22.05" customHeight="1" x14ac:dyDescent="0.3">
      <c r="B53" s="58" t="s">
        <v>75</v>
      </c>
      <c r="C53" s="15"/>
      <c r="D53" s="15"/>
      <c r="E53" s="59" t="s">
        <v>76</v>
      </c>
      <c r="F53" s="59" t="s">
        <v>77</v>
      </c>
      <c r="G53" s="59" t="s">
        <v>78</v>
      </c>
      <c r="H53" s="59" t="s">
        <v>79</v>
      </c>
      <c r="I53" s="58" t="s">
        <v>80</v>
      </c>
      <c r="J53" s="15"/>
      <c r="K53" s="15"/>
      <c r="L53" s="15"/>
      <c r="M53" s="15"/>
    </row>
    <row r="54" spans="2:13" ht="19.95" customHeight="1" x14ac:dyDescent="0.3">
      <c r="B54" s="60">
        <f>IFERROR(INDEX(Progress!$B$7:$B$36,MATCH(1,Progress!$U$7:$U$36,0)),"")</f>
      </c>
      <c r="C54" s="61"/>
      <c r="D54" s="61"/>
      <c r="E54" s="62">
        <f>IFERROR(INDEX(Progress!$R$7:$R$36,MATCH(1,Progress!$U$7:$U$36,0)),"")</f>
      </c>
      <c r="F54" s="63">
        <f>IFERROR(INDEX(Progress!$P$7:$P$36,MATCH(1,Progress!$U$7:$U$36,0)),"")</f>
      </c>
      <c r="G54" s="64">
        <f>IFERROR(INDEX(Progress!$Q$7:$Q$36,MATCH(1,Progress!$U$7:$U$36,0)),"")</f>
      </c>
      <c r="H54" s="64">
        <f>IFERROR(INDEX(Progress!$H$7:$H$36,MATCH(1,Progress!$U$7:$U$36,0)),"")</f>
      </c>
      <c r="I54" s="60">
        <f>IFERROR(INDEX(Progress!$T$7:$T$36,MATCH(1,Progress!$U$7:$U$36,0))&amp;"","")</f>
      </c>
      <c r="J54" s="61"/>
      <c r="K54" s="61"/>
      <c r="L54" s="61"/>
      <c r="M54" s="61"/>
    </row>
    <row r="55" spans="2:13" ht="19.95" customHeight="1" x14ac:dyDescent="0.3">
      <c r="B55" s="60">
        <f>IFERROR(INDEX(Progress!$B$7:$B$36,MATCH(2,Progress!$U$7:$U$36,0)),"")</f>
      </c>
      <c r="C55" s="61"/>
      <c r="D55" s="61"/>
      <c r="E55" s="62">
        <f>IFERROR(INDEX(Progress!$R$7:$R$36,MATCH(2,Progress!$U$7:$U$36,0)),"")</f>
      </c>
      <c r="F55" s="63">
        <f>IFERROR(INDEX(Progress!$P$7:$P$36,MATCH(2,Progress!$U$7:$U$36,0)),"")</f>
      </c>
      <c r="G55" s="64">
        <f>IFERROR(INDEX(Progress!$Q$7:$Q$36,MATCH(2,Progress!$U$7:$U$36,0)),"")</f>
      </c>
      <c r="H55" s="64">
        <f>IFERROR(INDEX(Progress!$H$7:$H$36,MATCH(2,Progress!$U$7:$U$36,0)),"")</f>
      </c>
      <c r="I55" s="60">
        <f>IFERROR(INDEX(Progress!$T$7:$T$36,MATCH(2,Progress!$U$7:$U$36,0))&amp;"","")</f>
      </c>
      <c r="J55" s="61"/>
      <c r="K55" s="61"/>
      <c r="L55" s="61"/>
      <c r="M55" s="61"/>
    </row>
    <row r="56" spans="2:13" ht="19.95" customHeight="1" x14ac:dyDescent="0.3">
      <c r="B56" s="60">
        <f>IFERROR(INDEX(Progress!$B$7:$B$36,MATCH(3,Progress!$U$7:$U$36,0)),"")</f>
      </c>
      <c r="C56" s="61"/>
      <c r="D56" s="61"/>
      <c r="E56" s="62">
        <f>IFERROR(INDEX(Progress!$R$7:$R$36,MATCH(3,Progress!$U$7:$U$36,0)),"")</f>
      </c>
      <c r="F56" s="63">
        <f>IFERROR(INDEX(Progress!$P$7:$P$36,MATCH(3,Progress!$U$7:$U$36,0)),"")</f>
      </c>
      <c r="G56" s="64">
        <f>IFERROR(INDEX(Progress!$Q$7:$Q$36,MATCH(3,Progress!$U$7:$U$36,0)),"")</f>
      </c>
      <c r="H56" s="64">
        <f>IFERROR(INDEX(Progress!$H$7:$H$36,MATCH(3,Progress!$U$7:$U$36,0)),"")</f>
      </c>
      <c r="I56" s="60">
        <f>IFERROR(INDEX(Progress!$T$7:$T$36,MATCH(3,Progress!$U$7:$U$36,0))&amp;"","")</f>
      </c>
      <c r="J56" s="61"/>
      <c r="K56" s="61"/>
      <c r="L56" s="61"/>
      <c r="M56" s="61"/>
    </row>
    <row r="57" spans="2:13" ht="19.95" customHeight="1" x14ac:dyDescent="0.3">
      <c r="B57" s="60">
        <f>IFERROR(INDEX(Progress!$B$7:$B$36,MATCH(4,Progress!$U$7:$U$36,0)),"")</f>
      </c>
      <c r="C57" s="61"/>
      <c r="D57" s="61"/>
      <c r="E57" s="62">
        <f>IFERROR(INDEX(Progress!$R$7:$R$36,MATCH(4,Progress!$U$7:$U$36,0)),"")</f>
      </c>
      <c r="F57" s="63">
        <f>IFERROR(INDEX(Progress!$P$7:$P$36,MATCH(4,Progress!$U$7:$U$36,0)),"")</f>
      </c>
      <c r="G57" s="64">
        <f>IFERROR(INDEX(Progress!$Q$7:$Q$36,MATCH(4,Progress!$U$7:$U$36,0)),"")</f>
      </c>
      <c r="H57" s="64">
        <f>IFERROR(INDEX(Progress!$H$7:$H$36,MATCH(4,Progress!$U$7:$U$36,0)),"")</f>
      </c>
      <c r="I57" s="60">
        <f>IFERROR(INDEX(Progress!$T$7:$T$36,MATCH(4,Progress!$U$7:$U$36,0))&amp;"","")</f>
      </c>
      <c r="J57" s="61"/>
      <c r="K57" s="61"/>
      <c r="L57" s="61"/>
      <c r="M57" s="61"/>
    </row>
    <row r="58" spans="2:13" ht="19.95" customHeight="1" x14ac:dyDescent="0.3">
      <c r="B58" s="60">
        <f>IFERROR(INDEX(Progress!$B$7:$B$36,MATCH(5,Progress!$U$7:$U$36,0)),"")</f>
      </c>
      <c r="C58" s="61"/>
      <c r="D58" s="61"/>
      <c r="E58" s="62">
        <f>IFERROR(INDEX(Progress!$R$7:$R$36,MATCH(5,Progress!$U$7:$U$36,0)),"")</f>
      </c>
      <c r="F58" s="63">
        <f>IFERROR(INDEX(Progress!$P$7:$P$36,MATCH(5,Progress!$U$7:$U$36,0)),"")</f>
      </c>
      <c r="G58" s="64">
        <f>IFERROR(INDEX(Progress!$Q$7:$Q$36,MATCH(5,Progress!$U$7:$U$36,0)),"")</f>
      </c>
      <c r="H58" s="64">
        <f>IFERROR(INDEX(Progress!$H$7:$H$36,MATCH(5,Progress!$U$7:$U$36,0)),"")</f>
      </c>
      <c r="I58" s="60">
        <f>IFERROR(INDEX(Progress!$T$7:$T$36,MATCH(5,Progress!$U$7:$U$36,0))&amp;"","")</f>
      </c>
      <c r="J58" s="61"/>
      <c r="K58" s="61"/>
      <c r="L58" s="61"/>
      <c r="M58" s="61"/>
    </row>
    <row r="59" spans="2:13" ht="19.95" customHeight="1" x14ac:dyDescent="0.3">
      <c r="B59" s="60">
        <f>IFERROR(INDEX(Progress!$B$7:$B$36,MATCH(6,Progress!$U$7:$U$36,0)),"")</f>
      </c>
      <c r="C59" s="61"/>
      <c r="D59" s="61"/>
      <c r="E59" s="62">
        <f>IFERROR(INDEX(Progress!$R$7:$R$36,MATCH(6,Progress!$U$7:$U$36,0)),"")</f>
      </c>
      <c r="F59" s="63">
        <f>IFERROR(INDEX(Progress!$P$7:$P$36,MATCH(6,Progress!$U$7:$U$36,0)),"")</f>
      </c>
      <c r="G59" s="64">
        <f>IFERROR(INDEX(Progress!$Q$7:$Q$36,MATCH(6,Progress!$U$7:$U$36,0)),"")</f>
      </c>
      <c r="H59" s="64">
        <f>IFERROR(INDEX(Progress!$H$7:$H$36,MATCH(6,Progress!$U$7:$U$36,0)),"")</f>
      </c>
      <c r="I59" s="60">
        <f>IFERROR(INDEX(Progress!$T$7:$T$36,MATCH(6,Progress!$U$7:$U$36,0))&amp;"","")</f>
      </c>
      <c r="J59" s="61"/>
      <c r="K59" s="61"/>
      <c r="L59" s="61"/>
      <c r="M59" s="61"/>
    </row>
    <row r="60" spans="2:13" ht="19.95" customHeight="1" x14ac:dyDescent="0.3">
      <c r="B60" s="60">
        <f>IFERROR(INDEX(Progress!$B$7:$B$36,MATCH(7,Progress!$U$7:$U$36,0)),"")</f>
      </c>
      <c r="C60" s="61"/>
      <c r="D60" s="61"/>
      <c r="E60" s="62">
        <f>IFERROR(INDEX(Progress!$R$7:$R$36,MATCH(7,Progress!$U$7:$U$36,0)),"")</f>
      </c>
      <c r="F60" s="63">
        <f>IFERROR(INDEX(Progress!$P$7:$P$36,MATCH(7,Progress!$U$7:$U$36,0)),"")</f>
      </c>
      <c r="G60" s="64">
        <f>IFERROR(INDEX(Progress!$Q$7:$Q$36,MATCH(7,Progress!$U$7:$U$36,0)),"")</f>
      </c>
      <c r="H60" s="64">
        <f>IFERROR(INDEX(Progress!$H$7:$H$36,MATCH(7,Progress!$U$7:$U$36,0)),"")</f>
      </c>
      <c r="I60" s="60">
        <f>IFERROR(INDEX(Progress!$T$7:$T$36,MATCH(7,Progress!$U$7:$U$36,0))&amp;"","")</f>
      </c>
      <c r="J60" s="61"/>
      <c r="K60" s="61"/>
      <c r="L60" s="61"/>
      <c r="M60" s="61"/>
    </row>
    <row r="61" spans="2:13" ht="19.95" customHeight="1" x14ac:dyDescent="0.3">
      <c r="B61" s="60">
        <f>IFERROR(INDEX(Progress!$B$7:$B$36,MATCH(8,Progress!$U$7:$U$36,0)),"")</f>
      </c>
      <c r="C61" s="61"/>
      <c r="D61" s="61"/>
      <c r="E61" s="62">
        <f>IFERROR(INDEX(Progress!$R$7:$R$36,MATCH(8,Progress!$U$7:$U$36,0)),"")</f>
      </c>
      <c r="F61" s="63">
        <f>IFERROR(INDEX(Progress!$P$7:$P$36,MATCH(8,Progress!$U$7:$U$36,0)),"")</f>
      </c>
      <c r="G61" s="64">
        <f>IFERROR(INDEX(Progress!$Q$7:$Q$36,MATCH(8,Progress!$U$7:$U$36,0)),"")</f>
      </c>
      <c r="H61" s="64">
        <f>IFERROR(INDEX(Progress!$H$7:$H$36,MATCH(8,Progress!$U$7:$U$36,0)),"")</f>
      </c>
      <c r="I61" s="60">
        <f>IFERROR(INDEX(Progress!$T$7:$T$36,MATCH(8,Progress!$U$7:$U$36,0))&amp;"","")</f>
      </c>
      <c r="J61" s="61"/>
      <c r="K61" s="61"/>
      <c r="L61" s="61"/>
      <c r="M61" s="61"/>
    </row>
    <row r="62" spans="2:13" ht="19.95" customHeight="1" x14ac:dyDescent="0.3">
      <c r="B62" s="60">
        <f>IFERROR(INDEX(Progress!$B$7:$B$36,MATCH(9,Progress!$U$7:$U$36,0)),"")</f>
      </c>
      <c r="C62" s="61"/>
      <c r="D62" s="61"/>
      <c r="E62" s="62">
        <f>IFERROR(INDEX(Progress!$R$7:$R$36,MATCH(9,Progress!$U$7:$U$36,0)),"")</f>
      </c>
      <c r="F62" s="63">
        <f>IFERROR(INDEX(Progress!$P$7:$P$36,MATCH(9,Progress!$U$7:$U$36,0)),"")</f>
      </c>
      <c r="G62" s="64">
        <f>IFERROR(INDEX(Progress!$Q$7:$Q$36,MATCH(9,Progress!$U$7:$U$36,0)),"")</f>
      </c>
      <c r="H62" s="64">
        <f>IFERROR(INDEX(Progress!$H$7:$H$36,MATCH(9,Progress!$U$7:$U$36,0)),"")</f>
      </c>
      <c r="I62" s="60">
        <f>IFERROR(INDEX(Progress!$T$7:$T$36,MATCH(9,Progress!$U$7:$U$36,0))&amp;"","")</f>
      </c>
      <c r="J62" s="61"/>
      <c r="K62" s="61"/>
      <c r="L62" s="61"/>
      <c r="M62" s="61"/>
    </row>
    <row r="63" spans="2:13" ht="19.95" customHeight="1" x14ac:dyDescent="0.3">
      <c r="B63" s="60">
        <f>IFERROR(INDEX(Progress!$B$7:$B$36,MATCH(10,Progress!$U$7:$U$36,0)),"")</f>
      </c>
      <c r="C63" s="61"/>
      <c r="D63" s="61"/>
      <c r="E63" s="62">
        <f>IFERROR(INDEX(Progress!$R$7:$R$36,MATCH(10,Progress!$U$7:$U$36,0)),"")</f>
      </c>
      <c r="F63" s="63">
        <f>IFERROR(INDEX(Progress!$P$7:$P$36,MATCH(10,Progress!$U$7:$U$36,0)),"")</f>
      </c>
      <c r="G63" s="64">
        <f>IFERROR(INDEX(Progress!$Q$7:$Q$36,MATCH(10,Progress!$U$7:$U$36,0)),"")</f>
      </c>
      <c r="H63" s="64">
        <f>IFERROR(INDEX(Progress!$H$7:$H$36,MATCH(10,Progress!$U$7:$U$36,0)),"")</f>
      </c>
      <c r="I63" s="60">
        <f>IFERROR(INDEX(Progress!$T$7:$T$36,MATCH(10,Progress!$U$7:$U$36,0))&amp;"","")</f>
      </c>
      <c r="J63" s="61"/>
      <c r="K63" s="61"/>
      <c r="L63" s="61"/>
      <c r="M63" s="61"/>
    </row>
    <row r="65" spans="2:2" x14ac:dyDescent="0.3">
      <c r="B65" s="55" t="s">
        <v>81</v>
      </c>
    </row>
  </sheetData>
  <sheetProtection sheet="1" formatCells="0" formatColumns="0" formatRows="0" insertColumns="0" insertRows="0" insertHyperlinks="0" deleteColumns="0" deleteRows="0" sort="0" autoFilter="0" pivotTables="0"/>
  <mergeCells count="47">
    <mergeCell ref="B63:D63"/>
    <mergeCell ref="I55:M55"/>
    <mergeCell ref="I62:M62"/>
    <mergeCell ref="D6:E7"/>
    <mergeCell ref="F6:G7"/>
    <mergeCell ref="B62:D62"/>
    <mergeCell ref="B54:D54"/>
    <mergeCell ref="D13:M13"/>
    <mergeCell ref="D8:E8"/>
    <mergeCell ref="B59:D59"/>
    <mergeCell ref="H6:I7"/>
    <mergeCell ref="J6:K7"/>
    <mergeCell ref="I63:M63"/>
    <mergeCell ref="B56:D56"/>
    <mergeCell ref="B58:D58"/>
    <mergeCell ref="H8:I8"/>
    <mergeCell ref="K2:M2"/>
    <mergeCell ref="L6:M7"/>
    <mergeCell ref="I54:M54"/>
    <mergeCell ref="F5:G5"/>
    <mergeCell ref="B14:C14"/>
    <mergeCell ref="L5:M5"/>
    <mergeCell ref="L8:M8"/>
    <mergeCell ref="B8:C8"/>
    <mergeCell ref="I53:M53"/>
    <mergeCell ref="F8:G8"/>
    <mergeCell ref="B13:C13"/>
    <mergeCell ref="B5:C5"/>
    <mergeCell ref="D5:E5"/>
    <mergeCell ref="H5:I5"/>
    <mergeCell ref="J8:K8"/>
    <mergeCell ref="I59:M59"/>
    <mergeCell ref="B60:D60"/>
    <mergeCell ref="J5:K5"/>
    <mergeCell ref="B61:D61"/>
    <mergeCell ref="D12:M12"/>
    <mergeCell ref="B57:D57"/>
    <mergeCell ref="B6:C7"/>
    <mergeCell ref="B53:D53"/>
    <mergeCell ref="I61:M61"/>
    <mergeCell ref="D14:M14"/>
    <mergeCell ref="B12:C12"/>
    <mergeCell ref="I57:M57"/>
    <mergeCell ref="B55:D55"/>
    <mergeCell ref="I56:M56"/>
    <mergeCell ref="I58:M58"/>
    <mergeCell ref="I60:M60"/>
  </mergeCells>
  <conditionalFormatting sqref="D6">
    <cfRule type="expression" dxfId="25" priority="1">
      <formula>D6&gt;0</formula>
    </cfRule>
  </conditionalFormatting>
  <conditionalFormatting sqref="E54:E63">
    <cfRule type="cellIs" dxfId="24" priority="6" operator="equal">
      <formula>"Late"</formula>
    </cfRule>
    <cfRule type="cellIs" dxfId="23" priority="7" operator="equal">
      <formula>"Watch"</formula>
    </cfRule>
  </conditionalFormatting>
  <conditionalFormatting sqref="H6">
    <cfRule type="expression" dxfId="22" priority="2">
      <formula>AND(ISNUMBER(H6),H6&gt;0.5)</formula>
    </cfRule>
  </conditionalFormatting>
  <conditionalFormatting sqref="L6">
    <cfRule type="expression" dxfId="20" priority="4">
      <formula>L6&gt;0</formula>
    </cfRule>
  </conditionalFormatting>
  <printOptions horizontalCentered="1"/>
  <pageMargins left="0.4" right="0.4" top="0.5" bottom="0.5" header="0.5" footer="0.5"/>
  <pageSetup paperSize="9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00000000-000E-0000-0100-000005000000}">
            <xm:f>AND(ISNUMBER(Progress!K38),Progress!K38&lt;=-5)</xm:f>
            <x14:dxf>
              <font>
                <b/>
                <sz val="26"/>
                <color rgb="FFBE123C"/>
                <name val="Arial"/>
              </font>
            </x14:dxf>
          </x14:cfRule>
          <xm:sqref>B6</xm:sqref>
        </x14:conditionalFormatting>
        <x14:conditionalFormatting xmlns:xm="http://schemas.microsoft.com/office/excel/2006/main">
          <x14:cfRule type="expression" priority="3" id="{00000000-000E-0000-0100-000003000000}">
            <xm:f>COUNTIF(Constraints!J7:J46,"Overdue")&gt;0</xm:f>
            <x14:dxf>
              <font>
                <b/>
                <sz val="26"/>
                <color rgb="FFBE123C"/>
                <name val="Arial"/>
              </font>
            </x14:dxf>
          </x14:cfRule>
          <xm:sqref>J6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172A"/>
    <pageSetUpPr fitToPage="1"/>
  </sheetPr>
  <dimension ref="A1:D34"/>
  <sheetViews>
    <sheetView showGridLines="0" topLeftCell="A12" workbookViewId="0">
      <selection activeCell="D19" sqref="D19"/>
    </sheetView>
  </sheetViews>
  <sheetFormatPr defaultRowHeight="14.4" x14ac:dyDescent="0.3"/>
  <cols>
    <col min="1" max="2" width="30" style="2" customWidth="1"/>
    <col min="3" max="3" width="4" style="2" customWidth="1"/>
    <col min="4" max="4" width="50" style="2" customWidth="1"/>
    <col min="5" max="16384" width="8.88671875" style="2"/>
  </cols>
  <sheetData>
    <row r="1" spans="1:4" ht="28.05" customHeight="1" x14ac:dyDescent="0.4">
      <c r="A1" s="67" t="s">
        <v>34</v>
      </c>
      <c r="D1" s="75" t="s">
        <v>57</v>
      </c>
    </row>
    <row r="2" spans="1:4" x14ac:dyDescent="0.3">
      <c r="A2" s="68" t="s">
        <v>82</v>
      </c>
    </row>
    <row r="3" spans="1:4" x14ac:dyDescent="0.3">
      <c r="A3" s="69" t="s">
        <v>83</v>
      </c>
    </row>
    <row r="4" spans="1:4" x14ac:dyDescent="0.3">
      <c r="A4" s="70"/>
      <c r="B4" s="70"/>
      <c r="C4" s="70"/>
      <c r="D4" s="70"/>
    </row>
    <row r="6" spans="1:4" x14ac:dyDescent="0.3">
      <c r="A6" s="71" t="s">
        <v>84</v>
      </c>
      <c r="B6" s="72"/>
    </row>
    <row r="7" spans="1:4" x14ac:dyDescent="0.3">
      <c r="A7" s="71" t="s">
        <v>86</v>
      </c>
      <c r="B7" s="73"/>
    </row>
    <row r="8" spans="1:4" x14ac:dyDescent="0.3">
      <c r="A8" s="71" t="s">
        <v>87</v>
      </c>
      <c r="B8" s="74"/>
    </row>
    <row r="9" spans="1:4" x14ac:dyDescent="0.3">
      <c r="A9" s="71" t="s">
        <v>88</v>
      </c>
      <c r="B9" s="72"/>
    </row>
    <row r="10" spans="1:4" x14ac:dyDescent="0.3">
      <c r="A10" s="71" t="s">
        <v>90</v>
      </c>
      <c r="B10" s="74">
        <f>IF(B8="","",B8)</f>
      </c>
      <c r="D10" s="25" t="s">
        <v>91</v>
      </c>
    </row>
    <row r="11" spans="1:4" x14ac:dyDescent="0.3">
      <c r="A11" s="71" t="s">
        <v>92</v>
      </c>
      <c r="B11" s="74"/>
      <c r="D11" s="25" t="s">
        <v>93</v>
      </c>
    </row>
    <row r="14" spans="1:4" x14ac:dyDescent="0.3">
      <c r="A14" s="54" t="s">
        <v>94</v>
      </c>
      <c r="D14" s="54" t="s">
        <v>95</v>
      </c>
    </row>
    <row r="15" spans="1:4" x14ac:dyDescent="0.3">
      <c r="A15" s="25" t="s">
        <v>96</v>
      </c>
      <c r="B15" s="72"/>
      <c r="D15" s="72"/>
    </row>
    <row r="16" spans="1:4" x14ac:dyDescent="0.3">
      <c r="B16" s="72"/>
      <c r="D16" s="72"/>
    </row>
    <row r="17" spans="2:4" x14ac:dyDescent="0.3">
      <c r="B17" s="72"/>
      <c r="D17" s="72"/>
    </row>
    <row r="18" spans="2:4" x14ac:dyDescent="0.3">
      <c r="B18" s="72"/>
      <c r="D18" s="72"/>
    </row>
    <row r="19" spans="2:4" x14ac:dyDescent="0.3">
      <c r="B19" s="72"/>
      <c r="D19" s="72"/>
    </row>
    <row r="20" spans="2:4" x14ac:dyDescent="0.3">
      <c r="B20" s="72"/>
      <c r="D20" s="72"/>
    </row>
    <row r="21" spans="2:4" x14ac:dyDescent="0.3">
      <c r="B21" s="72"/>
      <c r="D21" s="72"/>
    </row>
    <row r="22" spans="2:4" x14ac:dyDescent="0.3">
      <c r="B22" s="72"/>
      <c r="D22" s="72"/>
    </row>
    <row r="23" spans="2:4" x14ac:dyDescent="0.3">
      <c r="B23" s="72"/>
      <c r="D23" s="72"/>
    </row>
    <row r="24" spans="2:4" x14ac:dyDescent="0.3">
      <c r="B24" s="72"/>
      <c r="D24" s="72"/>
    </row>
    <row r="25" spans="2:4" x14ac:dyDescent="0.3">
      <c r="B25" s="72"/>
      <c r="D25" s="72"/>
    </row>
    <row r="26" spans="2:4" x14ac:dyDescent="0.3">
      <c r="B26" s="72"/>
      <c r="D26" s="72"/>
    </row>
    <row r="27" spans="2:4" x14ac:dyDescent="0.3">
      <c r="B27" s="72"/>
    </row>
    <row r="28" spans="2:4" x14ac:dyDescent="0.3">
      <c r="B28" s="72"/>
    </row>
    <row r="29" spans="2:4" x14ac:dyDescent="0.3">
      <c r="B29" s="72"/>
    </row>
    <row r="30" spans="2:4" x14ac:dyDescent="0.3">
      <c r="B30" s="72"/>
    </row>
    <row r="31" spans="2:4" x14ac:dyDescent="0.3">
      <c r="B31" s="72"/>
    </row>
    <row r="32" spans="2:4" x14ac:dyDescent="0.3">
      <c r="B32" s="72"/>
    </row>
    <row r="33" spans="2:2" x14ac:dyDescent="0.3">
      <c r="B33" s="72"/>
    </row>
    <row r="34" spans="2:2" x14ac:dyDescent="0.3">
      <c r="B34" s="72"/>
    </row>
  </sheetData>
  <sheetProtection sheet="1" formatCells="0" formatColumns="0" formatRows="0" insertColumns="0" insertRows="0" insertHyperlinks="0" deleteColumns="0" deleteRows="0" sort="0" autoFilter="0" pivotTables="0"/>
  <printOptions horizontalCentered="1"/>
  <pageMargins left="0.4" right="0.4" top="0.5" bottom="0.5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B82F6"/>
    <pageSetUpPr fitToPage="1"/>
  </sheetPr>
  <dimension ref="A1:U4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T15" sqref="T15"/>
    </sheetView>
  </sheetViews>
  <sheetFormatPr defaultRowHeight="14.4" x14ac:dyDescent="0.3"/>
  <cols>
    <col min="1" max="1" width="6" style="2" customWidth="1"/>
    <col min="2" max="2" width="32" style="2" customWidth="1"/>
    <col min="3" max="3" width="12" style="2" customWidth="1"/>
    <col min="4" max="4" width="15" style="2" customWidth="1"/>
    <col min="5" max="5" width="9" style="2" customWidth="1"/>
    <col min="6" max="7" width="12" style="2" customWidth="1"/>
    <col min="8" max="8" width="9" style="2" customWidth="1"/>
    <col min="9" max="11" width="10" style="2" customWidth="1"/>
    <col min="12" max="13" width="11" style="2" customWidth="1"/>
    <col min="14" max="17" width="9" style="2" customWidth="1"/>
    <col min="18" max="18" width="11" style="2" customWidth="1"/>
    <col min="19" max="19" width="15" style="2" customWidth="1"/>
    <col min="20" max="20" width="40" style="2" customWidth="1"/>
    <col min="21" max="21" width="4" style="2" customWidth="1"/>
    <col min="22" max="16384" width="8.88671875" style="2"/>
  </cols>
  <sheetData>
    <row r="1" spans="1:21" ht="28.05" customHeight="1" x14ac:dyDescent="0.4">
      <c r="A1" s="67" t="s">
        <v>36</v>
      </c>
      <c r="U1" s="75" t="s">
        <v>57</v>
      </c>
    </row>
    <row r="2" spans="1:21" x14ac:dyDescent="0.3">
      <c r="A2" s="68" t="s">
        <v>115</v>
      </c>
    </row>
    <row r="3" spans="1:21" x14ac:dyDescent="0.3">
      <c r="A3" s="69" t="s">
        <v>116</v>
      </c>
    </row>
    <row r="4" spans="1:21" x14ac:dyDescent="0.3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</row>
    <row r="6" spans="1:21" ht="48" customHeight="1" x14ac:dyDescent="0.3">
      <c r="A6" s="77" t="s">
        <v>117</v>
      </c>
      <c r="B6" s="77" t="s">
        <v>75</v>
      </c>
      <c r="C6" s="77" t="s">
        <v>118</v>
      </c>
      <c r="D6" s="77" t="s">
        <v>119</v>
      </c>
      <c r="E6" s="78" t="s">
        <v>120</v>
      </c>
      <c r="F6" s="78" t="s">
        <v>121</v>
      </c>
      <c r="G6" s="78" t="s">
        <v>122</v>
      </c>
      <c r="H6" s="78" t="s">
        <v>79</v>
      </c>
      <c r="I6" s="78" t="s">
        <v>123</v>
      </c>
      <c r="J6" s="78" t="s">
        <v>124</v>
      </c>
      <c r="K6" s="78" t="s">
        <v>125</v>
      </c>
      <c r="L6" s="78" t="s">
        <v>126</v>
      </c>
      <c r="M6" s="78" t="s">
        <v>127</v>
      </c>
      <c r="N6" s="78" t="s">
        <v>128</v>
      </c>
      <c r="O6" s="78" t="s">
        <v>129</v>
      </c>
      <c r="P6" s="78" t="s">
        <v>130</v>
      </c>
      <c r="Q6" s="78" t="s">
        <v>131</v>
      </c>
      <c r="R6" s="77" t="s">
        <v>76</v>
      </c>
      <c r="S6" s="77" t="s">
        <v>132</v>
      </c>
      <c r="T6" s="77" t="s">
        <v>80</v>
      </c>
      <c r="U6" s="77" t="s">
        <v>133</v>
      </c>
    </row>
    <row r="7" spans="1:21" x14ac:dyDescent="0.3">
      <c r="A7" s="79"/>
      <c r="B7" s="80"/>
      <c r="C7" s="79"/>
      <c r="D7" s="79"/>
      <c r="E7" s="81"/>
      <c r="F7" s="82"/>
      <c r="G7" s="82"/>
      <c r="H7" s="83">
        <f t="shared" ref="H7:H36" si="0">IF(OR(F7="",G7=""),"",G7-F7)</f>
      </c>
      <c r="I7" s="84"/>
      <c r="J7" s="84"/>
      <c r="K7" s="83">
        <f t="shared" ref="K7:K36" si="1">IF(OR(B7="",I7="",J7=""),"",(J7-I7)*100)</f>
      </c>
      <c r="L7" s="85"/>
      <c r="M7" s="85"/>
      <c r="N7" s="86">
        <f t="shared" ref="N7:N36" si="2">IF(OR(L7="",M7=""),"",M7-L7)</f>
      </c>
      <c r="O7" s="85"/>
      <c r="P7" s="85"/>
      <c r="Q7" s="83">
        <f t="shared" ref="Q7:Q36" si="3">IF(OR(O7="",P7=""),"",P7-O7)</f>
      </c>
      <c r="R7" s="87">
        <f t="shared" ref="R7:R36" si="4">IF(B7="","",IF(J7&gt;=1,"Complete",IF(AND(P7&lt;&gt;"",P7&lt;0),"Late",IF(OR(AND(K7&lt;&gt;"",K7&lt;=-10),AND(Q7&lt;&gt;"",Q7&lt;0),AND(H7&lt;&gt;"",H7&gt;0)),"Watch","On track"))))</f>
      </c>
      <c r="S7" s="88">
        <f t="shared" ref="S7:S36" si="5">IF(OR(B7="",Q7=""),"",IF(Q7&lt;0,"▼ float down "&amp;-Q7,IF(Q7&gt;0,"▲ float up "&amp;Q7,"● steady")))</f>
      </c>
      <c r="T7" s="80"/>
      <c r="U7" s="89">
        <f>IF(OR(R7="Late",R7="Watch"),COUNTIF($R$7:R7,"Late")+COUNTIF($R$7:R7,"Watch"),"")</f>
      </c>
    </row>
    <row r="8" spans="1:21" x14ac:dyDescent="0.3">
      <c r="A8" s="79"/>
      <c r="B8" s="80"/>
      <c r="C8" s="79"/>
      <c r="D8" s="79"/>
      <c r="E8" s="81"/>
      <c r="F8" s="82"/>
      <c r="G8" s="82"/>
      <c r="H8" s="83">
        <f t="shared" si="0"/>
      </c>
      <c r="I8" s="84"/>
      <c r="J8" s="84"/>
      <c r="K8" s="83">
        <f t="shared" si="1"/>
      </c>
      <c r="L8" s="85"/>
      <c r="M8" s="85"/>
      <c r="N8" s="86">
        <f t="shared" si="2"/>
      </c>
      <c r="O8" s="85"/>
      <c r="P8" s="85"/>
      <c r="Q8" s="83">
        <f t="shared" si="3"/>
      </c>
      <c r="R8" s="87">
        <f t="shared" si="4"/>
      </c>
      <c r="S8" s="88">
        <f t="shared" si="5"/>
      </c>
      <c r="T8" s="80"/>
      <c r="U8" s="89">
        <f>IF(OR(R8="Late",R8="Watch"),COUNTIF($R$7:R8,"Late")+COUNTIF($R$7:R8,"Watch"),"")</f>
      </c>
    </row>
    <row r="9" spans="1:21" x14ac:dyDescent="0.3">
      <c r="A9" s="79"/>
      <c r="B9" s="80"/>
      <c r="C9" s="79"/>
      <c r="D9" s="79"/>
      <c r="E9" s="81"/>
      <c r="F9" s="82"/>
      <c r="G9" s="82"/>
      <c r="H9" s="83">
        <f t="shared" si="0"/>
      </c>
      <c r="I9" s="84"/>
      <c r="J9" s="84"/>
      <c r="K9" s="83">
        <f t="shared" si="1"/>
      </c>
      <c r="L9" s="85"/>
      <c r="M9" s="85"/>
      <c r="N9" s="86">
        <f t="shared" si="2"/>
      </c>
      <c r="O9" s="85"/>
      <c r="P9" s="85"/>
      <c r="Q9" s="83">
        <f t="shared" si="3"/>
      </c>
      <c r="R9" s="87">
        <f t="shared" si="4"/>
      </c>
      <c r="S9" s="88">
        <f t="shared" si="5"/>
      </c>
      <c r="T9" s="80"/>
      <c r="U9" s="89">
        <f>IF(OR(R9="Late",R9="Watch"),COUNTIF($R$7:R9,"Late")+COUNTIF($R$7:R9,"Watch"),"")</f>
      </c>
    </row>
    <row r="10" spans="1:21" ht="26.4" x14ac:dyDescent="0.3">
      <c r="A10" s="79"/>
      <c r="B10" s="80"/>
      <c r="C10" s="79"/>
      <c r="D10" s="79"/>
      <c r="E10" s="81"/>
      <c r="F10" s="82"/>
      <c r="G10" s="82"/>
      <c r="H10" s="83">
        <f t="shared" si="0"/>
      </c>
      <c r="I10" s="84"/>
      <c r="J10" s="84"/>
      <c r="K10" s="83">
        <f t="shared" si="1"/>
      </c>
      <c r="L10" s="85"/>
      <c r="M10" s="85"/>
      <c r="N10" s="86">
        <f t="shared" si="2"/>
      </c>
      <c r="O10" s="85"/>
      <c r="P10" s="85"/>
      <c r="Q10" s="83">
        <f t="shared" si="3"/>
      </c>
      <c r="R10" s="87">
        <f t="shared" si="4"/>
      </c>
      <c r="S10" s="88">
        <f t="shared" si="5"/>
      </c>
      <c r="T10" s="80"/>
      <c r="U10" s="89">
        <f>IF(OR(R10="Late",R10="Watch"),COUNTIF($R$7:R10,"Late")+COUNTIF($R$7:R10,"Watch"),"")</f>
      </c>
    </row>
    <row r="11" spans="1:21" x14ac:dyDescent="0.3">
      <c r="A11" s="79"/>
      <c r="B11" s="80"/>
      <c r="C11" s="79"/>
      <c r="D11" s="79"/>
      <c r="E11" s="81"/>
      <c r="F11" s="82"/>
      <c r="G11" s="82"/>
      <c r="H11" s="83">
        <f t="shared" si="0"/>
      </c>
      <c r="I11" s="84"/>
      <c r="J11" s="84"/>
      <c r="K11" s="83">
        <f t="shared" si="1"/>
      </c>
      <c r="L11" s="85"/>
      <c r="M11" s="85"/>
      <c r="N11" s="86">
        <f t="shared" si="2"/>
      </c>
      <c r="O11" s="85"/>
      <c r="P11" s="85"/>
      <c r="Q11" s="83">
        <f t="shared" si="3"/>
      </c>
      <c r="R11" s="87">
        <f t="shared" si="4"/>
      </c>
      <c r="S11" s="88">
        <f t="shared" si="5"/>
      </c>
      <c r="T11" s="80"/>
      <c r="U11" s="89">
        <f>IF(OR(R11="Late",R11="Watch"),COUNTIF($R$7:R11,"Late")+COUNTIF($R$7:R11,"Watch"),"")</f>
      </c>
    </row>
    <row r="12" spans="1:21" x14ac:dyDescent="0.3">
      <c r="A12" s="79"/>
      <c r="B12" s="80"/>
      <c r="C12" s="79"/>
      <c r="D12" s="79"/>
      <c r="E12" s="81"/>
      <c r="F12" s="82"/>
      <c r="G12" s="82"/>
      <c r="H12" s="83">
        <f t="shared" si="0"/>
      </c>
      <c r="I12" s="84"/>
      <c r="J12" s="84"/>
      <c r="K12" s="83">
        <f t="shared" si="1"/>
      </c>
      <c r="L12" s="85"/>
      <c r="M12" s="85"/>
      <c r="N12" s="86">
        <f t="shared" si="2"/>
      </c>
      <c r="O12" s="85"/>
      <c r="P12" s="85"/>
      <c r="Q12" s="83">
        <f t="shared" si="3"/>
      </c>
      <c r="R12" s="87">
        <f t="shared" si="4"/>
      </c>
      <c r="S12" s="88">
        <f t="shared" si="5"/>
      </c>
      <c r="T12" s="80"/>
      <c r="U12" s="89">
        <f>IF(OR(R12="Late",R12="Watch"),COUNTIF($R$7:R12,"Late")+COUNTIF($R$7:R12,"Watch"),"")</f>
      </c>
    </row>
    <row r="13" spans="1:21" x14ac:dyDescent="0.3">
      <c r="A13" s="79"/>
      <c r="B13" s="80"/>
      <c r="C13" s="79"/>
      <c r="D13" s="79"/>
      <c r="E13" s="81"/>
      <c r="F13" s="82"/>
      <c r="G13" s="82"/>
      <c r="H13" s="83">
        <f t="shared" si="0"/>
      </c>
      <c r="I13" s="84"/>
      <c r="J13" s="84"/>
      <c r="K13" s="83">
        <f t="shared" si="1"/>
      </c>
      <c r="L13" s="85"/>
      <c r="M13" s="85"/>
      <c r="N13" s="86">
        <f t="shared" si="2"/>
      </c>
      <c r="O13" s="85"/>
      <c r="P13" s="85"/>
      <c r="Q13" s="83">
        <f t="shared" si="3"/>
      </c>
      <c r="R13" s="87">
        <f t="shared" si="4"/>
      </c>
      <c r="S13" s="88">
        <f t="shared" si="5"/>
      </c>
      <c r="T13" s="80"/>
      <c r="U13" s="89">
        <f>IF(OR(R13="Late",R13="Watch"),COUNTIF($R$7:R13,"Late")+COUNTIF($R$7:R13,"Watch"),"")</f>
      </c>
    </row>
    <row r="14" spans="1:21" x14ac:dyDescent="0.3">
      <c r="A14" s="79"/>
      <c r="B14" s="80"/>
      <c r="C14" s="79"/>
      <c r="D14" s="79"/>
      <c r="E14" s="81"/>
      <c r="F14" s="82"/>
      <c r="G14" s="82"/>
      <c r="H14" s="83">
        <f t="shared" si="0"/>
      </c>
      <c r="I14" s="84"/>
      <c r="J14" s="84"/>
      <c r="K14" s="83">
        <f t="shared" si="1"/>
      </c>
      <c r="L14" s="85"/>
      <c r="M14" s="85"/>
      <c r="N14" s="86">
        <f t="shared" si="2"/>
      </c>
      <c r="O14" s="85"/>
      <c r="P14" s="85"/>
      <c r="Q14" s="83">
        <f t="shared" si="3"/>
      </c>
      <c r="R14" s="87">
        <f t="shared" si="4"/>
      </c>
      <c r="S14" s="88">
        <f t="shared" si="5"/>
      </c>
      <c r="T14" s="80"/>
      <c r="U14" s="89">
        <f>IF(OR(R14="Late",R14="Watch"),COUNTIF($R$7:R14,"Late")+COUNTIF($R$7:R14,"Watch"),"")</f>
      </c>
    </row>
    <row r="15" spans="1:21" ht="26.4" x14ac:dyDescent="0.3">
      <c r="A15" s="79"/>
      <c r="B15" s="80"/>
      <c r="C15" s="79"/>
      <c r="D15" s="79"/>
      <c r="E15" s="81"/>
      <c r="F15" s="82"/>
      <c r="G15" s="82"/>
      <c r="H15" s="83">
        <f t="shared" si="0"/>
      </c>
      <c r="I15" s="84"/>
      <c r="J15" s="84"/>
      <c r="K15" s="83">
        <f t="shared" si="1"/>
      </c>
      <c r="L15" s="85"/>
      <c r="M15" s="85"/>
      <c r="N15" s="86">
        <f t="shared" si="2"/>
      </c>
      <c r="O15" s="85"/>
      <c r="P15" s="85"/>
      <c r="Q15" s="83">
        <f t="shared" si="3"/>
      </c>
      <c r="R15" s="87">
        <f t="shared" si="4"/>
      </c>
      <c r="S15" s="88">
        <f t="shared" si="5"/>
      </c>
      <c r="T15" s="80"/>
      <c r="U15" s="89">
        <f>IF(OR(R15="Late",R15="Watch"),COUNTIF($R$7:R15,"Late")+COUNTIF($R$7:R15,"Watch"),"")</f>
      </c>
    </row>
    <row r="16" spans="1:21" x14ac:dyDescent="0.3">
      <c r="A16" s="79"/>
      <c r="B16" s="80"/>
      <c r="C16" s="79"/>
      <c r="D16" s="79"/>
      <c r="E16" s="81"/>
      <c r="F16" s="82"/>
      <c r="G16" s="82"/>
      <c r="H16" s="83">
        <f t="shared" si="0"/>
      </c>
      <c r="I16" s="84"/>
      <c r="J16" s="84"/>
      <c r="K16" s="83">
        <f t="shared" si="1"/>
      </c>
      <c r="L16" s="85"/>
      <c r="M16" s="85"/>
      <c r="N16" s="86">
        <f t="shared" si="2"/>
      </c>
      <c r="O16" s="85"/>
      <c r="P16" s="85"/>
      <c r="Q16" s="83">
        <f t="shared" si="3"/>
      </c>
      <c r="R16" s="87">
        <f t="shared" si="4"/>
      </c>
      <c r="S16" s="88">
        <f t="shared" si="5"/>
      </c>
      <c r="T16" s="80"/>
      <c r="U16" s="89">
        <f>IF(OR(R16="Late",R16="Watch"),COUNTIF($R$7:R16,"Late")+COUNTIF($R$7:R16,"Watch"),"")</f>
      </c>
    </row>
    <row r="17" spans="1:21" x14ac:dyDescent="0.3">
      <c r="A17" s="79"/>
      <c r="B17" s="80"/>
      <c r="C17" s="79"/>
      <c r="D17" s="79"/>
      <c r="E17" s="81"/>
      <c r="F17" s="82"/>
      <c r="G17" s="82"/>
      <c r="H17" s="83">
        <f t="shared" si="0"/>
      </c>
      <c r="I17" s="84"/>
      <c r="J17" s="84"/>
      <c r="K17" s="83">
        <f t="shared" si="1"/>
      </c>
      <c r="L17" s="85"/>
      <c r="M17" s="85"/>
      <c r="N17" s="86">
        <f t="shared" si="2"/>
      </c>
      <c r="O17" s="85"/>
      <c r="P17" s="85"/>
      <c r="Q17" s="83">
        <f t="shared" si="3"/>
      </c>
      <c r="R17" s="87">
        <f t="shared" si="4"/>
      </c>
      <c r="S17" s="88">
        <f t="shared" si="5"/>
      </c>
      <c r="T17" s="80"/>
      <c r="U17" s="89">
        <f>IF(OR(R17="Late",R17="Watch"),COUNTIF($R$7:R17,"Late")+COUNTIF($R$7:R17,"Watch"),"")</f>
      </c>
    </row>
    <row r="18" spans="1:21" x14ac:dyDescent="0.3">
      <c r="A18" s="79"/>
      <c r="B18" s="80"/>
      <c r="C18" s="79"/>
      <c r="D18" s="79"/>
      <c r="E18" s="81"/>
      <c r="F18" s="82"/>
      <c r="G18" s="82"/>
      <c r="H18" s="83">
        <f t="shared" si="0"/>
      </c>
      <c r="I18" s="84"/>
      <c r="J18" s="84"/>
      <c r="K18" s="83">
        <f t="shared" si="1"/>
      </c>
      <c r="L18" s="85"/>
      <c r="M18" s="85"/>
      <c r="N18" s="86">
        <f t="shared" si="2"/>
      </c>
      <c r="O18" s="85"/>
      <c r="P18" s="85"/>
      <c r="Q18" s="83">
        <f t="shared" si="3"/>
      </c>
      <c r="R18" s="87">
        <f t="shared" si="4"/>
      </c>
      <c r="S18" s="88">
        <f t="shared" si="5"/>
      </c>
      <c r="T18" s="80"/>
      <c r="U18" s="89">
        <f>IF(OR(R18="Late",R18="Watch"),COUNTIF($R$7:R18,"Late")+COUNTIF($R$7:R18,"Watch"),"")</f>
      </c>
    </row>
    <row r="19" spans="1:21" x14ac:dyDescent="0.3">
      <c r="A19" s="79"/>
      <c r="B19" s="80"/>
      <c r="C19" s="79"/>
      <c r="D19" s="79"/>
      <c r="E19" s="81"/>
      <c r="F19" s="82"/>
      <c r="G19" s="82"/>
      <c r="H19" s="83">
        <f t="shared" si="0"/>
      </c>
      <c r="I19" s="84"/>
      <c r="J19" s="84"/>
      <c r="K19" s="83">
        <f t="shared" si="1"/>
      </c>
      <c r="L19" s="85"/>
      <c r="M19" s="85"/>
      <c r="N19" s="86">
        <f t="shared" si="2"/>
      </c>
      <c r="O19" s="85"/>
      <c r="P19" s="85"/>
      <c r="Q19" s="83">
        <f t="shared" si="3"/>
      </c>
      <c r="R19" s="87">
        <f t="shared" si="4"/>
      </c>
      <c r="S19" s="88">
        <f t="shared" si="5"/>
      </c>
      <c r="T19" s="80"/>
      <c r="U19" s="89">
        <f>IF(OR(R19="Late",R19="Watch"),COUNTIF($R$7:R19,"Late")+COUNTIF($R$7:R19,"Watch"),"")</f>
      </c>
    </row>
    <row r="20" spans="1:21" x14ac:dyDescent="0.3">
      <c r="A20" s="79"/>
      <c r="B20" s="80"/>
      <c r="C20" s="79"/>
      <c r="D20" s="79"/>
      <c r="E20" s="81"/>
      <c r="F20" s="82"/>
      <c r="G20" s="82"/>
      <c r="H20" s="83">
        <f t="shared" si="0"/>
      </c>
      <c r="I20" s="84"/>
      <c r="J20" s="84"/>
      <c r="K20" s="83">
        <f t="shared" si="1"/>
      </c>
      <c r="L20" s="85"/>
      <c r="M20" s="85"/>
      <c r="N20" s="86">
        <f t="shared" si="2"/>
      </c>
      <c r="O20" s="85"/>
      <c r="P20" s="85"/>
      <c r="Q20" s="83">
        <f t="shared" si="3"/>
      </c>
      <c r="R20" s="87">
        <f t="shared" si="4"/>
      </c>
      <c r="S20" s="88">
        <f t="shared" si="5"/>
      </c>
      <c r="T20" s="80"/>
      <c r="U20" s="89">
        <f>IF(OR(R20="Late",R20="Watch"),COUNTIF($R$7:R20,"Late")+COUNTIF($R$7:R20,"Watch"),"")</f>
      </c>
    </row>
    <row r="21" spans="1:21" x14ac:dyDescent="0.3">
      <c r="A21" s="79"/>
      <c r="B21" s="80"/>
      <c r="C21" s="79"/>
      <c r="D21" s="79"/>
      <c r="E21" s="81"/>
      <c r="F21" s="82"/>
      <c r="G21" s="82"/>
      <c r="H21" s="83">
        <f t="shared" si="0"/>
      </c>
      <c r="I21" s="84"/>
      <c r="J21" s="84"/>
      <c r="K21" s="83">
        <f t="shared" si="1"/>
      </c>
      <c r="L21" s="85"/>
      <c r="M21" s="85"/>
      <c r="N21" s="86">
        <f t="shared" si="2"/>
      </c>
      <c r="O21" s="85"/>
      <c r="P21" s="85"/>
      <c r="Q21" s="83">
        <f t="shared" si="3"/>
      </c>
      <c r="R21" s="87">
        <f t="shared" si="4"/>
      </c>
      <c r="S21" s="88">
        <f t="shared" si="5"/>
      </c>
      <c r="T21" s="80"/>
      <c r="U21" s="89">
        <f>IF(OR(R21="Late",R21="Watch"),COUNTIF($R$7:R21,"Late")+COUNTIF($R$7:R21,"Watch"),"")</f>
      </c>
    </row>
    <row r="22" spans="1:21" x14ac:dyDescent="0.3">
      <c r="A22" s="79"/>
      <c r="B22" s="80"/>
      <c r="C22" s="79"/>
      <c r="D22" s="79"/>
      <c r="E22" s="81"/>
      <c r="F22" s="82"/>
      <c r="G22" s="82"/>
      <c r="H22" s="83">
        <f t="shared" si="0"/>
      </c>
      <c r="I22" s="84"/>
      <c r="J22" s="84"/>
      <c r="K22" s="83">
        <f t="shared" si="1"/>
      </c>
      <c r="L22" s="85"/>
      <c r="M22" s="85"/>
      <c r="N22" s="86">
        <f t="shared" si="2"/>
      </c>
      <c r="O22" s="85"/>
      <c r="P22" s="85"/>
      <c r="Q22" s="83">
        <f t="shared" si="3"/>
      </c>
      <c r="R22" s="87">
        <f t="shared" si="4"/>
      </c>
      <c r="S22" s="88">
        <f t="shared" si="5"/>
      </c>
      <c r="T22" s="80"/>
      <c r="U22" s="89">
        <f>IF(OR(R22="Late",R22="Watch"),COUNTIF($R$7:R22,"Late")+COUNTIF($R$7:R22,"Watch"),"")</f>
      </c>
    </row>
    <row r="23" spans="1:21" x14ac:dyDescent="0.3">
      <c r="A23" s="79"/>
      <c r="B23" s="80"/>
      <c r="C23" s="79"/>
      <c r="D23" s="79"/>
      <c r="E23" s="81"/>
      <c r="F23" s="82"/>
      <c r="G23" s="82"/>
      <c r="H23" s="83">
        <f t="shared" si="0"/>
      </c>
      <c r="I23" s="84"/>
      <c r="J23" s="84"/>
      <c r="K23" s="83">
        <f t="shared" si="1"/>
      </c>
      <c r="L23" s="85"/>
      <c r="M23" s="85"/>
      <c r="N23" s="86">
        <f t="shared" si="2"/>
      </c>
      <c r="O23" s="85"/>
      <c r="P23" s="85"/>
      <c r="Q23" s="83">
        <f t="shared" si="3"/>
      </c>
      <c r="R23" s="87">
        <f t="shared" si="4"/>
      </c>
      <c r="S23" s="88">
        <f t="shared" si="5"/>
      </c>
      <c r="T23" s="80"/>
      <c r="U23" s="89">
        <f>IF(OR(R23="Late",R23="Watch"),COUNTIF($R$7:R23,"Late")+COUNTIF($R$7:R23,"Watch"),"")</f>
      </c>
    </row>
    <row r="24" spans="1:21" x14ac:dyDescent="0.3">
      <c r="A24" s="79"/>
      <c r="B24" s="80"/>
      <c r="C24" s="79"/>
      <c r="D24" s="79"/>
      <c r="E24" s="81"/>
      <c r="F24" s="82"/>
      <c r="G24" s="82"/>
      <c r="H24" s="83">
        <f t="shared" si="0"/>
      </c>
      <c r="I24" s="84"/>
      <c r="J24" s="84"/>
      <c r="K24" s="83">
        <f t="shared" si="1"/>
      </c>
      <c r="L24" s="85"/>
      <c r="M24" s="85"/>
      <c r="N24" s="86">
        <f t="shared" si="2"/>
      </c>
      <c r="O24" s="85"/>
      <c r="P24" s="85"/>
      <c r="Q24" s="83">
        <f t="shared" si="3"/>
      </c>
      <c r="R24" s="87">
        <f t="shared" si="4"/>
      </c>
      <c r="S24" s="88">
        <f t="shared" si="5"/>
      </c>
      <c r="T24" s="80"/>
      <c r="U24" s="89">
        <f>IF(OR(R24="Late",R24="Watch"),COUNTIF($R$7:R24,"Late")+COUNTIF($R$7:R24,"Watch"),"")</f>
      </c>
    </row>
    <row r="25" spans="1:21" x14ac:dyDescent="0.3">
      <c r="A25" s="79"/>
      <c r="B25" s="80"/>
      <c r="C25" s="79"/>
      <c r="D25" s="79"/>
      <c r="E25" s="81"/>
      <c r="F25" s="82"/>
      <c r="G25" s="82"/>
      <c r="H25" s="83">
        <f t="shared" si="0"/>
      </c>
      <c r="I25" s="84"/>
      <c r="J25" s="84"/>
      <c r="K25" s="83">
        <f t="shared" si="1"/>
      </c>
      <c r="L25" s="85"/>
      <c r="M25" s="85"/>
      <c r="N25" s="86">
        <f t="shared" si="2"/>
      </c>
      <c r="O25" s="85"/>
      <c r="P25" s="85"/>
      <c r="Q25" s="83">
        <f t="shared" si="3"/>
      </c>
      <c r="R25" s="87">
        <f t="shared" si="4"/>
      </c>
      <c r="S25" s="88">
        <f t="shared" si="5"/>
      </c>
      <c r="T25" s="80"/>
      <c r="U25" s="89">
        <f>IF(OR(R25="Late",R25="Watch"),COUNTIF($R$7:R25,"Late")+COUNTIF($R$7:R25,"Watch"),"")</f>
      </c>
    </row>
    <row r="26" spans="1:21" x14ac:dyDescent="0.3">
      <c r="A26" s="79"/>
      <c r="B26" s="80"/>
      <c r="C26" s="79"/>
      <c r="D26" s="79"/>
      <c r="E26" s="81"/>
      <c r="F26" s="82"/>
      <c r="G26" s="82"/>
      <c r="H26" s="83">
        <f t="shared" si="0"/>
      </c>
      <c r="I26" s="84"/>
      <c r="J26" s="84"/>
      <c r="K26" s="83">
        <f t="shared" si="1"/>
      </c>
      <c r="L26" s="85"/>
      <c r="M26" s="85"/>
      <c r="N26" s="86">
        <f t="shared" si="2"/>
      </c>
      <c r="O26" s="85"/>
      <c r="P26" s="85"/>
      <c r="Q26" s="83">
        <f t="shared" si="3"/>
      </c>
      <c r="R26" s="87">
        <f t="shared" si="4"/>
      </c>
      <c r="S26" s="88">
        <f t="shared" si="5"/>
      </c>
      <c r="T26" s="80"/>
      <c r="U26" s="89">
        <f>IF(OR(R26="Late",R26="Watch"),COUNTIF($R$7:R26,"Late")+COUNTIF($R$7:R26,"Watch"),"")</f>
      </c>
    </row>
    <row r="27" spans="1:21" x14ac:dyDescent="0.3">
      <c r="A27" s="79"/>
      <c r="B27" s="80"/>
      <c r="C27" s="79"/>
      <c r="D27" s="79"/>
      <c r="E27" s="81"/>
      <c r="F27" s="82"/>
      <c r="G27" s="82"/>
      <c r="H27" s="83">
        <f t="shared" si="0"/>
      </c>
      <c r="I27" s="84"/>
      <c r="J27" s="84"/>
      <c r="K27" s="83">
        <f t="shared" si="1"/>
      </c>
      <c r="L27" s="85"/>
      <c r="M27" s="85"/>
      <c r="N27" s="86">
        <f t="shared" si="2"/>
      </c>
      <c r="O27" s="85"/>
      <c r="P27" s="85"/>
      <c r="Q27" s="83">
        <f t="shared" si="3"/>
      </c>
      <c r="R27" s="87">
        <f t="shared" si="4"/>
      </c>
      <c r="S27" s="88">
        <f t="shared" si="5"/>
      </c>
      <c r="T27" s="80"/>
      <c r="U27" s="89">
        <f>IF(OR(R27="Late",R27="Watch"),COUNTIF($R$7:R27,"Late")+COUNTIF($R$7:R27,"Watch"),"")</f>
      </c>
    </row>
    <row r="28" spans="1:21" x14ac:dyDescent="0.3">
      <c r="A28" s="79"/>
      <c r="B28" s="80"/>
      <c r="C28" s="79"/>
      <c r="D28" s="79"/>
      <c r="E28" s="81"/>
      <c r="F28" s="82"/>
      <c r="G28" s="82"/>
      <c r="H28" s="83">
        <f t="shared" si="0"/>
      </c>
      <c r="I28" s="84"/>
      <c r="J28" s="84"/>
      <c r="K28" s="83">
        <f t="shared" si="1"/>
      </c>
      <c r="L28" s="85"/>
      <c r="M28" s="85"/>
      <c r="N28" s="86">
        <f t="shared" si="2"/>
      </c>
      <c r="O28" s="85"/>
      <c r="P28" s="85"/>
      <c r="Q28" s="83">
        <f t="shared" si="3"/>
      </c>
      <c r="R28" s="87">
        <f t="shared" si="4"/>
      </c>
      <c r="S28" s="88">
        <f t="shared" si="5"/>
      </c>
      <c r="T28" s="80"/>
      <c r="U28" s="89">
        <f>IF(OR(R28="Late",R28="Watch"),COUNTIF($R$7:R28,"Late")+COUNTIF($R$7:R28,"Watch"),"")</f>
      </c>
    </row>
    <row r="29" spans="1:21" x14ac:dyDescent="0.3">
      <c r="A29" s="79"/>
      <c r="B29" s="80"/>
      <c r="C29" s="79"/>
      <c r="D29" s="79"/>
      <c r="E29" s="81"/>
      <c r="F29" s="82"/>
      <c r="G29" s="82"/>
      <c r="H29" s="83">
        <f t="shared" si="0"/>
      </c>
      <c r="I29" s="84"/>
      <c r="J29" s="84"/>
      <c r="K29" s="83">
        <f t="shared" si="1"/>
      </c>
      <c r="L29" s="85"/>
      <c r="M29" s="85"/>
      <c r="N29" s="86">
        <f t="shared" si="2"/>
      </c>
      <c r="O29" s="85"/>
      <c r="P29" s="85"/>
      <c r="Q29" s="83">
        <f t="shared" si="3"/>
      </c>
      <c r="R29" s="87">
        <f t="shared" si="4"/>
      </c>
      <c r="S29" s="88">
        <f t="shared" si="5"/>
      </c>
      <c r="T29" s="80"/>
      <c r="U29" s="89">
        <f>IF(OR(R29="Late",R29="Watch"),COUNTIF($R$7:R29,"Late")+COUNTIF($R$7:R29,"Watch"),"")</f>
      </c>
    </row>
    <row r="30" spans="1:21" x14ac:dyDescent="0.3">
      <c r="A30" s="79"/>
      <c r="B30" s="80"/>
      <c r="C30" s="79"/>
      <c r="D30" s="79"/>
      <c r="E30" s="81"/>
      <c r="F30" s="82"/>
      <c r="G30" s="82"/>
      <c r="H30" s="83">
        <f t="shared" si="0"/>
      </c>
      <c r="I30" s="84"/>
      <c r="J30" s="84"/>
      <c r="K30" s="83">
        <f t="shared" si="1"/>
      </c>
      <c r="L30" s="85"/>
      <c r="M30" s="85"/>
      <c r="N30" s="86">
        <f t="shared" si="2"/>
      </c>
      <c r="O30" s="85"/>
      <c r="P30" s="85"/>
      <c r="Q30" s="83">
        <f t="shared" si="3"/>
      </c>
      <c r="R30" s="87">
        <f t="shared" si="4"/>
      </c>
      <c r="S30" s="88">
        <f t="shared" si="5"/>
      </c>
      <c r="T30" s="80"/>
      <c r="U30" s="89">
        <f>IF(OR(R30="Late",R30="Watch"),COUNTIF($R$7:R30,"Late")+COUNTIF($R$7:R30,"Watch"),"")</f>
      </c>
    </row>
    <row r="31" spans="1:21" x14ac:dyDescent="0.3">
      <c r="A31" s="79"/>
      <c r="B31" s="80"/>
      <c r="C31" s="79"/>
      <c r="D31" s="79"/>
      <c r="E31" s="81"/>
      <c r="F31" s="82"/>
      <c r="G31" s="82"/>
      <c r="H31" s="83">
        <f t="shared" si="0"/>
      </c>
      <c r="I31" s="84"/>
      <c r="J31" s="84"/>
      <c r="K31" s="83">
        <f t="shared" si="1"/>
      </c>
      <c r="L31" s="85"/>
      <c r="M31" s="85"/>
      <c r="N31" s="86">
        <f t="shared" si="2"/>
      </c>
      <c r="O31" s="85"/>
      <c r="P31" s="85"/>
      <c r="Q31" s="83">
        <f t="shared" si="3"/>
      </c>
      <c r="R31" s="87">
        <f t="shared" si="4"/>
      </c>
      <c r="S31" s="88">
        <f t="shared" si="5"/>
      </c>
      <c r="T31" s="80"/>
      <c r="U31" s="89">
        <f>IF(OR(R31="Late",R31="Watch"),COUNTIF($R$7:R31,"Late")+COUNTIF($R$7:R31,"Watch"),"")</f>
      </c>
    </row>
    <row r="32" spans="1:21" x14ac:dyDescent="0.3">
      <c r="A32" s="79"/>
      <c r="B32" s="80"/>
      <c r="C32" s="79"/>
      <c r="D32" s="79"/>
      <c r="E32" s="81"/>
      <c r="F32" s="82"/>
      <c r="G32" s="82"/>
      <c r="H32" s="83">
        <f t="shared" si="0"/>
      </c>
      <c r="I32" s="84"/>
      <c r="J32" s="84"/>
      <c r="K32" s="83">
        <f t="shared" si="1"/>
      </c>
      <c r="L32" s="85"/>
      <c r="M32" s="85"/>
      <c r="N32" s="86">
        <f t="shared" si="2"/>
      </c>
      <c r="O32" s="85"/>
      <c r="P32" s="85"/>
      <c r="Q32" s="83">
        <f t="shared" si="3"/>
      </c>
      <c r="R32" s="87">
        <f t="shared" si="4"/>
      </c>
      <c r="S32" s="88">
        <f t="shared" si="5"/>
      </c>
      <c r="T32" s="80"/>
      <c r="U32" s="89">
        <f>IF(OR(R32="Late",R32="Watch"),COUNTIF($R$7:R32,"Late")+COUNTIF($R$7:R32,"Watch"),"")</f>
      </c>
    </row>
    <row r="33" spans="1:21" x14ac:dyDescent="0.3">
      <c r="A33" s="79"/>
      <c r="B33" s="80"/>
      <c r="C33" s="79"/>
      <c r="D33" s="79"/>
      <c r="E33" s="81"/>
      <c r="F33" s="82"/>
      <c r="G33" s="82"/>
      <c r="H33" s="83">
        <f t="shared" si="0"/>
      </c>
      <c r="I33" s="84"/>
      <c r="J33" s="84"/>
      <c r="K33" s="83">
        <f t="shared" si="1"/>
      </c>
      <c r="L33" s="85"/>
      <c r="M33" s="85"/>
      <c r="N33" s="86">
        <f t="shared" si="2"/>
      </c>
      <c r="O33" s="85"/>
      <c r="P33" s="85"/>
      <c r="Q33" s="83">
        <f t="shared" si="3"/>
      </c>
      <c r="R33" s="87">
        <f t="shared" si="4"/>
      </c>
      <c r="S33" s="88">
        <f t="shared" si="5"/>
      </c>
      <c r="T33" s="80"/>
      <c r="U33" s="89">
        <f>IF(OR(R33="Late",R33="Watch"),COUNTIF($R$7:R33,"Late")+COUNTIF($R$7:R33,"Watch"),"")</f>
      </c>
    </row>
    <row r="34" spans="1:21" x14ac:dyDescent="0.3">
      <c r="A34" s="79"/>
      <c r="B34" s="80"/>
      <c r="C34" s="79"/>
      <c r="D34" s="79"/>
      <c r="E34" s="81"/>
      <c r="F34" s="82"/>
      <c r="G34" s="82"/>
      <c r="H34" s="83">
        <f t="shared" si="0"/>
      </c>
      <c r="I34" s="84"/>
      <c r="J34" s="84"/>
      <c r="K34" s="83">
        <f t="shared" si="1"/>
      </c>
      <c r="L34" s="85"/>
      <c r="M34" s="85"/>
      <c r="N34" s="86">
        <f t="shared" si="2"/>
      </c>
      <c r="O34" s="85"/>
      <c r="P34" s="85"/>
      <c r="Q34" s="83">
        <f t="shared" si="3"/>
      </c>
      <c r="R34" s="87">
        <f t="shared" si="4"/>
      </c>
      <c r="S34" s="88">
        <f t="shared" si="5"/>
      </c>
      <c r="T34" s="80"/>
      <c r="U34" s="89">
        <f>IF(OR(R34="Late",R34="Watch"),COUNTIF($R$7:R34,"Late")+COUNTIF($R$7:R34,"Watch"),"")</f>
      </c>
    </row>
    <row r="35" spans="1:21" x14ac:dyDescent="0.3">
      <c r="A35" s="79"/>
      <c r="B35" s="80"/>
      <c r="C35" s="79"/>
      <c r="D35" s="79"/>
      <c r="E35" s="81"/>
      <c r="F35" s="82"/>
      <c r="G35" s="82"/>
      <c r="H35" s="83">
        <f t="shared" si="0"/>
      </c>
      <c r="I35" s="84"/>
      <c r="J35" s="84"/>
      <c r="K35" s="83">
        <f t="shared" si="1"/>
      </c>
      <c r="L35" s="85"/>
      <c r="M35" s="85"/>
      <c r="N35" s="86">
        <f t="shared" si="2"/>
      </c>
      <c r="O35" s="85"/>
      <c r="P35" s="85"/>
      <c r="Q35" s="83">
        <f t="shared" si="3"/>
      </c>
      <c r="R35" s="87">
        <f t="shared" si="4"/>
      </c>
      <c r="S35" s="88">
        <f t="shared" si="5"/>
      </c>
      <c r="T35" s="80"/>
      <c r="U35" s="89">
        <f>IF(OR(R35="Late",R35="Watch"),COUNTIF($R$7:R35,"Late")+COUNTIF($R$7:R35,"Watch"),"")</f>
      </c>
    </row>
    <row r="36" spans="1:21" x14ac:dyDescent="0.3">
      <c r="A36" s="79"/>
      <c r="B36" s="80"/>
      <c r="C36" s="79"/>
      <c r="D36" s="79"/>
      <c r="E36" s="81"/>
      <c r="F36" s="82"/>
      <c r="G36" s="82"/>
      <c r="H36" s="83">
        <f t="shared" si="0"/>
      </c>
      <c r="I36" s="84"/>
      <c r="J36" s="84"/>
      <c r="K36" s="83">
        <f t="shared" si="1"/>
      </c>
      <c r="L36" s="85"/>
      <c r="M36" s="85"/>
      <c r="N36" s="86">
        <f t="shared" si="2"/>
      </c>
      <c r="O36" s="85"/>
      <c r="P36" s="85"/>
      <c r="Q36" s="83">
        <f t="shared" si="3"/>
      </c>
      <c r="R36" s="87">
        <f t="shared" si="4"/>
      </c>
      <c r="S36" s="88">
        <f t="shared" si="5"/>
      </c>
      <c r="T36" s="80"/>
      <c r="U36" s="89">
        <f>IF(OR(R36="Late",R36="Watch"),COUNTIF($R$7:R36,"Late")+COUNTIF($R$7:R36,"Watch"),"")</f>
      </c>
    </row>
    <row r="38" spans="1:21" x14ac:dyDescent="0.3">
      <c r="B38" s="71" t="s">
        <v>172</v>
      </c>
      <c r="E38" s="90">
        <f>SUM(E7:E36)</f>
      </c>
      <c r="I38" s="91">
        <f>IF(SUM(E7:E36)=0,"",SUMPRODUCT(E7:E36,I7:I36)/SUM(E7:E36))</f>
      </c>
      <c r="J38" s="91">
        <f>IF(SUM(E7:E36)=0,"",SUMPRODUCT(E7:E36,J7:J36)/SUM(E7:E36))</f>
      </c>
      <c r="K38" s="92">
        <f>IF(I38="","",(J38-I38)*100)</f>
      </c>
    </row>
    <row r="39" spans="1:21" x14ac:dyDescent="0.3">
      <c r="B39" s="55" t="s">
        <v>173</v>
      </c>
    </row>
    <row r="41" spans="1:21" x14ac:dyDescent="0.3">
      <c r="B41" s="71" t="s">
        <v>174</v>
      </c>
      <c r="E41" s="93">
        <f>COUNTIF(R7:R36,"Late")</f>
      </c>
    </row>
    <row r="42" spans="1:21" x14ac:dyDescent="0.3">
      <c r="B42" s="71" t="s">
        <v>175</v>
      </c>
      <c r="E42" s="93">
        <f>COUNTIF(R7:R36,"Watch")</f>
      </c>
    </row>
    <row r="43" spans="1:21" x14ac:dyDescent="0.3">
      <c r="B43" s="71" t="s">
        <v>176</v>
      </c>
      <c r="E43" s="93">
        <f>COUNTIF(R7:R36,"On track")</f>
      </c>
    </row>
    <row r="44" spans="1:21" x14ac:dyDescent="0.3">
      <c r="B44" s="71" t="s">
        <v>177</v>
      </c>
      <c r="E44" s="93">
        <f>COUNTIF(R7:R36,"Complete")</f>
      </c>
    </row>
  </sheetData>
  <sheetProtection sheet="1" formatCells="0" formatColumns="0" formatRows="0" insertColumns="0" insertRows="0" insertHyperlinks="0" deleteColumns="0" deleteRows="0" sort="0" autoFilter="0" pivotTables="0"/>
  <conditionalFormatting sqref="J7:J36">
    <cfRule type="dataBar" priority="8">
      <dataBar>
        <cfvo type="num" val="0"/>
        <cfvo type="num" val="1"/>
        <color rgb="FF3B82F6"/>
      </dataBar>
    </cfRule>
  </conditionalFormatting>
  <conditionalFormatting sqref="P7:P36">
    <cfRule type="cellIs" dxfId="19" priority="7" operator="lessThan">
      <formula>0</formula>
    </cfRule>
  </conditionalFormatting>
  <conditionalFormatting sqref="R7:R36">
    <cfRule type="cellIs" dxfId="18" priority="1" operator="equal">
      <formula>"Late"</formula>
    </cfRule>
    <cfRule type="cellIs" dxfId="17" priority="2" operator="equal">
      <formula>"Watch"</formula>
    </cfRule>
    <cfRule type="cellIs" dxfId="16" priority="3" operator="equal">
      <formula>"On track"</formula>
    </cfRule>
    <cfRule type="cellIs" dxfId="15" priority="4" operator="equal">
      <formula>"Complete"</formula>
    </cfRule>
  </conditionalFormatting>
  <conditionalFormatting sqref="S7:S36">
    <cfRule type="expression" dxfId="14" priority="5">
      <formula>LEFT(S7,1)="▼"</formula>
    </cfRule>
    <cfRule type="expression" dxfId="13" priority="6">
      <formula>LEFT(S7,1)="▲"</formula>
    </cfRule>
  </conditionalFormatting>
  <printOptions horizontalCentered="1"/>
  <pageMargins left="0.4" right="0.4" top="0.5" bottom="0.5" header="0.5" footer="0.5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Setup!$B$15:$B$34</xm:f>
          </x14:formula1>
          <xm:sqref>D7:D36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B82F6"/>
    <pageSetUpPr fitToPage="1"/>
  </sheetPr>
  <dimension ref="A1:H46"/>
  <sheetViews>
    <sheetView showGridLines="0" workbookViewId="0">
      <selection activeCell="D17" sqref="D17"/>
    </sheetView>
  </sheetViews>
  <sheetFormatPr defaultRowHeight="14.4" x14ac:dyDescent="0.3"/>
  <cols>
    <col min="1" max="1" width="8" style="2" customWidth="1"/>
    <col min="2" max="4" width="14" style="2" customWidth="1"/>
    <col min="5" max="5" width="10" style="2" customWidth="1"/>
    <col min="6" max="6" width="8.88671875" style="2"/>
    <col min="7" max="7" width="12" style="2" customWidth="1"/>
    <col min="8" max="16384" width="8.88671875" style="2"/>
  </cols>
  <sheetData>
    <row r="1" spans="1:8" ht="28.05" customHeight="1" x14ac:dyDescent="0.4">
      <c r="A1" s="67" t="s">
        <v>38</v>
      </c>
      <c r="H1" s="75" t="s">
        <v>57</v>
      </c>
    </row>
    <row r="2" spans="1:8" x14ac:dyDescent="0.3">
      <c r="A2" s="68" t="s">
        <v>178</v>
      </c>
    </row>
    <row r="3" spans="1:8" x14ac:dyDescent="0.3">
      <c r="A3" s="69" t="s">
        <v>179</v>
      </c>
    </row>
    <row r="4" spans="1:8" x14ac:dyDescent="0.3">
      <c r="A4" s="76"/>
      <c r="B4" s="76"/>
      <c r="C4" s="76"/>
      <c r="D4" s="76"/>
      <c r="E4" s="76"/>
      <c r="F4" s="76"/>
    </row>
    <row r="6" spans="1:8" ht="31.95" customHeight="1" x14ac:dyDescent="0.3">
      <c r="A6" s="77" t="s">
        <v>180</v>
      </c>
      <c r="B6" s="78" t="s">
        <v>87</v>
      </c>
      <c r="C6" s="78" t="s">
        <v>181</v>
      </c>
      <c r="D6" s="78" t="s">
        <v>182</v>
      </c>
      <c r="E6" s="78" t="s">
        <v>183</v>
      </c>
      <c r="G6" s="54" t="s">
        <v>184</v>
      </c>
    </row>
    <row r="7" spans="1:8" x14ac:dyDescent="0.3">
      <c r="A7" s="73">
        <v>1</v>
      </c>
      <c r="B7" s="94">
        <f>IF(Setup!$B$11="","",Setup!$B$11+7*(A7-1))</f>
      </c>
      <c r="C7" s="95"/>
      <c r="D7" s="95"/>
      <c r="E7" s="96">
        <f>IF(OR(C7="",D7=""),"",ROUND((D7-C7)*100,0))</f>
      </c>
      <c r="G7" s="17" t="s">
        <v>185</v>
      </c>
      <c r="H7" s="91">
        <f>Progress!I38</f>
      </c>
    </row>
    <row r="8" spans="1:8" x14ac:dyDescent="0.3">
      <c r="A8" s="73">
        <v>2</v>
      </c>
      <c r="B8" s="94">
        <f>IF(Setup!$B$11="","",Setup!$B$11+7*(A8-1))</f>
      </c>
      <c r="C8" s="95"/>
      <c r="D8" s="95"/>
      <c r="E8" s="96">
        <f>IF(OR(C8="",D8=""),"",ROUND((D8-C8)*100,0))</f>
      </c>
      <c r="G8" s="17" t="s">
        <v>186</v>
      </c>
      <c r="H8" s="91">
        <f>Progress!J38</f>
      </c>
    </row>
    <row r="9" spans="1:8" x14ac:dyDescent="0.3">
      <c r="A9" s="73">
        <v>3</v>
      </c>
      <c r="B9" s="94">
        <f>IF(Setup!$B$11="","",Setup!$B$11+7*(A9-1))</f>
      </c>
      <c r="C9" s="95"/>
      <c r="D9" s="95"/>
      <c r="E9" s="96">
        <f>IF(OR(C9="",D9=""),"",ROUND((D9-C9)*100,0))</f>
      </c>
      <c r="G9" s="55" t="s">
        <v>187</v>
      </c>
    </row>
    <row r="10" spans="1:8" x14ac:dyDescent="0.3">
      <c r="A10" s="73">
        <v>4</v>
      </c>
      <c r="B10" s="94">
        <f>IF(Setup!$B$11="","",Setup!$B$11+7*(A10-1))</f>
      </c>
      <c r="C10" s="95"/>
      <c r="D10" s="95"/>
      <c r="E10" s="96">
        <f>IF(OR(C10="",D10=""),"",ROUND((D10-C10)*100,0))</f>
      </c>
    </row>
    <row r="11" spans="1:8" x14ac:dyDescent="0.3">
      <c r="A11" s="73">
        <v>5</v>
      </c>
      <c r="B11" s="94">
        <f>IF(Setup!$B$11="","",Setup!$B$11+7*(A11-1))</f>
      </c>
      <c r="C11" s="95"/>
      <c r="D11" s="95"/>
      <c r="E11" s="96">
        <f>IF(OR(C11="",D11=""),"",ROUND((D11-C11)*100,0))</f>
      </c>
    </row>
    <row r="12" spans="1:8" x14ac:dyDescent="0.3">
      <c r="A12" s="73">
        <v>6</v>
      </c>
      <c r="B12" s="94">
        <f>IF(Setup!$B$11="","",Setup!$B$11+7*(A12-1))</f>
      </c>
      <c r="C12" s="95"/>
      <c r="D12" s="95"/>
      <c r="E12" s="96">
        <f>IF(OR(C12="",D12=""),"",ROUND((D12-C12)*100,0))</f>
      </c>
    </row>
    <row r="13" spans="1:8" x14ac:dyDescent="0.3">
      <c r="A13" s="73">
        <v>7</v>
      </c>
      <c r="B13" s="94">
        <f>IF(Setup!$B$11="","",Setup!$B$11+7*(A13-1))</f>
      </c>
      <c r="C13" s="95"/>
      <c r="D13" s="95"/>
      <c r="E13" s="96">
        <f>IF(OR(C13="",D13=""),"",ROUND((D13-C13)*100,0))</f>
      </c>
    </row>
    <row r="14" spans="1:8" x14ac:dyDescent="0.3">
      <c r="A14" s="73">
        <v>8</v>
      </c>
      <c r="B14" s="94">
        <f>IF(Setup!$B$11="","",Setup!$B$11+7*(A14-1))</f>
      </c>
      <c r="C14" s="95"/>
      <c r="D14" s="95"/>
      <c r="E14" s="96">
        <f>IF(OR(C14="",D14=""),"",ROUND((D14-C14)*100,0))</f>
      </c>
    </row>
    <row r="15" spans="1:8" x14ac:dyDescent="0.3">
      <c r="A15" s="73">
        <v>9</v>
      </c>
      <c r="B15" s="94">
        <f>IF(Setup!$B$11="","",Setup!$B$11+7*(A15-1))</f>
      </c>
      <c r="C15" s="95"/>
      <c r="D15" s="95"/>
      <c r="E15" s="96">
        <f>IF(OR(C15="",D15=""),"",ROUND((D15-C15)*100,0))</f>
      </c>
    </row>
    <row r="16" spans="1:8" x14ac:dyDescent="0.3">
      <c r="A16" s="73">
        <v>10</v>
      </c>
      <c r="B16" s="94">
        <f>IF(Setup!$B$11="","",Setup!$B$11+7*(A16-1))</f>
      </c>
      <c r="C16" s="95"/>
      <c r="D16" s="95"/>
      <c r="E16" s="96">
        <f>IF(OR(C16="",D16=""),"",ROUND((D16-C16)*100,0))</f>
      </c>
    </row>
    <row r="17" spans="1:5" x14ac:dyDescent="0.3">
      <c r="A17" s="73">
        <v>11</v>
      </c>
      <c r="B17" s="94">
        <f>IF(Setup!$B$11="","",Setup!$B$11+7*(A17-1))</f>
      </c>
      <c r="C17" s="95"/>
      <c r="D17" s="95"/>
      <c r="E17" s="96">
        <f>IF(OR(C17="",D17=""),"",ROUND((D17-C17)*100,0))</f>
      </c>
    </row>
    <row r="18" spans="1:5" x14ac:dyDescent="0.3">
      <c r="A18" s="73">
        <v>12</v>
      </c>
      <c r="B18" s="94">
        <f>IF(Setup!$B$11="","",Setup!$B$11+7*(A18-1))</f>
      </c>
      <c r="C18" s="95"/>
      <c r="D18" s="95"/>
      <c r="E18" s="96">
        <f>IF(OR(C18="",D18=""),"",ROUND((D18-C18)*100,0))</f>
      </c>
    </row>
    <row r="19" spans="1:5" x14ac:dyDescent="0.3">
      <c r="A19" s="73">
        <v>13</v>
      </c>
      <c r="B19" s="94">
        <f>IF(Setup!$B$11="","",Setup!$B$11+7*(A19-1))</f>
      </c>
      <c r="C19" s="95"/>
      <c r="D19" s="95"/>
      <c r="E19" s="96">
        <f>IF(OR(C19="",D19=""),"",ROUND((D19-C19)*100,0))</f>
      </c>
    </row>
    <row r="20" spans="1:5" x14ac:dyDescent="0.3">
      <c r="A20" s="73">
        <v>14</v>
      </c>
      <c r="B20" s="94">
        <f>IF(Setup!$B$11="","",Setup!$B$11+7*(A20-1))</f>
      </c>
      <c r="C20" s="95"/>
      <c r="D20" s="95"/>
      <c r="E20" s="96">
        <f>IF(OR(C20="",D20=""),"",ROUND((D20-C20)*100,0))</f>
      </c>
    </row>
    <row r="21" spans="1:5" x14ac:dyDescent="0.3">
      <c r="A21" s="73">
        <v>15</v>
      </c>
      <c r="B21" s="94">
        <f>IF(Setup!$B$11="","",Setup!$B$11+7*(A21-1))</f>
      </c>
      <c r="C21" s="95"/>
      <c r="D21" s="95"/>
      <c r="E21" s="96">
        <f>IF(OR(C21="",D21=""),"",ROUND((D21-C21)*100,0))</f>
      </c>
    </row>
    <row r="22" spans="1:5" x14ac:dyDescent="0.3">
      <c r="A22" s="73">
        <v>16</v>
      </c>
      <c r="B22" s="94">
        <f>IF(Setup!$B$11="","",Setup!$B$11+7*(A22-1))</f>
      </c>
      <c r="C22" s="95"/>
      <c r="D22" s="95"/>
      <c r="E22" s="96">
        <f>IF(OR(C22="",D22=""),"",ROUND((D22-C22)*100,0))</f>
      </c>
    </row>
    <row r="23" spans="1:5" x14ac:dyDescent="0.3">
      <c r="A23" s="73">
        <v>17</v>
      </c>
      <c r="B23" s="94">
        <f>IF(Setup!$B$11="","",Setup!$B$11+7*(A23-1))</f>
      </c>
      <c r="C23" s="95"/>
      <c r="D23" s="95"/>
      <c r="E23" s="96">
        <f>IF(OR(C23="",D23=""),"",ROUND((D23-C23)*100,0))</f>
      </c>
    </row>
    <row r="24" spans="1:5" x14ac:dyDescent="0.3">
      <c r="A24" s="73">
        <v>18</v>
      </c>
      <c r="B24" s="94">
        <f>IF(Setup!$B$11="","",Setup!$B$11+7*(A24-1))</f>
      </c>
      <c r="C24" s="95"/>
      <c r="D24" s="95"/>
      <c r="E24" s="96">
        <f>IF(OR(C24="",D24=""),"",ROUND((D24-C24)*100,0))</f>
      </c>
    </row>
    <row r="25" spans="1:5" x14ac:dyDescent="0.3">
      <c r="A25" s="73">
        <v>19</v>
      </c>
      <c r="B25" s="94">
        <f>IF(Setup!$B$11="","",Setup!$B$11+7*(A25-1))</f>
      </c>
      <c r="C25" s="95"/>
      <c r="D25" s="95"/>
      <c r="E25" s="96">
        <f>IF(OR(C25="",D25=""),"",ROUND((D25-C25)*100,0))</f>
      </c>
    </row>
    <row r="26" spans="1:5" x14ac:dyDescent="0.3">
      <c r="A26" s="73">
        <v>20</v>
      </c>
      <c r="B26" s="94">
        <f>IF(Setup!$B$11="","",Setup!$B$11+7*(A26-1))</f>
      </c>
      <c r="C26" s="95"/>
      <c r="D26" s="95"/>
      <c r="E26" s="96">
        <f>IF(OR(C26="",D26=""),"",ROUND((D26-C26)*100,0))</f>
      </c>
    </row>
    <row r="27" spans="1:5" x14ac:dyDescent="0.3">
      <c r="A27" s="73">
        <v>21</v>
      </c>
      <c r="B27" s="94">
        <f>IF(Setup!$B$11="","",Setup!$B$11+7*(A27-1))</f>
      </c>
      <c r="C27" s="95"/>
      <c r="D27" s="95"/>
      <c r="E27" s="96">
        <f>IF(OR(C27="",D27=""),"",ROUND((D27-C27)*100,0))</f>
      </c>
    </row>
    <row r="28" spans="1:5" x14ac:dyDescent="0.3">
      <c r="A28" s="73">
        <v>22</v>
      </c>
      <c r="B28" s="94">
        <f>IF(Setup!$B$11="","",Setup!$B$11+7*(A28-1))</f>
      </c>
      <c r="C28" s="95"/>
      <c r="D28" s="95"/>
      <c r="E28" s="96">
        <f>IF(OR(C28="",D28=""),"",ROUND((D28-C28)*100,0))</f>
      </c>
    </row>
    <row r="29" spans="1:5" x14ac:dyDescent="0.3">
      <c r="A29" s="73">
        <v>23</v>
      </c>
      <c r="B29" s="94">
        <f>IF(Setup!$B$11="","",Setup!$B$11+7*(A29-1))</f>
      </c>
      <c r="C29" s="95"/>
      <c r="D29" s="95"/>
      <c r="E29" s="96">
        <f>IF(OR(C29="",D29=""),"",ROUND((D29-C29)*100,0))</f>
      </c>
    </row>
    <row r="30" spans="1:5" x14ac:dyDescent="0.3">
      <c r="A30" s="73">
        <v>24</v>
      </c>
      <c r="B30" s="94">
        <f>IF(Setup!$B$11="","",Setup!$B$11+7*(A30-1))</f>
      </c>
      <c r="C30" s="95"/>
      <c r="D30" s="95"/>
      <c r="E30" s="96">
        <f>IF(OR(C30="",D30=""),"",ROUND((D30-C30)*100,0))</f>
      </c>
    </row>
    <row r="31" spans="1:5" x14ac:dyDescent="0.3">
      <c r="A31" s="73">
        <v>25</v>
      </c>
      <c r="B31" s="94">
        <f>IF(Setup!$B$11="","",Setup!$B$11+7*(A31-1))</f>
      </c>
      <c r="C31" s="95"/>
      <c r="D31" s="95"/>
      <c r="E31" s="96">
        <f>IF(OR(C31="",D31=""),"",ROUND((D31-C31)*100,0))</f>
      </c>
    </row>
    <row r="32" spans="1:5" x14ac:dyDescent="0.3">
      <c r="A32" s="73">
        <v>26</v>
      </c>
      <c r="B32" s="94">
        <f>IF(Setup!$B$11="","",Setup!$B$11+7*(A32-1))</f>
      </c>
      <c r="C32" s="95"/>
      <c r="D32" s="95"/>
      <c r="E32" s="96">
        <f>IF(OR(C32="",D32=""),"",ROUND((D32-C32)*100,0))</f>
      </c>
    </row>
    <row r="33" spans="1:5" x14ac:dyDescent="0.3">
      <c r="A33" s="73">
        <v>27</v>
      </c>
      <c r="B33" s="94">
        <f>IF(Setup!$B$11="","",Setup!$B$11+7*(A33-1))</f>
      </c>
      <c r="C33" s="95"/>
      <c r="D33" s="95"/>
      <c r="E33" s="96">
        <f>IF(OR(C33="",D33=""),"",ROUND((D33-C33)*100,0))</f>
      </c>
    </row>
    <row r="34" spans="1:5" x14ac:dyDescent="0.3">
      <c r="A34" s="73">
        <v>28</v>
      </c>
      <c r="B34" s="94">
        <f>IF(Setup!$B$11="","",Setup!$B$11+7*(A34-1))</f>
      </c>
      <c r="C34" s="95"/>
      <c r="D34" s="95"/>
      <c r="E34" s="96">
        <f>IF(OR(C34="",D34=""),"",ROUND((D34-C34)*100,0))</f>
      </c>
    </row>
    <row r="35" spans="1:5" x14ac:dyDescent="0.3">
      <c r="A35" s="73">
        <v>29</v>
      </c>
      <c r="B35" s="94">
        <f>IF(Setup!$B$11="","",Setup!$B$11+7*(A35-1))</f>
      </c>
      <c r="C35" s="95"/>
      <c r="D35" s="95"/>
      <c r="E35" s="96">
        <f>IF(OR(C35="",D35=""),"",ROUND((D35-C35)*100,0))</f>
      </c>
    </row>
    <row r="36" spans="1:5" x14ac:dyDescent="0.3">
      <c r="A36" s="73">
        <v>30</v>
      </c>
      <c r="B36" s="94">
        <f>IF(Setup!$B$11="","",Setup!$B$11+7*(A36-1))</f>
      </c>
      <c r="C36" s="95"/>
      <c r="D36" s="95"/>
      <c r="E36" s="96">
        <f>IF(OR(C36="",D36=""),"",ROUND((D36-C36)*100,0))</f>
      </c>
    </row>
    <row r="37" spans="1:5" x14ac:dyDescent="0.3">
      <c r="A37" s="73">
        <v>31</v>
      </c>
      <c r="B37" s="94">
        <f>IF(Setup!$B$11="","",Setup!$B$11+7*(A37-1))</f>
      </c>
      <c r="C37" s="95"/>
      <c r="D37" s="95"/>
      <c r="E37" s="96">
        <f>IF(OR(C37="",D37=""),"",ROUND((D37-C37)*100,0))</f>
      </c>
    </row>
    <row r="38" spans="1:5" x14ac:dyDescent="0.3">
      <c r="A38" s="73">
        <v>32</v>
      </c>
      <c r="B38" s="94">
        <f>IF(Setup!$B$11="","",Setup!$B$11+7*(A38-1))</f>
      </c>
      <c r="C38" s="95"/>
      <c r="D38" s="95"/>
      <c r="E38" s="96">
        <f>IF(OR(C38="",D38=""),"",ROUND((D38-C38)*100,0))</f>
      </c>
    </row>
    <row r="39" spans="1:5" x14ac:dyDescent="0.3">
      <c r="A39" s="73">
        <v>33</v>
      </c>
      <c r="B39" s="94">
        <f>IF(Setup!$B$11="","",Setup!$B$11+7*(A39-1))</f>
      </c>
      <c r="C39" s="95"/>
      <c r="D39" s="95"/>
      <c r="E39" s="96">
        <f>IF(OR(C39="",D39=""),"",ROUND((D39-C39)*100,0))</f>
      </c>
    </row>
    <row r="40" spans="1:5" x14ac:dyDescent="0.3">
      <c r="A40" s="73">
        <v>34</v>
      </c>
      <c r="B40" s="94">
        <f>IF(Setup!$B$11="","",Setup!$B$11+7*(A40-1))</f>
      </c>
      <c r="C40" s="95"/>
      <c r="D40" s="95"/>
      <c r="E40" s="96">
        <f>IF(OR(C40="",D40=""),"",ROUND((D40-C40)*100,0))</f>
      </c>
    </row>
    <row r="41" spans="1:5" x14ac:dyDescent="0.3">
      <c r="A41" s="73">
        <v>35</v>
      </c>
      <c r="B41" s="94">
        <f>IF(Setup!$B$11="","",Setup!$B$11+7*(A41-1))</f>
      </c>
      <c r="C41" s="95"/>
      <c r="D41" s="95"/>
      <c r="E41" s="96">
        <f>IF(OR(C41="",D41=""),"",ROUND((D41-C41)*100,0))</f>
      </c>
    </row>
    <row r="42" spans="1:5" x14ac:dyDescent="0.3">
      <c r="A42" s="73">
        <v>36</v>
      </c>
      <c r="B42" s="94">
        <f>IF(Setup!$B$11="","",Setup!$B$11+7*(A42-1))</f>
      </c>
      <c r="C42" s="95"/>
      <c r="D42" s="95"/>
      <c r="E42" s="96">
        <f>IF(OR(C42="",D42=""),"",ROUND((D42-C42)*100,0))</f>
      </c>
    </row>
    <row r="43" spans="1:5" x14ac:dyDescent="0.3">
      <c r="A43" s="73">
        <v>37</v>
      </c>
      <c r="B43" s="94">
        <f>IF(Setup!$B$11="","",Setup!$B$11+7*(A43-1))</f>
      </c>
      <c r="C43" s="95"/>
      <c r="D43" s="95"/>
      <c r="E43" s="96">
        <f>IF(OR(C43="",D43=""),"",ROUND((D43-C43)*100,0))</f>
      </c>
    </row>
    <row r="44" spans="1:5" x14ac:dyDescent="0.3">
      <c r="A44" s="73">
        <v>38</v>
      </c>
      <c r="B44" s="94">
        <f>IF(Setup!$B$11="","",Setup!$B$11+7*(A44-1))</f>
      </c>
      <c r="C44" s="95"/>
      <c r="D44" s="95"/>
      <c r="E44" s="96">
        <f>IF(OR(C44="",D44=""),"",ROUND((D44-C44)*100,0))</f>
      </c>
    </row>
    <row r="45" spans="1:5" x14ac:dyDescent="0.3">
      <c r="A45" s="73">
        <v>39</v>
      </c>
      <c r="B45" s="94">
        <f>IF(Setup!$B$11="","",Setup!$B$11+7*(A45-1))</f>
      </c>
      <c r="C45" s="95"/>
      <c r="D45" s="95"/>
      <c r="E45" s="96">
        <f>IF(OR(C45="",D45=""),"",ROUND((D45-C45)*100,0))</f>
      </c>
    </row>
    <row r="46" spans="1:5" x14ac:dyDescent="0.3">
      <c r="A46" s="73">
        <v>40</v>
      </c>
      <c r="B46" s="94">
        <f>IF(Setup!$B$11="","",Setup!$B$11+7*(A46-1))</f>
      </c>
      <c r="C46" s="95"/>
      <c r="D46" s="95"/>
      <c r="E46" s="96">
        <f>IF(OR(C46="",D46=""),"",ROUND((D46-C46)*100,0))</f>
      </c>
    </row>
  </sheetData>
  <sheetProtection sheet="1" formatCells="0" formatColumns="0" formatRows="0" insertColumns="0" insertRows="0" insertHyperlinks="0" deleteColumns="0" deleteRows="0" sort="0" autoFilter="0" pivotTables="0"/>
  <printOptions horizontalCentered="1"/>
  <pageMargins left="0.4" right="0.4" top="0.5" bottom="0.5" header="0.5" footer="0.5"/>
  <pageSetup paperSize="9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400-000001000000}">
            <xm:f>$A7=Setup!$B$7</xm:f>
            <x14:dxf>
              <font>
                <b/>
                <name val="Arial"/>
              </font>
              <fill>
                <patternFill patternType="solid">
                  <fgColor rgb="FFDBEAFE"/>
                </patternFill>
              </fill>
            </x14:dxf>
          </x14:cfRule>
          <xm:sqref>A7:E46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B82F6"/>
    <pageSetUpPr fitToPage="1"/>
  </sheetPr>
  <dimension ref="A1:J19"/>
  <sheetViews>
    <sheetView showGridLines="0" workbookViewId="0">
      <selection activeCell="C10" sqref="C10"/>
    </sheetView>
  </sheetViews>
  <sheetFormatPr defaultRowHeight="14.4" x14ac:dyDescent="0.3"/>
  <cols>
    <col min="1" max="1" width="30" style="2" customWidth="1"/>
    <col min="2" max="9" width="10" style="2" customWidth="1"/>
    <col min="10" max="16384" width="8.88671875" style="2"/>
  </cols>
  <sheetData>
    <row r="1" spans="1:10" ht="28.05" customHeight="1" x14ac:dyDescent="0.4">
      <c r="A1" s="67" t="s">
        <v>40</v>
      </c>
      <c r="J1" s="75" t="s">
        <v>57</v>
      </c>
    </row>
    <row r="2" spans="1:10" x14ac:dyDescent="0.3">
      <c r="A2" s="68" t="s">
        <v>188</v>
      </c>
    </row>
    <row r="3" spans="1:10" x14ac:dyDescent="0.3">
      <c r="A3" s="69" t="s">
        <v>189</v>
      </c>
    </row>
    <row r="4" spans="1:10" x14ac:dyDescent="0.3">
      <c r="A4" s="76"/>
      <c r="B4" s="76"/>
      <c r="C4" s="76"/>
      <c r="D4" s="76"/>
      <c r="E4" s="76"/>
      <c r="F4" s="76"/>
      <c r="G4" s="76"/>
      <c r="H4" s="76"/>
      <c r="I4" s="76"/>
      <c r="J4" s="76"/>
    </row>
    <row r="6" spans="1:10" x14ac:dyDescent="0.3">
      <c r="A6" s="97" t="s">
        <v>75</v>
      </c>
      <c r="B6" s="98"/>
      <c r="C6" s="98"/>
      <c r="D6" s="98"/>
      <c r="E6" s="98"/>
      <c r="F6" s="98"/>
      <c r="G6" s="98"/>
      <c r="H6" s="98"/>
      <c r="I6" s="98"/>
    </row>
    <row r="7" spans="1:10" x14ac:dyDescent="0.3">
      <c r="A7" s="72"/>
      <c r="B7" s="99"/>
      <c r="C7" s="99"/>
      <c r="D7" s="99"/>
      <c r="E7" s="99"/>
      <c r="F7" s="99"/>
      <c r="G7" s="99"/>
      <c r="H7" s="99"/>
      <c r="I7" s="99"/>
    </row>
    <row r="8" spans="1:10" x14ac:dyDescent="0.3">
      <c r="A8" s="72"/>
      <c r="B8" s="99"/>
      <c r="C8" s="99"/>
      <c r="D8" s="99"/>
      <c r="E8" s="99"/>
      <c r="F8" s="99"/>
      <c r="G8" s="99"/>
      <c r="H8" s="99"/>
      <c r="I8" s="99"/>
    </row>
    <row r="9" spans="1:10" x14ac:dyDescent="0.3">
      <c r="A9" s="72"/>
      <c r="B9" s="99"/>
      <c r="C9" s="99"/>
      <c r="D9" s="99"/>
      <c r="E9" s="99"/>
      <c r="F9" s="99"/>
      <c r="G9" s="99"/>
      <c r="H9" s="99"/>
      <c r="I9" s="99"/>
    </row>
    <row r="10" spans="1:10" x14ac:dyDescent="0.3">
      <c r="A10" s="72"/>
      <c r="B10" s="99"/>
      <c r="C10" s="99"/>
      <c r="D10" s="99"/>
      <c r="E10" s="99"/>
      <c r="F10" s="99"/>
      <c r="G10" s="99"/>
      <c r="H10" s="99"/>
      <c r="I10" s="99"/>
    </row>
    <row r="11" spans="1:10" x14ac:dyDescent="0.3">
      <c r="A11" s="72"/>
      <c r="B11" s="99"/>
      <c r="C11" s="99"/>
      <c r="D11" s="99"/>
      <c r="E11" s="99"/>
      <c r="F11" s="99"/>
      <c r="G11" s="99"/>
      <c r="H11" s="99"/>
      <c r="I11" s="99"/>
    </row>
    <row r="12" spans="1:10" x14ac:dyDescent="0.3">
      <c r="A12" s="72"/>
      <c r="B12" s="99"/>
      <c r="C12" s="99"/>
      <c r="D12" s="99"/>
      <c r="E12" s="99"/>
      <c r="F12" s="99"/>
      <c r="G12" s="99"/>
      <c r="H12" s="99"/>
      <c r="I12" s="99"/>
    </row>
    <row r="13" spans="1:10" x14ac:dyDescent="0.3">
      <c r="A13" s="72"/>
      <c r="B13" s="99"/>
      <c r="C13" s="99"/>
      <c r="D13" s="99"/>
      <c r="E13" s="99"/>
      <c r="F13" s="99"/>
      <c r="G13" s="99"/>
      <c r="H13" s="99"/>
      <c r="I13" s="99"/>
    </row>
    <row r="14" spans="1:10" x14ac:dyDescent="0.3">
      <c r="A14" s="72"/>
      <c r="B14" s="99"/>
      <c r="C14" s="99"/>
      <c r="D14" s="99"/>
      <c r="E14" s="99"/>
      <c r="F14" s="99"/>
      <c r="G14" s="99"/>
      <c r="H14" s="99"/>
      <c r="I14" s="99"/>
    </row>
    <row r="15" spans="1:10" x14ac:dyDescent="0.3">
      <c r="A15" s="72"/>
      <c r="B15" s="99"/>
      <c r="C15" s="99"/>
      <c r="D15" s="99"/>
      <c r="E15" s="99"/>
      <c r="F15" s="99"/>
      <c r="G15" s="99"/>
      <c r="H15" s="99"/>
      <c r="I15" s="99"/>
    </row>
    <row r="16" spans="1:10" x14ac:dyDescent="0.3">
      <c r="A16" s="72"/>
      <c r="B16" s="99"/>
      <c r="C16" s="99"/>
      <c r="D16" s="99"/>
      <c r="E16" s="99"/>
      <c r="F16" s="99"/>
      <c r="G16" s="99"/>
      <c r="H16" s="99"/>
      <c r="I16" s="99"/>
    </row>
    <row r="18" spans="1:1" x14ac:dyDescent="0.3">
      <c r="A18" s="55" t="s">
        <v>199</v>
      </c>
    </row>
    <row r="19" spans="1:1" x14ac:dyDescent="0.3">
      <c r="A19" s="55" t="s">
        <v>200</v>
      </c>
    </row>
  </sheetData>
  <sheetProtection sheet="1" formatCells="0" formatColumns="0" formatRows="0" insertColumns="0" insertRows="0" insertHyperlinks="0" deleteColumns="0" deleteRows="0" sort="0" autoFilter="0" pivotTables="0"/>
  <conditionalFormatting sqref="B7:I16">
    <cfRule type="cellIs" dxfId="11" priority="1" operator="lessThan">
      <formula>0</formula>
    </cfRule>
    <cfRule type="cellIs" dxfId="10" priority="2" operator="between">
      <formula>0</formula>
      <formula>5</formula>
    </cfRule>
  </conditionalFormatting>
  <printOptions horizontalCentered="1"/>
  <pageMargins left="0.4" right="0.4" top="0.5" bottom="0.5" header="0.5" footer="0.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D9488"/>
    <pageSetUpPr fitToPage="1"/>
  </sheetPr>
  <dimension ref="A1:U36"/>
  <sheetViews>
    <sheetView showGridLines="0" workbookViewId="0">
      <pane xSplit="2" ySplit="6" topLeftCell="H7" activePane="bottomRight" state="frozen"/>
      <selection pane="topRight"/>
      <selection pane="bottomLeft"/>
      <selection pane="bottomRight" activeCell="U1" sqref="U1"/>
    </sheetView>
  </sheetViews>
  <sheetFormatPr defaultRowHeight="14.4" x14ac:dyDescent="0.3"/>
  <cols>
    <col min="1" max="1" width="6" style="2" customWidth="1"/>
    <col min="2" max="2" width="30" style="2" customWidth="1"/>
    <col min="3" max="3" width="12" style="2" customWidth="1"/>
    <col min="4" max="5" width="10" style="2" customWidth="1"/>
    <col min="6" max="6" width="14" style="2" customWidth="1"/>
    <col min="7" max="12" width="9" style="2" customWidth="1"/>
    <col min="13" max="13" width="8" style="2" customWidth="1"/>
    <col min="14" max="14" width="11" style="2" customWidth="1"/>
    <col min="15" max="15" width="22" style="2" customWidth="1"/>
    <col min="16" max="17" width="10" style="2" customWidth="1"/>
    <col min="18" max="18" width="28" style="2" customWidth="1"/>
    <col min="19" max="19" width="3" style="2" customWidth="1"/>
    <col min="20" max="20" width="26" style="2" customWidth="1"/>
    <col min="21" max="21" width="10" style="2" customWidth="1"/>
    <col min="22" max="16384" width="8.88671875" style="2"/>
  </cols>
  <sheetData>
    <row r="1" spans="1:21" ht="28.05" customHeight="1" x14ac:dyDescent="0.4">
      <c r="A1" s="67" t="s">
        <v>201</v>
      </c>
      <c r="U1" s="75" t="s">
        <v>57</v>
      </c>
    </row>
    <row r="2" spans="1:21" x14ac:dyDescent="0.3">
      <c r="A2" s="68" t="s">
        <v>202</v>
      </c>
    </row>
    <row r="3" spans="1:21" x14ac:dyDescent="0.3">
      <c r="A3" s="69" t="s">
        <v>203</v>
      </c>
    </row>
    <row r="4" spans="1:21" x14ac:dyDescent="0.3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</row>
    <row r="6" spans="1:21" ht="48" customHeight="1" x14ac:dyDescent="0.3">
      <c r="A6" s="77" t="s">
        <v>117</v>
      </c>
      <c r="B6" s="77" t="s">
        <v>75</v>
      </c>
      <c r="C6" s="77" t="s">
        <v>118</v>
      </c>
      <c r="D6" s="77" t="s">
        <v>204</v>
      </c>
      <c r="E6" s="77" t="s">
        <v>205</v>
      </c>
      <c r="F6" s="77" t="s">
        <v>206</v>
      </c>
      <c r="G6" s="101" t="s">
        <v>207</v>
      </c>
      <c r="H6" s="101" t="s">
        <v>208</v>
      </c>
      <c r="I6" s="101" t="s">
        <v>209</v>
      </c>
      <c r="J6" s="101" t="s">
        <v>210</v>
      </c>
      <c r="K6" s="101" t="s">
        <v>211</v>
      </c>
      <c r="L6" s="101" t="s">
        <v>212</v>
      </c>
      <c r="M6" s="77" t="s">
        <v>213</v>
      </c>
      <c r="N6" s="77" t="s">
        <v>214</v>
      </c>
      <c r="O6" s="78" t="s">
        <v>215</v>
      </c>
      <c r="P6" s="78" t="s">
        <v>216</v>
      </c>
      <c r="Q6" s="78" t="s">
        <v>217</v>
      </c>
      <c r="R6" s="77" t="s">
        <v>218</v>
      </c>
      <c r="T6" s="102" t="s">
        <v>219</v>
      </c>
    </row>
    <row r="7" spans="1:21" x14ac:dyDescent="0.3">
      <c r="A7" s="79"/>
      <c r="B7" s="80"/>
      <c r="C7" s="79"/>
      <c r="D7" s="103"/>
      <c r="E7" s="103"/>
      <c r="F7" s="79"/>
      <c r="G7" s="104"/>
      <c r="H7" s="104"/>
      <c r="I7" s="104"/>
      <c r="J7" s="104"/>
      <c r="K7" s="104"/>
      <c r="L7" s="104"/>
      <c r="M7" s="87">
        <f t="shared" ref="M7:M36" si="0">IF(B7="","",COUNTIF(G7:L7,"Y")&amp;" / 6")</f>
      </c>
      <c r="N7" s="87">
        <f t="shared" ref="N7:N36" si="1">IF(B7="","",IF(COUNTIF(G7:L7,"Y")=6,"Ready","Not ready"))</f>
      </c>
      <c r="O7" s="105">
        <f t="shared" ref="O7:O36" si="2">IF(B7="","",IF(COUNTIF(G7:L7,"Y")=6,"—",IF(COUNTIF(G7:L7,"N")=0,"Answer all six tests",MID(IF(G7="N",", Drawing","")&amp;IF(H7="N",", Material","")&amp;IF(I7="N",", Plant","")&amp;IF(J7="N",", Labour","")&amp;IF(K7="N",", Permit","")&amp;IF(L7="N",", Access",""),3,200))))</f>
      </c>
      <c r="P7" s="104"/>
      <c r="Q7" s="106"/>
      <c r="R7" s="80"/>
      <c r="S7" s="107"/>
      <c r="T7" s="17" t="s">
        <v>224</v>
      </c>
      <c r="U7" s="108">
        <f>COUNTA(B7:B36)</f>
      </c>
    </row>
    <row r="8" spans="1:21" x14ac:dyDescent="0.3">
      <c r="A8" s="79"/>
      <c r="B8" s="80"/>
      <c r="C8" s="79"/>
      <c r="D8" s="103"/>
      <c r="E8" s="103"/>
      <c r="F8" s="79"/>
      <c r="G8" s="104"/>
      <c r="H8" s="104"/>
      <c r="I8" s="104"/>
      <c r="J8" s="104"/>
      <c r="K8" s="104"/>
      <c r="L8" s="104"/>
      <c r="M8" s="87">
        <f t="shared" si="0"/>
      </c>
      <c r="N8" s="87">
        <f t="shared" si="1"/>
      </c>
      <c r="O8" s="105">
        <f t="shared" si="2"/>
      </c>
      <c r="P8" s="104"/>
      <c r="Q8" s="106"/>
      <c r="R8" s="80"/>
      <c r="S8" s="107"/>
      <c r="T8" s="17" t="s">
        <v>229</v>
      </c>
      <c r="U8" s="108">
        <f>COUNTIF(N7:N36,"Ready")</f>
      </c>
    </row>
    <row r="9" spans="1:21" x14ac:dyDescent="0.3">
      <c r="A9" s="79"/>
      <c r="B9" s="80"/>
      <c r="C9" s="79"/>
      <c r="D9" s="103"/>
      <c r="E9" s="103"/>
      <c r="F9" s="79"/>
      <c r="G9" s="104"/>
      <c r="H9" s="104"/>
      <c r="I9" s="104"/>
      <c r="J9" s="104"/>
      <c r="K9" s="104"/>
      <c r="L9" s="104"/>
      <c r="M9" s="87">
        <f t="shared" si="0"/>
      </c>
      <c r="N9" s="87">
        <f t="shared" si="1"/>
      </c>
      <c r="O9" s="105">
        <f t="shared" si="2"/>
      </c>
      <c r="P9" s="104"/>
      <c r="Q9" s="106"/>
      <c r="R9" s="80"/>
      <c r="S9" s="107"/>
      <c r="T9" s="17" t="s">
        <v>233</v>
      </c>
      <c r="U9" s="109">
        <f>IF(U7=0,"",U8/U7)</f>
      </c>
    </row>
    <row r="10" spans="1:21" x14ac:dyDescent="0.3">
      <c r="A10" s="79"/>
      <c r="B10" s="80"/>
      <c r="C10" s="79"/>
      <c r="D10" s="103"/>
      <c r="E10" s="103"/>
      <c r="F10" s="79"/>
      <c r="G10" s="104"/>
      <c r="H10" s="104"/>
      <c r="I10" s="104"/>
      <c r="J10" s="104"/>
      <c r="K10" s="104"/>
      <c r="L10" s="104"/>
      <c r="M10" s="87">
        <f t="shared" si="0"/>
      </c>
      <c r="N10" s="87">
        <f t="shared" si="1"/>
      </c>
      <c r="O10" s="105">
        <f t="shared" si="2"/>
      </c>
      <c r="P10" s="104"/>
      <c r="Q10" s="106"/>
      <c r="R10" s="80"/>
      <c r="S10" s="107"/>
      <c r="T10" s="17" t="s">
        <v>236</v>
      </c>
      <c r="U10" s="108">
        <f>COUNTIF(P7:P36,"Y")</f>
      </c>
    </row>
    <row r="11" spans="1:21" x14ac:dyDescent="0.3">
      <c r="A11" s="79"/>
      <c r="B11" s="80"/>
      <c r="C11" s="79"/>
      <c r="D11" s="103"/>
      <c r="E11" s="103"/>
      <c r="F11" s="79"/>
      <c r="G11" s="104"/>
      <c r="H11" s="104"/>
      <c r="I11" s="104"/>
      <c r="J11" s="104"/>
      <c r="K11" s="104"/>
      <c r="L11" s="104"/>
      <c r="M11" s="87">
        <f t="shared" si="0"/>
      </c>
      <c r="N11" s="87">
        <f t="shared" si="1"/>
      </c>
      <c r="O11" s="105">
        <f t="shared" si="2"/>
      </c>
      <c r="P11" s="104"/>
      <c r="Q11" s="106"/>
      <c r="R11" s="80"/>
      <c r="S11" s="107"/>
      <c r="T11" s="17" t="s">
        <v>239</v>
      </c>
      <c r="U11" s="109">
        <f>IF(U7=0,"",U10/U7)</f>
      </c>
    </row>
    <row r="12" spans="1:21" x14ac:dyDescent="0.3">
      <c r="A12" s="79"/>
      <c r="B12" s="80"/>
      <c r="C12" s="79"/>
      <c r="D12" s="103"/>
      <c r="E12" s="103"/>
      <c r="F12" s="79"/>
      <c r="G12" s="104"/>
      <c r="H12" s="104"/>
      <c r="I12" s="104"/>
      <c r="J12" s="104"/>
      <c r="K12" s="104"/>
      <c r="L12" s="104"/>
      <c r="M12" s="87">
        <f t="shared" si="0"/>
      </c>
      <c r="N12" s="87">
        <f t="shared" si="1"/>
      </c>
      <c r="O12" s="105">
        <f t="shared" si="2"/>
      </c>
      <c r="P12" s="104"/>
      <c r="Q12" s="106"/>
      <c r="R12" s="80"/>
      <c r="S12" s="107"/>
      <c r="T12" s="17" t="s">
        <v>242</v>
      </c>
      <c r="U12" s="108">
        <f>COUNTIF(Q7:Q36,"&gt;=3")</f>
      </c>
    </row>
    <row r="13" spans="1:21" x14ac:dyDescent="0.3">
      <c r="A13" s="79"/>
      <c r="B13" s="80"/>
      <c r="C13" s="79"/>
      <c r="D13" s="103"/>
      <c r="E13" s="103"/>
      <c r="F13" s="79"/>
      <c r="G13" s="104"/>
      <c r="H13" s="104"/>
      <c r="I13" s="104"/>
      <c r="J13" s="104"/>
      <c r="K13" s="104"/>
      <c r="L13" s="104"/>
      <c r="M13" s="87">
        <f t="shared" si="0"/>
      </c>
      <c r="N13" s="87">
        <f t="shared" si="1"/>
      </c>
      <c r="O13" s="105">
        <f t="shared" si="2"/>
      </c>
      <c r="P13" s="104"/>
      <c r="Q13" s="106"/>
      <c r="R13" s="80"/>
      <c r="S13" s="107"/>
    </row>
    <row r="14" spans="1:21" x14ac:dyDescent="0.3">
      <c r="A14" s="79"/>
      <c r="B14" s="80"/>
      <c r="C14" s="79"/>
      <c r="D14" s="103"/>
      <c r="E14" s="103"/>
      <c r="F14" s="79"/>
      <c r="G14" s="104"/>
      <c r="H14" s="104"/>
      <c r="I14" s="104"/>
      <c r="J14" s="104"/>
      <c r="K14" s="104"/>
      <c r="L14" s="104"/>
      <c r="M14" s="87">
        <f t="shared" si="0"/>
      </c>
      <c r="N14" s="87">
        <f t="shared" si="1"/>
      </c>
      <c r="O14" s="105">
        <f t="shared" si="2"/>
      </c>
      <c r="P14" s="104"/>
      <c r="Q14" s="106"/>
      <c r="R14" s="80"/>
      <c r="S14" s="107"/>
      <c r="T14" s="102" t="s">
        <v>249</v>
      </c>
    </row>
    <row r="15" spans="1:21" x14ac:dyDescent="0.3">
      <c r="A15" s="79"/>
      <c r="B15" s="80"/>
      <c r="C15" s="79"/>
      <c r="D15" s="103"/>
      <c r="E15" s="103"/>
      <c r="F15" s="79"/>
      <c r="G15" s="104"/>
      <c r="H15" s="104"/>
      <c r="I15" s="104"/>
      <c r="J15" s="104"/>
      <c r="K15" s="104"/>
      <c r="L15" s="104"/>
      <c r="M15" s="87">
        <f t="shared" si="0"/>
      </c>
      <c r="N15" s="87">
        <f t="shared" si="1"/>
      </c>
      <c r="O15" s="105">
        <f t="shared" si="2"/>
      </c>
      <c r="P15" s="104"/>
      <c r="Q15" s="106"/>
      <c r="R15" s="80"/>
      <c r="S15" s="107"/>
      <c r="T15" s="17" t="s">
        <v>207</v>
      </c>
      <c r="U15" s="108">
        <f>COUNTIF(G7:G36,"N")</f>
      </c>
    </row>
    <row r="16" spans="1:21" x14ac:dyDescent="0.3">
      <c r="A16" s="79"/>
      <c r="B16" s="80"/>
      <c r="C16" s="79"/>
      <c r="D16" s="103"/>
      <c r="E16" s="103"/>
      <c r="F16" s="79"/>
      <c r="G16" s="104"/>
      <c r="H16" s="104"/>
      <c r="I16" s="104"/>
      <c r="J16" s="104"/>
      <c r="K16" s="104"/>
      <c r="L16" s="104"/>
      <c r="M16" s="87">
        <f t="shared" si="0"/>
      </c>
      <c r="N16" s="87">
        <f t="shared" si="1"/>
      </c>
      <c r="O16" s="105">
        <f t="shared" si="2"/>
      </c>
      <c r="P16" s="104"/>
      <c r="Q16" s="106"/>
      <c r="R16" s="80"/>
      <c r="S16" s="107"/>
      <c r="T16" s="17" t="s">
        <v>208</v>
      </c>
      <c r="U16" s="108">
        <f>COUNTIF(H7:H36,"N")</f>
      </c>
    </row>
    <row r="17" spans="1:21" x14ac:dyDescent="0.3">
      <c r="A17" s="79"/>
      <c r="B17" s="80"/>
      <c r="C17" s="79"/>
      <c r="D17" s="103"/>
      <c r="E17" s="103"/>
      <c r="F17" s="79"/>
      <c r="G17" s="104"/>
      <c r="H17" s="104"/>
      <c r="I17" s="104"/>
      <c r="J17" s="104"/>
      <c r="K17" s="104"/>
      <c r="L17" s="104"/>
      <c r="M17" s="87">
        <f t="shared" si="0"/>
      </c>
      <c r="N17" s="87">
        <f t="shared" si="1"/>
      </c>
      <c r="O17" s="105">
        <f t="shared" si="2"/>
      </c>
      <c r="P17" s="104"/>
      <c r="Q17" s="106"/>
      <c r="R17" s="80"/>
      <c r="S17" s="107"/>
      <c r="T17" s="17" t="s">
        <v>209</v>
      </c>
      <c r="U17" s="108">
        <f>COUNTIF(I7:I36,"N")</f>
      </c>
    </row>
    <row r="18" spans="1:21" x14ac:dyDescent="0.3">
      <c r="A18" s="79"/>
      <c r="B18" s="80"/>
      <c r="C18" s="79"/>
      <c r="D18" s="103"/>
      <c r="E18" s="103"/>
      <c r="F18" s="79"/>
      <c r="G18" s="104"/>
      <c r="H18" s="104"/>
      <c r="I18" s="104"/>
      <c r="J18" s="104"/>
      <c r="K18" s="104"/>
      <c r="L18" s="104"/>
      <c r="M18" s="87">
        <f t="shared" si="0"/>
      </c>
      <c r="N18" s="87">
        <f t="shared" si="1"/>
      </c>
      <c r="O18" s="105">
        <f t="shared" si="2"/>
      </c>
      <c r="P18" s="104"/>
      <c r="Q18" s="106"/>
      <c r="R18" s="80"/>
      <c r="S18" s="107"/>
      <c r="T18" s="17" t="s">
        <v>210</v>
      </c>
      <c r="U18" s="108">
        <f>COUNTIF(J7:J36,"N")</f>
      </c>
    </row>
    <row r="19" spans="1:21" x14ac:dyDescent="0.3">
      <c r="A19" s="79"/>
      <c r="B19" s="80"/>
      <c r="C19" s="79"/>
      <c r="D19" s="103"/>
      <c r="E19" s="103"/>
      <c r="F19" s="79"/>
      <c r="G19" s="104"/>
      <c r="H19" s="104"/>
      <c r="I19" s="104"/>
      <c r="J19" s="104"/>
      <c r="K19" s="104"/>
      <c r="L19" s="104"/>
      <c r="M19" s="87">
        <f t="shared" si="0"/>
      </c>
      <c r="N19" s="87">
        <f t="shared" si="1"/>
      </c>
      <c r="O19" s="105">
        <f t="shared" si="2"/>
      </c>
      <c r="P19" s="104"/>
      <c r="Q19" s="106"/>
      <c r="R19" s="80"/>
      <c r="S19" s="107"/>
      <c r="T19" s="17" t="s">
        <v>211</v>
      </c>
      <c r="U19" s="108">
        <f>COUNTIF(K7:K36,"N")</f>
      </c>
    </row>
    <row r="20" spans="1:21" x14ac:dyDescent="0.3">
      <c r="A20" s="79"/>
      <c r="B20" s="80"/>
      <c r="C20" s="79"/>
      <c r="D20" s="103"/>
      <c r="E20" s="103"/>
      <c r="F20" s="79"/>
      <c r="G20" s="104"/>
      <c r="H20" s="104"/>
      <c r="I20" s="104"/>
      <c r="J20" s="104"/>
      <c r="K20" s="104"/>
      <c r="L20" s="104"/>
      <c r="M20" s="87">
        <f t="shared" si="0"/>
      </c>
      <c r="N20" s="87">
        <f t="shared" si="1"/>
      </c>
      <c r="O20" s="105">
        <f t="shared" si="2"/>
      </c>
      <c r="P20" s="104"/>
      <c r="Q20" s="106"/>
      <c r="R20" s="80"/>
      <c r="S20" s="107"/>
      <c r="T20" s="17" t="s">
        <v>212</v>
      </c>
      <c r="U20" s="108">
        <f>COUNTIF(L7:L36,"N")</f>
      </c>
    </row>
    <row r="21" spans="1:21" x14ac:dyDescent="0.3">
      <c r="A21" s="79"/>
      <c r="B21" s="80"/>
      <c r="C21" s="79"/>
      <c r="D21" s="103"/>
      <c r="E21" s="103"/>
      <c r="F21" s="79"/>
      <c r="G21" s="104"/>
      <c r="H21" s="104"/>
      <c r="I21" s="104"/>
      <c r="J21" s="104"/>
      <c r="K21" s="104"/>
      <c r="L21" s="104"/>
      <c r="M21" s="87">
        <f t="shared" si="0"/>
      </c>
      <c r="N21" s="87">
        <f t="shared" si="1"/>
      </c>
      <c r="O21" s="105">
        <f t="shared" si="2"/>
      </c>
      <c r="P21" s="104"/>
      <c r="Q21" s="106"/>
      <c r="R21" s="80"/>
      <c r="S21" s="107"/>
    </row>
    <row r="22" spans="1:21" x14ac:dyDescent="0.3">
      <c r="A22" s="79"/>
      <c r="B22" s="80"/>
      <c r="C22" s="79"/>
      <c r="D22" s="103"/>
      <c r="E22" s="103"/>
      <c r="F22" s="79"/>
      <c r="G22" s="104"/>
      <c r="H22" s="104"/>
      <c r="I22" s="104"/>
      <c r="J22" s="104"/>
      <c r="K22" s="104"/>
      <c r="L22" s="104"/>
      <c r="M22" s="87">
        <f t="shared" si="0"/>
      </c>
      <c r="N22" s="87">
        <f t="shared" si="1"/>
      </c>
      <c r="O22" s="105">
        <f t="shared" si="2"/>
      </c>
      <c r="P22" s="104"/>
      <c r="Q22" s="106"/>
      <c r="R22" s="80"/>
      <c r="S22" s="107"/>
      <c r="T22" s="55" t="s">
        <v>257</v>
      </c>
    </row>
    <row r="23" spans="1:21" x14ac:dyDescent="0.3">
      <c r="A23" s="79"/>
      <c r="B23" s="80"/>
      <c r="C23" s="79"/>
      <c r="D23" s="103"/>
      <c r="E23" s="103"/>
      <c r="F23" s="79"/>
      <c r="G23" s="104"/>
      <c r="H23" s="104"/>
      <c r="I23" s="104"/>
      <c r="J23" s="104"/>
      <c r="K23" s="104"/>
      <c r="L23" s="104"/>
      <c r="M23" s="87">
        <f t="shared" si="0"/>
      </c>
      <c r="N23" s="87">
        <f t="shared" si="1"/>
      </c>
      <c r="O23" s="105">
        <f t="shared" si="2"/>
      </c>
      <c r="P23" s="104"/>
      <c r="Q23" s="106"/>
      <c r="R23" s="80"/>
      <c r="S23" s="107"/>
    </row>
    <row r="24" spans="1:21" x14ac:dyDescent="0.3">
      <c r="A24" s="79"/>
      <c r="B24" s="80"/>
      <c r="C24" s="79"/>
      <c r="D24" s="103"/>
      <c r="E24" s="103"/>
      <c r="F24" s="79"/>
      <c r="G24" s="104"/>
      <c r="H24" s="104"/>
      <c r="I24" s="104"/>
      <c r="J24" s="104"/>
      <c r="K24" s="104"/>
      <c r="L24" s="104"/>
      <c r="M24" s="87">
        <f t="shared" si="0"/>
      </c>
      <c r="N24" s="87">
        <f t="shared" si="1"/>
      </c>
      <c r="O24" s="105">
        <f t="shared" si="2"/>
      </c>
      <c r="P24" s="104"/>
      <c r="Q24" s="106"/>
      <c r="R24" s="80"/>
      <c r="S24" s="107"/>
    </row>
    <row r="25" spans="1:21" x14ac:dyDescent="0.3">
      <c r="A25" s="79"/>
      <c r="B25" s="80"/>
      <c r="C25" s="79"/>
      <c r="D25" s="103"/>
      <c r="E25" s="103"/>
      <c r="F25" s="79"/>
      <c r="G25" s="104"/>
      <c r="H25" s="104"/>
      <c r="I25" s="104"/>
      <c r="J25" s="104"/>
      <c r="K25" s="104"/>
      <c r="L25" s="104"/>
      <c r="M25" s="87">
        <f t="shared" si="0"/>
      </c>
      <c r="N25" s="87">
        <f t="shared" si="1"/>
      </c>
      <c r="O25" s="105">
        <f t="shared" si="2"/>
      </c>
      <c r="P25" s="104"/>
      <c r="Q25" s="106"/>
      <c r="R25" s="80"/>
      <c r="S25" s="107"/>
    </row>
    <row r="26" spans="1:21" x14ac:dyDescent="0.3">
      <c r="A26" s="79"/>
      <c r="B26" s="80"/>
      <c r="C26" s="79"/>
      <c r="D26" s="103"/>
      <c r="E26" s="103"/>
      <c r="F26" s="79"/>
      <c r="G26" s="104"/>
      <c r="H26" s="104"/>
      <c r="I26" s="104"/>
      <c r="J26" s="104"/>
      <c r="K26" s="104"/>
      <c r="L26" s="104"/>
      <c r="M26" s="87">
        <f t="shared" si="0"/>
      </c>
      <c r="N26" s="87">
        <f t="shared" si="1"/>
      </c>
      <c r="O26" s="105">
        <f t="shared" si="2"/>
      </c>
      <c r="P26" s="104"/>
      <c r="Q26" s="106"/>
      <c r="R26" s="80"/>
      <c r="S26" s="107"/>
    </row>
    <row r="27" spans="1:21" x14ac:dyDescent="0.3">
      <c r="A27" s="79"/>
      <c r="B27" s="80"/>
      <c r="C27" s="79"/>
      <c r="D27" s="103"/>
      <c r="E27" s="103"/>
      <c r="F27" s="79"/>
      <c r="G27" s="104"/>
      <c r="H27" s="104"/>
      <c r="I27" s="104"/>
      <c r="J27" s="104"/>
      <c r="K27" s="104"/>
      <c r="L27" s="104"/>
      <c r="M27" s="87">
        <f t="shared" si="0"/>
      </c>
      <c r="N27" s="87">
        <f t="shared" si="1"/>
      </c>
      <c r="O27" s="105">
        <f t="shared" si="2"/>
      </c>
      <c r="P27" s="104"/>
      <c r="Q27" s="106"/>
      <c r="R27" s="80"/>
      <c r="S27" s="107"/>
    </row>
    <row r="28" spans="1:21" x14ac:dyDescent="0.3">
      <c r="A28" s="79"/>
      <c r="B28" s="80"/>
      <c r="C28" s="79"/>
      <c r="D28" s="103"/>
      <c r="E28" s="103"/>
      <c r="F28" s="79"/>
      <c r="G28" s="104"/>
      <c r="H28" s="104"/>
      <c r="I28" s="104"/>
      <c r="J28" s="104"/>
      <c r="K28" s="104"/>
      <c r="L28" s="104"/>
      <c r="M28" s="87">
        <f t="shared" si="0"/>
      </c>
      <c r="N28" s="87">
        <f t="shared" si="1"/>
      </c>
      <c r="O28" s="105">
        <f t="shared" si="2"/>
      </c>
      <c r="P28" s="104"/>
      <c r="Q28" s="106"/>
      <c r="R28" s="80"/>
      <c r="S28" s="107"/>
    </row>
    <row r="29" spans="1:21" x14ac:dyDescent="0.3">
      <c r="A29" s="79"/>
      <c r="B29" s="80"/>
      <c r="C29" s="79"/>
      <c r="D29" s="103"/>
      <c r="E29" s="103"/>
      <c r="F29" s="79"/>
      <c r="G29" s="104"/>
      <c r="H29" s="104"/>
      <c r="I29" s="104"/>
      <c r="J29" s="104"/>
      <c r="K29" s="104"/>
      <c r="L29" s="104"/>
      <c r="M29" s="87">
        <f t="shared" si="0"/>
      </c>
      <c r="N29" s="87">
        <f t="shared" si="1"/>
      </c>
      <c r="O29" s="105">
        <f t="shared" si="2"/>
      </c>
      <c r="P29" s="104"/>
      <c r="Q29" s="106"/>
      <c r="R29" s="80"/>
      <c r="S29" s="107"/>
    </row>
    <row r="30" spans="1:21" x14ac:dyDescent="0.3">
      <c r="A30" s="79"/>
      <c r="B30" s="80"/>
      <c r="C30" s="79"/>
      <c r="D30" s="103"/>
      <c r="E30" s="103"/>
      <c r="F30" s="79"/>
      <c r="G30" s="104"/>
      <c r="H30" s="104"/>
      <c r="I30" s="104"/>
      <c r="J30" s="104"/>
      <c r="K30" s="104"/>
      <c r="L30" s="104"/>
      <c r="M30" s="87">
        <f t="shared" si="0"/>
      </c>
      <c r="N30" s="87">
        <f t="shared" si="1"/>
      </c>
      <c r="O30" s="105">
        <f t="shared" si="2"/>
      </c>
      <c r="P30" s="104"/>
      <c r="Q30" s="106"/>
      <c r="R30" s="80"/>
      <c r="S30" s="107"/>
    </row>
    <row r="31" spans="1:21" x14ac:dyDescent="0.3">
      <c r="A31" s="79"/>
      <c r="B31" s="80"/>
      <c r="C31" s="79"/>
      <c r="D31" s="103"/>
      <c r="E31" s="103"/>
      <c r="F31" s="79"/>
      <c r="G31" s="104"/>
      <c r="H31" s="104"/>
      <c r="I31" s="104"/>
      <c r="J31" s="104"/>
      <c r="K31" s="104"/>
      <c r="L31" s="104"/>
      <c r="M31" s="87">
        <f t="shared" si="0"/>
      </c>
      <c r="N31" s="87">
        <f t="shared" si="1"/>
      </c>
      <c r="O31" s="105">
        <f t="shared" si="2"/>
      </c>
      <c r="P31" s="104"/>
      <c r="Q31" s="106"/>
      <c r="R31" s="80"/>
      <c r="S31" s="107"/>
    </row>
    <row r="32" spans="1:21" x14ac:dyDescent="0.3">
      <c r="A32" s="79"/>
      <c r="B32" s="80"/>
      <c r="C32" s="79"/>
      <c r="D32" s="103"/>
      <c r="E32" s="103"/>
      <c r="F32" s="79"/>
      <c r="G32" s="104"/>
      <c r="H32" s="104"/>
      <c r="I32" s="104"/>
      <c r="J32" s="104"/>
      <c r="K32" s="104"/>
      <c r="L32" s="104"/>
      <c r="M32" s="87">
        <f t="shared" si="0"/>
      </c>
      <c r="N32" s="87">
        <f t="shared" si="1"/>
      </c>
      <c r="O32" s="105">
        <f t="shared" si="2"/>
      </c>
      <c r="P32" s="104"/>
      <c r="Q32" s="106"/>
      <c r="R32" s="80"/>
      <c r="S32" s="107"/>
    </row>
    <row r="33" spans="1:19" x14ac:dyDescent="0.3">
      <c r="A33" s="79"/>
      <c r="B33" s="80"/>
      <c r="C33" s="79"/>
      <c r="D33" s="103"/>
      <c r="E33" s="103"/>
      <c r="F33" s="79"/>
      <c r="G33" s="104"/>
      <c r="H33" s="104"/>
      <c r="I33" s="104"/>
      <c r="J33" s="104"/>
      <c r="K33" s="104"/>
      <c r="L33" s="104"/>
      <c r="M33" s="87">
        <f t="shared" si="0"/>
      </c>
      <c r="N33" s="87">
        <f t="shared" si="1"/>
      </c>
      <c r="O33" s="105">
        <f t="shared" si="2"/>
      </c>
      <c r="P33" s="104"/>
      <c r="Q33" s="106"/>
      <c r="R33" s="80"/>
      <c r="S33" s="107"/>
    </row>
    <row r="34" spans="1:19" x14ac:dyDescent="0.3">
      <c r="A34" s="79"/>
      <c r="B34" s="80"/>
      <c r="C34" s="79"/>
      <c r="D34" s="103"/>
      <c r="E34" s="103"/>
      <c r="F34" s="79"/>
      <c r="G34" s="104"/>
      <c r="H34" s="104"/>
      <c r="I34" s="104"/>
      <c r="J34" s="104"/>
      <c r="K34" s="104"/>
      <c r="L34" s="104"/>
      <c r="M34" s="87">
        <f t="shared" si="0"/>
      </c>
      <c r="N34" s="87">
        <f t="shared" si="1"/>
      </c>
      <c r="O34" s="105">
        <f t="shared" si="2"/>
      </c>
      <c r="P34" s="104"/>
      <c r="Q34" s="106"/>
      <c r="R34" s="80"/>
      <c r="S34" s="107"/>
    </row>
    <row r="35" spans="1:19" x14ac:dyDescent="0.3">
      <c r="A35" s="79"/>
      <c r="B35" s="80"/>
      <c r="C35" s="79"/>
      <c r="D35" s="103"/>
      <c r="E35" s="103"/>
      <c r="F35" s="79"/>
      <c r="G35" s="104"/>
      <c r="H35" s="104"/>
      <c r="I35" s="104"/>
      <c r="J35" s="104"/>
      <c r="K35" s="104"/>
      <c r="L35" s="104"/>
      <c r="M35" s="87">
        <f t="shared" si="0"/>
      </c>
      <c r="N35" s="87">
        <f t="shared" si="1"/>
      </c>
      <c r="O35" s="105">
        <f t="shared" si="2"/>
      </c>
      <c r="P35" s="104"/>
      <c r="Q35" s="106"/>
      <c r="R35" s="80"/>
      <c r="S35" s="107"/>
    </row>
    <row r="36" spans="1:19" x14ac:dyDescent="0.3">
      <c r="A36" s="79"/>
      <c r="B36" s="80"/>
      <c r="C36" s="79"/>
      <c r="D36" s="103"/>
      <c r="E36" s="103"/>
      <c r="F36" s="79"/>
      <c r="G36" s="104"/>
      <c r="H36" s="104"/>
      <c r="I36" s="104"/>
      <c r="J36" s="104"/>
      <c r="K36" s="104"/>
      <c r="L36" s="104"/>
      <c r="M36" s="87">
        <f t="shared" si="0"/>
      </c>
      <c r="N36" s="87">
        <f t="shared" si="1"/>
      </c>
      <c r="O36" s="105">
        <f t="shared" si="2"/>
      </c>
      <c r="P36" s="104"/>
      <c r="Q36" s="106"/>
      <c r="R36" s="80"/>
      <c r="S36" s="107"/>
    </row>
  </sheetData>
  <sheetProtection sheet="1" formatCells="0" formatColumns="0" formatRows="0" insertColumns="0" insertRows="0" insertHyperlinks="0" deleteColumns="0" deleteRows="0" sort="0" autoFilter="0" pivotTables="0"/>
  <conditionalFormatting sqref="G7:L36">
    <cfRule type="cellIs" dxfId="9" priority="1" operator="equal">
      <formula>"Y"</formula>
    </cfRule>
    <cfRule type="cellIs" dxfId="8" priority="2" operator="equal">
      <formula>"N"</formula>
    </cfRule>
  </conditionalFormatting>
  <conditionalFormatting sqref="N7:N36">
    <cfRule type="cellIs" dxfId="7" priority="3" operator="equal">
      <formula>"Ready"</formula>
    </cfRule>
    <cfRule type="cellIs" dxfId="6" priority="4" operator="equal">
      <formula>"Not ready"</formula>
    </cfRule>
  </conditionalFormatting>
  <conditionalFormatting sqref="Q7:Q36">
    <cfRule type="cellIs" dxfId="5" priority="5" operator="greaterThanOrEqual">
      <formula>3</formula>
    </cfRule>
  </conditionalFormatting>
  <dataValidations count="1">
    <dataValidation type="list" allowBlank="1" sqref="G7:L36 P7:P36" xr:uid="{00000000-0002-0000-0600-000000000000}">
      <formula1>"Y,N"</formula1>
    </dataValidation>
  </dataValidations>
  <printOptions horizontalCentered="1"/>
  <pageMargins left="0.4" right="0.4" top="0.5" bottom="0.5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45309"/>
    <pageSetUpPr fitToPage="1"/>
  </sheetPr>
  <dimension ref="A1:K46"/>
  <sheetViews>
    <sheetView showGridLines="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style="2" customWidth="1"/>
    <col min="2" max="2" width="28" style="2" customWidth="1"/>
    <col min="3" max="3" width="11" style="2" customWidth="1"/>
    <col min="4" max="4" width="42" style="2" customWidth="1"/>
    <col min="5" max="5" width="16" style="2" customWidth="1"/>
    <col min="6" max="8" width="11" style="2" customWidth="1"/>
    <col min="9" max="9" width="9" style="2" customWidth="1"/>
    <col min="10" max="10" width="10" style="2" customWidth="1"/>
    <col min="11" max="11" width="34" style="2" customWidth="1"/>
    <col min="12" max="16384" width="8.88671875" style="2"/>
  </cols>
  <sheetData>
    <row r="1" spans="1:11" ht="28.05" customHeight="1" x14ac:dyDescent="0.4">
      <c r="A1" s="67" t="s">
        <v>258</v>
      </c>
      <c r="K1" s="75" t="s">
        <v>57</v>
      </c>
    </row>
    <row r="2" spans="1:11" x14ac:dyDescent="0.3">
      <c r="A2" s="68" t="s">
        <v>259</v>
      </c>
    </row>
    <row r="3" spans="1:11" x14ac:dyDescent="0.3">
      <c r="A3" s="69" t="s">
        <v>260</v>
      </c>
    </row>
    <row r="4" spans="1:11" x14ac:dyDescent="0.3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</row>
    <row r="6" spans="1:11" ht="31.95" customHeight="1" x14ac:dyDescent="0.3">
      <c r="A6" s="77" t="s">
        <v>117</v>
      </c>
      <c r="B6" s="77" t="s">
        <v>75</v>
      </c>
      <c r="C6" s="78" t="s">
        <v>261</v>
      </c>
      <c r="D6" s="78" t="s">
        <v>262</v>
      </c>
      <c r="E6" s="77" t="s">
        <v>119</v>
      </c>
      <c r="F6" s="77" t="s">
        <v>263</v>
      </c>
      <c r="G6" s="78" t="s">
        <v>264</v>
      </c>
      <c r="H6" s="78" t="s">
        <v>265</v>
      </c>
      <c r="I6" s="78" t="s">
        <v>266</v>
      </c>
      <c r="J6" s="77" t="s">
        <v>76</v>
      </c>
      <c r="K6" s="78" t="s">
        <v>267</v>
      </c>
    </row>
    <row r="7" spans="1:11" x14ac:dyDescent="0.3">
      <c r="A7" s="79"/>
      <c r="B7" s="80"/>
      <c r="C7" s="79"/>
      <c r="D7" s="80"/>
      <c r="E7" s="79"/>
      <c r="F7" s="103"/>
      <c r="G7" s="103"/>
      <c r="H7" s="103"/>
      <c r="I7" s="111">
        <f>IF(OR(B7="",F7=""),"",IF(H7&lt;&gt;"",H7-F7,Setup!$B$10-F7))</f>
      </c>
      <c r="J7" s="87">
        <f>IF(B7="","",IF(H7&lt;&gt;"","Closed",IF(AND(G7&lt;&gt;"",Setup!$B$10&gt;G7),"Overdue","Open")))</f>
      </c>
      <c r="K7" s="80"/>
    </row>
    <row r="8" spans="1:11" x14ac:dyDescent="0.3">
      <c r="A8" s="79"/>
      <c r="B8" s="80"/>
      <c r="C8" s="79"/>
      <c r="D8" s="80"/>
      <c r="E8" s="79"/>
      <c r="F8" s="103"/>
      <c r="G8" s="103"/>
      <c r="H8" s="103"/>
      <c r="I8" s="111">
        <f>IF(OR(B8="",F8=""),"",IF(H8&lt;&gt;"",H8-F8,Setup!$B$10-F8))</f>
      </c>
      <c r="J8" s="87">
        <f>IF(B8="","",IF(H8&lt;&gt;"","Closed",IF(AND(G8&lt;&gt;"",Setup!$B$10&gt;G8),"Overdue","Open")))</f>
      </c>
      <c r="K8" s="80"/>
    </row>
    <row r="9" spans="1:11" x14ac:dyDescent="0.3">
      <c r="A9" s="79"/>
      <c r="B9" s="80"/>
      <c r="C9" s="79"/>
      <c r="D9" s="80"/>
      <c r="E9" s="79"/>
      <c r="F9" s="103"/>
      <c r="G9" s="103"/>
      <c r="H9" s="103"/>
      <c r="I9" s="111">
        <f>IF(OR(B9="",F9=""),"",IF(H9&lt;&gt;"",H9-F9,Setup!$B$10-F9))</f>
      </c>
      <c r="J9" s="87">
        <f>IF(B9="","",IF(H9&lt;&gt;"","Closed",IF(AND(G9&lt;&gt;"",Setup!$B$10&gt;G9),"Overdue","Open")))</f>
      </c>
      <c r="K9" s="80"/>
    </row>
    <row r="10" spans="1:11" x14ac:dyDescent="0.3">
      <c r="A10" s="79"/>
      <c r="B10" s="80"/>
      <c r="C10" s="79"/>
      <c r="D10" s="80"/>
      <c r="E10" s="79"/>
      <c r="F10" s="103"/>
      <c r="G10" s="103"/>
      <c r="H10" s="103"/>
      <c r="I10" s="111">
        <f>IF(OR(B10="",F10=""),"",IF(H10&lt;&gt;"",H10-F10,Setup!$B$10-F10))</f>
      </c>
      <c r="J10" s="87">
        <f>IF(B10="","",IF(H10&lt;&gt;"","Closed",IF(AND(G10&lt;&gt;"",Setup!$B$10&gt;G10),"Overdue","Open")))</f>
      </c>
      <c r="K10" s="80"/>
    </row>
    <row r="11" spans="1:11" x14ac:dyDescent="0.3">
      <c r="A11" s="79"/>
      <c r="B11" s="80"/>
      <c r="C11" s="79"/>
      <c r="D11" s="80"/>
      <c r="E11" s="79"/>
      <c r="F11" s="103"/>
      <c r="G11" s="103"/>
      <c r="H11" s="103"/>
      <c r="I11" s="111">
        <f>IF(OR(B11="",F11=""),"",IF(H11&lt;&gt;"",H11-F11,Setup!$B$10-F11))</f>
      </c>
      <c r="J11" s="87">
        <f>IF(B11="","",IF(H11&lt;&gt;"","Closed",IF(AND(G11&lt;&gt;"",Setup!$B$10&gt;G11),"Overdue","Open")))</f>
      </c>
      <c r="K11" s="80"/>
    </row>
    <row r="12" spans="1:11" ht="26.4" x14ac:dyDescent="0.3">
      <c r="A12" s="79"/>
      <c r="B12" s="80"/>
      <c r="C12" s="79"/>
      <c r="D12" s="80"/>
      <c r="E12" s="79"/>
      <c r="F12" s="103"/>
      <c r="G12" s="103"/>
      <c r="H12" s="103"/>
      <c r="I12" s="111">
        <f>IF(OR(B12="",F12=""),"",IF(H12&lt;&gt;"",H12-F12,Setup!$B$10-F12))</f>
      </c>
      <c r="J12" s="87">
        <f>IF(B12="","",IF(H12&lt;&gt;"","Closed",IF(AND(G12&lt;&gt;"",Setup!$B$10&gt;G12),"Overdue","Open")))</f>
      </c>
      <c r="K12" s="80"/>
    </row>
    <row r="13" spans="1:11" x14ac:dyDescent="0.3">
      <c r="A13" s="79"/>
      <c r="B13" s="80"/>
      <c r="C13" s="79"/>
      <c r="D13" s="80"/>
      <c r="E13" s="79"/>
      <c r="F13" s="103"/>
      <c r="G13" s="103"/>
      <c r="H13" s="103"/>
      <c r="I13" s="111">
        <f>IF(OR(B13="",F13=""),"",IF(H13&lt;&gt;"",H13-F13,Setup!$B$10-F13))</f>
      </c>
      <c r="J13" s="87">
        <f>IF(B13="","",IF(H13&lt;&gt;"","Closed",IF(AND(G13&lt;&gt;"",Setup!$B$10&gt;G13),"Overdue","Open")))</f>
      </c>
      <c r="K13" s="80"/>
    </row>
    <row r="14" spans="1:11" x14ac:dyDescent="0.3">
      <c r="A14" s="79"/>
      <c r="B14" s="80"/>
      <c r="C14" s="79"/>
      <c r="D14" s="80"/>
      <c r="E14" s="79"/>
      <c r="F14" s="103"/>
      <c r="G14" s="103"/>
      <c r="H14" s="103"/>
      <c r="I14" s="111">
        <f>IF(OR(B14="",F14=""),"",IF(H14&lt;&gt;"",H14-F14,Setup!$B$10-F14))</f>
      </c>
      <c r="J14" s="87">
        <f>IF(B14="","",IF(H14&lt;&gt;"","Closed",IF(AND(G14&lt;&gt;"",Setup!$B$10&gt;G14),"Overdue","Open")))</f>
      </c>
      <c r="K14" s="80"/>
    </row>
    <row r="15" spans="1:11" x14ac:dyDescent="0.3">
      <c r="A15" s="79"/>
      <c r="B15" s="80"/>
      <c r="C15" s="79"/>
      <c r="D15" s="80"/>
      <c r="E15" s="79"/>
      <c r="F15" s="103"/>
      <c r="G15" s="103"/>
      <c r="H15" s="103"/>
      <c r="I15" s="111">
        <f>IF(OR(B15="",F15=""),"",IF(H15&lt;&gt;"",H15-F15,Setup!$B$10-F15))</f>
      </c>
      <c r="J15" s="87">
        <f>IF(B15="","",IF(H15&lt;&gt;"","Closed",IF(AND(G15&lt;&gt;"",Setup!$B$10&gt;G15),"Overdue","Open")))</f>
      </c>
      <c r="K15" s="80"/>
    </row>
    <row r="16" spans="1:11" x14ac:dyDescent="0.3">
      <c r="A16" s="79"/>
      <c r="B16" s="80"/>
      <c r="C16" s="79"/>
      <c r="D16" s="80"/>
      <c r="E16" s="79"/>
      <c r="F16" s="103"/>
      <c r="G16" s="103"/>
      <c r="H16" s="103"/>
      <c r="I16" s="111">
        <f>IF(OR(B16="",F16=""),"",IF(H16&lt;&gt;"",H16-F16,Setup!$B$10-F16))</f>
      </c>
      <c r="J16" s="87">
        <f>IF(B16="","",IF(H16&lt;&gt;"","Closed",IF(AND(G16&lt;&gt;"",Setup!$B$10&gt;G16),"Overdue","Open")))</f>
      </c>
      <c r="K16" s="80"/>
    </row>
    <row r="17" spans="1:11" x14ac:dyDescent="0.3">
      <c r="A17" s="79"/>
      <c r="B17" s="80"/>
      <c r="C17" s="79"/>
      <c r="D17" s="80"/>
      <c r="E17" s="79"/>
      <c r="F17" s="103"/>
      <c r="G17" s="103"/>
      <c r="H17" s="103"/>
      <c r="I17" s="111">
        <f>IF(OR(B17="",F17=""),"",IF(H17&lt;&gt;"",H17-F17,Setup!$B$10-F17))</f>
      </c>
      <c r="J17" s="87">
        <f>IF(B17="","",IF(H17&lt;&gt;"","Closed",IF(AND(G17&lt;&gt;"",Setup!$B$10&gt;G17),"Overdue","Open")))</f>
      </c>
      <c r="K17" s="80"/>
    </row>
    <row r="18" spans="1:11" x14ac:dyDescent="0.3">
      <c r="A18" s="79"/>
      <c r="B18" s="80"/>
      <c r="C18" s="79"/>
      <c r="D18" s="80"/>
      <c r="E18" s="79"/>
      <c r="F18" s="103"/>
      <c r="G18" s="103"/>
      <c r="H18" s="103"/>
      <c r="I18" s="111">
        <f>IF(OR(B18="",F18=""),"",IF(H18&lt;&gt;"",H18-F18,Setup!$B$10-F18))</f>
      </c>
      <c r="J18" s="87">
        <f>IF(B18="","",IF(H18&lt;&gt;"","Closed",IF(AND(G18&lt;&gt;"",Setup!$B$10&gt;G18),"Overdue","Open")))</f>
      </c>
      <c r="K18" s="80"/>
    </row>
    <row r="19" spans="1:11" x14ac:dyDescent="0.3">
      <c r="A19" s="79"/>
      <c r="B19" s="80"/>
      <c r="C19" s="79"/>
      <c r="D19" s="80"/>
      <c r="E19" s="79"/>
      <c r="F19" s="103"/>
      <c r="G19" s="103"/>
      <c r="H19" s="103"/>
      <c r="I19" s="111">
        <f>IF(OR(B19="",F19=""),"",IF(H19&lt;&gt;"",H19-F19,Setup!$B$10-F19))</f>
      </c>
      <c r="J19" s="87">
        <f>IF(B19="","",IF(H19&lt;&gt;"","Closed",IF(AND(G19&lt;&gt;"",Setup!$B$10&gt;G19),"Overdue","Open")))</f>
      </c>
      <c r="K19" s="80"/>
    </row>
    <row r="20" spans="1:11" x14ac:dyDescent="0.3">
      <c r="A20" s="79"/>
      <c r="B20" s="80"/>
      <c r="C20" s="79"/>
      <c r="D20" s="80"/>
      <c r="E20" s="79"/>
      <c r="F20" s="103"/>
      <c r="G20" s="103"/>
      <c r="H20" s="103"/>
      <c r="I20" s="111">
        <f>IF(OR(B20="",F20=""),"",IF(H20&lt;&gt;"",H20-F20,Setup!$B$10-F20))</f>
      </c>
      <c r="J20" s="87">
        <f>IF(B20="","",IF(H20&lt;&gt;"","Closed",IF(AND(G20&lt;&gt;"",Setup!$B$10&gt;G20),"Overdue","Open")))</f>
      </c>
      <c r="K20" s="80"/>
    </row>
    <row r="21" spans="1:11" x14ac:dyDescent="0.3">
      <c r="A21" s="79"/>
      <c r="B21" s="80"/>
      <c r="C21" s="79"/>
      <c r="D21" s="80"/>
      <c r="E21" s="79"/>
      <c r="F21" s="103"/>
      <c r="G21" s="103"/>
      <c r="H21" s="103"/>
      <c r="I21" s="111">
        <f>IF(OR(B21="",F21=""),"",IF(H21&lt;&gt;"",H21-F21,Setup!$B$10-F21))</f>
      </c>
      <c r="J21" s="87">
        <f>IF(B21="","",IF(H21&lt;&gt;"","Closed",IF(AND(G21&lt;&gt;"",Setup!$B$10&gt;G21),"Overdue","Open")))</f>
      </c>
      <c r="K21" s="80"/>
    </row>
    <row r="22" spans="1:11" x14ac:dyDescent="0.3">
      <c r="A22" s="79"/>
      <c r="B22" s="80"/>
      <c r="C22" s="79"/>
      <c r="D22" s="80"/>
      <c r="E22" s="79"/>
      <c r="F22" s="103"/>
      <c r="G22" s="103"/>
      <c r="H22" s="103"/>
      <c r="I22" s="111">
        <f>IF(OR(B22="",F22=""),"",IF(H22&lt;&gt;"",H22-F22,Setup!$B$10-F22))</f>
      </c>
      <c r="J22" s="87">
        <f>IF(B22="","",IF(H22&lt;&gt;"","Closed",IF(AND(G22&lt;&gt;"",Setup!$B$10&gt;G22),"Overdue","Open")))</f>
      </c>
      <c r="K22" s="80"/>
    </row>
    <row r="23" spans="1:11" x14ac:dyDescent="0.3">
      <c r="A23" s="79"/>
      <c r="B23" s="80"/>
      <c r="C23" s="79"/>
      <c r="D23" s="80"/>
      <c r="E23" s="79"/>
      <c r="F23" s="103"/>
      <c r="G23" s="103"/>
      <c r="H23" s="103"/>
      <c r="I23" s="111">
        <f>IF(OR(B23="",F23=""),"",IF(H23&lt;&gt;"",H23-F23,Setup!$B$10-F23))</f>
      </c>
      <c r="J23" s="87">
        <f>IF(B23="","",IF(H23&lt;&gt;"","Closed",IF(AND(G23&lt;&gt;"",Setup!$B$10&gt;G23),"Overdue","Open")))</f>
      </c>
      <c r="K23" s="80"/>
    </row>
    <row r="24" spans="1:11" x14ac:dyDescent="0.3">
      <c r="A24" s="79"/>
      <c r="B24" s="80"/>
      <c r="C24" s="79"/>
      <c r="D24" s="80"/>
      <c r="E24" s="79"/>
      <c r="F24" s="103"/>
      <c r="G24" s="103"/>
      <c r="H24" s="103"/>
      <c r="I24" s="111">
        <f>IF(OR(B24="",F24=""),"",IF(H24&lt;&gt;"",H24-F24,Setup!$B$10-F24))</f>
      </c>
      <c r="J24" s="87">
        <f>IF(B24="","",IF(H24&lt;&gt;"","Closed",IF(AND(G24&lt;&gt;"",Setup!$B$10&gt;G24),"Overdue","Open")))</f>
      </c>
      <c r="K24" s="80"/>
    </row>
    <row r="25" spans="1:11" x14ac:dyDescent="0.3">
      <c r="A25" s="79"/>
      <c r="B25" s="80"/>
      <c r="C25" s="79"/>
      <c r="D25" s="80"/>
      <c r="E25" s="79"/>
      <c r="F25" s="103"/>
      <c r="G25" s="103"/>
      <c r="H25" s="103"/>
      <c r="I25" s="111">
        <f>IF(OR(B25="",F25=""),"",IF(H25&lt;&gt;"",H25-F25,Setup!$B$10-F25))</f>
      </c>
      <c r="J25" s="87">
        <f>IF(B25="","",IF(H25&lt;&gt;"","Closed",IF(AND(G25&lt;&gt;"",Setup!$B$10&gt;G25),"Overdue","Open")))</f>
      </c>
      <c r="K25" s="80"/>
    </row>
    <row r="26" spans="1:11" x14ac:dyDescent="0.3">
      <c r="A26" s="79"/>
      <c r="B26" s="80"/>
      <c r="C26" s="79"/>
      <c r="D26" s="80"/>
      <c r="E26" s="79"/>
      <c r="F26" s="103"/>
      <c r="G26" s="103"/>
      <c r="H26" s="103"/>
      <c r="I26" s="111">
        <f>IF(OR(B26="",F26=""),"",IF(H26&lt;&gt;"",H26-F26,Setup!$B$10-F26))</f>
      </c>
      <c r="J26" s="87">
        <f>IF(B26="","",IF(H26&lt;&gt;"","Closed",IF(AND(G26&lt;&gt;"",Setup!$B$10&gt;G26),"Overdue","Open")))</f>
      </c>
      <c r="K26" s="80"/>
    </row>
    <row r="27" spans="1:11" x14ac:dyDescent="0.3">
      <c r="A27" s="79"/>
      <c r="B27" s="80"/>
      <c r="C27" s="79"/>
      <c r="D27" s="80"/>
      <c r="E27" s="79"/>
      <c r="F27" s="103"/>
      <c r="G27" s="103"/>
      <c r="H27" s="103"/>
      <c r="I27" s="111">
        <f>IF(OR(B27="",F27=""),"",IF(H27&lt;&gt;"",H27-F27,Setup!$B$10-F27))</f>
      </c>
      <c r="J27" s="87">
        <f>IF(B27="","",IF(H27&lt;&gt;"","Closed",IF(AND(G27&lt;&gt;"",Setup!$B$10&gt;G27),"Overdue","Open")))</f>
      </c>
      <c r="K27" s="80"/>
    </row>
    <row r="28" spans="1:11" x14ac:dyDescent="0.3">
      <c r="A28" s="79"/>
      <c r="B28" s="80"/>
      <c r="C28" s="79"/>
      <c r="D28" s="80"/>
      <c r="E28" s="79"/>
      <c r="F28" s="103"/>
      <c r="G28" s="103"/>
      <c r="H28" s="103"/>
      <c r="I28" s="111">
        <f>IF(OR(B28="",F28=""),"",IF(H28&lt;&gt;"",H28-F28,Setup!$B$10-F28))</f>
      </c>
      <c r="J28" s="87">
        <f>IF(B28="","",IF(H28&lt;&gt;"","Closed",IF(AND(G28&lt;&gt;"",Setup!$B$10&gt;G28),"Overdue","Open")))</f>
      </c>
      <c r="K28" s="80"/>
    </row>
    <row r="29" spans="1:11" x14ac:dyDescent="0.3">
      <c r="A29" s="79"/>
      <c r="B29" s="80"/>
      <c r="C29" s="79"/>
      <c r="D29" s="80"/>
      <c r="E29" s="79"/>
      <c r="F29" s="103"/>
      <c r="G29" s="103"/>
      <c r="H29" s="103"/>
      <c r="I29" s="111">
        <f>IF(OR(B29="",F29=""),"",IF(H29&lt;&gt;"",H29-F29,Setup!$B$10-F29))</f>
      </c>
      <c r="J29" s="87">
        <f>IF(B29="","",IF(H29&lt;&gt;"","Closed",IF(AND(G29&lt;&gt;"",Setup!$B$10&gt;G29),"Overdue","Open")))</f>
      </c>
      <c r="K29" s="80"/>
    </row>
    <row r="30" spans="1:11" x14ac:dyDescent="0.3">
      <c r="A30" s="79"/>
      <c r="B30" s="80"/>
      <c r="C30" s="79"/>
      <c r="D30" s="80"/>
      <c r="E30" s="79"/>
      <c r="F30" s="103"/>
      <c r="G30" s="103"/>
      <c r="H30" s="103"/>
      <c r="I30" s="111">
        <f>IF(OR(B30="",F30=""),"",IF(H30&lt;&gt;"",H30-F30,Setup!$B$10-F30))</f>
      </c>
      <c r="J30" s="87">
        <f>IF(B30="","",IF(H30&lt;&gt;"","Closed",IF(AND(G30&lt;&gt;"",Setup!$B$10&gt;G30),"Overdue","Open")))</f>
      </c>
      <c r="K30" s="80"/>
    </row>
    <row r="31" spans="1:11" x14ac:dyDescent="0.3">
      <c r="A31" s="79"/>
      <c r="B31" s="80"/>
      <c r="C31" s="79"/>
      <c r="D31" s="80"/>
      <c r="E31" s="79"/>
      <c r="F31" s="103"/>
      <c r="G31" s="103"/>
      <c r="H31" s="103"/>
      <c r="I31" s="111">
        <f>IF(OR(B31="",F31=""),"",IF(H31&lt;&gt;"",H31-F31,Setup!$B$10-F31))</f>
      </c>
      <c r="J31" s="87">
        <f>IF(B31="","",IF(H31&lt;&gt;"","Closed",IF(AND(G31&lt;&gt;"",Setup!$B$10&gt;G31),"Overdue","Open")))</f>
      </c>
      <c r="K31" s="80"/>
    </row>
    <row r="32" spans="1:11" x14ac:dyDescent="0.3">
      <c r="A32" s="79"/>
      <c r="B32" s="80"/>
      <c r="C32" s="79"/>
      <c r="D32" s="80"/>
      <c r="E32" s="79"/>
      <c r="F32" s="103"/>
      <c r="G32" s="103"/>
      <c r="H32" s="103"/>
      <c r="I32" s="111">
        <f>IF(OR(B32="",F32=""),"",IF(H32&lt;&gt;"",H32-F32,Setup!$B$10-F32))</f>
      </c>
      <c r="J32" s="87">
        <f>IF(B32="","",IF(H32&lt;&gt;"","Closed",IF(AND(G32&lt;&gt;"",Setup!$B$10&gt;G32),"Overdue","Open")))</f>
      </c>
      <c r="K32" s="80"/>
    </row>
    <row r="33" spans="1:11" x14ac:dyDescent="0.3">
      <c r="A33" s="79"/>
      <c r="B33" s="80"/>
      <c r="C33" s="79"/>
      <c r="D33" s="80"/>
      <c r="E33" s="79"/>
      <c r="F33" s="103"/>
      <c r="G33" s="103"/>
      <c r="H33" s="103"/>
      <c r="I33" s="111">
        <f>IF(OR(B33="",F33=""),"",IF(H33&lt;&gt;"",H33-F33,Setup!$B$10-F33))</f>
      </c>
      <c r="J33" s="87">
        <f>IF(B33="","",IF(H33&lt;&gt;"","Closed",IF(AND(G33&lt;&gt;"",Setup!$B$10&gt;G33),"Overdue","Open")))</f>
      </c>
      <c r="K33" s="80"/>
    </row>
    <row r="34" spans="1:11" x14ac:dyDescent="0.3">
      <c r="A34" s="79"/>
      <c r="B34" s="80"/>
      <c r="C34" s="79"/>
      <c r="D34" s="80"/>
      <c r="E34" s="79"/>
      <c r="F34" s="103"/>
      <c r="G34" s="103"/>
      <c r="H34" s="103"/>
      <c r="I34" s="111">
        <f>IF(OR(B34="",F34=""),"",IF(H34&lt;&gt;"",H34-F34,Setup!$B$10-F34))</f>
      </c>
      <c r="J34" s="87">
        <f>IF(B34="","",IF(H34&lt;&gt;"","Closed",IF(AND(G34&lt;&gt;"",Setup!$B$10&gt;G34),"Overdue","Open")))</f>
      </c>
      <c r="K34" s="80"/>
    </row>
    <row r="35" spans="1:11" x14ac:dyDescent="0.3">
      <c r="A35" s="79"/>
      <c r="B35" s="80"/>
      <c r="C35" s="79"/>
      <c r="D35" s="80"/>
      <c r="E35" s="79"/>
      <c r="F35" s="103"/>
      <c r="G35" s="103"/>
      <c r="H35" s="103"/>
      <c r="I35" s="111">
        <f>IF(OR(B35="",F35=""),"",IF(H35&lt;&gt;"",H35-F35,Setup!$B$10-F35))</f>
      </c>
      <c r="J35" s="87">
        <f>IF(B35="","",IF(H35&lt;&gt;"","Closed",IF(AND(G35&lt;&gt;"",Setup!$B$10&gt;G35),"Overdue","Open")))</f>
      </c>
      <c r="K35" s="80"/>
    </row>
    <row r="36" spans="1:11" x14ac:dyDescent="0.3">
      <c r="A36" s="79"/>
      <c r="B36" s="80"/>
      <c r="C36" s="79"/>
      <c r="D36" s="80"/>
      <c r="E36" s="79"/>
      <c r="F36" s="103"/>
      <c r="G36" s="103"/>
      <c r="H36" s="103"/>
      <c r="I36" s="111">
        <f>IF(OR(B36="",F36=""),"",IF(H36&lt;&gt;"",H36-F36,Setup!$B$10-F36))</f>
      </c>
      <c r="J36" s="87">
        <f>IF(B36="","",IF(H36&lt;&gt;"","Closed",IF(AND(G36&lt;&gt;"",Setup!$B$10&gt;G36),"Overdue","Open")))</f>
      </c>
      <c r="K36" s="80"/>
    </row>
    <row r="37" spans="1:11" x14ac:dyDescent="0.3">
      <c r="A37" s="79"/>
      <c r="B37" s="80"/>
      <c r="C37" s="79"/>
      <c r="D37" s="80"/>
      <c r="E37" s="79"/>
      <c r="F37" s="103"/>
      <c r="G37" s="103"/>
      <c r="H37" s="103"/>
      <c r="I37" s="111">
        <f>IF(OR(B37="",F37=""),"",IF(H37&lt;&gt;"",H37-F37,Setup!$B$10-F37))</f>
      </c>
      <c r="J37" s="87">
        <f>IF(B37="","",IF(H37&lt;&gt;"","Closed",IF(AND(G37&lt;&gt;"",Setup!$B$10&gt;G37),"Overdue","Open")))</f>
      </c>
      <c r="K37" s="80"/>
    </row>
    <row r="38" spans="1:11" x14ac:dyDescent="0.3">
      <c r="A38" s="79"/>
      <c r="B38" s="80"/>
      <c r="C38" s="79"/>
      <c r="D38" s="80"/>
      <c r="E38" s="79"/>
      <c r="F38" s="103"/>
      <c r="G38" s="103"/>
      <c r="H38" s="103"/>
      <c r="I38" s="111">
        <f>IF(OR(B38="",F38=""),"",IF(H38&lt;&gt;"",H38-F38,Setup!$B$10-F38))</f>
      </c>
      <c r="J38" s="87">
        <f>IF(B38="","",IF(H38&lt;&gt;"","Closed",IF(AND(G38&lt;&gt;"",Setup!$B$10&gt;G38),"Overdue","Open")))</f>
      </c>
      <c r="K38" s="80"/>
    </row>
    <row r="39" spans="1:11" x14ac:dyDescent="0.3">
      <c r="A39" s="79"/>
      <c r="B39" s="80"/>
      <c r="C39" s="79"/>
      <c r="D39" s="80"/>
      <c r="E39" s="79"/>
      <c r="F39" s="103"/>
      <c r="G39" s="103"/>
      <c r="H39" s="103"/>
      <c r="I39" s="111">
        <f>IF(OR(B39="",F39=""),"",IF(H39&lt;&gt;"",H39-F39,Setup!$B$10-F39))</f>
      </c>
      <c r="J39" s="87">
        <f>IF(B39="","",IF(H39&lt;&gt;"","Closed",IF(AND(G39&lt;&gt;"",Setup!$B$10&gt;G39),"Overdue","Open")))</f>
      </c>
      <c r="K39" s="80"/>
    </row>
    <row r="40" spans="1:11" x14ac:dyDescent="0.3">
      <c r="A40" s="79"/>
      <c r="B40" s="80"/>
      <c r="C40" s="79"/>
      <c r="D40" s="80"/>
      <c r="E40" s="79"/>
      <c r="F40" s="103"/>
      <c r="G40" s="103"/>
      <c r="H40" s="103"/>
      <c r="I40" s="111">
        <f>IF(OR(B40="",F40=""),"",IF(H40&lt;&gt;"",H40-F40,Setup!$B$10-F40))</f>
      </c>
      <c r="J40" s="87">
        <f>IF(B40="","",IF(H40&lt;&gt;"","Closed",IF(AND(G40&lt;&gt;"",Setup!$B$10&gt;G40),"Overdue","Open")))</f>
      </c>
      <c r="K40" s="80"/>
    </row>
    <row r="41" spans="1:11" x14ac:dyDescent="0.3">
      <c r="A41" s="79"/>
      <c r="B41" s="80"/>
      <c r="C41" s="79"/>
      <c r="D41" s="80"/>
      <c r="E41" s="79"/>
      <c r="F41" s="103"/>
      <c r="G41" s="103"/>
      <c r="H41" s="103"/>
      <c r="I41" s="111">
        <f>IF(OR(B41="",F41=""),"",IF(H41&lt;&gt;"",H41-F41,Setup!$B$10-F41))</f>
      </c>
      <c r="J41" s="87">
        <f>IF(B41="","",IF(H41&lt;&gt;"","Closed",IF(AND(G41&lt;&gt;"",Setup!$B$10&gt;G41),"Overdue","Open")))</f>
      </c>
      <c r="K41" s="80"/>
    </row>
    <row r="42" spans="1:11" x14ac:dyDescent="0.3">
      <c r="A42" s="79"/>
      <c r="B42" s="80"/>
      <c r="C42" s="79"/>
      <c r="D42" s="80"/>
      <c r="E42" s="79"/>
      <c r="F42" s="103"/>
      <c r="G42" s="103"/>
      <c r="H42" s="103"/>
      <c r="I42" s="111">
        <f>IF(OR(B42="",F42=""),"",IF(H42&lt;&gt;"",H42-F42,Setup!$B$10-F42))</f>
      </c>
      <c r="J42" s="87">
        <f>IF(B42="","",IF(H42&lt;&gt;"","Closed",IF(AND(G42&lt;&gt;"",Setup!$B$10&gt;G42),"Overdue","Open")))</f>
      </c>
      <c r="K42" s="80"/>
    </row>
    <row r="43" spans="1:11" x14ac:dyDescent="0.3">
      <c r="A43" s="79"/>
      <c r="B43" s="80"/>
      <c r="C43" s="79"/>
      <c r="D43" s="80"/>
      <c r="E43" s="79"/>
      <c r="F43" s="103"/>
      <c r="G43" s="103"/>
      <c r="H43" s="103"/>
      <c r="I43" s="111">
        <f>IF(OR(B43="",F43=""),"",IF(H43&lt;&gt;"",H43-F43,Setup!$B$10-F43))</f>
      </c>
      <c r="J43" s="87">
        <f>IF(B43="","",IF(H43&lt;&gt;"","Closed",IF(AND(G43&lt;&gt;"",Setup!$B$10&gt;G43),"Overdue","Open")))</f>
      </c>
      <c r="K43" s="80"/>
    </row>
    <row r="44" spans="1:11" x14ac:dyDescent="0.3">
      <c r="A44" s="79"/>
      <c r="B44" s="80"/>
      <c r="C44" s="79"/>
      <c r="D44" s="80"/>
      <c r="E44" s="79"/>
      <c r="F44" s="103"/>
      <c r="G44" s="103"/>
      <c r="H44" s="103"/>
      <c r="I44" s="111">
        <f>IF(OR(B44="",F44=""),"",IF(H44&lt;&gt;"",H44-F44,Setup!$B$10-F44))</f>
      </c>
      <c r="J44" s="87">
        <f>IF(B44="","",IF(H44&lt;&gt;"","Closed",IF(AND(G44&lt;&gt;"",Setup!$B$10&gt;G44),"Overdue","Open")))</f>
      </c>
      <c r="K44" s="80"/>
    </row>
    <row r="45" spans="1:11" x14ac:dyDescent="0.3">
      <c r="A45" s="79"/>
      <c r="B45" s="80"/>
      <c r="C45" s="79"/>
      <c r="D45" s="80"/>
      <c r="E45" s="79"/>
      <c r="F45" s="103"/>
      <c r="G45" s="103"/>
      <c r="H45" s="103"/>
      <c r="I45" s="111">
        <f>IF(OR(B45="",F45=""),"",IF(H45&lt;&gt;"",H45-F45,Setup!$B$10-F45))</f>
      </c>
      <c r="J45" s="87">
        <f>IF(B45="","",IF(H45&lt;&gt;"","Closed",IF(AND(G45&lt;&gt;"",Setup!$B$10&gt;G45),"Overdue","Open")))</f>
      </c>
      <c r="K45" s="80"/>
    </row>
    <row r="46" spans="1:11" x14ac:dyDescent="0.3">
      <c r="A46" s="79"/>
      <c r="B46" s="80"/>
      <c r="C46" s="79"/>
      <c r="D46" s="80"/>
      <c r="E46" s="79"/>
      <c r="F46" s="103"/>
      <c r="G46" s="103"/>
      <c r="H46" s="103"/>
      <c r="I46" s="111">
        <f>IF(OR(B46="",F46=""),"",IF(H46&lt;&gt;"",H46-F46,Setup!$B$10-F46))</f>
      </c>
      <c r="J46" s="87">
        <f>IF(B46="","",IF(H46&lt;&gt;"","Closed",IF(AND(G46&lt;&gt;"",Setup!$B$10&gt;G46),"Overdue","Open")))</f>
      </c>
      <c r="K46" s="80"/>
    </row>
  </sheetData>
  <sheetProtection sheet="1" formatCells="0" formatColumns="0" formatRows="0" insertColumns="0" insertRows="0" insertHyperlinks="0" deleteColumns="0" deleteRows="0" sort="0" autoFilter="0" pivotTables="0"/>
  <conditionalFormatting sqref="I7:I46">
    <cfRule type="dataBar" priority="4">
      <dataBar>
        <cfvo type="num" val="0"/>
        <cfvo type="num" val="30"/>
        <color rgb="FFF59E0B"/>
      </dataBar>
    </cfRule>
  </conditionalFormatting>
  <conditionalFormatting sqref="J7:J46">
    <cfRule type="cellIs" dxfId="4" priority="1" operator="equal">
      <formula>"Overdue"</formula>
    </cfRule>
    <cfRule type="cellIs" dxfId="3" priority="2" operator="equal">
      <formula>"Open"</formula>
    </cfRule>
    <cfRule type="cellIs" dxfId="2" priority="3" operator="equal">
      <formula>"Closed"</formula>
    </cfRule>
  </conditionalFormatting>
  <dataValidations count="1">
    <dataValidation type="list" allowBlank="1" sqref="C7:C46" xr:uid="{00000000-0002-0000-0700-000000000000}">
      <formula1>"Drawing,Material,Plant,Labour,Permit,Access"</formula1>
    </dataValidation>
  </dataValidations>
  <printOptions horizontalCentered="1"/>
  <pageMargins left="0.4" right="0.4" top="0.5" bottom="0.5" header="0.5" footer="0.5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1000000}">
          <x14:formula1>
            <xm:f>Setup!$B$15:$B$34</xm:f>
          </x14:formula1>
          <xm:sqref>E7:E46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C3AED"/>
    <pageSetUpPr fitToPage="1"/>
  </sheetPr>
  <dimension ref="A1:K46"/>
  <sheetViews>
    <sheetView showGridLines="0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style="2" customWidth="1"/>
    <col min="2" max="2" width="23.5546875" style="2" customWidth="1"/>
    <col min="3" max="3" width="40" style="2" customWidth="1"/>
    <col min="4" max="4" width="16" style="2" customWidth="1"/>
    <col min="5" max="5" width="10" style="2" customWidth="1"/>
    <col min="6" max="6" width="34" style="2" customWidth="1"/>
    <col min="7" max="7" width="9" style="2" customWidth="1"/>
    <col min="8" max="8" width="10" style="2" customWidth="1"/>
    <col min="9" max="9" width="14" style="2" customWidth="1"/>
    <col min="10" max="10" width="10" style="2" customWidth="1"/>
    <col min="11" max="11" width="32" style="2" customWidth="1"/>
    <col min="12" max="16384" width="8.88671875" style="2"/>
  </cols>
  <sheetData>
    <row r="1" spans="1:11" ht="28.05" customHeight="1" x14ac:dyDescent="0.4">
      <c r="A1" s="67" t="s">
        <v>46</v>
      </c>
      <c r="K1" s="75" t="s">
        <v>57</v>
      </c>
    </row>
    <row r="2" spans="1:11" x14ac:dyDescent="0.3">
      <c r="A2" s="68" t="s">
        <v>289</v>
      </c>
    </row>
    <row r="3" spans="1:11" x14ac:dyDescent="0.3">
      <c r="A3" s="69" t="s">
        <v>290</v>
      </c>
    </row>
    <row r="4" spans="1:11" x14ac:dyDescent="0.3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</row>
    <row r="6" spans="1:11" ht="31.95" customHeight="1" x14ac:dyDescent="0.3">
      <c r="A6" s="77" t="s">
        <v>291</v>
      </c>
      <c r="B6" s="78" t="s">
        <v>292</v>
      </c>
      <c r="C6" s="77" t="s">
        <v>293</v>
      </c>
      <c r="D6" s="77" t="s">
        <v>119</v>
      </c>
      <c r="E6" s="77" t="s">
        <v>294</v>
      </c>
      <c r="F6" s="78" t="s">
        <v>295</v>
      </c>
      <c r="G6" s="77" t="s">
        <v>76</v>
      </c>
      <c r="H6" s="78" t="s">
        <v>296</v>
      </c>
      <c r="I6" s="78" t="s">
        <v>297</v>
      </c>
      <c r="J6" s="78" t="s">
        <v>265</v>
      </c>
      <c r="K6" s="78" t="s">
        <v>267</v>
      </c>
    </row>
    <row r="7" spans="1:11" ht="26.4" x14ac:dyDescent="0.3">
      <c r="A7" s="113">
        <v>1</v>
      </c>
      <c r="B7" s="79"/>
      <c r="C7" s="80"/>
      <c r="D7" s="79"/>
      <c r="E7" s="103"/>
      <c r="F7" s="80"/>
      <c r="G7" s="104"/>
      <c r="H7" s="111">
        <f>IF(OR(C7="",E7="",G7="Closed"),"",IF(Setup!$B$10&gt;E7,Setup!$B$10-E7,""))</f>
      </c>
      <c r="I7" s="79"/>
      <c r="J7" s="103"/>
      <c r="K7" s="80"/>
    </row>
    <row r="8" spans="1:11" ht="26.4" x14ac:dyDescent="0.3">
      <c r="A8" s="113">
        <v>2</v>
      </c>
      <c r="B8" s="79"/>
      <c r="C8" s="80"/>
      <c r="D8" s="79"/>
      <c r="E8" s="103"/>
      <c r="F8" s="80"/>
      <c r="G8" s="104"/>
      <c r="H8" s="111">
        <f>IF(OR(C8="",E8="",G8="Closed"),"",IF(Setup!$B$10&gt;E8,Setup!$B$10-E8,""))</f>
      </c>
      <c r="I8" s="79"/>
      <c r="J8" s="103"/>
      <c r="K8" s="80"/>
    </row>
    <row r="9" spans="1:11" x14ac:dyDescent="0.3">
      <c r="A9" s="113">
        <v>3</v>
      </c>
      <c r="B9" s="79"/>
      <c r="C9" s="80"/>
      <c r="D9" s="79"/>
      <c r="E9" s="103"/>
      <c r="F9" s="80"/>
      <c r="G9" s="104"/>
      <c r="H9" s="111">
        <f>IF(OR(C9="",E9="",G9="Closed"),"",IF(Setup!$B$10&gt;E9,Setup!$B$10-E9,""))</f>
      </c>
      <c r="I9" s="79"/>
      <c r="J9" s="103"/>
      <c r="K9" s="80"/>
    </row>
    <row r="10" spans="1:11" x14ac:dyDescent="0.3">
      <c r="A10" s="113">
        <v>4</v>
      </c>
      <c r="B10" s="79"/>
      <c r="C10" s="80"/>
      <c r="D10" s="79"/>
      <c r="E10" s="103"/>
      <c r="F10" s="80"/>
      <c r="G10" s="104"/>
      <c r="H10" s="111">
        <f>IF(OR(C10="",E10="",G10="Closed"),"",IF(Setup!$B$10&gt;E10,Setup!$B$10-E10,""))</f>
      </c>
      <c r="I10" s="79"/>
      <c r="J10" s="103"/>
      <c r="K10" s="80"/>
    </row>
    <row r="11" spans="1:11" x14ac:dyDescent="0.3">
      <c r="A11" s="113">
        <v>5</v>
      </c>
      <c r="B11" s="79"/>
      <c r="C11" s="80"/>
      <c r="D11" s="79"/>
      <c r="E11" s="103"/>
      <c r="F11" s="80"/>
      <c r="G11" s="104"/>
      <c r="H11" s="111">
        <f>IF(OR(C11="",E11="",G11="Closed"),"",IF(Setup!$B$10&gt;E11,Setup!$B$10-E11,""))</f>
      </c>
      <c r="I11" s="79"/>
      <c r="J11" s="103"/>
      <c r="K11" s="80"/>
    </row>
    <row r="12" spans="1:11" ht="26.4" x14ac:dyDescent="0.3">
      <c r="A12" s="113">
        <v>6</v>
      </c>
      <c r="B12" s="79"/>
      <c r="C12" s="80"/>
      <c r="D12" s="79"/>
      <c r="E12" s="103"/>
      <c r="F12" s="80"/>
      <c r="G12" s="104"/>
      <c r="H12" s="111">
        <f>IF(OR(C12="",E12="",G12="Closed"),"",IF(Setup!$B$10&gt;E12,Setup!$B$10-E12,""))</f>
      </c>
      <c r="I12" s="79"/>
      <c r="J12" s="103"/>
      <c r="K12" s="80"/>
    </row>
    <row r="13" spans="1:11" x14ac:dyDescent="0.3">
      <c r="A13" s="113">
        <v>7</v>
      </c>
      <c r="B13" s="79"/>
      <c r="C13" s="80"/>
      <c r="D13" s="79"/>
      <c r="E13" s="103"/>
      <c r="F13" s="80"/>
      <c r="G13" s="104"/>
      <c r="H13" s="111">
        <f>IF(OR(C13="",E13="",G13="Closed"),"",IF(Setup!$B$10&gt;E13,Setup!$B$10-E13,""))</f>
      </c>
      <c r="I13" s="79"/>
      <c r="J13" s="103"/>
      <c r="K13" s="80"/>
    </row>
    <row r="14" spans="1:11" ht="26.4" x14ac:dyDescent="0.3">
      <c r="A14" s="113">
        <v>8</v>
      </c>
      <c r="B14" s="79"/>
      <c r="C14" s="80"/>
      <c r="D14" s="79"/>
      <c r="E14" s="103"/>
      <c r="F14" s="80"/>
      <c r="G14" s="104"/>
      <c r="H14" s="111">
        <f>IF(OR(C14="",E14="",G14="Closed"),"",IF(Setup!$B$10&gt;E14,Setup!$B$10-E14,""))</f>
      </c>
      <c r="I14" s="79"/>
      <c r="J14" s="103"/>
      <c r="K14" s="80"/>
    </row>
    <row r="15" spans="1:11" ht="26.4" x14ac:dyDescent="0.3">
      <c r="A15" s="113">
        <v>9</v>
      </c>
      <c r="B15" s="79"/>
      <c r="C15" s="80"/>
      <c r="D15" s="79"/>
      <c r="E15" s="103"/>
      <c r="F15" s="80"/>
      <c r="G15" s="104"/>
      <c r="H15" s="111">
        <f>IF(OR(C15="",E15="",G15="Closed"),"",IF(Setup!$B$10&gt;E15,Setup!$B$10-E15,""))</f>
      </c>
      <c r="I15" s="79"/>
      <c r="J15" s="103"/>
      <c r="K15" s="80"/>
    </row>
    <row r="16" spans="1:11" x14ac:dyDescent="0.3">
      <c r="A16" s="113">
        <v>10</v>
      </c>
      <c r="B16" s="79"/>
      <c r="C16" s="80"/>
      <c r="D16" s="79"/>
      <c r="E16" s="103"/>
      <c r="F16" s="80"/>
      <c r="G16" s="104"/>
      <c r="H16" s="111">
        <f>IF(OR(C16="",E16="",G16="Closed"),"",IF(Setup!$B$10&gt;E16,Setup!$B$10-E16,""))</f>
      </c>
      <c r="I16" s="79"/>
      <c r="J16" s="103"/>
      <c r="K16" s="80"/>
    </row>
    <row r="17" spans="1:11" x14ac:dyDescent="0.3">
      <c r="A17" s="113">
        <v>11</v>
      </c>
      <c r="B17" s="79"/>
      <c r="C17" s="80"/>
      <c r="D17" s="79"/>
      <c r="E17" s="103"/>
      <c r="F17" s="80"/>
      <c r="G17" s="104"/>
      <c r="H17" s="111">
        <f>IF(OR(C17="",E17="",G17="Closed"),"",IF(Setup!$B$10&gt;E17,Setup!$B$10-E17,""))</f>
      </c>
      <c r="I17" s="79"/>
      <c r="J17" s="103"/>
      <c r="K17" s="80"/>
    </row>
    <row r="18" spans="1:11" x14ac:dyDescent="0.3">
      <c r="A18" s="113">
        <v>12</v>
      </c>
      <c r="B18" s="79"/>
      <c r="C18" s="80"/>
      <c r="D18" s="79"/>
      <c r="E18" s="103"/>
      <c r="F18" s="80"/>
      <c r="G18" s="104"/>
      <c r="H18" s="111">
        <f>IF(OR(C18="",E18="",G18="Closed"),"",IF(Setup!$B$10&gt;E18,Setup!$B$10-E18,""))</f>
      </c>
      <c r="I18" s="79"/>
      <c r="J18" s="103"/>
      <c r="K18" s="80"/>
    </row>
    <row r="19" spans="1:11" x14ac:dyDescent="0.3">
      <c r="A19" s="113">
        <v>13</v>
      </c>
      <c r="B19" s="79"/>
      <c r="C19" s="80"/>
      <c r="D19" s="79"/>
      <c r="E19" s="103"/>
      <c r="F19" s="80"/>
      <c r="G19" s="104"/>
      <c r="H19" s="111">
        <f>IF(OR(C19="",E19="",G19="Closed"),"",IF(Setup!$B$10&gt;E19,Setup!$B$10-E19,""))</f>
      </c>
      <c r="I19" s="79"/>
      <c r="J19" s="103"/>
      <c r="K19" s="80"/>
    </row>
    <row r="20" spans="1:11" x14ac:dyDescent="0.3">
      <c r="A20" s="113">
        <v>14</v>
      </c>
      <c r="B20" s="79"/>
      <c r="C20" s="80"/>
      <c r="D20" s="79"/>
      <c r="E20" s="103"/>
      <c r="F20" s="80"/>
      <c r="G20" s="104"/>
      <c r="H20" s="111">
        <f>IF(OR(C20="",E20="",G20="Closed"),"",IF(Setup!$B$10&gt;E20,Setup!$B$10-E20,""))</f>
      </c>
      <c r="I20" s="79"/>
      <c r="J20" s="103"/>
      <c r="K20" s="80"/>
    </row>
    <row r="21" spans="1:11" x14ac:dyDescent="0.3">
      <c r="A21" s="113">
        <v>15</v>
      </c>
      <c r="B21" s="79"/>
      <c r="C21" s="80"/>
      <c r="D21" s="79"/>
      <c r="E21" s="103"/>
      <c r="F21" s="80"/>
      <c r="G21" s="104"/>
      <c r="H21" s="111">
        <f>IF(OR(C21="",E21="",G21="Closed"),"",IF(Setup!$B$10&gt;E21,Setup!$B$10-E21,""))</f>
      </c>
      <c r="I21" s="79"/>
      <c r="J21" s="103"/>
      <c r="K21" s="80"/>
    </row>
    <row r="22" spans="1:11" x14ac:dyDescent="0.3">
      <c r="A22" s="113">
        <v>16</v>
      </c>
      <c r="B22" s="79"/>
      <c r="C22" s="80"/>
      <c r="D22" s="79"/>
      <c r="E22" s="103"/>
      <c r="F22" s="80"/>
      <c r="G22" s="104"/>
      <c r="H22" s="111">
        <f>IF(OR(C22="",E22="",G22="Closed"),"",IF(Setup!$B$10&gt;E22,Setup!$B$10-E22,""))</f>
      </c>
      <c r="I22" s="79"/>
      <c r="J22" s="103"/>
      <c r="K22" s="80"/>
    </row>
    <row r="23" spans="1:11" x14ac:dyDescent="0.3">
      <c r="A23" s="113">
        <v>17</v>
      </c>
      <c r="B23" s="79"/>
      <c r="C23" s="80"/>
      <c r="D23" s="79"/>
      <c r="E23" s="103"/>
      <c r="F23" s="80"/>
      <c r="G23" s="104"/>
      <c r="H23" s="111">
        <f>IF(OR(C23="",E23="",G23="Closed"),"",IF(Setup!$B$10&gt;E23,Setup!$B$10-E23,""))</f>
      </c>
      <c r="I23" s="79"/>
      <c r="J23" s="103"/>
      <c r="K23" s="80"/>
    </row>
    <row r="24" spans="1:11" x14ac:dyDescent="0.3">
      <c r="A24" s="113">
        <v>18</v>
      </c>
      <c r="B24" s="79"/>
      <c r="C24" s="80"/>
      <c r="D24" s="79"/>
      <c r="E24" s="103"/>
      <c r="F24" s="80"/>
      <c r="G24" s="104"/>
      <c r="H24" s="111">
        <f>IF(OR(C24="",E24="",G24="Closed"),"",IF(Setup!$B$10&gt;E24,Setup!$B$10-E24,""))</f>
      </c>
      <c r="I24" s="79"/>
      <c r="J24" s="103"/>
      <c r="K24" s="80"/>
    </row>
    <row r="25" spans="1:11" x14ac:dyDescent="0.3">
      <c r="A25" s="113">
        <v>19</v>
      </c>
      <c r="B25" s="79"/>
      <c r="C25" s="80"/>
      <c r="D25" s="79"/>
      <c r="E25" s="103"/>
      <c r="F25" s="80"/>
      <c r="G25" s="104"/>
      <c r="H25" s="111">
        <f>IF(OR(C25="",E25="",G25="Closed"),"",IF(Setup!$B$10&gt;E25,Setup!$B$10-E25,""))</f>
      </c>
      <c r="I25" s="79"/>
      <c r="J25" s="103"/>
      <c r="K25" s="80"/>
    </row>
    <row r="26" spans="1:11" x14ac:dyDescent="0.3">
      <c r="A26" s="113">
        <v>20</v>
      </c>
      <c r="B26" s="79"/>
      <c r="C26" s="80"/>
      <c r="D26" s="79"/>
      <c r="E26" s="103"/>
      <c r="F26" s="80"/>
      <c r="G26" s="104"/>
      <c r="H26" s="111">
        <f>IF(OR(C26="",E26="",G26="Closed"),"",IF(Setup!$B$10&gt;E26,Setup!$B$10-E26,""))</f>
      </c>
      <c r="I26" s="79"/>
      <c r="J26" s="103"/>
      <c r="K26" s="80"/>
    </row>
    <row r="27" spans="1:11" x14ac:dyDescent="0.3">
      <c r="A27" s="113">
        <v>21</v>
      </c>
      <c r="B27" s="79"/>
      <c r="C27" s="80"/>
      <c r="D27" s="79"/>
      <c r="E27" s="103"/>
      <c r="F27" s="80"/>
      <c r="G27" s="104"/>
      <c r="H27" s="111">
        <f>IF(OR(C27="",E27="",G27="Closed"),"",IF(Setup!$B$10&gt;E27,Setup!$B$10-E27,""))</f>
      </c>
      <c r="I27" s="79"/>
      <c r="J27" s="103"/>
      <c r="K27" s="80"/>
    </row>
    <row r="28" spans="1:11" x14ac:dyDescent="0.3">
      <c r="A28" s="113">
        <v>22</v>
      </c>
      <c r="B28" s="79"/>
      <c r="C28" s="80"/>
      <c r="D28" s="79"/>
      <c r="E28" s="103"/>
      <c r="F28" s="80"/>
      <c r="G28" s="104"/>
      <c r="H28" s="111">
        <f>IF(OR(C28="",E28="",G28="Closed"),"",IF(Setup!$B$10&gt;E28,Setup!$B$10-E28,""))</f>
      </c>
      <c r="I28" s="79"/>
      <c r="J28" s="103"/>
      <c r="K28" s="80"/>
    </row>
    <row r="29" spans="1:11" x14ac:dyDescent="0.3">
      <c r="A29" s="113">
        <v>23</v>
      </c>
      <c r="B29" s="79"/>
      <c r="C29" s="80"/>
      <c r="D29" s="79"/>
      <c r="E29" s="103"/>
      <c r="F29" s="80"/>
      <c r="G29" s="104"/>
      <c r="H29" s="111">
        <f>IF(OR(C29="",E29="",G29="Closed"),"",IF(Setup!$B$10&gt;E29,Setup!$B$10-E29,""))</f>
      </c>
      <c r="I29" s="79"/>
      <c r="J29" s="103"/>
      <c r="K29" s="80"/>
    </row>
    <row r="30" spans="1:11" x14ac:dyDescent="0.3">
      <c r="A30" s="113">
        <v>24</v>
      </c>
      <c r="B30" s="79"/>
      <c r="C30" s="80"/>
      <c r="D30" s="79"/>
      <c r="E30" s="103"/>
      <c r="F30" s="80"/>
      <c r="G30" s="104"/>
      <c r="H30" s="111">
        <f>IF(OR(C30="",E30="",G30="Closed"),"",IF(Setup!$B$10&gt;E30,Setup!$B$10-E30,""))</f>
      </c>
      <c r="I30" s="79"/>
      <c r="J30" s="103"/>
      <c r="K30" s="80"/>
    </row>
    <row r="31" spans="1:11" x14ac:dyDescent="0.3">
      <c r="A31" s="113">
        <v>25</v>
      </c>
      <c r="B31" s="79"/>
      <c r="C31" s="80"/>
      <c r="D31" s="79"/>
      <c r="E31" s="103"/>
      <c r="F31" s="80"/>
      <c r="G31" s="104"/>
      <c r="H31" s="111">
        <f>IF(OR(C31="",E31="",G31="Closed"),"",IF(Setup!$B$10&gt;E31,Setup!$B$10-E31,""))</f>
      </c>
      <c r="I31" s="79"/>
      <c r="J31" s="103"/>
      <c r="K31" s="80"/>
    </row>
    <row r="32" spans="1:11" x14ac:dyDescent="0.3">
      <c r="A32" s="113">
        <v>26</v>
      </c>
      <c r="B32" s="79"/>
      <c r="C32" s="80"/>
      <c r="D32" s="79"/>
      <c r="E32" s="103"/>
      <c r="F32" s="80"/>
      <c r="G32" s="104"/>
      <c r="H32" s="111">
        <f>IF(OR(C32="",E32="",G32="Closed"),"",IF(Setup!$B$10&gt;E32,Setup!$B$10-E32,""))</f>
      </c>
      <c r="I32" s="79"/>
      <c r="J32" s="103"/>
      <c r="K32" s="80"/>
    </row>
    <row r="33" spans="1:11" x14ac:dyDescent="0.3">
      <c r="A33" s="113">
        <v>27</v>
      </c>
      <c r="B33" s="79"/>
      <c r="C33" s="80"/>
      <c r="D33" s="79"/>
      <c r="E33" s="103"/>
      <c r="F33" s="80"/>
      <c r="G33" s="104"/>
      <c r="H33" s="111">
        <f>IF(OR(C33="",E33="",G33="Closed"),"",IF(Setup!$B$10&gt;E33,Setup!$B$10-E33,""))</f>
      </c>
      <c r="I33" s="79"/>
      <c r="J33" s="103"/>
      <c r="K33" s="80"/>
    </row>
    <row r="34" spans="1:11" x14ac:dyDescent="0.3">
      <c r="A34" s="113">
        <v>28</v>
      </c>
      <c r="B34" s="79"/>
      <c r="C34" s="80"/>
      <c r="D34" s="79"/>
      <c r="E34" s="103"/>
      <c r="F34" s="80"/>
      <c r="G34" s="104"/>
      <c r="H34" s="111">
        <f>IF(OR(C34="",E34="",G34="Closed"),"",IF(Setup!$B$10&gt;E34,Setup!$B$10-E34,""))</f>
      </c>
      <c r="I34" s="79"/>
      <c r="J34" s="103"/>
      <c r="K34" s="80"/>
    </row>
    <row r="35" spans="1:11" x14ac:dyDescent="0.3">
      <c r="A35" s="113">
        <v>29</v>
      </c>
      <c r="B35" s="79"/>
      <c r="C35" s="80"/>
      <c r="D35" s="79"/>
      <c r="E35" s="103"/>
      <c r="F35" s="80"/>
      <c r="G35" s="104"/>
      <c r="H35" s="111">
        <f>IF(OR(C35="",E35="",G35="Closed"),"",IF(Setup!$B$10&gt;E35,Setup!$B$10-E35,""))</f>
      </c>
      <c r="I35" s="79"/>
      <c r="J35" s="103"/>
      <c r="K35" s="80"/>
    </row>
    <row r="36" spans="1:11" x14ac:dyDescent="0.3">
      <c r="A36" s="113">
        <v>30</v>
      </c>
      <c r="B36" s="79"/>
      <c r="C36" s="80"/>
      <c r="D36" s="79"/>
      <c r="E36" s="103"/>
      <c r="F36" s="80"/>
      <c r="G36" s="104"/>
      <c r="H36" s="111">
        <f>IF(OR(C36="",E36="",G36="Closed"),"",IF(Setup!$B$10&gt;E36,Setup!$B$10-E36,""))</f>
      </c>
      <c r="I36" s="79"/>
      <c r="J36" s="103"/>
      <c r="K36" s="80"/>
    </row>
    <row r="37" spans="1:11" x14ac:dyDescent="0.3">
      <c r="A37" s="113">
        <v>31</v>
      </c>
      <c r="B37" s="79"/>
      <c r="C37" s="80"/>
      <c r="D37" s="79"/>
      <c r="E37" s="103"/>
      <c r="F37" s="80"/>
      <c r="G37" s="104"/>
      <c r="H37" s="111">
        <f>IF(OR(C37="",E37="",G37="Closed"),"",IF(Setup!$B$10&gt;E37,Setup!$B$10-E37,""))</f>
      </c>
      <c r="I37" s="79"/>
      <c r="J37" s="103"/>
      <c r="K37" s="80"/>
    </row>
    <row r="38" spans="1:11" x14ac:dyDescent="0.3">
      <c r="A38" s="113">
        <v>32</v>
      </c>
      <c r="B38" s="79"/>
      <c r="C38" s="80"/>
      <c r="D38" s="79"/>
      <c r="E38" s="103"/>
      <c r="F38" s="80"/>
      <c r="G38" s="104"/>
      <c r="H38" s="111">
        <f>IF(OR(C38="",E38="",G38="Closed"),"",IF(Setup!$B$10&gt;E38,Setup!$B$10-E38,""))</f>
      </c>
      <c r="I38" s="79"/>
      <c r="J38" s="103"/>
      <c r="K38" s="80"/>
    </row>
    <row r="39" spans="1:11" x14ac:dyDescent="0.3">
      <c r="A39" s="113">
        <v>33</v>
      </c>
      <c r="B39" s="79"/>
      <c r="C39" s="80"/>
      <c r="D39" s="79"/>
      <c r="E39" s="103"/>
      <c r="F39" s="80"/>
      <c r="G39" s="104"/>
      <c r="H39" s="111">
        <f>IF(OR(C39="",E39="",G39="Closed"),"",IF(Setup!$B$10&gt;E39,Setup!$B$10-E39,""))</f>
      </c>
      <c r="I39" s="79"/>
      <c r="J39" s="103"/>
      <c r="K39" s="80"/>
    </row>
    <row r="40" spans="1:11" x14ac:dyDescent="0.3">
      <c r="A40" s="113">
        <v>34</v>
      </c>
      <c r="B40" s="79"/>
      <c r="C40" s="80"/>
      <c r="D40" s="79"/>
      <c r="E40" s="103"/>
      <c r="F40" s="80"/>
      <c r="G40" s="104"/>
      <c r="H40" s="111">
        <f>IF(OR(C40="",E40="",G40="Closed"),"",IF(Setup!$B$10&gt;E40,Setup!$B$10-E40,""))</f>
      </c>
      <c r="I40" s="79"/>
      <c r="J40" s="103"/>
      <c r="K40" s="80"/>
    </row>
    <row r="41" spans="1:11" x14ac:dyDescent="0.3">
      <c r="A41" s="113">
        <v>35</v>
      </c>
      <c r="B41" s="79"/>
      <c r="C41" s="80"/>
      <c r="D41" s="79"/>
      <c r="E41" s="103"/>
      <c r="F41" s="80"/>
      <c r="G41" s="104"/>
      <c r="H41" s="111">
        <f>IF(OR(C41="",E41="",G41="Closed"),"",IF(Setup!$B$10&gt;E41,Setup!$B$10-E41,""))</f>
      </c>
      <c r="I41" s="79"/>
      <c r="J41" s="103"/>
      <c r="K41" s="80"/>
    </row>
    <row r="42" spans="1:11" x14ac:dyDescent="0.3">
      <c r="A42" s="113">
        <v>36</v>
      </c>
      <c r="B42" s="79"/>
      <c r="C42" s="80"/>
      <c r="D42" s="79"/>
      <c r="E42" s="103"/>
      <c r="F42" s="80"/>
      <c r="G42" s="104"/>
      <c r="H42" s="111">
        <f>IF(OR(C42="",E42="",G42="Closed"),"",IF(Setup!$B$10&gt;E42,Setup!$B$10-E42,""))</f>
      </c>
      <c r="I42" s="79"/>
      <c r="J42" s="103"/>
      <c r="K42" s="80"/>
    </row>
    <row r="43" spans="1:11" x14ac:dyDescent="0.3">
      <c r="A43" s="113">
        <v>37</v>
      </c>
      <c r="B43" s="79"/>
      <c r="C43" s="80"/>
      <c r="D43" s="79"/>
      <c r="E43" s="103"/>
      <c r="F43" s="80"/>
      <c r="G43" s="104"/>
      <c r="H43" s="111">
        <f>IF(OR(C43="",E43="",G43="Closed"),"",IF(Setup!$B$10&gt;E43,Setup!$B$10-E43,""))</f>
      </c>
      <c r="I43" s="79"/>
      <c r="J43" s="103"/>
      <c r="K43" s="80"/>
    </row>
    <row r="44" spans="1:11" x14ac:dyDescent="0.3">
      <c r="A44" s="113">
        <v>38</v>
      </c>
      <c r="B44" s="79"/>
      <c r="C44" s="80"/>
      <c r="D44" s="79"/>
      <c r="E44" s="103"/>
      <c r="F44" s="80"/>
      <c r="G44" s="104"/>
      <c r="H44" s="111">
        <f>IF(OR(C44="",E44="",G44="Closed"),"",IF(Setup!$B$10&gt;E44,Setup!$B$10-E44,""))</f>
      </c>
      <c r="I44" s="79"/>
      <c r="J44" s="103"/>
      <c r="K44" s="80"/>
    </row>
    <row r="45" spans="1:11" x14ac:dyDescent="0.3">
      <c r="A45" s="113">
        <v>39</v>
      </c>
      <c r="B45" s="79"/>
      <c r="C45" s="80"/>
      <c r="D45" s="79"/>
      <c r="E45" s="103"/>
      <c r="F45" s="80"/>
      <c r="G45" s="104"/>
      <c r="H45" s="111">
        <f>IF(OR(C45="",E45="",G45="Closed"),"",IF(Setup!$B$10&gt;E45,Setup!$B$10-E45,""))</f>
      </c>
      <c r="I45" s="79"/>
      <c r="J45" s="103"/>
      <c r="K45" s="80"/>
    </row>
    <row r="46" spans="1:11" x14ac:dyDescent="0.3">
      <c r="A46" s="113">
        <v>40</v>
      </c>
      <c r="B46" s="79"/>
      <c r="C46" s="80"/>
      <c r="D46" s="79"/>
      <c r="E46" s="103"/>
      <c r="F46" s="80"/>
      <c r="G46" s="104"/>
      <c r="H46" s="111">
        <f>IF(OR(C46="",E46="",G46="Closed"),"",IF(Setup!$B$10&gt;E46,Setup!$B$10-E46,""))</f>
      </c>
      <c r="I46" s="79"/>
      <c r="J46" s="103"/>
      <c r="K46" s="80"/>
    </row>
  </sheetData>
  <sheetProtection sheet="1" formatCells="0" formatColumns="0" formatRows="0" insertColumns="0" insertRows="0" insertHyperlinks="0" deleteColumns="0" deleteRows="0" sort="0" autoFilter="0" pivotTables="0"/>
  <conditionalFormatting sqref="G7:G46">
    <cfRule type="cellIs" dxfId="1" priority="2" operator="equal">
      <formula>"Closed"</formula>
    </cfRule>
  </conditionalFormatting>
  <conditionalFormatting sqref="H7:H46">
    <cfRule type="cellIs" dxfId="0" priority="1" operator="greaterThan">
      <formula>0</formula>
    </cfRule>
  </conditionalFormatting>
  <dataValidations count="1">
    <dataValidation type="list" allowBlank="1" sqref="G7:G46" xr:uid="{00000000-0002-0000-0800-000000000000}">
      <formula1>"Open,Closed"</formula1>
    </dataValidation>
  </dataValidations>
  <printOptions horizontalCentered="1"/>
  <pageMargins left="0.4" right="0.4" top="0.5" bottom="0.5" header="0.5" footer="0.5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1000000}">
          <x14:formula1>
            <xm:f>Setup!$B$15:$B$34</xm:f>
          </x14:formula1>
          <xm:sqref>D7:D46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75569"/>
    <pageSetUpPr fitToPage="1"/>
  </sheetPr>
  <dimension ref="A1:I59"/>
  <sheetViews>
    <sheetView showGridLines="0" workbookViewId="0">
      <pane ySplit="7" topLeftCell="A8" activePane="bottomLeft" state="frozen"/>
      <selection pane="bottomLeft" activeCell="B11" sqref="B11"/>
    </sheetView>
  </sheetViews>
  <sheetFormatPr defaultRowHeight="14.4" x14ac:dyDescent="0.3"/>
  <cols>
    <col min="1" max="1" width="8" style="2" customWidth="1"/>
    <col min="2" max="6" width="12" style="2" customWidth="1"/>
    <col min="7" max="7" width="13" style="2" customWidth="1"/>
    <col min="8" max="9" width="12" style="2" customWidth="1"/>
    <col min="10" max="16384" width="8.88671875" style="2"/>
  </cols>
  <sheetData>
    <row r="1" spans="1:9" ht="28.05" customHeight="1" x14ac:dyDescent="0.4">
      <c r="A1" s="67" t="s">
        <v>48</v>
      </c>
      <c r="I1" s="75" t="s">
        <v>57</v>
      </c>
    </row>
    <row r="2" spans="1:9" x14ac:dyDescent="0.3">
      <c r="A2" s="68" t="s">
        <v>321</v>
      </c>
    </row>
    <row r="3" spans="1:9" x14ac:dyDescent="0.3">
      <c r="A3" s="69" t="s">
        <v>322</v>
      </c>
    </row>
    <row r="4" spans="1:9" x14ac:dyDescent="0.3">
      <c r="A4" s="114"/>
      <c r="B4" s="114"/>
      <c r="C4" s="114"/>
      <c r="D4" s="114"/>
      <c r="E4" s="114"/>
      <c r="F4" s="114"/>
      <c r="G4" s="114"/>
      <c r="H4" s="114"/>
      <c r="I4" s="114"/>
    </row>
    <row r="5" spans="1:9" x14ac:dyDescent="0.3">
      <c r="A5" s="54" t="s">
        <v>323</v>
      </c>
    </row>
    <row r="6" spans="1:9" x14ac:dyDescent="0.3">
      <c r="A6" s="115">
        <f>Setup!B7</f>
      </c>
      <c r="B6" s="116">
        <f>Setup!B8</f>
      </c>
      <c r="C6" s="117">
        <f>Progress!I38</f>
      </c>
      <c r="D6" s="117">
        <f>Progress!J38</f>
      </c>
      <c r="E6" s="117">
        <f>'Look-ahead'!U9</f>
      </c>
      <c r="F6" s="117">
        <f>'Look-ahead'!U11</f>
      </c>
      <c r="G6" s="95"/>
      <c r="H6" s="115">
        <f>COUNTIF(Constraints!J7:J46,"Open")+COUNTIF(Constraints!J7:J46,"Overdue")</f>
      </c>
      <c r="I6" s="115">
        <f>COUNTIF(Actions!H7:H46,"&gt;0")</f>
      </c>
    </row>
    <row r="7" spans="1:9" ht="31.95" customHeight="1" x14ac:dyDescent="0.3">
      <c r="A7" s="77" t="s">
        <v>180</v>
      </c>
      <c r="B7" s="78" t="s">
        <v>87</v>
      </c>
      <c r="C7" s="78" t="s">
        <v>324</v>
      </c>
      <c r="D7" s="78" t="s">
        <v>325</v>
      </c>
      <c r="E7" s="78" t="s">
        <v>326</v>
      </c>
      <c r="F7" s="77" t="s">
        <v>327</v>
      </c>
      <c r="G7" s="78" t="s">
        <v>328</v>
      </c>
      <c r="H7" s="78" t="s">
        <v>329</v>
      </c>
      <c r="I7" s="78" t="s">
        <v>330</v>
      </c>
    </row>
    <row r="8" spans="1:9" x14ac:dyDescent="0.3">
      <c r="A8" s="73"/>
      <c r="B8" s="118"/>
      <c r="C8" s="95"/>
      <c r="D8" s="95"/>
      <c r="E8" s="95"/>
      <c r="F8" s="95"/>
      <c r="G8" s="95"/>
      <c r="H8" s="73"/>
      <c r="I8" s="73"/>
    </row>
    <row r="9" spans="1:9" x14ac:dyDescent="0.3">
      <c r="A9" s="73"/>
      <c r="B9" s="118"/>
      <c r="C9" s="95"/>
      <c r="D9" s="95"/>
      <c r="E9" s="95"/>
      <c r="F9" s="95"/>
      <c r="G9" s="95"/>
      <c r="H9" s="73"/>
      <c r="I9" s="73"/>
    </row>
    <row r="10" spans="1:9" x14ac:dyDescent="0.3">
      <c r="A10" s="73"/>
      <c r="B10" s="118"/>
      <c r="C10" s="95"/>
      <c r="D10" s="95"/>
      <c r="E10" s="95"/>
      <c r="F10" s="95"/>
      <c r="G10" s="95"/>
      <c r="H10" s="73"/>
      <c r="I10" s="73"/>
    </row>
    <row r="11" spans="1:9" x14ac:dyDescent="0.3">
      <c r="A11" s="73"/>
      <c r="B11" s="118"/>
      <c r="C11" s="95"/>
      <c r="D11" s="95"/>
      <c r="E11" s="95"/>
      <c r="F11" s="95"/>
      <c r="G11" s="95"/>
      <c r="H11" s="73"/>
      <c r="I11" s="73"/>
    </row>
    <row r="12" spans="1:9" x14ac:dyDescent="0.3">
      <c r="A12" s="73"/>
      <c r="B12" s="118"/>
      <c r="C12" s="95"/>
      <c r="D12" s="95"/>
      <c r="E12" s="95"/>
      <c r="F12" s="95"/>
      <c r="G12" s="95"/>
      <c r="H12" s="73"/>
      <c r="I12" s="73"/>
    </row>
    <row r="13" spans="1:9" x14ac:dyDescent="0.3">
      <c r="A13" s="73"/>
      <c r="B13" s="118"/>
      <c r="C13" s="95"/>
      <c r="D13" s="95"/>
      <c r="E13" s="95"/>
      <c r="F13" s="95"/>
      <c r="G13" s="95"/>
      <c r="H13" s="73"/>
      <c r="I13" s="73"/>
    </row>
    <row r="14" spans="1:9" x14ac:dyDescent="0.3">
      <c r="A14" s="73"/>
      <c r="B14" s="118"/>
      <c r="C14" s="95"/>
      <c r="D14" s="95"/>
      <c r="E14" s="95"/>
      <c r="F14" s="95"/>
      <c r="G14" s="95"/>
      <c r="H14" s="73"/>
      <c r="I14" s="73"/>
    </row>
    <row r="15" spans="1:9" x14ac:dyDescent="0.3">
      <c r="A15" s="73"/>
      <c r="B15" s="118"/>
      <c r="C15" s="95"/>
      <c r="D15" s="95"/>
      <c r="E15" s="95"/>
      <c r="F15" s="95"/>
      <c r="G15" s="95"/>
      <c r="H15" s="73"/>
      <c r="I15" s="73"/>
    </row>
    <row r="16" spans="1:9" x14ac:dyDescent="0.3">
      <c r="A16" s="73"/>
      <c r="B16" s="118"/>
      <c r="C16" s="95"/>
      <c r="D16" s="95"/>
      <c r="E16" s="95"/>
      <c r="F16" s="95"/>
      <c r="G16" s="95"/>
      <c r="H16" s="73"/>
      <c r="I16" s="73"/>
    </row>
    <row r="17" spans="1:9" x14ac:dyDescent="0.3">
      <c r="A17" s="73"/>
      <c r="B17" s="118"/>
      <c r="C17" s="95"/>
      <c r="D17" s="95"/>
      <c r="E17" s="95"/>
      <c r="F17" s="95"/>
      <c r="G17" s="95"/>
      <c r="H17" s="73"/>
      <c r="I17" s="73"/>
    </row>
    <row r="18" spans="1:9" x14ac:dyDescent="0.3">
      <c r="A18" s="73"/>
      <c r="B18" s="118"/>
      <c r="C18" s="95"/>
      <c r="D18" s="95"/>
      <c r="E18" s="95"/>
      <c r="F18" s="95"/>
      <c r="G18" s="95"/>
      <c r="H18" s="73"/>
      <c r="I18" s="73"/>
    </row>
    <row r="19" spans="1:9" x14ac:dyDescent="0.3">
      <c r="A19" s="73"/>
      <c r="B19" s="118"/>
      <c r="C19" s="95"/>
      <c r="D19" s="95"/>
      <c r="E19" s="95"/>
      <c r="F19" s="95"/>
      <c r="G19" s="95"/>
      <c r="H19" s="73"/>
      <c r="I19" s="73"/>
    </row>
    <row r="20" spans="1:9" x14ac:dyDescent="0.3">
      <c r="A20" s="73"/>
      <c r="B20" s="118"/>
      <c r="C20" s="95"/>
      <c r="D20" s="95"/>
      <c r="E20" s="95"/>
      <c r="F20" s="95"/>
      <c r="G20" s="95"/>
      <c r="H20" s="73"/>
      <c r="I20" s="73"/>
    </row>
    <row r="21" spans="1:9" x14ac:dyDescent="0.3">
      <c r="A21" s="73"/>
      <c r="B21" s="118"/>
      <c r="C21" s="95"/>
      <c r="D21" s="95"/>
      <c r="E21" s="95"/>
      <c r="F21" s="95"/>
      <c r="G21" s="95"/>
      <c r="H21" s="73"/>
      <c r="I21" s="73"/>
    </row>
    <row r="22" spans="1:9" x14ac:dyDescent="0.3">
      <c r="A22" s="73"/>
      <c r="B22" s="118"/>
      <c r="C22" s="95"/>
      <c r="D22" s="95"/>
      <c r="E22" s="95"/>
      <c r="F22" s="95"/>
      <c r="G22" s="95"/>
      <c r="H22" s="73"/>
      <c r="I22" s="73"/>
    </row>
    <row r="23" spans="1:9" x14ac:dyDescent="0.3">
      <c r="A23" s="73"/>
      <c r="B23" s="118"/>
      <c r="C23" s="95"/>
      <c r="D23" s="95"/>
      <c r="E23" s="95"/>
      <c r="F23" s="95"/>
      <c r="G23" s="95"/>
      <c r="H23" s="73"/>
      <c r="I23" s="73"/>
    </row>
    <row r="24" spans="1:9" x14ac:dyDescent="0.3">
      <c r="A24" s="73"/>
      <c r="B24" s="118"/>
      <c r="C24" s="95"/>
      <c r="D24" s="95"/>
      <c r="E24" s="95"/>
      <c r="F24" s="95"/>
      <c r="G24" s="95"/>
      <c r="H24" s="73"/>
      <c r="I24" s="73"/>
    </row>
    <row r="25" spans="1:9" x14ac:dyDescent="0.3">
      <c r="A25" s="73"/>
      <c r="B25" s="118"/>
      <c r="C25" s="95"/>
      <c r="D25" s="95"/>
      <c r="E25" s="95"/>
      <c r="F25" s="95"/>
      <c r="G25" s="95"/>
      <c r="H25" s="73"/>
      <c r="I25" s="73"/>
    </row>
    <row r="26" spans="1:9" x14ac:dyDescent="0.3">
      <c r="A26" s="73"/>
      <c r="B26" s="118"/>
      <c r="C26" s="95"/>
      <c r="D26" s="95"/>
      <c r="E26" s="95"/>
      <c r="F26" s="95"/>
      <c r="G26" s="95"/>
      <c r="H26" s="73"/>
      <c r="I26" s="73"/>
    </row>
    <row r="27" spans="1:9" x14ac:dyDescent="0.3">
      <c r="A27" s="73"/>
      <c r="B27" s="118"/>
      <c r="C27" s="95"/>
      <c r="D27" s="95"/>
      <c r="E27" s="95"/>
      <c r="F27" s="95"/>
      <c r="G27" s="95"/>
      <c r="H27" s="73"/>
      <c r="I27" s="73"/>
    </row>
    <row r="28" spans="1:9" x14ac:dyDescent="0.3">
      <c r="A28" s="73"/>
      <c r="B28" s="118"/>
      <c r="C28" s="95"/>
      <c r="D28" s="95"/>
      <c r="E28" s="95"/>
      <c r="F28" s="95"/>
      <c r="G28" s="95"/>
      <c r="H28" s="73"/>
      <c r="I28" s="73"/>
    </row>
    <row r="29" spans="1:9" x14ac:dyDescent="0.3">
      <c r="A29" s="73"/>
      <c r="B29" s="118"/>
      <c r="C29" s="95"/>
      <c r="D29" s="95"/>
      <c r="E29" s="95"/>
      <c r="F29" s="95"/>
      <c r="G29" s="95"/>
      <c r="H29" s="73"/>
      <c r="I29" s="73"/>
    </row>
    <row r="30" spans="1:9" x14ac:dyDescent="0.3">
      <c r="A30" s="73"/>
      <c r="B30" s="118"/>
      <c r="C30" s="95"/>
      <c r="D30" s="95"/>
      <c r="E30" s="95"/>
      <c r="F30" s="95"/>
      <c r="G30" s="95"/>
      <c r="H30" s="73"/>
      <c r="I30" s="73"/>
    </row>
    <row r="31" spans="1:9" x14ac:dyDescent="0.3">
      <c r="A31" s="73"/>
      <c r="B31" s="118"/>
      <c r="C31" s="95"/>
      <c r="D31" s="95"/>
      <c r="E31" s="95"/>
      <c r="F31" s="95"/>
      <c r="G31" s="95"/>
      <c r="H31" s="73"/>
      <c r="I31" s="73"/>
    </row>
    <row r="32" spans="1:9" x14ac:dyDescent="0.3">
      <c r="A32" s="73"/>
      <c r="B32" s="118"/>
      <c r="C32" s="95"/>
      <c r="D32" s="95"/>
      <c r="E32" s="95"/>
      <c r="F32" s="95"/>
      <c r="G32" s="95"/>
      <c r="H32" s="73"/>
      <c r="I32" s="73"/>
    </row>
    <row r="33" spans="1:9" x14ac:dyDescent="0.3">
      <c r="A33" s="73"/>
      <c r="B33" s="118"/>
      <c r="C33" s="95"/>
      <c r="D33" s="95"/>
      <c r="E33" s="95"/>
      <c r="F33" s="95"/>
      <c r="G33" s="95"/>
      <c r="H33" s="73"/>
      <c r="I33" s="73"/>
    </row>
    <row r="34" spans="1:9" x14ac:dyDescent="0.3">
      <c r="A34" s="73"/>
      <c r="B34" s="118"/>
      <c r="C34" s="95"/>
      <c r="D34" s="95"/>
      <c r="E34" s="95"/>
      <c r="F34" s="95"/>
      <c r="G34" s="95"/>
      <c r="H34" s="73"/>
      <c r="I34" s="73"/>
    </row>
    <row r="35" spans="1:9" x14ac:dyDescent="0.3">
      <c r="A35" s="73"/>
      <c r="B35" s="118"/>
      <c r="C35" s="95"/>
      <c r="D35" s="95"/>
      <c r="E35" s="95"/>
      <c r="F35" s="95"/>
      <c r="G35" s="95"/>
      <c r="H35" s="73"/>
      <c r="I35" s="73"/>
    </row>
    <row r="36" spans="1:9" x14ac:dyDescent="0.3">
      <c r="A36" s="73"/>
      <c r="B36" s="118"/>
      <c r="C36" s="95"/>
      <c r="D36" s="95"/>
      <c r="E36" s="95"/>
      <c r="F36" s="95"/>
      <c r="G36" s="95"/>
      <c r="H36" s="73"/>
      <c r="I36" s="73"/>
    </row>
    <row r="37" spans="1:9" x14ac:dyDescent="0.3">
      <c r="A37" s="73"/>
      <c r="B37" s="118"/>
      <c r="C37" s="95"/>
      <c r="D37" s="95"/>
      <c r="E37" s="95"/>
      <c r="F37" s="95"/>
      <c r="G37" s="95"/>
      <c r="H37" s="73"/>
      <c r="I37" s="73"/>
    </row>
    <row r="38" spans="1:9" x14ac:dyDescent="0.3">
      <c r="A38" s="73"/>
      <c r="B38" s="118"/>
      <c r="C38" s="95"/>
      <c r="D38" s="95"/>
      <c r="E38" s="95"/>
      <c r="F38" s="95"/>
      <c r="G38" s="95"/>
      <c r="H38" s="73"/>
      <c r="I38" s="73"/>
    </row>
    <row r="39" spans="1:9" x14ac:dyDescent="0.3">
      <c r="A39" s="73"/>
      <c r="B39" s="118"/>
      <c r="C39" s="95"/>
      <c r="D39" s="95"/>
      <c r="E39" s="95"/>
      <c r="F39" s="95"/>
      <c r="G39" s="95"/>
      <c r="H39" s="73"/>
      <c r="I39" s="73"/>
    </row>
    <row r="40" spans="1:9" x14ac:dyDescent="0.3">
      <c r="A40" s="73"/>
      <c r="B40" s="118"/>
      <c r="C40" s="95"/>
      <c r="D40" s="95"/>
      <c r="E40" s="95"/>
      <c r="F40" s="95"/>
      <c r="G40" s="95"/>
      <c r="H40" s="73"/>
      <c r="I40" s="73"/>
    </row>
    <row r="41" spans="1:9" x14ac:dyDescent="0.3">
      <c r="A41" s="73"/>
      <c r="B41" s="118"/>
      <c r="C41" s="95"/>
      <c r="D41" s="95"/>
      <c r="E41" s="95"/>
      <c r="F41" s="95"/>
      <c r="G41" s="95"/>
      <c r="H41" s="73"/>
      <c r="I41" s="73"/>
    </row>
    <row r="42" spans="1:9" x14ac:dyDescent="0.3">
      <c r="A42" s="73"/>
      <c r="B42" s="118"/>
      <c r="C42" s="95"/>
      <c r="D42" s="95"/>
      <c r="E42" s="95"/>
      <c r="F42" s="95"/>
      <c r="G42" s="95"/>
      <c r="H42" s="73"/>
      <c r="I42" s="73"/>
    </row>
    <row r="43" spans="1:9" x14ac:dyDescent="0.3">
      <c r="A43" s="73"/>
      <c r="B43" s="118"/>
      <c r="C43" s="95"/>
      <c r="D43" s="95"/>
      <c r="E43" s="95"/>
      <c r="F43" s="95"/>
      <c r="G43" s="95"/>
      <c r="H43" s="73"/>
      <c r="I43" s="73"/>
    </row>
    <row r="44" spans="1:9" x14ac:dyDescent="0.3">
      <c r="A44" s="73"/>
      <c r="B44" s="118"/>
      <c r="C44" s="95"/>
      <c r="D44" s="95"/>
      <c r="E44" s="95"/>
      <c r="F44" s="95"/>
      <c r="G44" s="95"/>
      <c r="H44" s="73"/>
      <c r="I44" s="73"/>
    </row>
    <row r="45" spans="1:9" x14ac:dyDescent="0.3">
      <c r="A45" s="73"/>
      <c r="B45" s="118"/>
      <c r="C45" s="95"/>
      <c r="D45" s="95"/>
      <c r="E45" s="95"/>
      <c r="F45" s="95"/>
      <c r="G45" s="95"/>
      <c r="H45" s="73"/>
      <c r="I45" s="73"/>
    </row>
    <row r="46" spans="1:9" x14ac:dyDescent="0.3">
      <c r="A46" s="73"/>
      <c r="B46" s="118"/>
      <c r="C46" s="95"/>
      <c r="D46" s="95"/>
      <c r="E46" s="95"/>
      <c r="F46" s="95"/>
      <c r="G46" s="95"/>
      <c r="H46" s="73"/>
      <c r="I46" s="73"/>
    </row>
    <row r="47" spans="1:9" x14ac:dyDescent="0.3">
      <c r="A47" s="73"/>
      <c r="B47" s="118"/>
      <c r="C47" s="95"/>
      <c r="D47" s="95"/>
      <c r="E47" s="95"/>
      <c r="F47" s="95"/>
      <c r="G47" s="95"/>
      <c r="H47" s="73"/>
      <c r="I47" s="73"/>
    </row>
    <row r="48" spans="1:9" x14ac:dyDescent="0.3">
      <c r="A48" s="73"/>
      <c r="B48" s="118"/>
      <c r="C48" s="95"/>
      <c r="D48" s="95"/>
      <c r="E48" s="95"/>
      <c r="F48" s="95"/>
      <c r="G48" s="95"/>
      <c r="H48" s="73"/>
      <c r="I48" s="73"/>
    </row>
    <row r="49" spans="1:9" x14ac:dyDescent="0.3">
      <c r="A49" s="73"/>
      <c r="B49" s="118"/>
      <c r="C49" s="95"/>
      <c r="D49" s="95"/>
      <c r="E49" s="95"/>
      <c r="F49" s="95"/>
      <c r="G49" s="95"/>
      <c r="H49" s="73"/>
      <c r="I49" s="73"/>
    </row>
    <row r="50" spans="1:9" x14ac:dyDescent="0.3">
      <c r="A50" s="73"/>
      <c r="B50" s="118"/>
      <c r="C50" s="95"/>
      <c r="D50" s="95"/>
      <c r="E50" s="95"/>
      <c r="F50" s="95"/>
      <c r="G50" s="95"/>
      <c r="H50" s="73"/>
      <c r="I50" s="73"/>
    </row>
    <row r="51" spans="1:9" x14ac:dyDescent="0.3">
      <c r="A51" s="73"/>
      <c r="B51" s="118"/>
      <c r="C51" s="95"/>
      <c r="D51" s="95"/>
      <c r="E51" s="95"/>
      <c r="F51" s="95"/>
      <c r="G51" s="95"/>
      <c r="H51" s="73"/>
      <c r="I51" s="73"/>
    </row>
    <row r="52" spans="1:9" x14ac:dyDescent="0.3">
      <c r="A52" s="73"/>
      <c r="B52" s="118"/>
      <c r="C52" s="95"/>
      <c r="D52" s="95"/>
      <c r="E52" s="95"/>
      <c r="F52" s="95"/>
      <c r="G52" s="95"/>
      <c r="H52" s="73"/>
      <c r="I52" s="73"/>
    </row>
    <row r="53" spans="1:9" x14ac:dyDescent="0.3">
      <c r="A53" s="73"/>
      <c r="B53" s="118"/>
      <c r="C53" s="95"/>
      <c r="D53" s="95"/>
      <c r="E53" s="95"/>
      <c r="F53" s="95"/>
      <c r="G53" s="95"/>
      <c r="H53" s="73"/>
      <c r="I53" s="73"/>
    </row>
    <row r="54" spans="1:9" x14ac:dyDescent="0.3">
      <c r="A54" s="73"/>
      <c r="B54" s="118"/>
      <c r="C54" s="95"/>
      <c r="D54" s="95"/>
      <c r="E54" s="95"/>
      <c r="F54" s="95"/>
      <c r="G54" s="95"/>
      <c r="H54" s="73"/>
      <c r="I54" s="73"/>
    </row>
    <row r="55" spans="1:9" x14ac:dyDescent="0.3">
      <c r="A55" s="73"/>
      <c r="B55" s="118"/>
      <c r="C55" s="95"/>
      <c r="D55" s="95"/>
      <c r="E55" s="95"/>
      <c r="F55" s="95"/>
      <c r="G55" s="95"/>
      <c r="H55" s="73"/>
      <c r="I55" s="73"/>
    </row>
    <row r="56" spans="1:9" x14ac:dyDescent="0.3">
      <c r="A56" s="73"/>
      <c r="B56" s="118"/>
      <c r="C56" s="95"/>
      <c r="D56" s="95"/>
      <c r="E56" s="95"/>
      <c r="F56" s="95"/>
      <c r="G56" s="95"/>
      <c r="H56" s="73"/>
      <c r="I56" s="73"/>
    </row>
    <row r="57" spans="1:9" x14ac:dyDescent="0.3">
      <c r="A57" s="73"/>
      <c r="B57" s="118"/>
      <c r="C57" s="95"/>
      <c r="D57" s="95"/>
      <c r="E57" s="95"/>
      <c r="F57" s="95"/>
      <c r="G57" s="95"/>
      <c r="H57" s="73"/>
      <c r="I57" s="73"/>
    </row>
    <row r="58" spans="1:9" x14ac:dyDescent="0.3">
      <c r="A58" s="73"/>
      <c r="B58" s="118"/>
      <c r="C58" s="95"/>
      <c r="D58" s="95"/>
      <c r="E58" s="95"/>
      <c r="F58" s="95"/>
      <c r="G58" s="95"/>
      <c r="H58" s="73"/>
      <c r="I58" s="73"/>
    </row>
    <row r="59" spans="1:9" x14ac:dyDescent="0.3">
      <c r="A59" s="73"/>
      <c r="B59" s="118"/>
      <c r="C59" s="95"/>
      <c r="D59" s="95"/>
      <c r="E59" s="95"/>
      <c r="F59" s="95"/>
      <c r="G59" s="95"/>
      <c r="H59" s="73"/>
      <c r="I59" s="73"/>
    </row>
  </sheetData>
  <sheetProtection sheet="1" formatCells="0" formatColumns="0" formatRows="0" insertColumns="0" insertRows="0" insertHyperlinks="0" deleteColumns="0" deleteRows="0" sort="0" autoFilter="0" pivotTables="0"/>
  <printOptions horizontalCentered="1"/>
  <pageMargins left="0.4" right="0.4" top="0.5" bottom="0.5" header="0.5" footer="0.5"/>
  <pageSetup paperSize="9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Start</vt:lpstr>
      <vt:lpstr>Dashboard</vt:lpstr>
      <vt:lpstr>Setup</vt:lpstr>
      <vt:lpstr>Progress</vt:lpstr>
      <vt:lpstr>S-curve</vt:lpstr>
      <vt:lpstr>Float trend</vt:lpstr>
      <vt:lpstr>Look-ahead</vt:lpstr>
      <vt:lpstr>Constraints</vt:lpstr>
      <vt:lpstr>Actions</vt:lpstr>
      <vt:lpstr>History</vt:lpstr>
      <vt:lpstr>Actions!Print_Area</vt:lpstr>
      <vt:lpstr>Constraints!Print_Area</vt:lpstr>
      <vt:lpstr>Dashboard!Print_Area</vt:lpstr>
      <vt:lpstr>'Float trend'!Print_Area</vt:lpstr>
      <vt:lpstr>History!Print_Area</vt:lpstr>
      <vt:lpstr>'Look-ahead'!Print_Area</vt:lpstr>
      <vt:lpstr>Progress!Print_Area</vt:lpstr>
      <vt:lpstr>'S-curve'!Print_Area</vt:lpstr>
      <vt:lpstr>Setup!Print_Area</vt:lpstr>
      <vt:lpstr>Start!Print_Area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Project Control Hub</dc:creator>
  <cp:lastModifiedBy>The Project Control Hub</cp:lastModifiedBy>
  <dcterms:created xsi:type="dcterms:W3CDTF">2026-10-12T06:23:23Z</dcterms:created>
  <dcterms:modified xsi:type="dcterms:W3CDTF">2026-10-12T06:41:23Z</dcterms:modified>
</cp:coreProperties>
</file>